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da\Documents\Langara_College\DANA-4850-001-Capstone_Project\hall-api-test-db-mysql\wikidata\"/>
    </mc:Choice>
  </mc:AlternateContent>
  <xr:revisionPtr revIDLastSave="0" documentId="13_ncr:9_{C67C8527-985F-4B6E-B2C6-5387B3D04445}" xr6:coauthVersionLast="47" xr6:coauthVersionMax="47" xr10:uidLastSave="{00000000-0000-0000-0000-000000000000}"/>
  <bookViews>
    <workbookView xWindow="-108" yWindow="-108" windowWidth="23256" windowHeight="12456" xr2:uid="{CC25E03B-98D5-4977-B055-2CC9335195A1}"/>
  </bookViews>
  <sheets>
    <sheet name="debug_scores_formula" sheetId="1" r:id="rId1"/>
  </sheets>
  <definedNames>
    <definedName name="_xlnm._FilterDatabase" localSheetId="0" hidden="1">debug_scores_formula!$A$3:$AB$323</definedName>
  </definedNames>
  <calcPr calcId="0"/>
</workbook>
</file>

<file path=xl/calcChain.xml><?xml version="1.0" encoding="utf-8"?>
<calcChain xmlns="http://schemas.openxmlformats.org/spreadsheetml/2006/main">
  <c r="Q317" i="1" l="1"/>
  <c r="Q322" i="1"/>
  <c r="Q321" i="1"/>
  <c r="Q310" i="1"/>
  <c r="Q313" i="1"/>
  <c r="Q225" i="1"/>
  <c r="Q315" i="1"/>
  <c r="Q319" i="1"/>
  <c r="Q320" i="1"/>
  <c r="Q255" i="1"/>
  <c r="Q311" i="1"/>
  <c r="Q312" i="1"/>
  <c r="Q316" i="1"/>
  <c r="Q268" i="1"/>
  <c r="Q241" i="1"/>
  <c r="Q318" i="1"/>
  <c r="Q41" i="1"/>
  <c r="Q9" i="1"/>
  <c r="Q276" i="1"/>
  <c r="Q178" i="1"/>
  <c r="Q292" i="1"/>
  <c r="Q286" i="1"/>
  <c r="Q277" i="1"/>
  <c r="Q287" i="1"/>
  <c r="Q290" i="1"/>
  <c r="Q293" i="1"/>
  <c r="Q278" i="1"/>
  <c r="Q242" i="1"/>
  <c r="Q279" i="1"/>
  <c r="Q282" i="1"/>
  <c r="Q283" i="1"/>
  <c r="Q284" i="1"/>
  <c r="Q24" i="1"/>
  <c r="Q301" i="1"/>
  <c r="Q295" i="1"/>
  <c r="Q296" i="1"/>
  <c r="Q302" i="1"/>
  <c r="Q30" i="1"/>
  <c r="Q263" i="1"/>
  <c r="Q26" i="1"/>
  <c r="Q177" i="1"/>
  <c r="Q22" i="1"/>
  <c r="Q107" i="1"/>
  <c r="Q181" i="1"/>
  <c r="Q56" i="1"/>
  <c r="Q135" i="1"/>
  <c r="Q257" i="1"/>
  <c r="Q79" i="1"/>
  <c r="Q97" i="1"/>
  <c r="Q170" i="1"/>
  <c r="Q228" i="1"/>
  <c r="Q227" i="1"/>
  <c r="Q298" i="1"/>
  <c r="Q156" i="1"/>
  <c r="Q273" i="1"/>
  <c r="Q300" i="1"/>
  <c r="Q297" i="1"/>
  <c r="Q303" i="1"/>
  <c r="Q294" i="1"/>
  <c r="Q306" i="1"/>
  <c r="Q281" i="1"/>
  <c r="Q305" i="1"/>
  <c r="Q274" i="1"/>
  <c r="Q261" i="1"/>
  <c r="Q309" i="1"/>
  <c r="Q308" i="1"/>
  <c r="Q183" i="1"/>
  <c r="Q237" i="1"/>
  <c r="Q195" i="1"/>
  <c r="Q264" i="1"/>
  <c r="Q299" i="1"/>
  <c r="Q102" i="1"/>
  <c r="Q153" i="1"/>
  <c r="Q192" i="1"/>
  <c r="Q59" i="1"/>
  <c r="Q8" i="1"/>
  <c r="Q124" i="1"/>
  <c r="Q304" i="1"/>
  <c r="Q307" i="1"/>
  <c r="Q259" i="1"/>
  <c r="Q175" i="1"/>
  <c r="Q285" i="1"/>
  <c r="Q10" i="1"/>
  <c r="Q18" i="1"/>
  <c r="Q11" i="1"/>
  <c r="Q32" i="1"/>
  <c r="Q20" i="1"/>
  <c r="Q155" i="1"/>
  <c r="Q232" i="1"/>
  <c r="Q271" i="1"/>
  <c r="Q14" i="1"/>
  <c r="Q101" i="1"/>
  <c r="Q50" i="1"/>
  <c r="Q171" i="1"/>
  <c r="Q144" i="1"/>
  <c r="Q83" i="1"/>
  <c r="Q49" i="1"/>
  <c r="Q169" i="1"/>
  <c r="Q238" i="1"/>
  <c r="Q123" i="1"/>
  <c r="Q112" i="1"/>
  <c r="Q63" i="1"/>
  <c r="Q291" i="1"/>
  <c r="Q246" i="1"/>
  <c r="Q120" i="1"/>
  <c r="Q129" i="1"/>
  <c r="Q244" i="1"/>
  <c r="Q130" i="1"/>
  <c r="Q108" i="1"/>
  <c r="Q221" i="1"/>
  <c r="Q58" i="1"/>
  <c r="Q92" i="1"/>
  <c r="Q88" i="1"/>
  <c r="Q69" i="1"/>
  <c r="Q131" i="1"/>
  <c r="Q105" i="1"/>
  <c r="Q161" i="1"/>
  <c r="Q119" i="1"/>
  <c r="Q110" i="1"/>
  <c r="Q57" i="1"/>
  <c r="Q247" i="1"/>
  <c r="Q133" i="1"/>
  <c r="Q104" i="1"/>
  <c r="Q17" i="1"/>
  <c r="Q128" i="1"/>
  <c r="Q96" i="1"/>
  <c r="Q13" i="1"/>
  <c r="Q43" i="1"/>
  <c r="Q93" i="1"/>
  <c r="Q33" i="1"/>
  <c r="Q45" i="1"/>
  <c r="Q44" i="1"/>
  <c r="Q142" i="1"/>
  <c r="Q143" i="1"/>
  <c r="Q38" i="1"/>
  <c r="Q146" i="1"/>
  <c r="Q189" i="1"/>
  <c r="Q27" i="1"/>
  <c r="Q168" i="1"/>
  <c r="Q139" i="1"/>
  <c r="Q125" i="1"/>
  <c r="Q48" i="1"/>
  <c r="Q34" i="1"/>
  <c r="Q64" i="1"/>
  <c r="Q121" i="1"/>
  <c r="Q36" i="1"/>
  <c r="Q29" i="1"/>
  <c r="Q137" i="1"/>
  <c r="Q77" i="1"/>
  <c r="Q138" i="1"/>
  <c r="Q80" i="1"/>
  <c r="Q89" i="1"/>
  <c r="Q52" i="1"/>
  <c r="Q68" i="1"/>
  <c r="Q190" i="1"/>
  <c r="Q73" i="1"/>
  <c r="Q65" i="1"/>
  <c r="Q198" i="1"/>
  <c r="Q37" i="1"/>
  <c r="Q116" i="1"/>
  <c r="Q115" i="1"/>
  <c r="Q234" i="1"/>
  <c r="Q182" i="1"/>
  <c r="Q148" i="1"/>
  <c r="Q40" i="1"/>
  <c r="Q39" i="1"/>
  <c r="Q222" i="1"/>
  <c r="Q54" i="1"/>
  <c r="Q193" i="1"/>
  <c r="Q145" i="1"/>
  <c r="Q157" i="1"/>
  <c r="Q126" i="1"/>
  <c r="Q158" i="1"/>
  <c r="Q127" i="1"/>
  <c r="Q35" i="1"/>
  <c r="Q132" i="1"/>
  <c r="Q191" i="1"/>
  <c r="Q15" i="1"/>
  <c r="Q243" i="1"/>
  <c r="Q12" i="1"/>
  <c r="Q71" i="1"/>
  <c r="Q250" i="1"/>
  <c r="Q275" i="1"/>
  <c r="Q280" i="1"/>
  <c r="Q262" i="1"/>
  <c r="Q31" i="1"/>
  <c r="Q4" i="1"/>
  <c r="Q7" i="1"/>
  <c r="Q16" i="1"/>
  <c r="Q98" i="1"/>
  <c r="Q194" i="1"/>
  <c r="Q166" i="1"/>
  <c r="Q19" i="1"/>
  <c r="Q21" i="1"/>
  <c r="Q220" i="1"/>
  <c r="Q199" i="1"/>
  <c r="Q200" i="1"/>
  <c r="Q201" i="1"/>
  <c r="Q202" i="1"/>
  <c r="Q203" i="1"/>
  <c r="Q204" i="1"/>
  <c r="Q205" i="1"/>
  <c r="Q187" i="1"/>
  <c r="Q173" i="1"/>
  <c r="Q206" i="1"/>
  <c r="Q207" i="1"/>
  <c r="Q196" i="1"/>
  <c r="Q28" i="1"/>
  <c r="Q208" i="1"/>
  <c r="Q136" i="1"/>
  <c r="Q223" i="1"/>
  <c r="Q23" i="1"/>
  <c r="Q149" i="1"/>
  <c r="Q150" i="1"/>
  <c r="Q209" i="1"/>
  <c r="Q210" i="1"/>
  <c r="Q211" i="1"/>
  <c r="Q212" i="1"/>
  <c r="Q213" i="1"/>
  <c r="Q214" i="1"/>
  <c r="Q197" i="1"/>
  <c r="Q215" i="1"/>
  <c r="Q216" i="1"/>
  <c r="Q217" i="1"/>
  <c r="Q188" i="1"/>
  <c r="Q218" i="1"/>
  <c r="Q90" i="1"/>
  <c r="Q159" i="1"/>
  <c r="Q176" i="1"/>
  <c r="Q219" i="1"/>
  <c r="Q117" i="1"/>
  <c r="Q66" i="1"/>
  <c r="Q147" i="1"/>
  <c r="Q260" i="1"/>
  <c r="Q180" i="1"/>
  <c r="Q248" i="1"/>
  <c r="Q239" i="1"/>
  <c r="Q151" i="1"/>
  <c r="Q272" i="1"/>
  <c r="Q252" i="1"/>
  <c r="Q288" i="1"/>
  <c r="Q266" i="1"/>
  <c r="Q74" i="1"/>
  <c r="Q167" i="1"/>
  <c r="Q160" i="1"/>
  <c r="Q226" i="1"/>
  <c r="Q249" i="1"/>
  <c r="Q46" i="1"/>
  <c r="Q61" i="1"/>
  <c r="Q53" i="1"/>
  <c r="Q86" i="1"/>
  <c r="Q141" i="1"/>
  <c r="Q154" i="1"/>
  <c r="Q94" i="1"/>
  <c r="Q67" i="1"/>
  <c r="Q87" i="1"/>
  <c r="Q103" i="1"/>
  <c r="Q100" i="1"/>
  <c r="Q111" i="1"/>
  <c r="Q47" i="1"/>
  <c r="Q55" i="1"/>
  <c r="Q42" i="1"/>
  <c r="Q70" i="1"/>
  <c r="Q78" i="1"/>
  <c r="Q95" i="1"/>
  <c r="Q265" i="1"/>
  <c r="Q174" i="1"/>
  <c r="Q164" i="1"/>
  <c r="Q82" i="1"/>
  <c r="Q185" i="1"/>
  <c r="Q140" i="1"/>
  <c r="Q62" i="1"/>
  <c r="Q91" i="1"/>
  <c r="Q76" i="1"/>
  <c r="Q163" i="1"/>
  <c r="Q172" i="1"/>
  <c r="Q267" i="1"/>
  <c r="Q134" i="1"/>
  <c r="Q106" i="1"/>
  <c r="Q60" i="1"/>
  <c r="Q229" i="1"/>
  <c r="Q235" i="1"/>
  <c r="Q230" i="1"/>
  <c r="Q231" i="1"/>
  <c r="Q99" i="1"/>
  <c r="Q162" i="1"/>
  <c r="Q113" i="1"/>
  <c r="Q184" i="1"/>
  <c r="Q186" i="1"/>
  <c r="Q179" i="1"/>
  <c r="Q85" i="1"/>
  <c r="Q114" i="1"/>
  <c r="Q75" i="1"/>
  <c r="Q165" i="1"/>
  <c r="Q72" i="1"/>
  <c r="Q152" i="1"/>
  <c r="Q245" i="1"/>
  <c r="Q253" i="1"/>
  <c r="Q256" i="1"/>
  <c r="Q236" i="1"/>
  <c r="Q109" i="1"/>
  <c r="Q269" i="1"/>
  <c r="Q224" i="1"/>
  <c r="Q233" i="1"/>
  <c r="Q122" i="1"/>
  <c r="Q258" i="1"/>
  <c r="Q254" i="1"/>
  <c r="Q251" i="1"/>
  <c r="AB51" i="1"/>
  <c r="W51" i="1" s="1"/>
  <c r="AB6" i="1"/>
  <c r="AB5" i="1"/>
  <c r="S5" i="1" s="1"/>
  <c r="AB81" i="1"/>
  <c r="AB84" i="1"/>
  <c r="T84" i="1" s="1"/>
  <c r="AB118" i="1"/>
  <c r="Y118" i="1" s="1"/>
  <c r="AB289" i="1"/>
  <c r="Z289" i="1" s="1"/>
  <c r="AB240" i="1"/>
  <c r="AB314" i="1"/>
  <c r="AB25" i="1"/>
  <c r="Y25" i="1" s="1"/>
  <c r="AB317" i="1"/>
  <c r="W317" i="1" s="1"/>
  <c r="AB322" i="1"/>
  <c r="S322" i="1" s="1"/>
  <c r="AB321" i="1"/>
  <c r="AB310" i="1"/>
  <c r="AB313" i="1"/>
  <c r="T313" i="1" s="1"/>
  <c r="AB225" i="1"/>
  <c r="Z225" i="1" s="1"/>
  <c r="AB315" i="1"/>
  <c r="AB319" i="1"/>
  <c r="AB320" i="1"/>
  <c r="Z320" i="1" s="1"/>
  <c r="AB255" i="1"/>
  <c r="Y255" i="1" s="1"/>
  <c r="AB311" i="1"/>
  <c r="W311" i="1" s="1"/>
  <c r="AB312" i="1"/>
  <c r="Y312" i="1" s="1"/>
  <c r="AB316" i="1"/>
  <c r="AB268" i="1"/>
  <c r="Z268" i="1" s="1"/>
  <c r="AB241" i="1"/>
  <c r="Y241" i="1" s="1"/>
  <c r="AB318" i="1"/>
  <c r="AB41" i="1"/>
  <c r="T41" i="1" s="1"/>
  <c r="AB9" i="1"/>
  <c r="S9" i="1" s="1"/>
  <c r="AB276" i="1"/>
  <c r="AB178" i="1"/>
  <c r="S178" i="1" s="1"/>
  <c r="AB292" i="1"/>
  <c r="V292" i="1" s="1"/>
  <c r="AB286" i="1"/>
  <c r="Y286" i="1" s="1"/>
  <c r="AB277" i="1"/>
  <c r="X277" i="1" s="1"/>
  <c r="AB287" i="1"/>
  <c r="T287" i="1" s="1"/>
  <c r="AB290" i="1"/>
  <c r="AB293" i="1"/>
  <c r="AB278" i="1"/>
  <c r="X278" i="1" s="1"/>
  <c r="AB242" i="1"/>
  <c r="T242" i="1" s="1"/>
  <c r="AB279" i="1"/>
  <c r="X279" i="1" s="1"/>
  <c r="AB282" i="1"/>
  <c r="T282" i="1" s="1"/>
  <c r="AB283" i="1"/>
  <c r="AB284" i="1"/>
  <c r="S284" i="1" s="1"/>
  <c r="AB24" i="1"/>
  <c r="AB301" i="1"/>
  <c r="W301" i="1" s="1"/>
  <c r="AB295" i="1"/>
  <c r="X295" i="1" s="1"/>
  <c r="AB296" i="1"/>
  <c r="X296" i="1" s="1"/>
  <c r="AB302" i="1"/>
  <c r="S302" i="1" s="1"/>
  <c r="AB30" i="1"/>
  <c r="AB263" i="1"/>
  <c r="T263" i="1" s="1"/>
  <c r="AB26" i="1"/>
  <c r="U26" i="1" s="1"/>
  <c r="AB177" i="1"/>
  <c r="Y177" i="1" s="1"/>
  <c r="AB22" i="1"/>
  <c r="AB107" i="1"/>
  <c r="AB181" i="1"/>
  <c r="AB56" i="1"/>
  <c r="AB135" i="1"/>
  <c r="T135" i="1" s="1"/>
  <c r="AB257" i="1"/>
  <c r="X257" i="1" s="1"/>
  <c r="AB79" i="1"/>
  <c r="AB97" i="1"/>
  <c r="T97" i="1" s="1"/>
  <c r="AB170" i="1"/>
  <c r="U170" i="1" s="1"/>
  <c r="AB228" i="1"/>
  <c r="Y228" i="1" s="1"/>
  <c r="AB227" i="1"/>
  <c r="AB298" i="1"/>
  <c r="Y298" i="1" s="1"/>
  <c r="AB156" i="1"/>
  <c r="AB273" i="1"/>
  <c r="X273" i="1" s="1"/>
  <c r="AB300" i="1"/>
  <c r="Z300" i="1" s="1"/>
  <c r="AB297" i="1"/>
  <c r="Z297" i="1" s="1"/>
  <c r="AB303" i="1"/>
  <c r="S303" i="1" s="1"/>
  <c r="AB294" i="1"/>
  <c r="Z294" i="1" s="1"/>
  <c r="AB306" i="1"/>
  <c r="W306" i="1" s="1"/>
  <c r="AB281" i="1"/>
  <c r="Y281" i="1" s="1"/>
  <c r="AB305" i="1"/>
  <c r="AB274" i="1"/>
  <c r="X274" i="1" s="1"/>
  <c r="AB261" i="1"/>
  <c r="X261" i="1" s="1"/>
  <c r="AB309" i="1"/>
  <c r="S309" i="1" s="1"/>
  <c r="AB308" i="1"/>
  <c r="AB183" i="1"/>
  <c r="W183" i="1" s="1"/>
  <c r="AB237" i="1"/>
  <c r="Z237" i="1" s="1"/>
  <c r="AB195" i="1"/>
  <c r="V195" i="1" s="1"/>
  <c r="AB264" i="1"/>
  <c r="V264" i="1" s="1"/>
  <c r="AB299" i="1"/>
  <c r="Y299" i="1" s="1"/>
  <c r="AB102" i="1"/>
  <c r="AB153" i="1"/>
  <c r="X153" i="1" s="1"/>
  <c r="AB192" i="1"/>
  <c r="Y192" i="1" s="1"/>
  <c r="AB59" i="1"/>
  <c r="Z59" i="1" s="1"/>
  <c r="AB8" i="1"/>
  <c r="X8" i="1" s="1"/>
  <c r="AB124" i="1"/>
  <c r="AB304" i="1"/>
  <c r="AB307" i="1"/>
  <c r="X307" i="1" s="1"/>
  <c r="AB259" i="1"/>
  <c r="X259" i="1" s="1"/>
  <c r="AB175" i="1"/>
  <c r="S175" i="1" s="1"/>
  <c r="AB285" i="1"/>
  <c r="AB10" i="1"/>
  <c r="Y10" i="1" s="1"/>
  <c r="AB18" i="1"/>
  <c r="T18" i="1" s="1"/>
  <c r="AB11" i="1"/>
  <c r="AB32" i="1"/>
  <c r="AB20" i="1"/>
  <c r="W20" i="1" s="1"/>
  <c r="AB155" i="1"/>
  <c r="U155" i="1" s="1"/>
  <c r="AB232" i="1"/>
  <c r="AB271" i="1"/>
  <c r="AB14" i="1"/>
  <c r="S14" i="1" s="1"/>
  <c r="AB101" i="1"/>
  <c r="AB50" i="1"/>
  <c r="Y50" i="1" s="1"/>
  <c r="AB171" i="1"/>
  <c r="W171" i="1" s="1"/>
  <c r="AB144" i="1"/>
  <c r="Z144" i="1" s="1"/>
  <c r="AB83" i="1"/>
  <c r="AB49" i="1"/>
  <c r="AB169" i="1"/>
  <c r="AB238" i="1"/>
  <c r="S238" i="1" s="1"/>
  <c r="AB123" i="1"/>
  <c r="U123" i="1" s="1"/>
  <c r="AB112" i="1"/>
  <c r="S112" i="1" s="1"/>
  <c r="AB63" i="1"/>
  <c r="AB291" i="1"/>
  <c r="U291" i="1" s="1"/>
  <c r="AB246" i="1"/>
  <c r="V246" i="1" s="1"/>
  <c r="AB120" i="1"/>
  <c r="AB129" i="1"/>
  <c r="AB244" i="1"/>
  <c r="V244" i="1" s="1"/>
  <c r="AB130" i="1"/>
  <c r="Z130" i="1" s="1"/>
  <c r="AB108" i="1"/>
  <c r="W108" i="1" s="1"/>
  <c r="AB221" i="1"/>
  <c r="AB58" i="1"/>
  <c r="X58" i="1" s="1"/>
  <c r="AB92" i="1"/>
  <c r="V92" i="1" s="1"/>
  <c r="AB88" i="1"/>
  <c r="X88" i="1" s="1"/>
  <c r="AB69" i="1"/>
  <c r="Y69" i="1" s="1"/>
  <c r="AB131" i="1"/>
  <c r="AB105" i="1"/>
  <c r="W105" i="1" s="1"/>
  <c r="AB161" i="1"/>
  <c r="W161" i="1" s="1"/>
  <c r="AB119" i="1"/>
  <c r="AB110" i="1"/>
  <c r="Z110" i="1" s="1"/>
  <c r="AB57" i="1"/>
  <c r="AB247" i="1"/>
  <c r="AB133" i="1"/>
  <c r="AB104" i="1"/>
  <c r="X104" i="1" s="1"/>
  <c r="AB17" i="1"/>
  <c r="AB128" i="1"/>
  <c r="Z128" i="1" s="1"/>
  <c r="AB96" i="1"/>
  <c r="AB13" i="1"/>
  <c r="AB43" i="1"/>
  <c r="AB93" i="1"/>
  <c r="T93" i="1" s="1"/>
  <c r="AB33" i="1"/>
  <c r="AB45" i="1"/>
  <c r="Y45" i="1" s="1"/>
  <c r="AB44" i="1"/>
  <c r="Z44" i="1" s="1"/>
  <c r="AB142" i="1"/>
  <c r="AB143" i="1"/>
  <c r="Z143" i="1" s="1"/>
  <c r="AB38" i="1"/>
  <c r="AB146" i="1"/>
  <c r="U146" i="1" s="1"/>
  <c r="AB189" i="1"/>
  <c r="T189" i="1" s="1"/>
  <c r="AB27" i="1"/>
  <c r="AB168" i="1"/>
  <c r="AB139" i="1"/>
  <c r="AB125" i="1"/>
  <c r="U125" i="1" s="1"/>
  <c r="AB48" i="1"/>
  <c r="Z48" i="1" s="1"/>
  <c r="AB34" i="1"/>
  <c r="Y34" i="1" s="1"/>
  <c r="AB64" i="1"/>
  <c r="S64" i="1" s="1"/>
  <c r="AB121" i="1"/>
  <c r="AB36" i="1"/>
  <c r="AB29" i="1"/>
  <c r="Z29" i="1" s="1"/>
  <c r="AB137" i="1"/>
  <c r="V137" i="1" s="1"/>
  <c r="AB77" i="1"/>
  <c r="AB138" i="1"/>
  <c r="Y138" i="1" s="1"/>
  <c r="AB80" i="1"/>
  <c r="Z80" i="1" s="1"/>
  <c r="AB89" i="1"/>
  <c r="Z89" i="1" s="1"/>
  <c r="AB52" i="1"/>
  <c r="AB68" i="1"/>
  <c r="Y68" i="1" s="1"/>
  <c r="AB190" i="1"/>
  <c r="Z190" i="1" s="1"/>
  <c r="AB73" i="1"/>
  <c r="Y73" i="1" s="1"/>
  <c r="AB65" i="1"/>
  <c r="AB198" i="1"/>
  <c r="U198" i="1" s="1"/>
  <c r="AB37" i="1"/>
  <c r="Z37" i="1" s="1"/>
  <c r="AB116" i="1"/>
  <c r="Z116" i="1" s="1"/>
  <c r="AB115" i="1"/>
  <c r="AB234" i="1"/>
  <c r="W234" i="1" s="1"/>
  <c r="AB182" i="1"/>
  <c r="S182" i="1" s="1"/>
  <c r="AB148" i="1"/>
  <c r="X148" i="1" s="1"/>
  <c r="AB40" i="1"/>
  <c r="X40" i="1" s="1"/>
  <c r="AB39" i="1"/>
  <c r="AB222" i="1"/>
  <c r="S222" i="1" s="1"/>
  <c r="AB54" i="1"/>
  <c r="S54" i="1" s="1"/>
  <c r="AB193" i="1"/>
  <c r="AB145" i="1"/>
  <c r="T145" i="1" s="1"/>
  <c r="AB157" i="1"/>
  <c r="AB126" i="1"/>
  <c r="Z126" i="1" s="1"/>
  <c r="AB158" i="1"/>
  <c r="Y158" i="1" s="1"/>
  <c r="AB127" i="1"/>
  <c r="Y127" i="1" s="1"/>
  <c r="AB35" i="1"/>
  <c r="X35" i="1" s="1"/>
  <c r="AB132" i="1"/>
  <c r="V132" i="1" s="1"/>
  <c r="AB191" i="1"/>
  <c r="T191" i="1" s="1"/>
  <c r="AB15" i="1"/>
  <c r="AB243" i="1"/>
  <c r="T243" i="1" s="1"/>
  <c r="AB12" i="1"/>
  <c r="U12" i="1" s="1"/>
  <c r="AB71" i="1"/>
  <c r="S71" i="1" s="1"/>
  <c r="AB250" i="1"/>
  <c r="AB275" i="1"/>
  <c r="S275" i="1" s="1"/>
  <c r="AB280" i="1"/>
  <c r="T280" i="1" s="1"/>
  <c r="AB262" i="1"/>
  <c r="AB31" i="1"/>
  <c r="AB4" i="1"/>
  <c r="S4" i="1" s="1"/>
  <c r="AB7" i="1"/>
  <c r="W7" i="1" s="1"/>
  <c r="AB16" i="1"/>
  <c r="V16" i="1" s="1"/>
  <c r="AB98" i="1"/>
  <c r="T98" i="1" s="1"/>
  <c r="AB194" i="1"/>
  <c r="AB166" i="1"/>
  <c r="U166" i="1" s="1"/>
  <c r="AB19" i="1"/>
  <c r="Z19" i="1" s="1"/>
  <c r="AB21" i="1"/>
  <c r="AB220" i="1"/>
  <c r="Y220" i="1" s="1"/>
  <c r="AB199" i="1"/>
  <c r="AB200" i="1"/>
  <c r="Z200" i="1" s="1"/>
  <c r="AB201" i="1"/>
  <c r="T201" i="1" s="1"/>
  <c r="AB202" i="1"/>
  <c r="Z202" i="1" s="1"/>
  <c r="AB203" i="1"/>
  <c r="AB204" i="1"/>
  <c r="V204" i="1" s="1"/>
  <c r="AB205" i="1"/>
  <c r="AB187" i="1"/>
  <c r="W187" i="1" s="1"/>
  <c r="AB173" i="1"/>
  <c r="V173" i="1" s="1"/>
  <c r="AB206" i="1"/>
  <c r="Y206" i="1" s="1"/>
  <c r="AB207" i="1"/>
  <c r="AB196" i="1"/>
  <c r="S196" i="1" s="1"/>
  <c r="AB28" i="1"/>
  <c r="AB208" i="1"/>
  <c r="X208" i="1" s="1"/>
  <c r="AB136" i="1"/>
  <c r="Z136" i="1" s="1"/>
  <c r="AB223" i="1"/>
  <c r="Y223" i="1" s="1"/>
  <c r="AB23" i="1"/>
  <c r="AB149" i="1"/>
  <c r="AB150" i="1"/>
  <c r="X150" i="1" s="1"/>
  <c r="AB209" i="1"/>
  <c r="Y209" i="1" s="1"/>
  <c r="AB210" i="1"/>
  <c r="U210" i="1" s="1"/>
  <c r="AB211" i="1"/>
  <c r="V211" i="1" s="1"/>
  <c r="AB212" i="1"/>
  <c r="AB213" i="1"/>
  <c r="Z213" i="1" s="1"/>
  <c r="AB214" i="1"/>
  <c r="AB197" i="1"/>
  <c r="AB215" i="1"/>
  <c r="AB216" i="1"/>
  <c r="AB217" i="1"/>
  <c r="S217" i="1" s="1"/>
  <c r="AB188" i="1"/>
  <c r="X188" i="1" s="1"/>
  <c r="AB218" i="1"/>
  <c r="Y218" i="1" s="1"/>
  <c r="AB90" i="1"/>
  <c r="T90" i="1" s="1"/>
  <c r="AB159" i="1"/>
  <c r="AB176" i="1"/>
  <c r="T176" i="1" s="1"/>
  <c r="AB219" i="1"/>
  <c r="AB117" i="1"/>
  <c r="AB66" i="1"/>
  <c r="X66" i="1" s="1"/>
  <c r="AB147" i="1"/>
  <c r="V147" i="1" s="1"/>
  <c r="AB260" i="1"/>
  <c r="T260" i="1" s="1"/>
  <c r="AB180" i="1"/>
  <c r="S180" i="1" s="1"/>
  <c r="AB248" i="1"/>
  <c r="S248" i="1" s="1"/>
  <c r="AB239" i="1"/>
  <c r="S239" i="1" s="1"/>
  <c r="AB151" i="1"/>
  <c r="Z151" i="1" s="1"/>
  <c r="AB272" i="1"/>
  <c r="AB252" i="1"/>
  <c r="AB288" i="1"/>
  <c r="Y288" i="1" s="1"/>
  <c r="AB266" i="1"/>
  <c r="S266" i="1" s="1"/>
  <c r="AB74" i="1"/>
  <c r="V74" i="1" s="1"/>
  <c r="AB167" i="1"/>
  <c r="AB160" i="1"/>
  <c r="AB226" i="1"/>
  <c r="Y226" i="1" s="1"/>
  <c r="AB249" i="1"/>
  <c r="V249" i="1" s="1"/>
  <c r="AB46" i="1"/>
  <c r="V46" i="1" s="1"/>
  <c r="AB61" i="1"/>
  <c r="V61" i="1" s="1"/>
  <c r="AB53" i="1"/>
  <c r="Z53" i="1" s="1"/>
  <c r="AB86" i="1"/>
  <c r="V86" i="1" s="1"/>
  <c r="AB141" i="1"/>
  <c r="Y141" i="1" s="1"/>
  <c r="AB154" i="1"/>
  <c r="AB94" i="1"/>
  <c r="Y94" i="1" s="1"/>
  <c r="AB67" i="1"/>
  <c r="S67" i="1" s="1"/>
  <c r="AB87" i="1"/>
  <c r="Z87" i="1" s="1"/>
  <c r="AB103" i="1"/>
  <c r="S103" i="1" s="1"/>
  <c r="AB100" i="1"/>
  <c r="Z100" i="1" s="1"/>
  <c r="AB111" i="1"/>
  <c r="AB47" i="1"/>
  <c r="T47" i="1" s="1"/>
  <c r="AB55" i="1"/>
  <c r="Z55" i="1" s="1"/>
  <c r="AB42" i="1"/>
  <c r="AB70" i="1"/>
  <c r="T70" i="1" s="1"/>
  <c r="AB78" i="1"/>
  <c r="AB95" i="1"/>
  <c r="X95" i="1" s="1"/>
  <c r="AB265" i="1"/>
  <c r="X265" i="1" s="1"/>
  <c r="AB174" i="1"/>
  <c r="AB164" i="1"/>
  <c r="T164" i="1" s="1"/>
  <c r="AB82" i="1"/>
  <c r="T82" i="1" s="1"/>
  <c r="AB185" i="1"/>
  <c r="AB140" i="1"/>
  <c r="Y140" i="1" s="1"/>
  <c r="AB62" i="1"/>
  <c r="X62" i="1" s="1"/>
  <c r="AB91" i="1"/>
  <c r="S91" i="1" s="1"/>
  <c r="AB76" i="1"/>
  <c r="Y76" i="1" s="1"/>
  <c r="AB163" i="1"/>
  <c r="AB172" i="1"/>
  <c r="Z172" i="1" s="1"/>
  <c r="AB267" i="1"/>
  <c r="AB134" i="1"/>
  <c r="S134" i="1" s="1"/>
  <c r="AB106" i="1"/>
  <c r="W106" i="1" s="1"/>
  <c r="AB60" i="1"/>
  <c r="T60" i="1" s="1"/>
  <c r="AB229" i="1"/>
  <c r="AB235" i="1"/>
  <c r="X235" i="1" s="1"/>
  <c r="AB230" i="1"/>
  <c r="U230" i="1" s="1"/>
  <c r="AB231" i="1"/>
  <c r="AB99" i="1"/>
  <c r="T99" i="1" s="1"/>
  <c r="AB162" i="1"/>
  <c r="AB113" i="1"/>
  <c r="X113" i="1" s="1"/>
  <c r="AB184" i="1"/>
  <c r="Z184" i="1" s="1"/>
  <c r="AB186" i="1"/>
  <c r="X186" i="1" s="1"/>
  <c r="AB179" i="1"/>
  <c r="Z179" i="1" s="1"/>
  <c r="AB85" i="1"/>
  <c r="X85" i="1" s="1"/>
  <c r="AB114" i="1"/>
  <c r="AB75" i="1"/>
  <c r="W75" i="1" s="1"/>
  <c r="AB165" i="1"/>
  <c r="U165" i="1" s="1"/>
  <c r="AB72" i="1"/>
  <c r="V72" i="1" s="1"/>
  <c r="AB152" i="1"/>
  <c r="V152" i="1" s="1"/>
  <c r="AB245" i="1"/>
  <c r="T245" i="1" s="1"/>
  <c r="AB253" i="1"/>
  <c r="AB256" i="1"/>
  <c r="Z256" i="1" s="1"/>
  <c r="AB236" i="1"/>
  <c r="AB109" i="1"/>
  <c r="Y109" i="1" s="1"/>
  <c r="AB269" i="1"/>
  <c r="AB224" i="1"/>
  <c r="AB233" i="1"/>
  <c r="AB122" i="1"/>
  <c r="Y122" i="1" s="1"/>
  <c r="AB258" i="1"/>
  <c r="Y258" i="1" s="1"/>
  <c r="AB254" i="1"/>
  <c r="T254" i="1" s="1"/>
  <c r="AB251" i="1"/>
  <c r="S251" i="1" s="1"/>
  <c r="AB270" i="1"/>
  <c r="V270" i="1" s="1"/>
  <c r="Q51" i="1"/>
  <c r="Q6" i="1"/>
  <c r="Q5" i="1"/>
  <c r="Q81" i="1"/>
  <c r="Q84" i="1"/>
  <c r="Q118" i="1"/>
  <c r="Q289" i="1"/>
  <c r="Q240" i="1"/>
  <c r="Q314" i="1"/>
  <c r="Q25" i="1"/>
  <c r="Q270" i="1"/>
  <c r="S35" i="1" l="1"/>
  <c r="U228" i="1"/>
  <c r="T100" i="1"/>
  <c r="U151" i="1"/>
  <c r="U35" i="1"/>
  <c r="U152" i="1"/>
  <c r="S152" i="1"/>
  <c r="T192" i="1"/>
  <c r="Z228" i="1"/>
  <c r="T228" i="1"/>
  <c r="S100" i="1"/>
  <c r="T72" i="1"/>
  <c r="V12" i="1"/>
  <c r="V279" i="1"/>
  <c r="S109" i="1"/>
  <c r="Y126" i="1"/>
  <c r="T80" i="1"/>
  <c r="U110" i="1"/>
  <c r="V20" i="1"/>
  <c r="V8" i="1"/>
  <c r="S183" i="1"/>
  <c r="T110" i="1"/>
  <c r="U8" i="1"/>
  <c r="S243" i="1"/>
  <c r="S110" i="1"/>
  <c r="W130" i="1"/>
  <c r="W257" i="1"/>
  <c r="V230" i="1"/>
  <c r="S202" i="1"/>
  <c r="T184" i="1"/>
  <c r="T306" i="1"/>
  <c r="S184" i="1"/>
  <c r="T249" i="1"/>
  <c r="S306" i="1"/>
  <c r="U109" i="1"/>
  <c r="W103" i="1"/>
  <c r="Z177" i="1"/>
  <c r="T109" i="1"/>
  <c r="T217" i="1"/>
  <c r="V80" i="1"/>
  <c r="V45" i="1"/>
  <c r="W179" i="1"/>
  <c r="Y100" i="1"/>
  <c r="X196" i="1"/>
  <c r="W29" i="1"/>
  <c r="U287" i="1"/>
  <c r="W152" i="1"/>
  <c r="U100" i="1"/>
  <c r="W196" i="1"/>
  <c r="T222" i="1"/>
  <c r="U29" i="1"/>
  <c r="U268" i="1"/>
  <c r="V34" i="1"/>
  <c r="Y264" i="1"/>
  <c r="T61" i="1"/>
  <c r="Z220" i="1"/>
  <c r="U34" i="1"/>
  <c r="Z108" i="1"/>
  <c r="T264" i="1"/>
  <c r="Z84" i="1"/>
  <c r="V109" i="1"/>
  <c r="V184" i="1"/>
  <c r="V100" i="1"/>
  <c r="Y80" i="1"/>
  <c r="W110" i="1"/>
  <c r="S244" i="1"/>
  <c r="T14" i="1"/>
  <c r="S18" i="1"/>
  <c r="W8" i="1"/>
  <c r="U306" i="1"/>
  <c r="W279" i="1"/>
  <c r="Y213" i="1"/>
  <c r="S61" i="1"/>
  <c r="Y266" i="1"/>
  <c r="V213" i="1"/>
  <c r="W208" i="1"/>
  <c r="W220" i="1"/>
  <c r="V280" i="1"/>
  <c r="V234" i="1"/>
  <c r="T34" i="1"/>
  <c r="V108" i="1"/>
  <c r="Z246" i="1"/>
  <c r="V155" i="1"/>
  <c r="S264" i="1"/>
  <c r="Z281" i="1"/>
  <c r="Y278" i="1"/>
  <c r="U312" i="1"/>
  <c r="V84" i="1"/>
  <c r="V296" i="1"/>
  <c r="U292" i="1"/>
  <c r="U234" i="1"/>
  <c r="V68" i="1"/>
  <c r="S34" i="1"/>
  <c r="T108" i="1"/>
  <c r="X246" i="1"/>
  <c r="T259" i="1"/>
  <c r="X281" i="1"/>
  <c r="Y178" i="1"/>
  <c r="T312" i="1"/>
  <c r="U84" i="1"/>
  <c r="U208" i="1"/>
  <c r="S258" i="1"/>
  <c r="W172" i="1"/>
  <c r="U47" i="1"/>
  <c r="Z66" i="1"/>
  <c r="S208" i="1"/>
  <c r="V35" i="1"/>
  <c r="T54" i="1"/>
  <c r="T234" i="1"/>
  <c r="U68" i="1"/>
  <c r="W45" i="1"/>
  <c r="S108" i="1"/>
  <c r="S259" i="1"/>
  <c r="U192" i="1"/>
  <c r="W281" i="1"/>
  <c r="W178" i="1"/>
  <c r="W241" i="1"/>
  <c r="S312" i="1"/>
  <c r="W292" i="1"/>
  <c r="S213" i="1"/>
  <c r="U172" i="1"/>
  <c r="Y249" i="1"/>
  <c r="W66" i="1"/>
  <c r="S234" i="1"/>
  <c r="T68" i="1"/>
  <c r="V281" i="1"/>
  <c r="V178" i="1"/>
  <c r="V312" i="1"/>
  <c r="X230" i="1"/>
  <c r="T172" i="1"/>
  <c r="U249" i="1"/>
  <c r="U66" i="1"/>
  <c r="U217" i="1"/>
  <c r="T202" i="1"/>
  <c r="T35" i="1"/>
  <c r="W222" i="1"/>
  <c r="S68" i="1"/>
  <c r="V29" i="1"/>
  <c r="U50" i="1"/>
  <c r="S192" i="1"/>
  <c r="T183" i="1"/>
  <c r="U281" i="1"/>
  <c r="Z257" i="1"/>
  <c r="X177" i="1"/>
  <c r="U178" i="1"/>
  <c r="V268" i="1"/>
  <c r="V41" i="1"/>
  <c r="S172" i="1"/>
  <c r="T66" i="1"/>
  <c r="T281" i="1"/>
  <c r="T178" i="1"/>
  <c r="S230" i="1"/>
  <c r="Z265" i="1"/>
  <c r="X100" i="1"/>
  <c r="T151" i="1"/>
  <c r="S66" i="1"/>
  <c r="Y93" i="1"/>
  <c r="U88" i="1"/>
  <c r="S281" i="1"/>
  <c r="V257" i="1"/>
  <c r="Z279" i="1"/>
  <c r="T268" i="1"/>
  <c r="V320" i="1"/>
  <c r="W312" i="1"/>
  <c r="W100" i="1"/>
  <c r="S151" i="1"/>
  <c r="U196" i="1"/>
  <c r="S201" i="1"/>
  <c r="S93" i="1"/>
  <c r="Y110" i="1"/>
  <c r="T244" i="1"/>
  <c r="S123" i="1"/>
  <c r="V14" i="1"/>
  <c r="U18" i="1"/>
  <c r="U257" i="1"/>
  <c r="S268" i="1"/>
  <c r="Y16" i="1"/>
  <c r="U189" i="1"/>
  <c r="U154" i="1"/>
  <c r="S154" i="1"/>
  <c r="V154" i="1"/>
  <c r="T154" i="1"/>
  <c r="U28" i="1"/>
  <c r="S28" i="1"/>
  <c r="T28" i="1"/>
  <c r="V28" i="1"/>
  <c r="W28" i="1"/>
  <c r="X28" i="1"/>
  <c r="Y28" i="1"/>
  <c r="U33" i="1"/>
  <c r="V33" i="1"/>
  <c r="S33" i="1"/>
  <c r="T33" i="1"/>
  <c r="W252" i="1"/>
  <c r="U252" i="1"/>
  <c r="Z197" i="1"/>
  <c r="U197" i="1"/>
  <c r="W197" i="1"/>
  <c r="X197" i="1"/>
  <c r="X204" i="1"/>
  <c r="W16" i="1"/>
  <c r="V77" i="1"/>
  <c r="U77" i="1"/>
  <c r="S77" i="1"/>
  <c r="T77" i="1"/>
  <c r="X154" i="1"/>
  <c r="Y260" i="1"/>
  <c r="V150" i="1"/>
  <c r="W77" i="1"/>
  <c r="S83" i="1"/>
  <c r="X83" i="1"/>
  <c r="U83" i="1"/>
  <c r="T185" i="1"/>
  <c r="U185" i="1"/>
  <c r="S185" i="1"/>
  <c r="W154" i="1"/>
  <c r="W260" i="1"/>
  <c r="U150" i="1"/>
  <c r="X57" i="1"/>
  <c r="W57" i="1"/>
  <c r="X319" i="1"/>
  <c r="S319" i="1"/>
  <c r="W185" i="1"/>
  <c r="V160" i="1"/>
  <c r="S160" i="1"/>
  <c r="U160" i="1"/>
  <c r="W160" i="1"/>
  <c r="Z166" i="1"/>
  <c r="Y280" i="1"/>
  <c r="S142" i="1"/>
  <c r="Z142" i="1"/>
  <c r="V185" i="1"/>
  <c r="Z194" i="1"/>
  <c r="T194" i="1"/>
  <c r="U194" i="1"/>
  <c r="V194" i="1"/>
  <c r="W194" i="1"/>
  <c r="X194" i="1"/>
  <c r="Y194" i="1"/>
  <c r="S194" i="1"/>
  <c r="X280" i="1"/>
  <c r="S73" i="1"/>
  <c r="X73" i="1"/>
  <c r="V73" i="1"/>
  <c r="U36" i="1"/>
  <c r="Y36" i="1"/>
  <c r="X36" i="1"/>
  <c r="Y92" i="1"/>
  <c r="V307" i="1"/>
  <c r="S307" i="1"/>
  <c r="U307" i="1"/>
  <c r="Z195" i="1"/>
  <c r="S76" i="1"/>
  <c r="U76" i="1"/>
  <c r="Z61" i="1"/>
  <c r="W280" i="1"/>
  <c r="Z73" i="1"/>
  <c r="Z36" i="1"/>
  <c r="T128" i="1"/>
  <c r="U128" i="1"/>
  <c r="X128" i="1"/>
  <c r="Y307" i="1"/>
  <c r="U279" i="1"/>
  <c r="T279" i="1"/>
  <c r="X16" i="1"/>
  <c r="W150" i="1"/>
  <c r="Y33" i="1"/>
  <c r="Z252" i="1"/>
  <c r="Y252" i="1"/>
  <c r="Z186" i="1"/>
  <c r="Z185" i="1"/>
  <c r="W218" i="1"/>
  <c r="T218" i="1"/>
  <c r="V218" i="1"/>
  <c r="X218" i="1"/>
  <c r="Y143" i="1"/>
  <c r="Z57" i="1"/>
  <c r="S20" i="1"/>
  <c r="U20" i="1"/>
  <c r="T20" i="1"/>
  <c r="T309" i="1"/>
  <c r="T156" i="1"/>
  <c r="S156" i="1"/>
  <c r="X316" i="1"/>
  <c r="W316" i="1"/>
  <c r="Z316" i="1"/>
  <c r="V316" i="1"/>
  <c r="W319" i="1"/>
  <c r="Z25" i="1"/>
  <c r="U72" i="1"/>
  <c r="S72" i="1"/>
  <c r="Y186" i="1"/>
  <c r="Y185" i="1"/>
  <c r="Z218" i="1"/>
  <c r="S52" i="1"/>
  <c r="V52" i="1"/>
  <c r="V143" i="1"/>
  <c r="Y57" i="1"/>
  <c r="X20" i="1"/>
  <c r="T59" i="1"/>
  <c r="X59" i="1"/>
  <c r="U59" i="1"/>
  <c r="W59" i="1"/>
  <c r="S24" i="1"/>
  <c r="V24" i="1"/>
  <c r="T24" i="1"/>
  <c r="U24" i="1"/>
  <c r="V319" i="1"/>
  <c r="Y154" i="1"/>
  <c r="X185" i="1"/>
  <c r="T143" i="1"/>
  <c r="U319" i="1"/>
  <c r="Z28" i="1"/>
  <c r="W269" i="1"/>
  <c r="U269" i="1"/>
  <c r="X26" i="1"/>
  <c r="V290" i="1"/>
  <c r="S290" i="1"/>
  <c r="T290" i="1"/>
  <c r="U290" i="1"/>
  <c r="Y290" i="1"/>
  <c r="W290" i="1"/>
  <c r="X290" i="1"/>
  <c r="S241" i="1"/>
  <c r="V241" i="1"/>
  <c r="T241" i="1"/>
  <c r="U241" i="1"/>
  <c r="U248" i="1"/>
  <c r="V248" i="1"/>
  <c r="W248" i="1"/>
  <c r="Y248" i="1"/>
  <c r="X248" i="1"/>
  <c r="Z248" i="1"/>
  <c r="T248" i="1"/>
  <c r="S193" i="1"/>
  <c r="T193" i="1"/>
  <c r="W193" i="1"/>
  <c r="Y193" i="1"/>
  <c r="T150" i="1"/>
  <c r="S150" i="1"/>
  <c r="T204" i="1"/>
  <c r="U204" i="1"/>
  <c r="Z193" i="1"/>
  <c r="Y204" i="1"/>
  <c r="Z120" i="1"/>
  <c r="S120" i="1"/>
  <c r="T120" i="1"/>
  <c r="X120" i="1"/>
  <c r="U120" i="1"/>
  <c r="V120" i="1"/>
  <c r="W120" i="1"/>
  <c r="T102" i="1"/>
  <c r="U102" i="1"/>
  <c r="Y170" i="1"/>
  <c r="Y120" i="1"/>
  <c r="V170" i="1"/>
  <c r="U286" i="1"/>
  <c r="T286" i="1"/>
  <c r="W204" i="1"/>
  <c r="W33" i="1"/>
  <c r="X269" i="1"/>
  <c r="S186" i="1"/>
  <c r="W186" i="1"/>
  <c r="T186" i="1"/>
  <c r="V186" i="1"/>
  <c r="S25" i="1"/>
  <c r="X25" i="1"/>
  <c r="W26" i="1"/>
  <c r="Z290" i="1"/>
  <c r="Z241" i="1"/>
  <c r="Y116" i="1"/>
  <c r="V105" i="1"/>
  <c r="W258" i="1"/>
  <c r="W109" i="1"/>
  <c r="X152" i="1"/>
  <c r="U184" i="1"/>
  <c r="T230" i="1"/>
  <c r="V172" i="1"/>
  <c r="V151" i="1"/>
  <c r="V66" i="1"/>
  <c r="S176" i="1"/>
  <c r="Z217" i="1"/>
  <c r="U202" i="1"/>
  <c r="S220" i="1"/>
  <c r="W35" i="1"/>
  <c r="X234" i="1"/>
  <c r="W68" i="1"/>
  <c r="U80" i="1"/>
  <c r="Y29" i="1"/>
  <c r="X45" i="1"/>
  <c r="W104" i="1"/>
  <c r="V110" i="1"/>
  <c r="U108" i="1"/>
  <c r="U244" i="1"/>
  <c r="T123" i="1"/>
  <c r="W155" i="1"/>
  <c r="U259" i="1"/>
  <c r="V192" i="1"/>
  <c r="U183" i="1"/>
  <c r="V306" i="1"/>
  <c r="W296" i="1"/>
  <c r="W268" i="1"/>
  <c r="X312" i="1"/>
  <c r="Y46" i="1"/>
  <c r="Z176" i="1"/>
  <c r="Y303" i="1"/>
  <c r="Y5" i="1"/>
  <c r="X46" i="1"/>
  <c r="Y176" i="1"/>
  <c r="W210" i="1"/>
  <c r="U158" i="1"/>
  <c r="W116" i="1"/>
  <c r="X125" i="1"/>
  <c r="W146" i="1"/>
  <c r="T105" i="1"/>
  <c r="Y244" i="1"/>
  <c r="Z123" i="1"/>
  <c r="Z259" i="1"/>
  <c r="Z183" i="1"/>
  <c r="Z306" i="1"/>
  <c r="X303" i="1"/>
  <c r="X242" i="1"/>
  <c r="V311" i="1"/>
  <c r="X210" i="1"/>
  <c r="X146" i="1"/>
  <c r="X176" i="1"/>
  <c r="V210" i="1"/>
  <c r="T158" i="1"/>
  <c r="V116" i="1"/>
  <c r="W125" i="1"/>
  <c r="V146" i="1"/>
  <c r="S105" i="1"/>
  <c r="X244" i="1"/>
  <c r="X123" i="1"/>
  <c r="Y259" i="1"/>
  <c r="Y183" i="1"/>
  <c r="Y306" i="1"/>
  <c r="U303" i="1"/>
  <c r="W242" i="1"/>
  <c r="Z244" i="1"/>
  <c r="Z109" i="1"/>
  <c r="Z152" i="1"/>
  <c r="W230" i="1"/>
  <c r="V103" i="1"/>
  <c r="X151" i="1"/>
  <c r="Y66" i="1"/>
  <c r="W176" i="1"/>
  <c r="X187" i="1"/>
  <c r="Y202" i="1"/>
  <c r="V71" i="1"/>
  <c r="Z35" i="1"/>
  <c r="S158" i="1"/>
  <c r="Z234" i="1"/>
  <c r="T116" i="1"/>
  <c r="W80" i="1"/>
  <c r="V125" i="1"/>
  <c r="T146" i="1"/>
  <c r="Z45" i="1"/>
  <c r="X110" i="1"/>
  <c r="Y108" i="1"/>
  <c r="W244" i="1"/>
  <c r="W123" i="1"/>
  <c r="Y155" i="1"/>
  <c r="W259" i="1"/>
  <c r="X192" i="1"/>
  <c r="X183" i="1"/>
  <c r="X306" i="1"/>
  <c r="T303" i="1"/>
  <c r="Y296" i="1"/>
  <c r="U284" i="1"/>
  <c r="V242" i="1"/>
  <c r="Y268" i="1"/>
  <c r="Z312" i="1"/>
  <c r="X109" i="1"/>
  <c r="Y152" i="1"/>
  <c r="W151" i="1"/>
  <c r="V202" i="1"/>
  <c r="U71" i="1"/>
  <c r="Y35" i="1"/>
  <c r="Y234" i="1"/>
  <c r="S116" i="1"/>
  <c r="S146" i="1"/>
  <c r="V123" i="1"/>
  <c r="X155" i="1"/>
  <c r="V259" i="1"/>
  <c r="W192" i="1"/>
  <c r="V183" i="1"/>
  <c r="S242" i="1"/>
  <c r="X268" i="1"/>
  <c r="T207" i="1"/>
  <c r="Z207" i="1"/>
  <c r="W262" i="1"/>
  <c r="T262" i="1"/>
  <c r="S250" i="1"/>
  <c r="V250" i="1"/>
  <c r="W250" i="1"/>
  <c r="Y250" i="1"/>
  <c r="T250" i="1"/>
  <c r="U250" i="1"/>
  <c r="S124" i="1"/>
  <c r="T124" i="1"/>
  <c r="W124" i="1"/>
  <c r="W60" i="1"/>
  <c r="T62" i="1"/>
  <c r="W62" i="1"/>
  <c r="Y62" i="1"/>
  <c r="V47" i="1"/>
  <c r="W47" i="1"/>
  <c r="X47" i="1"/>
  <c r="Y47" i="1"/>
  <c r="Z47" i="1"/>
  <c r="W206" i="1"/>
  <c r="U206" i="1"/>
  <c r="X206" i="1"/>
  <c r="Z262" i="1"/>
  <c r="Z250" i="1"/>
  <c r="U127" i="1"/>
  <c r="V127" i="1"/>
  <c r="T127" i="1"/>
  <c r="X127" i="1"/>
  <c r="Y65" i="1"/>
  <c r="Z65" i="1"/>
  <c r="W65" i="1"/>
  <c r="T65" i="1"/>
  <c r="V65" i="1"/>
  <c r="X65" i="1"/>
  <c r="W138" i="1"/>
  <c r="S138" i="1"/>
  <c r="T138" i="1"/>
  <c r="V138" i="1"/>
  <c r="U138" i="1"/>
  <c r="X138" i="1"/>
  <c r="Z124" i="1"/>
  <c r="T299" i="1"/>
  <c r="U299" i="1"/>
  <c r="V299" i="1"/>
  <c r="X299" i="1"/>
  <c r="S224" i="1"/>
  <c r="T224" i="1"/>
  <c r="U224" i="1"/>
  <c r="W224" i="1"/>
  <c r="V224" i="1"/>
  <c r="Y224" i="1"/>
  <c r="Y262" i="1"/>
  <c r="Y124" i="1"/>
  <c r="S60" i="1"/>
  <c r="X251" i="1"/>
  <c r="X224" i="1"/>
  <c r="S179" i="1"/>
  <c r="T179" i="1"/>
  <c r="V179" i="1"/>
  <c r="U179" i="1"/>
  <c r="X179" i="1"/>
  <c r="S265" i="1"/>
  <c r="T265" i="1"/>
  <c r="U265" i="1"/>
  <c r="V265" i="1"/>
  <c r="W265" i="1"/>
  <c r="Y265" i="1"/>
  <c r="S47" i="1"/>
  <c r="V226" i="1"/>
  <c r="S226" i="1"/>
  <c r="X226" i="1"/>
  <c r="S130" i="1"/>
  <c r="V130" i="1"/>
  <c r="S10" i="1"/>
  <c r="T10" i="1"/>
  <c r="W10" i="1"/>
  <c r="S227" i="1"/>
  <c r="U227" i="1"/>
  <c r="V227" i="1"/>
  <c r="W227" i="1"/>
  <c r="Y227" i="1"/>
  <c r="S314" i="1"/>
  <c r="U314" i="1"/>
  <c r="X314" i="1"/>
  <c r="S165" i="1"/>
  <c r="X111" i="1"/>
  <c r="T111" i="1"/>
  <c r="W111" i="1"/>
  <c r="Y111" i="1"/>
  <c r="S187" i="1"/>
  <c r="U187" i="1"/>
  <c r="T187" i="1"/>
  <c r="V187" i="1"/>
  <c r="U199" i="1"/>
  <c r="Y199" i="1"/>
  <c r="Z199" i="1"/>
  <c r="S199" i="1"/>
  <c r="W199" i="1"/>
  <c r="T199" i="1"/>
  <c r="V199" i="1"/>
  <c r="X199" i="1"/>
  <c r="Y7" i="1"/>
  <c r="S7" i="1"/>
  <c r="U7" i="1"/>
  <c r="T7" i="1"/>
  <c r="V7" i="1"/>
  <c r="T225" i="1"/>
  <c r="U225" i="1"/>
  <c r="Y225" i="1"/>
  <c r="U267" i="1"/>
  <c r="W267" i="1"/>
  <c r="W94" i="1"/>
  <c r="T94" i="1"/>
  <c r="U94" i="1"/>
  <c r="X94" i="1"/>
  <c r="S272" i="1"/>
  <c r="T272" i="1"/>
  <c r="U272" i="1"/>
  <c r="X272" i="1"/>
  <c r="V272" i="1"/>
  <c r="W272" i="1"/>
  <c r="Y272" i="1"/>
  <c r="Y147" i="1"/>
  <c r="T147" i="1"/>
  <c r="S147" i="1"/>
  <c r="U147" i="1"/>
  <c r="X117" i="1"/>
  <c r="Y117" i="1"/>
  <c r="T212" i="1"/>
  <c r="U212" i="1"/>
  <c r="S308" i="1"/>
  <c r="T308" i="1"/>
  <c r="U308" i="1"/>
  <c r="X267" i="1"/>
  <c r="Z94" i="1"/>
  <c r="Y86" i="1"/>
  <c r="Z272" i="1"/>
  <c r="X147" i="1"/>
  <c r="X212" i="1"/>
  <c r="V157" i="1"/>
  <c r="W157" i="1"/>
  <c r="Y157" i="1"/>
  <c r="U157" i="1"/>
  <c r="X157" i="1"/>
  <c r="S17" i="1"/>
  <c r="V17" i="1"/>
  <c r="W17" i="1"/>
  <c r="T277" i="1"/>
  <c r="U277" i="1"/>
  <c r="V277" i="1"/>
  <c r="U318" i="1"/>
  <c r="V318" i="1"/>
  <c r="Y318" i="1"/>
  <c r="Z318" i="1"/>
  <c r="V267" i="1"/>
  <c r="X86" i="1"/>
  <c r="W147" i="1"/>
  <c r="W212" i="1"/>
  <c r="Z157" i="1"/>
  <c r="S139" i="1"/>
  <c r="T139" i="1"/>
  <c r="U139" i="1"/>
  <c r="V139" i="1"/>
  <c r="X139" i="1"/>
  <c r="X17" i="1"/>
  <c r="U237" i="1"/>
  <c r="V237" i="1"/>
  <c r="Y277" i="1"/>
  <c r="Y60" i="1"/>
  <c r="S82" i="1"/>
  <c r="U82" i="1"/>
  <c r="V82" i="1"/>
  <c r="W82" i="1"/>
  <c r="X82" i="1"/>
  <c r="Y82" i="1"/>
  <c r="U114" i="1"/>
  <c r="W114" i="1"/>
  <c r="X114" i="1"/>
  <c r="Y114" i="1"/>
  <c r="Z114" i="1"/>
  <c r="X250" i="1"/>
  <c r="Y251" i="1"/>
  <c r="Z224" i="1"/>
  <c r="X262" i="1"/>
  <c r="S132" i="1"/>
  <c r="U132" i="1"/>
  <c r="X124" i="1"/>
  <c r="W251" i="1"/>
  <c r="T269" i="1"/>
  <c r="S269" i="1"/>
  <c r="V269" i="1"/>
  <c r="V134" i="1"/>
  <c r="W134" i="1"/>
  <c r="X134" i="1"/>
  <c r="Y134" i="1"/>
  <c r="Z134" i="1"/>
  <c r="U251" i="1"/>
  <c r="Z269" i="1"/>
  <c r="U134" i="1"/>
  <c r="Y163" i="1"/>
  <c r="S163" i="1"/>
  <c r="T163" i="1"/>
  <c r="U163" i="1"/>
  <c r="V163" i="1"/>
  <c r="X163" i="1"/>
  <c r="Z111" i="1"/>
  <c r="S46" i="1"/>
  <c r="T46" i="1"/>
  <c r="U46" i="1"/>
  <c r="W46" i="1"/>
  <c r="T209" i="1"/>
  <c r="U209" i="1"/>
  <c r="W209" i="1"/>
  <c r="V209" i="1"/>
  <c r="S209" i="1"/>
  <c r="X209" i="1"/>
  <c r="Z187" i="1"/>
  <c r="Z7" i="1"/>
  <c r="X12" i="1"/>
  <c r="Y12" i="1"/>
  <c r="Z12" i="1"/>
  <c r="S12" i="1"/>
  <c r="T12" i="1"/>
  <c r="Y269" i="1"/>
  <c r="Y179" i="1"/>
  <c r="T134" i="1"/>
  <c r="W163" i="1"/>
  <c r="T141" i="1"/>
  <c r="S141" i="1"/>
  <c r="U141" i="1"/>
  <c r="V141" i="1"/>
  <c r="W141" i="1"/>
  <c r="X141" i="1"/>
  <c r="Z141" i="1"/>
  <c r="Z46" i="1"/>
  <c r="Z209" i="1"/>
  <c r="Y187" i="1"/>
  <c r="X7" i="1"/>
  <c r="W12" i="1"/>
  <c r="Y83" i="1"/>
  <c r="S297" i="1"/>
  <c r="T297" i="1"/>
  <c r="X297" i="1"/>
  <c r="X41" i="1"/>
  <c r="Y41" i="1"/>
  <c r="X308" i="1"/>
  <c r="V251" i="1"/>
  <c r="T251" i="1"/>
  <c r="T235" i="1"/>
  <c r="S235" i="1"/>
  <c r="U235" i="1"/>
  <c r="V235" i="1"/>
  <c r="W235" i="1"/>
  <c r="Y235" i="1"/>
  <c r="T190" i="1"/>
  <c r="S190" i="1"/>
  <c r="U190" i="1"/>
  <c r="X190" i="1"/>
  <c r="V190" i="1"/>
  <c r="W190" i="1"/>
  <c r="Y190" i="1"/>
  <c r="T221" i="1"/>
  <c r="U221" i="1"/>
  <c r="V221" i="1"/>
  <c r="X221" i="1"/>
  <c r="Y320" i="1"/>
  <c r="W320" i="1"/>
  <c r="X320" i="1"/>
  <c r="S320" i="1"/>
  <c r="T320" i="1"/>
  <c r="U320" i="1"/>
  <c r="S13" i="1"/>
  <c r="T13" i="1"/>
  <c r="U13" i="1"/>
  <c r="S97" i="1"/>
  <c r="V97" i="1"/>
  <c r="W97" i="1"/>
  <c r="X97" i="1"/>
  <c r="Y97" i="1"/>
  <c r="Z97" i="1"/>
  <c r="T321" i="1"/>
  <c r="U321" i="1"/>
  <c r="T152" i="1"/>
  <c r="U186" i="1"/>
  <c r="T148" i="1"/>
  <c r="V148" i="1"/>
  <c r="Z64" i="1"/>
  <c r="T48" i="1"/>
  <c r="U48" i="1"/>
  <c r="V48" i="1"/>
  <c r="W48" i="1"/>
  <c r="T44" i="1"/>
  <c r="V44" i="1"/>
  <c r="W44" i="1"/>
  <c r="X44" i="1"/>
  <c r="Y44" i="1"/>
  <c r="Z13" i="1"/>
  <c r="S69" i="1"/>
  <c r="U69" i="1"/>
  <c r="Z112" i="1"/>
  <c r="U144" i="1"/>
  <c r="V144" i="1"/>
  <c r="W144" i="1"/>
  <c r="X144" i="1"/>
  <c r="Y144" i="1"/>
  <c r="T294" i="1"/>
  <c r="U294" i="1"/>
  <c r="V294" i="1"/>
  <c r="W294" i="1"/>
  <c r="U97" i="1"/>
  <c r="Z284" i="1"/>
  <c r="V321" i="1"/>
  <c r="Y61" i="1"/>
  <c r="T266" i="1"/>
  <c r="Z239" i="1"/>
  <c r="U219" i="1"/>
  <c r="W219" i="1"/>
  <c r="Z219" i="1"/>
  <c r="W90" i="1"/>
  <c r="Y217" i="1"/>
  <c r="Y166" i="1"/>
  <c r="U243" i="1"/>
  <c r="V243" i="1"/>
  <c r="X243" i="1"/>
  <c r="W148" i="1"/>
  <c r="T52" i="1"/>
  <c r="W64" i="1"/>
  <c r="Y48" i="1"/>
  <c r="V189" i="1"/>
  <c r="S189" i="1"/>
  <c r="U38" i="1"/>
  <c r="V38" i="1"/>
  <c r="U44" i="1"/>
  <c r="V13" i="1"/>
  <c r="X69" i="1"/>
  <c r="X112" i="1"/>
  <c r="W238" i="1"/>
  <c r="T144" i="1"/>
  <c r="Z274" i="1"/>
  <c r="X294" i="1"/>
  <c r="Z273" i="1"/>
  <c r="S79" i="1"/>
  <c r="T79" i="1"/>
  <c r="U79" i="1"/>
  <c r="V79" i="1"/>
  <c r="W79" i="1"/>
  <c r="Y301" i="1"/>
  <c r="Z322" i="1"/>
  <c r="W6" i="1"/>
  <c r="X6" i="1"/>
  <c r="U289" i="1"/>
  <c r="V289" i="1"/>
  <c r="W289" i="1"/>
  <c r="Y72" i="1"/>
  <c r="U103" i="1"/>
  <c r="X61" i="1"/>
  <c r="Y160" i="1"/>
  <c r="T160" i="1"/>
  <c r="W239" i="1"/>
  <c r="Y219" i="1"/>
  <c r="X217" i="1"/>
  <c r="Y211" i="1"/>
  <c r="S173" i="1"/>
  <c r="U173" i="1"/>
  <c r="W173" i="1"/>
  <c r="T205" i="1"/>
  <c r="Z205" i="1"/>
  <c r="X166" i="1"/>
  <c r="W4" i="1"/>
  <c r="Y4" i="1"/>
  <c r="Y71" i="1"/>
  <c r="Z243" i="1"/>
  <c r="Z145" i="1"/>
  <c r="U222" i="1"/>
  <c r="V222" i="1"/>
  <c r="X222" i="1"/>
  <c r="U148" i="1"/>
  <c r="Z77" i="1"/>
  <c r="U64" i="1"/>
  <c r="X48" i="1"/>
  <c r="Y189" i="1"/>
  <c r="Y38" i="1"/>
  <c r="S44" i="1"/>
  <c r="V69" i="1"/>
  <c r="W112" i="1"/>
  <c r="U238" i="1"/>
  <c r="S144" i="1"/>
  <c r="V273" i="1"/>
  <c r="Z79" i="1"/>
  <c r="S276" i="1"/>
  <c r="T276" i="1"/>
  <c r="U276" i="1"/>
  <c r="Y276" i="1"/>
  <c r="Y322" i="1"/>
  <c r="Z6" i="1"/>
  <c r="Y90" i="1"/>
  <c r="Z90" i="1"/>
  <c r="Y64" i="1"/>
  <c r="Y13" i="1"/>
  <c r="Y112" i="1"/>
  <c r="U274" i="1"/>
  <c r="V274" i="1"/>
  <c r="Z301" i="1"/>
  <c r="X301" i="1"/>
  <c r="S301" i="1"/>
  <c r="Z258" i="1"/>
  <c r="V245" i="1"/>
  <c r="X72" i="1"/>
  <c r="X184" i="1"/>
  <c r="Z230" i="1"/>
  <c r="Y172" i="1"/>
  <c r="T103" i="1"/>
  <c r="W61" i="1"/>
  <c r="Z160" i="1"/>
  <c r="T239" i="1"/>
  <c r="U260" i="1"/>
  <c r="V260" i="1"/>
  <c r="X260" i="1"/>
  <c r="T219" i="1"/>
  <c r="S218" i="1"/>
  <c r="U218" i="1"/>
  <c r="W217" i="1"/>
  <c r="W213" i="1"/>
  <c r="T213" i="1"/>
  <c r="U213" i="1"/>
  <c r="X213" i="1"/>
  <c r="Y210" i="1"/>
  <c r="Z210" i="1"/>
  <c r="Z150" i="1"/>
  <c r="Y173" i="1"/>
  <c r="S205" i="1"/>
  <c r="W166" i="1"/>
  <c r="V4" i="1"/>
  <c r="X71" i="1"/>
  <c r="Y243" i="1"/>
  <c r="U145" i="1"/>
  <c r="Z222" i="1"/>
  <c r="T73" i="1"/>
  <c r="U73" i="1"/>
  <c r="W73" i="1"/>
  <c r="Y77" i="1"/>
  <c r="T64" i="1"/>
  <c r="S48" i="1"/>
  <c r="X189" i="1"/>
  <c r="W38" i="1"/>
  <c r="S45" i="1"/>
  <c r="T45" i="1"/>
  <c r="U45" i="1"/>
  <c r="U57" i="1"/>
  <c r="V57" i="1"/>
  <c r="U112" i="1"/>
  <c r="Z155" i="1"/>
  <c r="W274" i="1"/>
  <c r="U273" i="1"/>
  <c r="Y79" i="1"/>
  <c r="U302" i="1"/>
  <c r="V302" i="1"/>
  <c r="X302" i="1"/>
  <c r="Y302" i="1"/>
  <c r="Z302" i="1"/>
  <c r="V301" i="1"/>
  <c r="Y292" i="1"/>
  <c r="X292" i="1"/>
  <c r="Z292" i="1"/>
  <c r="S292" i="1"/>
  <c r="T292" i="1"/>
  <c r="Z276" i="1"/>
  <c r="S6" i="1"/>
  <c r="T322" i="1"/>
  <c r="U322" i="1"/>
  <c r="V322" i="1"/>
  <c r="W322" i="1"/>
  <c r="X322" i="1"/>
  <c r="W72" i="1"/>
  <c r="W184" i="1"/>
  <c r="Y230" i="1"/>
  <c r="X172" i="1"/>
  <c r="U61" i="1"/>
  <c r="X160" i="1"/>
  <c r="V252" i="1"/>
  <c r="X252" i="1"/>
  <c r="V217" i="1"/>
  <c r="Y150" i="1"/>
  <c r="X173" i="1"/>
  <c r="Z204" i="1"/>
  <c r="S204" i="1"/>
  <c r="T220" i="1"/>
  <c r="U220" i="1"/>
  <c r="V220" i="1"/>
  <c r="X220" i="1"/>
  <c r="S166" i="1"/>
  <c r="T4" i="1"/>
  <c r="W71" i="1"/>
  <c r="W243" i="1"/>
  <c r="Y222" i="1"/>
  <c r="X77" i="1"/>
  <c r="T36" i="1"/>
  <c r="W36" i="1"/>
  <c r="W189" i="1"/>
  <c r="Z93" i="1"/>
  <c r="U93" i="1"/>
  <c r="V93" i="1"/>
  <c r="W93" i="1"/>
  <c r="X93" i="1"/>
  <c r="Y246" i="1"/>
  <c r="S246" i="1"/>
  <c r="T246" i="1"/>
  <c r="U246" i="1"/>
  <c r="U169" i="1"/>
  <c r="X169" i="1"/>
  <c r="Y169" i="1"/>
  <c r="Z169" i="1"/>
  <c r="V18" i="1"/>
  <c r="W18" i="1"/>
  <c r="X18" i="1"/>
  <c r="Y18" i="1"/>
  <c r="Z18" i="1"/>
  <c r="S273" i="1"/>
  <c r="X79" i="1"/>
  <c r="U301" i="1"/>
  <c r="T278" i="1"/>
  <c r="U278" i="1"/>
  <c r="S287" i="1"/>
  <c r="V287" i="1"/>
  <c r="W287" i="1"/>
  <c r="X287" i="1"/>
  <c r="Y287" i="1"/>
  <c r="Z287" i="1"/>
  <c r="W84" i="1"/>
  <c r="X84" i="1"/>
  <c r="Y84" i="1"/>
  <c r="S84" i="1"/>
  <c r="U193" i="1"/>
  <c r="V193" i="1"/>
  <c r="X193" i="1"/>
  <c r="W34" i="1"/>
  <c r="X34" i="1"/>
  <c r="Z34" i="1"/>
  <c r="S102" i="1"/>
  <c r="V102" i="1"/>
  <c r="W102" i="1"/>
  <c r="X102" i="1"/>
  <c r="Y102" i="1"/>
  <c r="Z102" i="1"/>
  <c r="V156" i="1"/>
  <c r="U156" i="1"/>
  <c r="W156" i="1"/>
  <c r="X156" i="1"/>
  <c r="Y156" i="1"/>
  <c r="Z156" i="1"/>
  <c r="Y257" i="1"/>
  <c r="S257" i="1"/>
  <c r="T257" i="1"/>
  <c r="U177" i="1"/>
  <c r="S177" i="1"/>
  <c r="T177" i="1"/>
  <c r="V177" i="1"/>
  <c r="W177" i="1"/>
  <c r="Z296" i="1"/>
  <c r="S296" i="1"/>
  <c r="T296" i="1"/>
  <c r="U296" i="1"/>
  <c r="T301" i="1"/>
  <c r="S279" i="1"/>
  <c r="U316" i="1"/>
  <c r="W25" i="1"/>
  <c r="T316" i="1"/>
  <c r="V25" i="1"/>
  <c r="Z146" i="1"/>
  <c r="Z105" i="1"/>
  <c r="Z20" i="1"/>
  <c r="Z192" i="1"/>
  <c r="X24" i="1"/>
  <c r="Y282" i="1"/>
  <c r="Z242" i="1"/>
  <c r="S316" i="1"/>
  <c r="Z319" i="1"/>
  <c r="U25" i="1"/>
  <c r="Z68" i="1"/>
  <c r="Y146" i="1"/>
  <c r="Y20" i="1"/>
  <c r="W24" i="1"/>
  <c r="Y242" i="1"/>
  <c r="Y319" i="1"/>
  <c r="T25" i="1"/>
  <c r="Y279" i="1"/>
  <c r="U242" i="1"/>
  <c r="X241" i="1"/>
  <c r="T319" i="1"/>
  <c r="Z215" i="1"/>
  <c r="U215" i="1"/>
  <c r="V215" i="1"/>
  <c r="W215" i="1"/>
  <c r="Y215" i="1"/>
  <c r="S215" i="1"/>
  <c r="T215" i="1"/>
  <c r="X215" i="1"/>
  <c r="Y203" i="1"/>
  <c r="Z203" i="1"/>
  <c r="S203" i="1"/>
  <c r="U203" i="1"/>
  <c r="V203" i="1"/>
  <c r="W203" i="1"/>
  <c r="T203" i="1"/>
  <c r="X203" i="1"/>
  <c r="X131" i="1"/>
  <c r="V131" i="1"/>
  <c r="U131" i="1"/>
  <c r="Y131" i="1"/>
  <c r="S131" i="1"/>
  <c r="T131" i="1"/>
  <c r="W131" i="1"/>
  <c r="Z131" i="1"/>
  <c r="V304" i="1"/>
  <c r="X304" i="1"/>
  <c r="U304" i="1"/>
  <c r="Z304" i="1"/>
  <c r="S304" i="1"/>
  <c r="W304" i="1"/>
  <c r="T304" i="1"/>
  <c r="Y304" i="1"/>
  <c r="Z236" i="1"/>
  <c r="V236" i="1"/>
  <c r="W236" i="1"/>
  <c r="Y236" i="1"/>
  <c r="U236" i="1"/>
  <c r="S236" i="1"/>
  <c r="T236" i="1"/>
  <c r="X236" i="1"/>
  <c r="X181" i="1"/>
  <c r="U181" i="1"/>
  <c r="Z181" i="1"/>
  <c r="T181" i="1"/>
  <c r="V181" i="1"/>
  <c r="W181" i="1"/>
  <c r="Y181" i="1"/>
  <c r="S181" i="1"/>
  <c r="X214" i="1"/>
  <c r="S214" i="1"/>
  <c r="T214" i="1"/>
  <c r="U214" i="1"/>
  <c r="Z214" i="1"/>
  <c r="V214" i="1"/>
  <c r="W214" i="1"/>
  <c r="Y214" i="1"/>
  <c r="X162" i="1"/>
  <c r="T162" i="1"/>
  <c r="U162" i="1"/>
  <c r="W162" i="1"/>
  <c r="S162" i="1"/>
  <c r="V162" i="1"/>
  <c r="Y162" i="1"/>
  <c r="Z162" i="1"/>
  <c r="X167" i="1"/>
  <c r="Z167" i="1"/>
  <c r="V167" i="1"/>
  <c r="W167" i="1"/>
  <c r="Y167" i="1"/>
  <c r="S167" i="1"/>
  <c r="T167" i="1"/>
  <c r="U167" i="1"/>
  <c r="X119" i="1"/>
  <c r="V119" i="1"/>
  <c r="Y119" i="1"/>
  <c r="S119" i="1"/>
  <c r="T119" i="1"/>
  <c r="U119" i="1"/>
  <c r="W119" i="1"/>
  <c r="Z119" i="1"/>
  <c r="X11" i="1"/>
  <c r="V11" i="1"/>
  <c r="T11" i="1"/>
  <c r="U11" i="1"/>
  <c r="S11" i="1"/>
  <c r="W11" i="1"/>
  <c r="Y11" i="1"/>
  <c r="Z11" i="1"/>
  <c r="X253" i="1"/>
  <c r="S253" i="1"/>
  <c r="U253" i="1"/>
  <c r="T253" i="1"/>
  <c r="V253" i="1"/>
  <c r="W253" i="1"/>
  <c r="Y253" i="1"/>
  <c r="Z253" i="1"/>
  <c r="Y101" i="1"/>
  <c r="S101" i="1"/>
  <c r="T101" i="1"/>
  <c r="W101" i="1"/>
  <c r="U101" i="1"/>
  <c r="X101" i="1"/>
  <c r="Z101" i="1"/>
  <c r="V101" i="1"/>
  <c r="U174" i="1"/>
  <c r="V174" i="1"/>
  <c r="X174" i="1"/>
  <c r="S174" i="1"/>
  <c r="T174" i="1"/>
  <c r="W174" i="1"/>
  <c r="Y174" i="1"/>
  <c r="Z174" i="1"/>
  <c r="T78" i="1"/>
  <c r="Z78" i="1"/>
  <c r="S78" i="1"/>
  <c r="U78" i="1"/>
  <c r="V78" i="1"/>
  <c r="W78" i="1"/>
  <c r="X78" i="1"/>
  <c r="Y78" i="1"/>
  <c r="V231" i="1"/>
  <c r="S231" i="1"/>
  <c r="U231" i="1"/>
  <c r="T231" i="1"/>
  <c r="W231" i="1"/>
  <c r="X231" i="1"/>
  <c r="Y231" i="1"/>
  <c r="Z231" i="1"/>
  <c r="T233" i="1"/>
  <c r="X233" i="1"/>
  <c r="W233" i="1"/>
  <c r="S233" i="1"/>
  <c r="U233" i="1"/>
  <c r="V233" i="1"/>
  <c r="Y233" i="1"/>
  <c r="Z233" i="1"/>
  <c r="Y49" i="1"/>
  <c r="S49" i="1"/>
  <c r="T49" i="1"/>
  <c r="U49" i="1"/>
  <c r="V49" i="1"/>
  <c r="W49" i="1"/>
  <c r="X49" i="1"/>
  <c r="Z49" i="1"/>
  <c r="V271" i="1"/>
  <c r="U271" i="1"/>
  <c r="X271" i="1"/>
  <c r="T271" i="1"/>
  <c r="Z271" i="1"/>
  <c r="S271" i="1"/>
  <c r="W271" i="1"/>
  <c r="Y271" i="1"/>
  <c r="X223" i="1"/>
  <c r="U223" i="1"/>
  <c r="S223" i="1"/>
  <c r="Z223" i="1"/>
  <c r="T223" i="1"/>
  <c r="V223" i="1"/>
  <c r="W223" i="1"/>
  <c r="V115" i="1"/>
  <c r="Z115" i="1"/>
  <c r="S115" i="1"/>
  <c r="X115" i="1"/>
  <c r="Y115" i="1"/>
  <c r="W245" i="1"/>
  <c r="S245" i="1"/>
  <c r="U245" i="1"/>
  <c r="W99" i="1"/>
  <c r="S99" i="1"/>
  <c r="U99" i="1"/>
  <c r="S70" i="1"/>
  <c r="X70" i="1"/>
  <c r="Z70" i="1"/>
  <c r="V67" i="1"/>
  <c r="T159" i="1"/>
  <c r="S159" i="1"/>
  <c r="X159" i="1"/>
  <c r="Y159" i="1"/>
  <c r="Y188" i="1"/>
  <c r="Y200" i="1"/>
  <c r="U98" i="1"/>
  <c r="W31" i="1"/>
  <c r="X31" i="1"/>
  <c r="T31" i="1"/>
  <c r="U31" i="1"/>
  <c r="V31" i="1"/>
  <c r="Y31" i="1"/>
  <c r="Z31" i="1"/>
  <c r="Y40" i="1"/>
  <c r="U115" i="1"/>
  <c r="S198" i="1"/>
  <c r="T198" i="1"/>
  <c r="V198" i="1"/>
  <c r="X198" i="1"/>
  <c r="U247" i="1"/>
  <c r="S247" i="1"/>
  <c r="T247" i="1"/>
  <c r="W247" i="1"/>
  <c r="V247" i="1"/>
  <c r="X247" i="1"/>
  <c r="Y247" i="1"/>
  <c r="Z247" i="1"/>
  <c r="Y58" i="1"/>
  <c r="V291" i="1"/>
  <c r="X171" i="1"/>
  <c r="Y153" i="1"/>
  <c r="X313" i="1"/>
  <c r="T75" i="1"/>
  <c r="Z99" i="1"/>
  <c r="V91" i="1"/>
  <c r="Y164" i="1"/>
  <c r="Y70" i="1"/>
  <c r="Z159" i="1"/>
  <c r="Y23" i="1"/>
  <c r="W23" i="1"/>
  <c r="V23" i="1"/>
  <c r="S23" i="1"/>
  <c r="T23" i="1"/>
  <c r="U23" i="1"/>
  <c r="X200" i="1"/>
  <c r="T115" i="1"/>
  <c r="X237" i="1"/>
  <c r="S237" i="1"/>
  <c r="T237" i="1"/>
  <c r="T261" i="1"/>
  <c r="V261" i="1"/>
  <c r="S261" i="1"/>
  <c r="U261" i="1"/>
  <c r="W261" i="1"/>
  <c r="Z305" i="1"/>
  <c r="U305" i="1"/>
  <c r="X305" i="1"/>
  <c r="Y305" i="1"/>
  <c r="T305" i="1"/>
  <c r="S305" i="1"/>
  <c r="V305" i="1"/>
  <c r="W305" i="1"/>
  <c r="S263" i="1"/>
  <c r="X263" i="1"/>
  <c r="U263" i="1"/>
  <c r="Y263" i="1"/>
  <c r="Z263" i="1"/>
  <c r="V263" i="1"/>
  <c r="W263" i="1"/>
  <c r="X168" i="1"/>
  <c r="U168" i="1"/>
  <c r="V168" i="1"/>
  <c r="Y168" i="1"/>
  <c r="T168" i="1"/>
  <c r="W168" i="1"/>
  <c r="Z168" i="1"/>
  <c r="Y43" i="1"/>
  <c r="Z43" i="1"/>
  <c r="S43" i="1"/>
  <c r="U43" i="1"/>
  <c r="T43" i="1"/>
  <c r="V43" i="1"/>
  <c r="W43" i="1"/>
  <c r="X43" i="1"/>
  <c r="S133" i="1"/>
  <c r="W133" i="1"/>
  <c r="V133" i="1"/>
  <c r="Y133" i="1"/>
  <c r="V42" i="1"/>
  <c r="W42" i="1"/>
  <c r="X42" i="1"/>
  <c r="Z42" i="1"/>
  <c r="S42" i="1"/>
  <c r="T42" i="1"/>
  <c r="W67" i="1"/>
  <c r="U67" i="1"/>
  <c r="T67" i="1"/>
  <c r="S21" i="1"/>
  <c r="Z21" i="1"/>
  <c r="U21" i="1"/>
  <c r="V21" i="1"/>
  <c r="W21" i="1"/>
  <c r="X21" i="1"/>
  <c r="W39" i="1"/>
  <c r="T39" i="1"/>
  <c r="V39" i="1"/>
  <c r="X39" i="1"/>
  <c r="Y39" i="1"/>
  <c r="Z39" i="1"/>
  <c r="S168" i="1"/>
  <c r="Z133" i="1"/>
  <c r="Z161" i="1"/>
  <c r="U161" i="1"/>
  <c r="X161" i="1"/>
  <c r="S161" i="1"/>
  <c r="T161" i="1"/>
  <c r="S229" i="1"/>
  <c r="W229" i="1"/>
  <c r="X229" i="1"/>
  <c r="Z229" i="1"/>
  <c r="V229" i="1"/>
  <c r="Z149" i="1"/>
  <c r="Y149" i="1"/>
  <c r="S149" i="1"/>
  <c r="T149" i="1"/>
  <c r="V149" i="1"/>
  <c r="Y21" i="1"/>
  <c r="U15" i="1"/>
  <c r="X15" i="1"/>
  <c r="Z15" i="1"/>
  <c r="S15" i="1"/>
  <c r="T15" i="1"/>
  <c r="V15" i="1"/>
  <c r="U39" i="1"/>
  <c r="X133" i="1"/>
  <c r="Y161" i="1"/>
  <c r="W107" i="1"/>
  <c r="S107" i="1"/>
  <c r="U107" i="1"/>
  <c r="Y107" i="1"/>
  <c r="Z107" i="1"/>
  <c r="T107" i="1"/>
  <c r="X107" i="1"/>
  <c r="T85" i="1"/>
  <c r="V85" i="1"/>
  <c r="S106" i="1"/>
  <c r="T106" i="1"/>
  <c r="V106" i="1"/>
  <c r="Y42" i="1"/>
  <c r="Z67" i="1"/>
  <c r="X149" i="1"/>
  <c r="T21" i="1"/>
  <c r="Y15" i="1"/>
  <c r="S39" i="1"/>
  <c r="T121" i="1"/>
  <c r="Y121" i="1"/>
  <c r="S121" i="1"/>
  <c r="U121" i="1"/>
  <c r="V121" i="1"/>
  <c r="W27" i="1"/>
  <c r="S27" i="1"/>
  <c r="U27" i="1"/>
  <c r="T27" i="1"/>
  <c r="V27" i="1"/>
  <c r="X27" i="1"/>
  <c r="Y27" i="1"/>
  <c r="U133" i="1"/>
  <c r="Z285" i="1"/>
  <c r="S285" i="1"/>
  <c r="V285" i="1"/>
  <c r="Y285" i="1"/>
  <c r="T285" i="1"/>
  <c r="U285" i="1"/>
  <c r="W285" i="1"/>
  <c r="V107" i="1"/>
  <c r="U254" i="1"/>
  <c r="W254" i="1"/>
  <c r="X254" i="1"/>
  <c r="Z254" i="1"/>
  <c r="S122" i="1"/>
  <c r="T122" i="1"/>
  <c r="V122" i="1"/>
  <c r="Z75" i="1"/>
  <c r="Y229" i="1"/>
  <c r="Z106" i="1"/>
  <c r="U140" i="1"/>
  <c r="S140" i="1"/>
  <c r="T140" i="1"/>
  <c r="U42" i="1"/>
  <c r="Y67" i="1"/>
  <c r="U288" i="1"/>
  <c r="S288" i="1"/>
  <c r="T288" i="1"/>
  <c r="W288" i="1"/>
  <c r="V288" i="1"/>
  <c r="U180" i="1"/>
  <c r="T180" i="1"/>
  <c r="V180" i="1"/>
  <c r="W180" i="1"/>
  <c r="X180" i="1"/>
  <c r="Z188" i="1"/>
  <c r="S188" i="1"/>
  <c r="T188" i="1"/>
  <c r="W149" i="1"/>
  <c r="S98" i="1"/>
  <c r="V98" i="1"/>
  <c r="W98" i="1"/>
  <c r="X98" i="1"/>
  <c r="Y98" i="1"/>
  <c r="W15" i="1"/>
  <c r="Z40" i="1"/>
  <c r="U40" i="1"/>
  <c r="S40" i="1"/>
  <c r="T40" i="1"/>
  <c r="V40" i="1"/>
  <c r="X182" i="1"/>
  <c r="V182" i="1"/>
  <c r="Y182" i="1"/>
  <c r="U182" i="1"/>
  <c r="W182" i="1"/>
  <c r="Z182" i="1"/>
  <c r="Z121" i="1"/>
  <c r="T133" i="1"/>
  <c r="T58" i="1"/>
  <c r="S58" i="1"/>
  <c r="U58" i="1"/>
  <c r="V58" i="1"/>
  <c r="W58" i="1"/>
  <c r="X291" i="1"/>
  <c r="Y291" i="1"/>
  <c r="T291" i="1"/>
  <c r="W291" i="1"/>
  <c r="Z291" i="1"/>
  <c r="U232" i="1"/>
  <c r="S232" i="1"/>
  <c r="T232" i="1"/>
  <c r="V232" i="1"/>
  <c r="W232" i="1"/>
  <c r="Y232" i="1"/>
  <c r="X232" i="1"/>
  <c r="Z232" i="1"/>
  <c r="X285" i="1"/>
  <c r="U313" i="1"/>
  <c r="V313" i="1"/>
  <c r="S313" i="1"/>
  <c r="W313" i="1"/>
  <c r="Z313" i="1"/>
  <c r="Y254" i="1"/>
  <c r="Y256" i="1"/>
  <c r="T256" i="1"/>
  <c r="U256" i="1"/>
  <c r="W256" i="1"/>
  <c r="Y75" i="1"/>
  <c r="Z85" i="1"/>
  <c r="Y113" i="1"/>
  <c r="V113" i="1"/>
  <c r="W113" i="1"/>
  <c r="Z113" i="1"/>
  <c r="U113" i="1"/>
  <c r="U229" i="1"/>
  <c r="Y106" i="1"/>
  <c r="Z91" i="1"/>
  <c r="S95" i="1"/>
  <c r="U95" i="1"/>
  <c r="Y95" i="1"/>
  <c r="T55" i="1"/>
  <c r="S55" i="1"/>
  <c r="U55" i="1"/>
  <c r="W55" i="1"/>
  <c r="X67" i="1"/>
  <c r="X53" i="1"/>
  <c r="T53" i="1"/>
  <c r="U53" i="1"/>
  <c r="V53" i="1"/>
  <c r="W53" i="1"/>
  <c r="W74" i="1"/>
  <c r="X74" i="1"/>
  <c r="Z74" i="1"/>
  <c r="Z180" i="1"/>
  <c r="U149" i="1"/>
  <c r="W136" i="1"/>
  <c r="S136" i="1"/>
  <c r="U136" i="1"/>
  <c r="V136" i="1"/>
  <c r="Y136" i="1"/>
  <c r="T136" i="1"/>
  <c r="X136" i="1"/>
  <c r="X19" i="1"/>
  <c r="W19" i="1"/>
  <c r="S19" i="1"/>
  <c r="T19" i="1"/>
  <c r="U19" i="1"/>
  <c r="Z191" i="1"/>
  <c r="S191" i="1"/>
  <c r="U191" i="1"/>
  <c r="W191" i="1"/>
  <c r="V191" i="1"/>
  <c r="X191" i="1"/>
  <c r="Y191" i="1"/>
  <c r="T182" i="1"/>
  <c r="W115" i="1"/>
  <c r="Y89" i="1"/>
  <c r="U89" i="1"/>
  <c r="T89" i="1"/>
  <c r="S89" i="1"/>
  <c r="V89" i="1"/>
  <c r="W89" i="1"/>
  <c r="X121" i="1"/>
  <c r="Z27" i="1"/>
  <c r="T171" i="1"/>
  <c r="V171" i="1"/>
  <c r="Y171" i="1"/>
  <c r="Z171" i="1"/>
  <c r="S171" i="1"/>
  <c r="U171" i="1"/>
  <c r="Z153" i="1"/>
  <c r="S153" i="1"/>
  <c r="V153" i="1"/>
  <c r="W153" i="1"/>
  <c r="T153" i="1"/>
  <c r="U153" i="1"/>
  <c r="U298" i="1"/>
  <c r="Z298" i="1"/>
  <c r="T298" i="1"/>
  <c r="V298" i="1"/>
  <c r="S298" i="1"/>
  <c r="V22" i="1"/>
  <c r="X22" i="1"/>
  <c r="T22" i="1"/>
  <c r="U22" i="1"/>
  <c r="S22" i="1"/>
  <c r="W22" i="1"/>
  <c r="Y22" i="1"/>
  <c r="Z22" i="1"/>
  <c r="Y313" i="1"/>
  <c r="Z122" i="1"/>
  <c r="Y85" i="1"/>
  <c r="T229" i="1"/>
  <c r="X106" i="1"/>
  <c r="Z140" i="1"/>
  <c r="Z95" i="1"/>
  <c r="Y74" i="1"/>
  <c r="Z288" i="1"/>
  <c r="S254" i="1"/>
  <c r="X122" i="1"/>
  <c r="X256" i="1"/>
  <c r="Z245" i="1"/>
  <c r="T165" i="1"/>
  <c r="W165" i="1"/>
  <c r="X165" i="1"/>
  <c r="Z165" i="1"/>
  <c r="V165" i="1"/>
  <c r="W85" i="1"/>
  <c r="T113" i="1"/>
  <c r="Y99" i="1"/>
  <c r="U60" i="1"/>
  <c r="V60" i="1"/>
  <c r="X60" i="1"/>
  <c r="U106" i="1"/>
  <c r="S267" i="1"/>
  <c r="T267" i="1"/>
  <c r="X140" i="1"/>
  <c r="V164" i="1"/>
  <c r="W95" i="1"/>
  <c r="W70" i="1"/>
  <c r="Y55" i="1"/>
  <c r="Y53" i="1"/>
  <c r="U74" i="1"/>
  <c r="X288" i="1"/>
  <c r="W159" i="1"/>
  <c r="W188" i="1"/>
  <c r="W216" i="1"/>
  <c r="Y216" i="1"/>
  <c r="Z216" i="1"/>
  <c r="U216" i="1"/>
  <c r="V216" i="1"/>
  <c r="X216" i="1"/>
  <c r="T211" i="1"/>
  <c r="W211" i="1"/>
  <c r="S211" i="1"/>
  <c r="U211" i="1"/>
  <c r="X211" i="1"/>
  <c r="V208" i="1"/>
  <c r="T208" i="1"/>
  <c r="V206" i="1"/>
  <c r="S206" i="1"/>
  <c r="T206" i="1"/>
  <c r="Y19" i="1"/>
  <c r="S31" i="1"/>
  <c r="W40" i="1"/>
  <c r="Z198" i="1"/>
  <c r="X89" i="1"/>
  <c r="S291" i="1"/>
  <c r="Z32" i="1"/>
  <c r="Y32" i="1"/>
  <c r="U32" i="1"/>
  <c r="X32" i="1"/>
  <c r="T32" i="1"/>
  <c r="W32" i="1"/>
  <c r="X298" i="1"/>
  <c r="X293" i="1"/>
  <c r="T293" i="1"/>
  <c r="V293" i="1"/>
  <c r="W293" i="1"/>
  <c r="S293" i="1"/>
  <c r="U293" i="1"/>
  <c r="Y293" i="1"/>
  <c r="Z293" i="1"/>
  <c r="W315" i="1"/>
  <c r="Z315" i="1"/>
  <c r="V315" i="1"/>
  <c r="T315" i="1"/>
  <c r="U315" i="1"/>
  <c r="S315" i="1"/>
  <c r="X315" i="1"/>
  <c r="W122" i="1"/>
  <c r="V256" i="1"/>
  <c r="Y245" i="1"/>
  <c r="S114" i="1"/>
  <c r="T114" i="1"/>
  <c r="V114" i="1"/>
  <c r="U85" i="1"/>
  <c r="S113" i="1"/>
  <c r="X99" i="1"/>
  <c r="Z267" i="1"/>
  <c r="X76" i="1"/>
  <c r="V76" i="1"/>
  <c r="W76" i="1"/>
  <c r="Z76" i="1"/>
  <c r="T76" i="1"/>
  <c r="W140" i="1"/>
  <c r="V95" i="1"/>
  <c r="V70" i="1"/>
  <c r="X55" i="1"/>
  <c r="X87" i="1"/>
  <c r="W87" i="1"/>
  <c r="T87" i="1"/>
  <c r="U87" i="1"/>
  <c r="Y87" i="1"/>
  <c r="S87" i="1"/>
  <c r="V87" i="1"/>
  <c r="S53" i="1"/>
  <c r="T74" i="1"/>
  <c r="V159" i="1"/>
  <c r="V188" i="1"/>
  <c r="T216" i="1"/>
  <c r="Z23" i="1"/>
  <c r="Z208" i="1"/>
  <c r="V205" i="1"/>
  <c r="U205" i="1"/>
  <c r="W205" i="1"/>
  <c r="X205" i="1"/>
  <c r="Y205" i="1"/>
  <c r="V19" i="1"/>
  <c r="Y132" i="1"/>
  <c r="T132" i="1"/>
  <c r="W132" i="1"/>
  <c r="X132" i="1"/>
  <c r="Z132" i="1"/>
  <c r="S145" i="1"/>
  <c r="V145" i="1"/>
  <c r="W145" i="1"/>
  <c r="X145" i="1"/>
  <c r="Y145" i="1"/>
  <c r="Y198" i="1"/>
  <c r="V142" i="1"/>
  <c r="T142" i="1"/>
  <c r="U142" i="1"/>
  <c r="W142" i="1"/>
  <c r="X142" i="1"/>
  <c r="Y142" i="1"/>
  <c r="W96" i="1"/>
  <c r="U96" i="1"/>
  <c r="V96" i="1"/>
  <c r="X96" i="1"/>
  <c r="Y96" i="1"/>
  <c r="Z96" i="1"/>
  <c r="S96" i="1"/>
  <c r="T96" i="1"/>
  <c r="V88" i="1"/>
  <c r="W88" i="1"/>
  <c r="Z88" i="1"/>
  <c r="S88" i="1"/>
  <c r="T88" i="1"/>
  <c r="V32" i="1"/>
  <c r="Y237" i="1"/>
  <c r="Z261" i="1"/>
  <c r="W298" i="1"/>
  <c r="Y315" i="1"/>
  <c r="S75" i="1"/>
  <c r="U75" i="1"/>
  <c r="V75" i="1"/>
  <c r="X75" i="1"/>
  <c r="W91" i="1"/>
  <c r="T91" i="1"/>
  <c r="U91" i="1"/>
  <c r="X91" i="1"/>
  <c r="V200" i="1"/>
  <c r="S200" i="1"/>
  <c r="U200" i="1"/>
  <c r="T200" i="1"/>
  <c r="W200" i="1"/>
  <c r="V161" i="1"/>
  <c r="Z240" i="1"/>
  <c r="T240" i="1"/>
  <c r="U240" i="1"/>
  <c r="S240" i="1"/>
  <c r="X240" i="1"/>
  <c r="V240" i="1"/>
  <c r="W240" i="1"/>
  <c r="Y240" i="1"/>
  <c r="W164" i="1"/>
  <c r="X164" i="1"/>
  <c r="Z164" i="1"/>
  <c r="U164" i="1"/>
  <c r="Z98" i="1"/>
  <c r="Z58" i="1"/>
  <c r="V254" i="1"/>
  <c r="Y91" i="1"/>
  <c r="Y180" i="1"/>
  <c r="W121" i="1"/>
  <c r="T258" i="1"/>
  <c r="U258" i="1"/>
  <c r="V258" i="1"/>
  <c r="X258" i="1"/>
  <c r="U122" i="1"/>
  <c r="S256" i="1"/>
  <c r="X245" i="1"/>
  <c r="Y165" i="1"/>
  <c r="S85" i="1"/>
  <c r="V99" i="1"/>
  <c r="Z60" i="1"/>
  <c r="Y267" i="1"/>
  <c r="V62" i="1"/>
  <c r="S62" i="1"/>
  <c r="U62" i="1"/>
  <c r="Z62" i="1"/>
  <c r="V140" i="1"/>
  <c r="S164" i="1"/>
  <c r="T95" i="1"/>
  <c r="U70" i="1"/>
  <c r="V55" i="1"/>
  <c r="S111" i="1"/>
  <c r="U111" i="1"/>
  <c r="V111" i="1"/>
  <c r="Z226" i="1"/>
  <c r="T226" i="1"/>
  <c r="U226" i="1"/>
  <c r="W226" i="1"/>
  <c r="S74" i="1"/>
  <c r="X239" i="1"/>
  <c r="U239" i="1"/>
  <c r="V239" i="1"/>
  <c r="Y239" i="1"/>
  <c r="W117" i="1"/>
  <c r="Z117" i="1"/>
  <c r="S117" i="1"/>
  <c r="T117" i="1"/>
  <c r="V117" i="1"/>
  <c r="U117" i="1"/>
  <c r="U159" i="1"/>
  <c r="U188" i="1"/>
  <c r="S216" i="1"/>
  <c r="Z211" i="1"/>
  <c r="X23" i="1"/>
  <c r="Y208" i="1"/>
  <c r="Z206" i="1"/>
  <c r="Z71" i="1"/>
  <c r="T71" i="1"/>
  <c r="W127" i="1"/>
  <c r="Z127" i="1"/>
  <c r="S127" i="1"/>
  <c r="U126" i="1"/>
  <c r="V126" i="1"/>
  <c r="S126" i="1"/>
  <c r="W126" i="1"/>
  <c r="T126" i="1"/>
  <c r="X126" i="1"/>
  <c r="Z54" i="1"/>
  <c r="V54" i="1"/>
  <c r="X54" i="1"/>
  <c r="U54" i="1"/>
  <c r="W54" i="1"/>
  <c r="Y54" i="1"/>
  <c r="W198" i="1"/>
  <c r="U137" i="1"/>
  <c r="Z137" i="1"/>
  <c r="T137" i="1"/>
  <c r="W137" i="1"/>
  <c r="S137" i="1"/>
  <c r="X137" i="1"/>
  <c r="Y137" i="1"/>
  <c r="Z125" i="1"/>
  <c r="Y125" i="1"/>
  <c r="S125" i="1"/>
  <c r="T125" i="1"/>
  <c r="T38" i="1"/>
  <c r="Z38" i="1"/>
  <c r="X38" i="1"/>
  <c r="S38" i="1"/>
  <c r="Y88" i="1"/>
  <c r="S32" i="1"/>
  <c r="W237" i="1"/>
  <c r="Y261" i="1"/>
  <c r="X300" i="1"/>
  <c r="S300" i="1"/>
  <c r="W300" i="1"/>
  <c r="U300" i="1"/>
  <c r="T300" i="1"/>
  <c r="V300" i="1"/>
  <c r="Y300" i="1"/>
  <c r="Y56" i="1"/>
  <c r="W56" i="1"/>
  <c r="S56" i="1"/>
  <c r="T56" i="1"/>
  <c r="U56" i="1"/>
  <c r="X56" i="1"/>
  <c r="V56" i="1"/>
  <c r="Z56" i="1"/>
  <c r="X284" i="1"/>
  <c r="W284" i="1"/>
  <c r="Y284" i="1"/>
  <c r="T284" i="1"/>
  <c r="V284" i="1"/>
  <c r="U311" i="1"/>
  <c r="T311" i="1"/>
  <c r="X311" i="1"/>
  <c r="S311" i="1"/>
  <c r="Y311" i="1"/>
  <c r="Z311" i="1"/>
  <c r="T310" i="1"/>
  <c r="S310" i="1"/>
  <c r="U310" i="1"/>
  <c r="V310" i="1"/>
  <c r="Z310" i="1"/>
  <c r="W310" i="1"/>
  <c r="X310" i="1"/>
  <c r="S249" i="1"/>
  <c r="W249" i="1"/>
  <c r="X249" i="1"/>
  <c r="Z249" i="1"/>
  <c r="S90" i="1"/>
  <c r="U90" i="1"/>
  <c r="V90" i="1"/>
  <c r="X90" i="1"/>
  <c r="Y197" i="1"/>
  <c r="S197" i="1"/>
  <c r="T197" i="1"/>
  <c r="V197" i="1"/>
  <c r="T210" i="1"/>
  <c r="S210" i="1"/>
  <c r="W201" i="1"/>
  <c r="U201" i="1"/>
  <c r="Y201" i="1"/>
  <c r="V201" i="1"/>
  <c r="X201" i="1"/>
  <c r="Z201" i="1"/>
  <c r="Z16" i="1"/>
  <c r="S16" i="1"/>
  <c r="T16" i="1"/>
  <c r="U16" i="1"/>
  <c r="V262" i="1"/>
  <c r="U262" i="1"/>
  <c r="S262" i="1"/>
  <c r="S295" i="1"/>
  <c r="V295" i="1"/>
  <c r="Y295" i="1"/>
  <c r="Z295" i="1"/>
  <c r="U295" i="1"/>
  <c r="T295" i="1"/>
  <c r="W295" i="1"/>
  <c r="V282" i="1"/>
  <c r="S282" i="1"/>
  <c r="U282" i="1"/>
  <c r="W282" i="1"/>
  <c r="X282" i="1"/>
  <c r="Z282" i="1"/>
  <c r="Y310" i="1"/>
  <c r="V266" i="1"/>
  <c r="U266" i="1"/>
  <c r="W266" i="1"/>
  <c r="X266" i="1"/>
  <c r="Z266" i="1"/>
  <c r="T252" i="1"/>
  <c r="S252" i="1"/>
  <c r="S207" i="1"/>
  <c r="X207" i="1"/>
  <c r="U207" i="1"/>
  <c r="V207" i="1"/>
  <c r="W207" i="1"/>
  <c r="Y207" i="1"/>
  <c r="T104" i="1"/>
  <c r="Y104" i="1"/>
  <c r="Z104" i="1"/>
  <c r="S104" i="1"/>
  <c r="U104" i="1"/>
  <c r="V104" i="1"/>
  <c r="S57" i="1"/>
  <c r="T57" i="1"/>
  <c r="T129" i="1"/>
  <c r="U129" i="1"/>
  <c r="S129" i="1"/>
  <c r="W129" i="1"/>
  <c r="V129" i="1"/>
  <c r="X129" i="1"/>
  <c r="Y129" i="1"/>
  <c r="Z255" i="1"/>
  <c r="S255" i="1"/>
  <c r="U255" i="1"/>
  <c r="T255" i="1"/>
  <c r="W255" i="1"/>
  <c r="V255" i="1"/>
  <c r="X255" i="1"/>
  <c r="V81" i="1"/>
  <c r="Y81" i="1"/>
  <c r="Z81" i="1"/>
  <c r="U81" i="1"/>
  <c r="X81" i="1"/>
  <c r="S81" i="1"/>
  <c r="T81" i="1"/>
  <c r="W81" i="1"/>
  <c r="S86" i="1"/>
  <c r="Z86" i="1"/>
  <c r="T86" i="1"/>
  <c r="U86" i="1"/>
  <c r="W86" i="1"/>
  <c r="V219" i="1"/>
  <c r="X219" i="1"/>
  <c r="S219" i="1"/>
  <c r="T275" i="1"/>
  <c r="W275" i="1"/>
  <c r="Y275" i="1"/>
  <c r="U275" i="1"/>
  <c r="V275" i="1"/>
  <c r="X275" i="1"/>
  <c r="Z275" i="1"/>
  <c r="T37" i="1"/>
  <c r="V37" i="1"/>
  <c r="Y37" i="1"/>
  <c r="S37" i="1"/>
  <c r="U37" i="1"/>
  <c r="W37" i="1"/>
  <c r="X37" i="1"/>
  <c r="V128" i="1"/>
  <c r="W128" i="1"/>
  <c r="Y128" i="1"/>
  <c r="S128" i="1"/>
  <c r="Z129" i="1"/>
  <c r="Y317" i="1"/>
  <c r="Z317" i="1"/>
  <c r="S317" i="1"/>
  <c r="T317" i="1"/>
  <c r="U317" i="1"/>
  <c r="V317" i="1"/>
  <c r="X317" i="1"/>
  <c r="X118" i="1"/>
  <c r="Z118" i="1"/>
  <c r="U118" i="1"/>
  <c r="V118" i="1"/>
  <c r="S118" i="1"/>
  <c r="T118" i="1"/>
  <c r="W118" i="1"/>
  <c r="W63" i="1"/>
  <c r="V63" i="1"/>
  <c r="T63" i="1"/>
  <c r="U63" i="1"/>
  <c r="V30" i="1"/>
  <c r="Z30" i="1"/>
  <c r="T30" i="1"/>
  <c r="U30" i="1"/>
  <c r="S30" i="1"/>
  <c r="X30" i="1"/>
  <c r="W283" i="1"/>
  <c r="U283" i="1"/>
  <c r="T283" i="1"/>
  <c r="V283" i="1"/>
  <c r="Z283" i="1"/>
  <c r="Y103" i="1"/>
  <c r="Z103" i="1"/>
  <c r="S212" i="1"/>
  <c r="V212" i="1"/>
  <c r="Z212" i="1"/>
  <c r="V158" i="1"/>
  <c r="X158" i="1"/>
  <c r="W158" i="1"/>
  <c r="Z158" i="1"/>
  <c r="S65" i="1"/>
  <c r="U65" i="1"/>
  <c r="W69" i="1"/>
  <c r="T69" i="1"/>
  <c r="Z69" i="1"/>
  <c r="Z63" i="1"/>
  <c r="Z50" i="1"/>
  <c r="S50" i="1"/>
  <c r="V50" i="1"/>
  <c r="W50" i="1"/>
  <c r="T50" i="1"/>
  <c r="X50" i="1"/>
  <c r="W14" i="1"/>
  <c r="X14" i="1"/>
  <c r="Z14" i="1"/>
  <c r="U14" i="1"/>
  <c r="Y14" i="1"/>
  <c r="W299" i="1"/>
  <c r="Z299" i="1"/>
  <c r="S299" i="1"/>
  <c r="Y195" i="1"/>
  <c r="S195" i="1"/>
  <c r="T195" i="1"/>
  <c r="W195" i="1"/>
  <c r="X195" i="1"/>
  <c r="U195" i="1"/>
  <c r="T26" i="1"/>
  <c r="Z26" i="1"/>
  <c r="Y26" i="1"/>
  <c r="S26" i="1"/>
  <c r="V26" i="1"/>
  <c r="Y283" i="1"/>
  <c r="T196" i="1"/>
  <c r="Z196" i="1"/>
  <c r="V196" i="1"/>
  <c r="Z52" i="1"/>
  <c r="W52" i="1"/>
  <c r="U52" i="1"/>
  <c r="X52" i="1"/>
  <c r="U17" i="1"/>
  <c r="T17" i="1"/>
  <c r="U92" i="1"/>
  <c r="S92" i="1"/>
  <c r="W92" i="1"/>
  <c r="T92" i="1"/>
  <c r="X92" i="1"/>
  <c r="Y63" i="1"/>
  <c r="Y175" i="1"/>
  <c r="Z175" i="1"/>
  <c r="U175" i="1"/>
  <c r="V175" i="1"/>
  <c r="W175" i="1"/>
  <c r="T170" i="1"/>
  <c r="S170" i="1"/>
  <c r="W170" i="1"/>
  <c r="X170" i="1"/>
  <c r="Z135" i="1"/>
  <c r="Y135" i="1"/>
  <c r="V135" i="1"/>
  <c r="S135" i="1"/>
  <c r="W135" i="1"/>
  <c r="X135" i="1"/>
  <c r="Y30" i="1"/>
  <c r="X283" i="1"/>
  <c r="V9" i="1"/>
  <c r="U9" i="1"/>
  <c r="Z9" i="1"/>
  <c r="W9" i="1"/>
  <c r="X9" i="1"/>
  <c r="T9" i="1"/>
  <c r="S321" i="1"/>
  <c r="W321" i="1"/>
  <c r="Z321" i="1"/>
  <c r="Y321" i="1"/>
  <c r="Z251" i="1"/>
  <c r="Z72" i="1"/>
  <c r="Y184" i="1"/>
  <c r="Z235" i="1"/>
  <c r="Z163" i="1"/>
  <c r="Z82" i="1"/>
  <c r="X103" i="1"/>
  <c r="Z154" i="1"/>
  <c r="Y151" i="1"/>
  <c r="Z147" i="1"/>
  <c r="U176" i="1"/>
  <c r="V176" i="1"/>
  <c r="Y212" i="1"/>
  <c r="T173" i="1"/>
  <c r="Z173" i="1"/>
  <c r="V166" i="1"/>
  <c r="T166" i="1"/>
  <c r="X4" i="1"/>
  <c r="Z4" i="1"/>
  <c r="U4" i="1"/>
  <c r="T157" i="1"/>
  <c r="S157" i="1"/>
  <c r="T29" i="1"/>
  <c r="X29" i="1"/>
  <c r="S29" i="1"/>
  <c r="V64" i="1"/>
  <c r="X64" i="1"/>
  <c r="S143" i="1"/>
  <c r="X143" i="1"/>
  <c r="U143" i="1"/>
  <c r="W143" i="1"/>
  <c r="X33" i="1"/>
  <c r="Z33" i="1"/>
  <c r="Z17" i="1"/>
  <c r="S221" i="1"/>
  <c r="Y221" i="1"/>
  <c r="W221" i="1"/>
  <c r="Z221" i="1"/>
  <c r="X63" i="1"/>
  <c r="W83" i="1"/>
  <c r="Z83" i="1"/>
  <c r="T83" i="1"/>
  <c r="V83" i="1"/>
  <c r="T155" i="1"/>
  <c r="S155" i="1"/>
  <c r="U10" i="1"/>
  <c r="Z10" i="1"/>
  <c r="V10" i="1"/>
  <c r="X10" i="1"/>
  <c r="X175" i="1"/>
  <c r="W307" i="1"/>
  <c r="Z307" i="1"/>
  <c r="T307" i="1"/>
  <c r="W30" i="1"/>
  <c r="S283" i="1"/>
  <c r="S51" i="1"/>
  <c r="T51" i="1"/>
  <c r="U51" i="1"/>
  <c r="X51" i="1"/>
  <c r="V51" i="1"/>
  <c r="Z51" i="1"/>
  <c r="Y51" i="1"/>
  <c r="V94" i="1"/>
  <c r="S94" i="1"/>
  <c r="Z260" i="1"/>
  <c r="S260" i="1"/>
  <c r="Y196" i="1"/>
  <c r="Y52" i="1"/>
  <c r="X80" i="1"/>
  <c r="S80" i="1"/>
  <c r="Z189" i="1"/>
  <c r="X13" i="1"/>
  <c r="W13" i="1"/>
  <c r="Y17" i="1"/>
  <c r="Z92" i="1"/>
  <c r="S63" i="1"/>
  <c r="S169" i="1"/>
  <c r="V169" i="1"/>
  <c r="W169" i="1"/>
  <c r="T169" i="1"/>
  <c r="T175" i="1"/>
  <c r="Z170" i="1"/>
  <c r="U135" i="1"/>
  <c r="T302" i="1"/>
  <c r="W302" i="1"/>
  <c r="Y9" i="1"/>
  <c r="X321" i="1"/>
  <c r="U280" i="1"/>
  <c r="S280" i="1"/>
  <c r="Y148" i="1"/>
  <c r="S148" i="1"/>
  <c r="Y139" i="1"/>
  <c r="W139" i="1"/>
  <c r="T238" i="1"/>
  <c r="V238" i="1"/>
  <c r="Y238" i="1"/>
  <c r="Z238" i="1"/>
  <c r="T8" i="1"/>
  <c r="S8" i="1"/>
  <c r="Y8" i="1"/>
  <c r="U309" i="1"/>
  <c r="X309" i="1"/>
  <c r="V309" i="1"/>
  <c r="W309" i="1"/>
  <c r="Y309" i="1"/>
  <c r="U5" i="1"/>
  <c r="W5" i="1"/>
  <c r="X5" i="1"/>
  <c r="T5" i="1"/>
  <c r="V5" i="1"/>
  <c r="X202" i="1"/>
  <c r="W202" i="1"/>
  <c r="Z280" i="1"/>
  <c r="Z148" i="1"/>
  <c r="U116" i="1"/>
  <c r="X116" i="1"/>
  <c r="X68" i="1"/>
  <c r="Z138" i="1"/>
  <c r="S36" i="1"/>
  <c r="V36" i="1"/>
  <c r="Z139" i="1"/>
  <c r="Y105" i="1"/>
  <c r="X105" i="1"/>
  <c r="U105" i="1"/>
  <c r="U130" i="1"/>
  <c r="T130" i="1"/>
  <c r="X130" i="1"/>
  <c r="Y130" i="1"/>
  <c r="X238" i="1"/>
  <c r="Z8" i="1"/>
  <c r="Z309" i="1"/>
  <c r="Y297" i="1"/>
  <c r="U297" i="1"/>
  <c r="V297" i="1"/>
  <c r="W297" i="1"/>
  <c r="Z286" i="1"/>
  <c r="W286" i="1"/>
  <c r="S286" i="1"/>
  <c r="V286" i="1"/>
  <c r="X286" i="1"/>
  <c r="U41" i="1"/>
  <c r="S41" i="1"/>
  <c r="W41" i="1"/>
  <c r="Z41" i="1"/>
  <c r="Z5" i="1"/>
  <c r="Z303" i="1"/>
  <c r="W303" i="1"/>
  <c r="S228" i="1"/>
  <c r="V228" i="1"/>
  <c r="W228" i="1"/>
  <c r="S278" i="1"/>
  <c r="Z278" i="1"/>
  <c r="W278" i="1"/>
  <c r="W276" i="1"/>
  <c r="X276" i="1"/>
  <c r="T318" i="1"/>
  <c r="S318" i="1"/>
  <c r="W318" i="1"/>
  <c r="V314" i="1"/>
  <c r="W314" i="1"/>
  <c r="Y314" i="1"/>
  <c r="S59" i="1"/>
  <c r="V59" i="1"/>
  <c r="Z264" i="1"/>
  <c r="U264" i="1"/>
  <c r="W264" i="1"/>
  <c r="V308" i="1"/>
  <c r="Z308" i="1"/>
  <c r="Y308" i="1"/>
  <c r="S274" i="1"/>
  <c r="T274" i="1"/>
  <c r="W273" i="1"/>
  <c r="T273" i="1"/>
  <c r="S277" i="1"/>
  <c r="Z277" i="1"/>
  <c r="Z314" i="1"/>
  <c r="Y289" i="1"/>
  <c r="S289" i="1"/>
  <c r="T289" i="1"/>
  <c r="X108" i="1"/>
  <c r="W246" i="1"/>
  <c r="V112" i="1"/>
  <c r="T112" i="1"/>
  <c r="Y123" i="1"/>
  <c r="Y59" i="1"/>
  <c r="X264" i="1"/>
  <c r="W308" i="1"/>
  <c r="Y274" i="1"/>
  <c r="Y294" i="1"/>
  <c r="S294" i="1"/>
  <c r="V303" i="1"/>
  <c r="Y273" i="1"/>
  <c r="T227" i="1"/>
  <c r="X227" i="1"/>
  <c r="Z227" i="1"/>
  <c r="X228" i="1"/>
  <c r="V278" i="1"/>
  <c r="W277" i="1"/>
  <c r="X178" i="1"/>
  <c r="Z178" i="1"/>
  <c r="V276" i="1"/>
  <c r="X318" i="1"/>
  <c r="V225" i="1"/>
  <c r="X225" i="1"/>
  <c r="S225" i="1"/>
  <c r="W225" i="1"/>
  <c r="T314" i="1"/>
  <c r="X289" i="1"/>
  <c r="T6" i="1"/>
  <c r="U6" i="1"/>
  <c r="V6" i="1"/>
  <c r="U124" i="1"/>
  <c r="V124" i="1"/>
  <c r="Y24" i="1"/>
  <c r="Z24" i="1"/>
  <c r="Y316" i="1"/>
  <c r="Y6" i="1"/>
  <c r="S270" i="1"/>
  <c r="U270" i="1"/>
  <c r="T270" i="1"/>
  <c r="X270" i="1"/>
  <c r="W270" i="1"/>
  <c r="Y270" i="1"/>
  <c r="Z270" i="1"/>
  <c r="R146" i="1" l="1"/>
  <c r="AA146" i="1" s="1"/>
  <c r="R230" i="1"/>
  <c r="AA230" i="1" s="1"/>
  <c r="R84" i="1"/>
  <c r="AA84" i="1" s="1"/>
  <c r="R45" i="1"/>
  <c r="AA45" i="1" s="1"/>
  <c r="R186" i="1"/>
  <c r="AA186" i="1" s="1"/>
  <c r="R290" i="1"/>
  <c r="AA290" i="1" s="1"/>
  <c r="R307" i="1"/>
  <c r="AA307" i="1" s="1"/>
  <c r="R296" i="1"/>
  <c r="AA296" i="1" s="1"/>
  <c r="R105" i="1"/>
  <c r="AA105" i="1" s="1"/>
  <c r="R235" i="1"/>
  <c r="AA235" i="1" s="1"/>
  <c r="R110" i="1"/>
  <c r="AA110" i="1" s="1"/>
  <c r="R241" i="1"/>
  <c r="AA241" i="1" s="1"/>
  <c r="R244" i="1"/>
  <c r="AA244" i="1" s="1"/>
  <c r="R281" i="1"/>
  <c r="AA281" i="1" s="1"/>
  <c r="R35" i="1"/>
  <c r="AA35" i="1" s="1"/>
  <c r="R312" i="1"/>
  <c r="AA312" i="1" s="1"/>
  <c r="R100" i="1"/>
  <c r="AA100" i="1" s="1"/>
  <c r="R209" i="1"/>
  <c r="AA209" i="1" s="1"/>
  <c r="R134" i="1"/>
  <c r="AA134" i="1" s="1"/>
  <c r="R124" i="1"/>
  <c r="AA124" i="1" s="1"/>
  <c r="R183" i="1"/>
  <c r="AA183" i="1" s="1"/>
  <c r="R194" i="1"/>
  <c r="AA194" i="1" s="1"/>
  <c r="R268" i="1"/>
  <c r="AA268" i="1" s="1"/>
  <c r="R109" i="1"/>
  <c r="AA109" i="1" s="1"/>
  <c r="R248" i="1"/>
  <c r="AA248" i="1" s="1"/>
  <c r="R213" i="1"/>
  <c r="AA213" i="1" s="1"/>
  <c r="R7" i="1"/>
  <c r="AA7" i="1" s="1"/>
  <c r="R294" i="1"/>
  <c r="AA294" i="1" s="1"/>
  <c r="R103" i="1"/>
  <c r="AA103" i="1" s="1"/>
  <c r="R260" i="1"/>
  <c r="AA260" i="1" s="1"/>
  <c r="R82" i="1"/>
  <c r="AA82" i="1" s="1"/>
  <c r="R234" i="1"/>
  <c r="AA234" i="1" s="1"/>
  <c r="R176" i="1"/>
  <c r="AA176" i="1" s="1"/>
  <c r="R28" i="1"/>
  <c r="AA28" i="1" s="1"/>
  <c r="R217" i="1"/>
  <c r="AA217" i="1" s="1"/>
  <c r="R279" i="1"/>
  <c r="AA279" i="1" s="1"/>
  <c r="R257" i="1"/>
  <c r="AA257" i="1" s="1"/>
  <c r="R322" i="1"/>
  <c r="AA322" i="1" s="1"/>
  <c r="R218" i="1"/>
  <c r="AA218" i="1" s="1"/>
  <c r="R184" i="1"/>
  <c r="AA184" i="1" s="1"/>
  <c r="R48" i="1"/>
  <c r="AA48" i="1" s="1"/>
  <c r="R259" i="1"/>
  <c r="AA259" i="1" s="1"/>
  <c r="R185" i="1"/>
  <c r="AA185" i="1" s="1"/>
  <c r="R66" i="1"/>
  <c r="AA66" i="1" s="1"/>
  <c r="R144" i="1"/>
  <c r="AA144" i="1" s="1"/>
  <c r="R172" i="1"/>
  <c r="AA172" i="1" s="1"/>
  <c r="R120" i="1"/>
  <c r="AA120" i="1" s="1"/>
  <c r="R246" i="1"/>
  <c r="AA246" i="1" s="1"/>
  <c r="R67" i="1"/>
  <c r="AA67" i="1" s="1"/>
  <c r="R242" i="1"/>
  <c r="AA242" i="1" s="1"/>
  <c r="R166" i="1"/>
  <c r="AA166" i="1" s="1"/>
  <c r="R46" i="1"/>
  <c r="AA46" i="1" s="1"/>
  <c r="R79" i="1"/>
  <c r="AA79" i="1" s="1"/>
  <c r="R141" i="1"/>
  <c r="AA141" i="1" s="1"/>
  <c r="R192" i="1"/>
  <c r="AA192" i="1" s="1"/>
  <c r="R243" i="1"/>
  <c r="AA243" i="1" s="1"/>
  <c r="R154" i="1"/>
  <c r="AA154" i="1" s="1"/>
  <c r="R9" i="1"/>
  <c r="AA9" i="1" s="1"/>
  <c r="R177" i="1"/>
  <c r="AA177" i="1" s="1"/>
  <c r="R220" i="1"/>
  <c r="AA220" i="1" s="1"/>
  <c r="R306" i="1"/>
  <c r="AA306" i="1" s="1"/>
  <c r="R20" i="1"/>
  <c r="AA20" i="1" s="1"/>
  <c r="R34" i="1"/>
  <c r="AA34" i="1" s="1"/>
  <c r="R44" i="1"/>
  <c r="AA44" i="1" s="1"/>
  <c r="R287" i="1"/>
  <c r="AA287" i="1" s="1"/>
  <c r="R301" i="1"/>
  <c r="AA301" i="1" s="1"/>
  <c r="R160" i="1"/>
  <c r="AA160" i="1" s="1"/>
  <c r="R108" i="1"/>
  <c r="AA108" i="1" s="1"/>
  <c r="R13" i="1"/>
  <c r="AA13" i="1" s="1"/>
  <c r="R156" i="1"/>
  <c r="AA156" i="1" s="1"/>
  <c r="R210" i="1"/>
  <c r="AA210" i="1" s="1"/>
  <c r="R68" i="1"/>
  <c r="AA68" i="1" s="1"/>
  <c r="R155" i="1"/>
  <c r="AA155" i="1" s="1"/>
  <c r="R151" i="1"/>
  <c r="AA151" i="1" s="1"/>
  <c r="R152" i="1"/>
  <c r="AA152" i="1" s="1"/>
  <c r="R251" i="1"/>
  <c r="AA251" i="1" s="1"/>
  <c r="R224" i="1"/>
  <c r="AA224" i="1" s="1"/>
  <c r="R138" i="1"/>
  <c r="AA138" i="1" s="1"/>
  <c r="R102" i="1"/>
  <c r="AA102" i="1" s="1"/>
  <c r="R222" i="1"/>
  <c r="AA222" i="1" s="1"/>
  <c r="R320" i="1"/>
  <c r="AA320" i="1" s="1"/>
  <c r="R12" i="1"/>
  <c r="AA12" i="1" s="1"/>
  <c r="R123" i="1"/>
  <c r="AA123" i="1" s="1"/>
  <c r="R202" i="1"/>
  <c r="AA202" i="1" s="1"/>
  <c r="R18" i="1"/>
  <c r="AA18" i="1" s="1"/>
  <c r="R227" i="1"/>
  <c r="AA227" i="1" s="1"/>
  <c r="R112" i="1"/>
  <c r="AA112" i="1" s="1"/>
  <c r="R299" i="1"/>
  <c r="AA299" i="1" s="1"/>
  <c r="R132" i="1"/>
  <c r="AA132" i="1" s="1"/>
  <c r="R25" i="1"/>
  <c r="AA25" i="1" s="1"/>
  <c r="R61" i="1"/>
  <c r="AA61" i="1" s="1"/>
  <c r="R64" i="1"/>
  <c r="AA64" i="1" s="1"/>
  <c r="R94" i="1"/>
  <c r="AA94" i="1" s="1"/>
  <c r="R204" i="1"/>
  <c r="AA204" i="1" s="1"/>
  <c r="R265" i="1"/>
  <c r="AA265" i="1" s="1"/>
  <c r="R47" i="1"/>
  <c r="AA47" i="1" s="1"/>
  <c r="R219" i="1"/>
  <c r="AA219" i="1" s="1"/>
  <c r="R309" i="1"/>
  <c r="AA309" i="1" s="1"/>
  <c r="R314" i="1"/>
  <c r="AA314" i="1" s="1"/>
  <c r="R77" i="1"/>
  <c r="AA77" i="1" s="1"/>
  <c r="R199" i="1"/>
  <c r="AA199" i="1" s="1"/>
  <c r="R250" i="1"/>
  <c r="AA250" i="1" s="1"/>
  <c r="R72" i="1"/>
  <c r="AA72" i="1" s="1"/>
  <c r="R93" i="1"/>
  <c r="AA93" i="1" s="1"/>
  <c r="R193" i="1"/>
  <c r="AA193" i="1" s="1"/>
  <c r="R97" i="1"/>
  <c r="AA97" i="1" s="1"/>
  <c r="R54" i="1"/>
  <c r="AA54" i="1" s="1"/>
  <c r="R226" i="1"/>
  <c r="AA226" i="1" s="1"/>
  <c r="R80" i="1"/>
  <c r="AA80" i="1" s="1"/>
  <c r="R116" i="1"/>
  <c r="AA116" i="1" s="1"/>
  <c r="R147" i="1"/>
  <c r="AA147" i="1" s="1"/>
  <c r="R65" i="1"/>
  <c r="AA65" i="1" s="1"/>
  <c r="R319" i="1"/>
  <c r="AA319" i="1" s="1"/>
  <c r="R150" i="1"/>
  <c r="AA150" i="1" s="1"/>
  <c r="R269" i="1"/>
  <c r="AA269" i="1" s="1"/>
  <c r="R182" i="1"/>
  <c r="AA182" i="1" s="1"/>
  <c r="R292" i="1"/>
  <c r="AA292" i="1" s="1"/>
  <c r="R308" i="1"/>
  <c r="AA308" i="1" s="1"/>
  <c r="R238" i="1"/>
  <c r="AA238" i="1" s="1"/>
  <c r="R273" i="1"/>
  <c r="AA273" i="1" s="1"/>
  <c r="R264" i="1"/>
  <c r="AA264" i="1" s="1"/>
  <c r="R266" i="1"/>
  <c r="AA266" i="1" s="1"/>
  <c r="R284" i="1"/>
  <c r="AA284" i="1" s="1"/>
  <c r="R60" i="1"/>
  <c r="AA60" i="1" s="1"/>
  <c r="R254" i="1"/>
  <c r="AA254" i="1" s="1"/>
  <c r="R181" i="1"/>
  <c r="AA181" i="1" s="1"/>
  <c r="R187" i="1"/>
  <c r="AA187" i="1" s="1"/>
  <c r="R88" i="1"/>
  <c r="AA88" i="1" s="1"/>
  <c r="R205" i="1"/>
  <c r="AA205" i="1" s="1"/>
  <c r="R76" i="1"/>
  <c r="AA76" i="1" s="1"/>
  <c r="R315" i="1"/>
  <c r="AA315" i="1" s="1"/>
  <c r="R73" i="1"/>
  <c r="AA73" i="1" s="1"/>
  <c r="R189" i="1"/>
  <c r="AA189" i="1" s="1"/>
  <c r="R33" i="1"/>
  <c r="AA33" i="1" s="1"/>
  <c r="R252" i="1"/>
  <c r="AA252" i="1" s="1"/>
  <c r="R71" i="1"/>
  <c r="AA71" i="1" s="1"/>
  <c r="R99" i="1"/>
  <c r="AA99" i="1" s="1"/>
  <c r="R196" i="1"/>
  <c r="AA196" i="1" s="1"/>
  <c r="R158" i="1"/>
  <c r="AA158" i="1" s="1"/>
  <c r="R275" i="1"/>
  <c r="AA275" i="1" s="1"/>
  <c r="R258" i="1"/>
  <c r="AA258" i="1" s="1"/>
  <c r="R316" i="1"/>
  <c r="AA316" i="1" s="1"/>
  <c r="R318" i="1"/>
  <c r="AA318" i="1" s="1"/>
  <c r="R8" i="1"/>
  <c r="AA8" i="1" s="1"/>
  <c r="R83" i="1"/>
  <c r="AA83" i="1" s="1"/>
  <c r="R4" i="1"/>
  <c r="AA4" i="1" s="1"/>
  <c r="R180" i="1"/>
  <c r="AA180" i="1" s="1"/>
  <c r="R303" i="1"/>
  <c r="AA303" i="1" s="1"/>
  <c r="R17" i="1"/>
  <c r="AA17" i="1" s="1"/>
  <c r="R163" i="1"/>
  <c r="AA163" i="1" s="1"/>
  <c r="R276" i="1"/>
  <c r="AA276" i="1" s="1"/>
  <c r="R91" i="1"/>
  <c r="AA91" i="1" s="1"/>
  <c r="R272" i="1"/>
  <c r="AA272" i="1" s="1"/>
  <c r="R178" i="1"/>
  <c r="AA178" i="1" s="1"/>
  <c r="R29" i="1"/>
  <c r="AA29" i="1" s="1"/>
  <c r="R216" i="1"/>
  <c r="AA216" i="1" s="1"/>
  <c r="R239" i="1"/>
  <c r="AA239" i="1" s="1"/>
  <c r="R208" i="1"/>
  <c r="AA208" i="1" s="1"/>
  <c r="R31" i="1"/>
  <c r="AA31" i="1" s="1"/>
  <c r="R175" i="1"/>
  <c r="AA175" i="1" s="1"/>
  <c r="R10" i="1"/>
  <c r="AA10" i="1" s="1"/>
  <c r="R69" i="1"/>
  <c r="AA69" i="1" s="1"/>
  <c r="R256" i="1"/>
  <c r="AA256" i="1" s="1"/>
  <c r="R297" i="1"/>
  <c r="AA297" i="1" s="1"/>
  <c r="R211" i="1"/>
  <c r="AA211" i="1" s="1"/>
  <c r="R179" i="1"/>
  <c r="AA179" i="1" s="1"/>
  <c r="R130" i="1"/>
  <c r="AA130" i="1" s="1"/>
  <c r="R127" i="1"/>
  <c r="AA127" i="1" s="1"/>
  <c r="R113" i="1"/>
  <c r="AA113" i="1" s="1"/>
  <c r="R165" i="1"/>
  <c r="AA165" i="1" s="1"/>
  <c r="R11" i="1"/>
  <c r="AA11" i="1" s="1"/>
  <c r="R5" i="1"/>
  <c r="AA5" i="1" s="1"/>
  <c r="R6" i="1"/>
  <c r="AA6" i="1" s="1"/>
  <c r="R157" i="1"/>
  <c r="AA157" i="1" s="1"/>
  <c r="R262" i="1"/>
  <c r="AA262" i="1" s="1"/>
  <c r="R142" i="1"/>
  <c r="AA142" i="1" s="1"/>
  <c r="R190" i="1"/>
  <c r="AA190" i="1" s="1"/>
  <c r="R43" i="1"/>
  <c r="AA43" i="1" s="1"/>
  <c r="R81" i="1"/>
  <c r="AA81" i="1" s="1"/>
  <c r="R317" i="1"/>
  <c r="AA317" i="1" s="1"/>
  <c r="R122" i="1"/>
  <c r="AA122" i="1" s="1"/>
  <c r="R23" i="1"/>
  <c r="AA23" i="1" s="1"/>
  <c r="R148" i="1"/>
  <c r="AA148" i="1" s="1"/>
  <c r="R221" i="1"/>
  <c r="AA221" i="1" s="1"/>
  <c r="R52" i="1"/>
  <c r="AA52" i="1" s="1"/>
  <c r="R16" i="1"/>
  <c r="AA16" i="1" s="1"/>
  <c r="R197" i="1"/>
  <c r="AA197" i="1" s="1"/>
  <c r="R137" i="1"/>
  <c r="AA137" i="1" s="1"/>
  <c r="R232" i="1"/>
  <c r="AA232" i="1" s="1"/>
  <c r="R188" i="1"/>
  <c r="AA188" i="1" s="1"/>
  <c r="R39" i="1"/>
  <c r="AA39" i="1" s="1"/>
  <c r="R247" i="1"/>
  <c r="AA247" i="1" s="1"/>
  <c r="R115" i="1"/>
  <c r="AA115" i="1" s="1"/>
  <c r="R101" i="1"/>
  <c r="AA101" i="1" s="1"/>
  <c r="R195" i="1"/>
  <c r="AA195" i="1" s="1"/>
  <c r="R57" i="1"/>
  <c r="AA57" i="1" s="1"/>
  <c r="R207" i="1"/>
  <c r="AA207" i="1" s="1"/>
  <c r="R90" i="1"/>
  <c r="AA90" i="1" s="1"/>
  <c r="R74" i="1"/>
  <c r="AA74" i="1" s="1"/>
  <c r="R164" i="1"/>
  <c r="AA164" i="1" s="1"/>
  <c r="R145" i="1"/>
  <c r="AA145" i="1" s="1"/>
  <c r="R27" i="1"/>
  <c r="AA27" i="1" s="1"/>
  <c r="R162" i="1"/>
  <c r="AA162" i="1" s="1"/>
  <c r="R24" i="1"/>
  <c r="AA24" i="1" s="1"/>
  <c r="R289" i="1"/>
  <c r="AA289" i="1" s="1"/>
  <c r="R36" i="1"/>
  <c r="AA36" i="1" s="1"/>
  <c r="R201" i="1"/>
  <c r="AA201" i="1" s="1"/>
  <c r="R300" i="1"/>
  <c r="AA300" i="1" s="1"/>
  <c r="R75" i="1"/>
  <c r="AA75" i="1" s="1"/>
  <c r="R98" i="1"/>
  <c r="AA98" i="1" s="1"/>
  <c r="R15" i="1"/>
  <c r="AA15" i="1" s="1"/>
  <c r="R168" i="1"/>
  <c r="AA168" i="1" s="1"/>
  <c r="R198" i="1"/>
  <c r="AA198" i="1" s="1"/>
  <c r="R78" i="1"/>
  <c r="AA78" i="1" s="1"/>
  <c r="R214" i="1"/>
  <c r="AA214" i="1" s="1"/>
  <c r="R41" i="1"/>
  <c r="AA41" i="1" s="1"/>
  <c r="R302" i="1"/>
  <c r="AA302" i="1" s="1"/>
  <c r="R143" i="1"/>
  <c r="AA143" i="1" s="1"/>
  <c r="R92" i="1"/>
  <c r="AA92" i="1" s="1"/>
  <c r="R50" i="1"/>
  <c r="AA50" i="1" s="1"/>
  <c r="R125" i="1"/>
  <c r="AA125" i="1" s="1"/>
  <c r="R22" i="1"/>
  <c r="AA22" i="1" s="1"/>
  <c r="R95" i="1"/>
  <c r="AA95" i="1" s="1"/>
  <c r="R245" i="1"/>
  <c r="AA245" i="1" s="1"/>
  <c r="R271" i="1"/>
  <c r="AA271" i="1" s="1"/>
  <c r="R49" i="1"/>
  <c r="AA49" i="1" s="1"/>
  <c r="R167" i="1"/>
  <c r="AA167" i="1" s="1"/>
  <c r="R215" i="1"/>
  <c r="AA215" i="1" s="1"/>
  <c r="R170" i="1"/>
  <c r="AA170" i="1" s="1"/>
  <c r="R30" i="1"/>
  <c r="AA30" i="1" s="1"/>
  <c r="R37" i="1"/>
  <c r="AA37" i="1" s="1"/>
  <c r="R104" i="1"/>
  <c r="AA104" i="1" s="1"/>
  <c r="R311" i="1"/>
  <c r="AA311" i="1" s="1"/>
  <c r="R21" i="1"/>
  <c r="AA21" i="1" s="1"/>
  <c r="R236" i="1"/>
  <c r="AA236" i="1" s="1"/>
  <c r="R173" i="1"/>
  <c r="AA173" i="1" s="1"/>
  <c r="R26" i="1"/>
  <c r="AA26" i="1" s="1"/>
  <c r="R62" i="1"/>
  <c r="AA62" i="1" s="1"/>
  <c r="R200" i="1"/>
  <c r="AA200" i="1" s="1"/>
  <c r="R96" i="1"/>
  <c r="AA96" i="1" s="1"/>
  <c r="R285" i="1"/>
  <c r="AA285" i="1" s="1"/>
  <c r="R121" i="1"/>
  <c r="AA121" i="1" s="1"/>
  <c r="R106" i="1"/>
  <c r="AA106" i="1" s="1"/>
  <c r="R159" i="1"/>
  <c r="AA159" i="1" s="1"/>
  <c r="R233" i="1"/>
  <c r="AA233" i="1" s="1"/>
  <c r="R231" i="1"/>
  <c r="AA231" i="1" s="1"/>
  <c r="R277" i="1"/>
  <c r="AA277" i="1" s="1"/>
  <c r="R278" i="1"/>
  <c r="AA278" i="1" s="1"/>
  <c r="R212" i="1"/>
  <c r="AA212" i="1" s="1"/>
  <c r="R118" i="1"/>
  <c r="AA118" i="1" s="1"/>
  <c r="R56" i="1"/>
  <c r="AA56" i="1" s="1"/>
  <c r="R32" i="1"/>
  <c r="AA32" i="1" s="1"/>
  <c r="R117" i="1"/>
  <c r="AA117" i="1" s="1"/>
  <c r="R206" i="1"/>
  <c r="AA206" i="1" s="1"/>
  <c r="R153" i="1"/>
  <c r="AA153" i="1" s="1"/>
  <c r="R191" i="1"/>
  <c r="AA191" i="1" s="1"/>
  <c r="R58" i="1"/>
  <c r="AA58" i="1" s="1"/>
  <c r="R40" i="1"/>
  <c r="AA40" i="1" s="1"/>
  <c r="R288" i="1"/>
  <c r="AA288" i="1" s="1"/>
  <c r="R229" i="1"/>
  <c r="AA229" i="1" s="1"/>
  <c r="R261" i="1"/>
  <c r="AA261" i="1" s="1"/>
  <c r="R253" i="1"/>
  <c r="AA253" i="1" s="1"/>
  <c r="R286" i="1"/>
  <c r="AA286" i="1" s="1"/>
  <c r="R14" i="1"/>
  <c r="AA14" i="1" s="1"/>
  <c r="R53" i="1"/>
  <c r="AA53" i="1" s="1"/>
  <c r="R89" i="1"/>
  <c r="AA89" i="1" s="1"/>
  <c r="R136" i="1"/>
  <c r="AA136" i="1" s="1"/>
  <c r="R133" i="1"/>
  <c r="AA133" i="1" s="1"/>
  <c r="R263" i="1"/>
  <c r="AA263" i="1" s="1"/>
  <c r="R223" i="1"/>
  <c r="AA223" i="1" s="1"/>
  <c r="R228" i="1"/>
  <c r="AA228" i="1" s="1"/>
  <c r="R128" i="1"/>
  <c r="AA128" i="1" s="1"/>
  <c r="R129" i="1"/>
  <c r="AA129" i="1" s="1"/>
  <c r="R111" i="1"/>
  <c r="AA111" i="1" s="1"/>
  <c r="R240" i="1"/>
  <c r="AA240" i="1" s="1"/>
  <c r="R293" i="1"/>
  <c r="AA293" i="1" s="1"/>
  <c r="R291" i="1"/>
  <c r="AA291" i="1" s="1"/>
  <c r="R267" i="1"/>
  <c r="AA267" i="1" s="1"/>
  <c r="R298" i="1"/>
  <c r="AA298" i="1" s="1"/>
  <c r="R171" i="1"/>
  <c r="AA171" i="1" s="1"/>
  <c r="R313" i="1"/>
  <c r="AA313" i="1" s="1"/>
  <c r="R161" i="1"/>
  <c r="AA161" i="1" s="1"/>
  <c r="R42" i="1"/>
  <c r="AA42" i="1" s="1"/>
  <c r="R174" i="1"/>
  <c r="AA174" i="1" s="1"/>
  <c r="R119" i="1"/>
  <c r="AA119" i="1" s="1"/>
  <c r="R131" i="1"/>
  <c r="AA131" i="1" s="1"/>
  <c r="R280" i="1"/>
  <c r="AA280" i="1" s="1"/>
  <c r="R169" i="1"/>
  <c r="AA169" i="1" s="1"/>
  <c r="R51" i="1"/>
  <c r="AA51" i="1" s="1"/>
  <c r="R135" i="1"/>
  <c r="AA135" i="1" s="1"/>
  <c r="R38" i="1"/>
  <c r="AA38" i="1" s="1"/>
  <c r="R85" i="1"/>
  <c r="AA85" i="1" s="1"/>
  <c r="R87" i="1"/>
  <c r="AA87" i="1" s="1"/>
  <c r="R149" i="1"/>
  <c r="AA149" i="1" s="1"/>
  <c r="R305" i="1"/>
  <c r="AA305" i="1" s="1"/>
  <c r="R237" i="1"/>
  <c r="AA237" i="1" s="1"/>
  <c r="R70" i="1"/>
  <c r="AA70" i="1" s="1"/>
  <c r="R203" i="1"/>
  <c r="AA203" i="1" s="1"/>
  <c r="R255" i="1"/>
  <c r="AA255" i="1" s="1"/>
  <c r="R304" i="1"/>
  <c r="AA304" i="1" s="1"/>
  <c r="R282" i="1"/>
  <c r="AA282" i="1" s="1"/>
  <c r="R249" i="1"/>
  <c r="AA249" i="1" s="1"/>
  <c r="R107" i="1"/>
  <c r="AA107" i="1" s="1"/>
  <c r="R139" i="1"/>
  <c r="AA139" i="1" s="1"/>
  <c r="R59" i="1"/>
  <c r="AA59" i="1" s="1"/>
  <c r="R114" i="1"/>
  <c r="AA114" i="1" s="1"/>
  <c r="R225" i="1"/>
  <c r="AA225" i="1" s="1"/>
  <c r="R274" i="1"/>
  <c r="AA274" i="1" s="1"/>
  <c r="R63" i="1"/>
  <c r="AA63" i="1" s="1"/>
  <c r="R283" i="1"/>
  <c r="AA283" i="1" s="1"/>
  <c r="R321" i="1"/>
  <c r="AA321" i="1" s="1"/>
  <c r="R86" i="1"/>
  <c r="AA86" i="1" s="1"/>
  <c r="R295" i="1"/>
  <c r="AA295" i="1" s="1"/>
  <c r="R310" i="1"/>
  <c r="AA310" i="1" s="1"/>
  <c r="R126" i="1"/>
  <c r="AA126" i="1" s="1"/>
  <c r="R19" i="1"/>
  <c r="AA19" i="1" s="1"/>
  <c r="R55" i="1"/>
  <c r="AA55" i="1" s="1"/>
  <c r="R140" i="1"/>
  <c r="AA140" i="1" s="1"/>
  <c r="R270" i="1"/>
  <c r="AA270" i="1" s="1"/>
</calcChain>
</file>

<file path=xl/sharedStrings.xml><?xml version="1.0" encoding="utf-8"?>
<sst xmlns="http://schemas.openxmlformats.org/spreadsheetml/2006/main" count="1258" uniqueCount="750">
  <si>
    <t>kw_norm</t>
  </si>
  <si>
    <t>qid</t>
  </si>
  <si>
    <t>label</t>
  </si>
  <si>
    <t>ctx_sim</t>
  </si>
  <si>
    <t>lbl_sim</t>
  </si>
  <si>
    <t>canon</t>
  </si>
  <si>
    <t>alias_exact_flag</t>
  </si>
  <si>
    <t>penalty</t>
  </si>
  <si>
    <t>exact_bonus</t>
  </si>
  <si>
    <t>alias_bonus</t>
  </si>
  <si>
    <t>total</t>
  </si>
  <si>
    <t>p31_ids</t>
  </si>
  <si>
    <t>p101_ids</t>
  </si>
  <si>
    <t>p31_cnt</t>
  </si>
  <si>
    <t>p101_cnt</t>
  </si>
  <si>
    <t>p31_fuzzy_ctx</t>
  </si>
  <si>
    <t>alias</t>
  </si>
  <si>
    <t>Penalty</t>
  </si>
  <si>
    <t>clouds</t>
  </si>
  <si>
    <t>Q8074</t>
  </si>
  <si>
    <t>cloud</t>
  </si>
  <si>
    <t>Q118733587</t>
  </si>
  <si>
    <t>Q868447</t>
  </si>
  <si>
    <t>the clouds</t>
  </si>
  <si>
    <t>Q116476516</t>
  </si>
  <si>
    <t>corrosion</t>
  </si>
  <si>
    <t>Q351261</t>
  </si>
  <si>
    <t>eau d'alimentation de chaudiÃ¨re</t>
  </si>
  <si>
    <t>cvd</t>
  </si>
  <si>
    <t>Q505668</t>
  </si>
  <si>
    <t>chemical vapor deposition</t>
  </si>
  <si>
    <t>Q389735</t>
  </si>
  <si>
    <t>cardiovascular disease</t>
  </si>
  <si>
    <t>Q112193867;Q11862829</t>
  </si>
  <si>
    <t>Q203247</t>
  </si>
  <si>
    <t>nuages</t>
  </si>
  <si>
    <t>Q105543609</t>
  </si>
  <si>
    <t>Q188722</t>
  </si>
  <si>
    <t>cqfd</t>
  </si>
  <si>
    <t>Q187931;Q3062294</t>
  </si>
  <si>
    <t>tem</t>
  </si>
  <si>
    <t>Q877647</t>
  </si>
  <si>
    <t>european route e80</t>
  </si>
  <si>
    <t>Q34442</t>
  </si>
  <si>
    <t>nsfc</t>
  </si>
  <si>
    <t>Q1206671</t>
  </si>
  <si>
    <t>national society of film critics</t>
  </si>
  <si>
    <t>Q101007233;Q4220917</t>
  </si>
  <si>
    <t>Q744818</t>
  </si>
  <si>
    <t>transmission electron microscope</t>
  </si>
  <si>
    <t>Q7723503</t>
  </si>
  <si>
    <t>Q215380</t>
  </si>
  <si>
    <t>Q4501917</t>
  </si>
  <si>
    <t>national natural science foundation of china</t>
  </si>
  <si>
    <t>Q327333;Q45400320;Q5509032;Q98675100</t>
  </si>
  <si>
    <t>Q110779037</t>
  </si>
  <si>
    <t>transmission electron microscopy</t>
  </si>
  <si>
    <t>Q21198594</t>
  </si>
  <si>
    <t>les nuÃ©es</t>
  </si>
  <si>
    <t>Q3331189</t>
  </si>
  <si>
    <t>Q18045563</t>
  </si>
  <si>
    <t>tnmd</t>
  </si>
  <si>
    <t>Q7187</t>
  </si>
  <si>
    <t>Q51843949</t>
  </si>
  <si>
    <t>ghs05: corrosion</t>
  </si>
  <si>
    <t>Q19360817</t>
  </si>
  <si>
    <t>Q17911655</t>
  </si>
  <si>
    <t>cyld</t>
  </si>
  <si>
    <t>Q19082498</t>
  </si>
  <si>
    <t>Q7725634</t>
  </si>
  <si>
    <t>Q21113782</t>
  </si>
  <si>
    <t>tetraspanin-enriched microdomain</t>
  </si>
  <si>
    <t>Q5058355</t>
  </si>
  <si>
    <t>Q137056</t>
  </si>
  <si>
    <t>Q3382117</t>
  </si>
  <si>
    <t>Q1068846</t>
  </si>
  <si>
    <t>cheerleadervereinigung deutschland</t>
  </si>
  <si>
    <t>Q2485448</t>
  </si>
  <si>
    <t>Q100262880</t>
  </si>
  <si>
    <t>clean vehicles directive</t>
  </si>
  <si>
    <t>Q326124</t>
  </si>
  <si>
    <t>Q20087051</t>
  </si>
  <si>
    <t>cloud towers</t>
  </si>
  <si>
    <t>Q3305213</t>
  </si>
  <si>
    <t>Q11471</t>
  </si>
  <si>
    <t>temps</t>
  </si>
  <si>
    <t>Q181175;Q58415929</t>
  </si>
  <si>
    <t>design of experiments</t>
  </si>
  <si>
    <t>Q2334061</t>
  </si>
  <si>
    <t>Q1047113;Q1799072</t>
  </si>
  <si>
    <t>Q11663</t>
  </si>
  <si>
    <t>Q1322005</t>
  </si>
  <si>
    <t>Q36531</t>
  </si>
  <si>
    <t>Q1288568;Q34770</t>
  </si>
  <si>
    <t>hydrogen halides</t>
  </si>
  <si>
    <t>Q1572088</t>
  </si>
  <si>
    <t>hydrogen halide</t>
  </si>
  <si>
    <t>Q47154513</t>
  </si>
  <si>
    <t>Q44539</t>
  </si>
  <si>
    <t>temple</t>
  </si>
  <si>
    <t>Q81054</t>
  </si>
  <si>
    <t>tempÃªte</t>
  </si>
  <si>
    <t>Q51685</t>
  </si>
  <si>
    <t>tempe</t>
  </si>
  <si>
    <t>Q1093829;Q1549591</t>
  </si>
  <si>
    <t>Q83404</t>
  </si>
  <si>
    <t>timiÈ™oara</t>
  </si>
  <si>
    <t>Q1187811;Q1549591;Q2264924;Q34843301;Q640364</t>
  </si>
  <si>
    <t>Q11466</t>
  </si>
  <si>
    <t>tempÃ©rature</t>
  </si>
  <si>
    <t>Q230937</t>
  </si>
  <si>
    <t>Q82128</t>
  </si>
  <si>
    <t>temuco</t>
  </si>
  <si>
    <t>Q1549591;Q25412763</t>
  </si>
  <si>
    <t>Q720</t>
  </si>
  <si>
    <t>gengis khan</t>
  </si>
  <si>
    <t>Q5</t>
  </si>
  <si>
    <t>Q19281</t>
  </si>
  <si>
    <t>convective instability</t>
  </si>
  <si>
    <t>Q3268911</t>
  </si>
  <si>
    <t>Q849737</t>
  </si>
  <si>
    <t>tomographie d'Ã©mission monophotonique</t>
  </si>
  <si>
    <t>Q2671652</t>
  </si>
  <si>
    <t>Q16970</t>
  </si>
  <si>
    <t>Ã©glise</t>
  </si>
  <si>
    <t>Q811102</t>
  </si>
  <si>
    <t>Q175166</t>
  </si>
  <si>
    <t>tempera</t>
  </si>
  <si>
    <t>Q34627</t>
  </si>
  <si>
    <t>synagogue</t>
  </si>
  <si>
    <t>Q408265</t>
  </si>
  <si>
    <t>lorazÃ©pam</t>
  </si>
  <si>
    <t>Q113145171</t>
  </si>
  <si>
    <t>Q559486</t>
  </si>
  <si>
    <t>cycle de dÃ©veloppement</t>
  </si>
  <si>
    <t>Q180382</t>
  </si>
  <si>
    <t>cloud burst</t>
  </si>
  <si>
    <t>Q196939</t>
  </si>
  <si>
    <t>tÃ©moin</t>
  </si>
  <si>
    <t>Q176763;Q851176</t>
  </si>
  <si>
    <t>Q113100</t>
  </si>
  <si>
    <t>Q7889</t>
  </si>
  <si>
    <t>Q2468815</t>
  </si>
  <si>
    <t>corrosion inhibitor</t>
  </si>
  <si>
    <t>Q100434640</t>
  </si>
  <si>
    <t>Q483639</t>
  </si>
  <si>
    <t>cloud computing</t>
  </si>
  <si>
    <t>Q214469</t>
  </si>
  <si>
    <t>cloud forest</t>
  </si>
  <si>
    <t>Q2367906</t>
  </si>
  <si>
    <t>galvanic corrosion</t>
  </si>
  <si>
    <t>Q19827848</t>
  </si>
  <si>
    <t>cloud9</t>
  </si>
  <si>
    <t>Q4438121;Q61974339;Q989470</t>
  </si>
  <si>
    <t>Q6919004</t>
  </si>
  <si>
    <t>template:merge</t>
  </si>
  <si>
    <t>Q11266439</t>
  </si>
  <si>
    <t>Q3281534</t>
  </si>
  <si>
    <t>histoire moderne</t>
  </si>
  <si>
    <t>Q11514315;Q11862829;Q4671286;Q6428674</t>
  </si>
  <si>
    <t>Q184872</t>
  </si>
  <si>
    <t>loisir</t>
  </si>
  <si>
    <t>Q160092</t>
  </si>
  <si>
    <t>rubus chamaemorus</t>
  </si>
  <si>
    <t>Q16521</t>
  </si>
  <si>
    <t>Q519157</t>
  </si>
  <si>
    <t>templin</t>
  </si>
  <si>
    <t>Q42744322;Q6882870</t>
  </si>
  <si>
    <t>Q49397</t>
  </si>
  <si>
    <t>cloudsat</t>
  </si>
  <si>
    <t>Q854845</t>
  </si>
  <si>
    <t>Q21196</t>
  </si>
  <si>
    <t>pÃ¢ques</t>
  </si>
  <si>
    <t>Q1825417;Q60075825</t>
  </si>
  <si>
    <t>Q5617064</t>
  </si>
  <si>
    <t>template:in use</t>
  </si>
  <si>
    <t>Q5621848</t>
  </si>
  <si>
    <t>template:str left</t>
  </si>
  <si>
    <t>Q4778915</t>
  </si>
  <si>
    <t>cloudflare</t>
  </si>
  <si>
    <t>Q18388277;Q19967801;Q891723</t>
  </si>
  <si>
    <t>Q830457</t>
  </si>
  <si>
    <t>cloud cover</t>
  </si>
  <si>
    <t>Q914359</t>
  </si>
  <si>
    <t>cloud storage</t>
  </si>
  <si>
    <t>Q185586</t>
  </si>
  <si>
    <t>timiÈ™</t>
  </si>
  <si>
    <t>Q1776764</t>
  </si>
  <si>
    <t>Q2111939</t>
  </si>
  <si>
    <t>Q5461410</t>
  </si>
  <si>
    <t>template:wikisource</t>
  </si>
  <si>
    <t>Q5135628</t>
  </si>
  <si>
    <t>Q5173034</t>
  </si>
  <si>
    <t>corrosion fatigue</t>
  </si>
  <si>
    <t>Q1925224</t>
  </si>
  <si>
    <t>Q17928815</t>
  </si>
  <si>
    <t>flna</t>
  </si>
  <si>
    <t>Q36135</t>
  </si>
  <si>
    <t>clouded leopard</t>
  </si>
  <si>
    <t>Q1055865</t>
  </si>
  <si>
    <t>overcast</t>
  </si>
  <si>
    <t>Q6021960</t>
  </si>
  <si>
    <t>template:smiley</t>
  </si>
  <si>
    <t>Q1053973</t>
  </si>
  <si>
    <t>temptation</t>
  </si>
  <si>
    <t>Q1102629</t>
  </si>
  <si>
    <t>jeu Ã  la demande</t>
  </si>
  <si>
    <t>Q81941037</t>
  </si>
  <si>
    <t>Q842402</t>
  </si>
  <si>
    <t>mandir</t>
  </si>
  <si>
    <t>Q664424</t>
  </si>
  <si>
    <t>Q101965</t>
  </si>
  <si>
    <t>Q24469</t>
  </si>
  <si>
    <t>ceinture de gould</t>
  </si>
  <si>
    <t>Q11387</t>
  </si>
  <si>
    <t>Q432556</t>
  </si>
  <si>
    <t>cloudcroft</t>
  </si>
  <si>
    <t>Q751708</t>
  </si>
  <si>
    <t>Q40205</t>
  </si>
  <si>
    <t>cartographie des nuages</t>
  </si>
  <si>
    <t>Q182878</t>
  </si>
  <si>
    <t>tempÃªte de sable</t>
  </si>
  <si>
    <t>Q16332653</t>
  </si>
  <si>
    <t>Q16829781</t>
  </si>
  <si>
    <t>cloud rap</t>
  </si>
  <si>
    <t>Q188451</t>
  </si>
  <si>
    <t>Q31621</t>
  </si>
  <si>
    <t>coenraad jacob temminck</t>
  </si>
  <si>
    <t>Q431</t>
  </si>
  <si>
    <t>Q5692507</t>
  </si>
  <si>
    <t>heart valve dysplasia</t>
  </si>
  <si>
    <t>Q112193867;Q929833</t>
  </si>
  <si>
    <t>Q589099</t>
  </si>
  <si>
    <t>cloud gate</t>
  </si>
  <si>
    <t>Q570116;Q860861</t>
  </si>
  <si>
    <t>Q4817119</t>
  </si>
  <si>
    <t>atmospheric river</t>
  </si>
  <si>
    <t>Q376353</t>
  </si>
  <si>
    <t>cloud county</t>
  </si>
  <si>
    <t>Q13410444</t>
  </si>
  <si>
    <t>Q6091158</t>
  </si>
  <si>
    <t>template:days of the week</t>
  </si>
  <si>
    <t>Q11753321</t>
  </si>
  <si>
    <t>Q1536</t>
  </si>
  <si>
    <t>temps universel coordonnÃ©</t>
  </si>
  <si>
    <t>Q12143;Q6313217</t>
  </si>
  <si>
    <t>Q616706</t>
  </si>
  <si>
    <t>apache derby</t>
  </si>
  <si>
    <t>Q1130645;Q176165;Q341</t>
  </si>
  <si>
    <t>Q12108188</t>
  </si>
  <si>
    <t>cloud 9</t>
  </si>
  <si>
    <t>Q506240</t>
  </si>
  <si>
    <t>Q5618588</t>
  </si>
  <si>
    <t>template:hide in print</t>
  </si>
  <si>
    <t>Q1343205</t>
  </si>
  <si>
    <t>file-hosting service</t>
  </si>
  <si>
    <t>Q4036320</t>
  </si>
  <si>
    <t>Q13741;Q341</t>
  </si>
  <si>
    <t>Q6307983</t>
  </si>
  <si>
    <t>template:user pt-2</t>
  </si>
  <si>
    <t>Q19842659</t>
  </si>
  <si>
    <t>Q13405532</t>
  </si>
  <si>
    <t>anti-corrosion treatment</t>
  </si>
  <si>
    <t>Q18047858</t>
  </si>
  <si>
    <t>plxdc2</t>
  </si>
  <si>
    <t>Q96000175</t>
  </si>
  <si>
    <t>Q2979728</t>
  </si>
  <si>
    <t>cloudera</t>
  </si>
  <si>
    <t>Q6881511;Q891723</t>
  </si>
  <si>
    <t>Q18030587</t>
  </si>
  <si>
    <t>pld1</t>
  </si>
  <si>
    <t>Q1798592</t>
  </si>
  <si>
    <t>cloud strife</t>
  </si>
  <si>
    <t>Q15632617;Q1569167</t>
  </si>
  <si>
    <t>Q838498</t>
  </si>
  <si>
    <t>Q43018</t>
  </si>
  <si>
    <t>temple of ephesian artemis</t>
  </si>
  <si>
    <t>Q19860854;Q267596;Q44539;Q66108498;Q93342462</t>
  </si>
  <si>
    <t>Q585977</t>
  </si>
  <si>
    <t>corrosion sous contrainte</t>
  </si>
  <si>
    <t>Q1346018</t>
  </si>
  <si>
    <t>infrastructure as a service</t>
  </si>
  <si>
    <t>Q131339603</t>
  </si>
  <si>
    <t>Q509074</t>
  </si>
  <si>
    <t>cloudina</t>
  </si>
  <si>
    <t>Q23038290</t>
  </si>
  <si>
    <t>Q5831909</t>
  </si>
  <si>
    <t>template:cc-by-sa-2.5</t>
  </si>
  <si>
    <t>Q110010043</t>
  </si>
  <si>
    <t>Q999473</t>
  </si>
  <si>
    <t>temora</t>
  </si>
  <si>
    <t>Q3257686;Q3957</t>
  </si>
  <si>
    <t>Q7670676</t>
  </si>
  <si>
    <t>template:country data singapore</t>
  </si>
  <si>
    <t>Q108783631;Q11266439</t>
  </si>
  <si>
    <t>Q520871</t>
  </si>
  <si>
    <t>colias croceus</t>
  </si>
  <si>
    <t>Q1135391</t>
  </si>
  <si>
    <t>corrosion of conformity</t>
  </si>
  <si>
    <t>Q5621415</t>
  </si>
  <si>
    <t>template:country data austria</t>
  </si>
  <si>
    <t>Q108783631</t>
  </si>
  <si>
    <t>Q5851699</t>
  </si>
  <si>
    <t>template:country data nigeria</t>
  </si>
  <si>
    <t>Q30665</t>
  </si>
  <si>
    <t>clouded apollo</t>
  </si>
  <si>
    <t>Q414796</t>
  </si>
  <si>
    <t>tÃ©mazÃ©pam</t>
  </si>
  <si>
    <t>Q1196258</t>
  </si>
  <si>
    <t>tÃ©moignage</t>
  </si>
  <si>
    <t>Q21484471;Q23847174</t>
  </si>
  <si>
    <t>Q622088</t>
  </si>
  <si>
    <t>temnitztal</t>
  </si>
  <si>
    <t>Q116457956</t>
  </si>
  <si>
    <t>Q363830</t>
  </si>
  <si>
    <t>tempelhof</t>
  </si>
  <si>
    <t>Q35034452</t>
  </si>
  <si>
    <t>Q325555</t>
  </si>
  <si>
    <t>recaÈ™</t>
  </si>
  <si>
    <t>Q16858213</t>
  </si>
  <si>
    <t>Q2499178</t>
  </si>
  <si>
    <t>cloud database</t>
  </si>
  <si>
    <t>Q16155561</t>
  </si>
  <si>
    <t>Q134556</t>
  </si>
  <si>
    <t>Q5135764</t>
  </si>
  <si>
    <t>Q107123053</t>
  </si>
  <si>
    <t>Q260732</t>
  </si>
  <si>
    <t>temps de travail</t>
  </si>
  <si>
    <t>Q28130149</t>
  </si>
  <si>
    <t>temps-Ã©cran</t>
  </si>
  <si>
    <t>Q130011</t>
  </si>
  <si>
    <t>orage magnÃ©tique</t>
  </si>
  <si>
    <t>Q2496860</t>
  </si>
  <si>
    <t>apache cloudstack</t>
  </si>
  <si>
    <t>Q341</t>
  </si>
  <si>
    <t>Q7668142</t>
  </si>
  <si>
    <t>template:country data oman</t>
  </si>
  <si>
    <t>Q5135629</t>
  </si>
  <si>
    <t>Q101352</t>
  </si>
  <si>
    <t>Q5829701</t>
  </si>
  <si>
    <t>template:country data venezuela</t>
  </si>
  <si>
    <t>Q20174091</t>
  </si>
  <si>
    <t>Q30192</t>
  </si>
  <si>
    <t>temps moyen de greenwich</t>
  </si>
  <si>
    <t>Q425088</t>
  </si>
  <si>
    <t>tÃ©mozolomide</t>
  </si>
  <si>
    <t>Q1417876</t>
  </si>
  <si>
    <t>glass disease</t>
  </si>
  <si>
    <t>Q739827</t>
  </si>
  <si>
    <t>tÃ©m</t>
  </si>
  <si>
    <t>Q41710</t>
  </si>
  <si>
    <t>Q3517772</t>
  </si>
  <si>
    <t>temps des fÃªtes</t>
  </si>
  <si>
    <t>Q11483816</t>
  </si>
  <si>
    <t>Q7001642</t>
  </si>
  <si>
    <t>template:country data mozambique</t>
  </si>
  <si>
    <t>Q7000262</t>
  </si>
  <si>
    <t>template:country data mauritania</t>
  </si>
  <si>
    <t>Q5832631</t>
  </si>
  <si>
    <t>template:country data european union</t>
  </si>
  <si>
    <t>Q4042322</t>
  </si>
  <si>
    <t>cloudstore</t>
  </si>
  <si>
    <t>Q17088419;Q174989;Q341</t>
  </si>
  <si>
    <t>Q2024390</t>
  </si>
  <si>
    <t>remote backup service</t>
  </si>
  <si>
    <t>Q1550776</t>
  </si>
  <si>
    <t>korroziya metalla</t>
  </si>
  <si>
    <t>Q1144385</t>
  </si>
  <si>
    <t>taux de prothrombine</t>
  </si>
  <si>
    <t>Q35494</t>
  </si>
  <si>
    <t>calipso</t>
  </si>
  <si>
    <t>Q1756116</t>
  </si>
  <si>
    <t>temnora</t>
  </si>
  <si>
    <t>Q65929600</t>
  </si>
  <si>
    <t>corrosion test</t>
  </si>
  <si>
    <t>Q217602</t>
  </si>
  <si>
    <t>Q1997676</t>
  </si>
  <si>
    <t>tempoal</t>
  </si>
  <si>
    <t>Q1952852</t>
  </si>
  <si>
    <t>Q391351</t>
  </si>
  <si>
    <t>clouds rest</t>
  </si>
  <si>
    <t>Q8502</t>
  </si>
  <si>
    <t>Q3399465</t>
  </si>
  <si>
    <t>clouds hill</t>
  </si>
  <si>
    <t>Q2087181</t>
  </si>
  <si>
    <t>Q929313</t>
  </si>
  <si>
    <t>temponade cardiaque</t>
  </si>
  <si>
    <t>Q112193867;Q18553676</t>
  </si>
  <si>
    <t>Q637169</t>
  </si>
  <si>
    <t>cloudy with a chance of meatballs</t>
  </si>
  <si>
    <t>Q202866</t>
  </si>
  <si>
    <t>Q2592476</t>
  </si>
  <si>
    <t>Q58180408</t>
  </si>
  <si>
    <t>Q56737144</t>
  </si>
  <si>
    <t>Q12640000</t>
  </si>
  <si>
    <t>Q93133342</t>
  </si>
  <si>
    <t>cloudpunk</t>
  </si>
  <si>
    <t>Q5393308</t>
  </si>
  <si>
    <t>temple bouddhiste</t>
  </si>
  <si>
    <t>Q87526641</t>
  </si>
  <si>
    <t>â˜</t>
  </si>
  <si>
    <t>Q1049294;Q29654788</t>
  </si>
  <si>
    <t>Q3511129</t>
  </si>
  <si>
    <t>corrosion engineering</t>
  </si>
  <si>
    <t>Q11862829</t>
  </si>
  <si>
    <t>Q603255</t>
  </si>
  <si>
    <t>percichthyidae</t>
  </si>
  <si>
    <t>Q663272</t>
  </si>
  <si>
    <t>expert ou experte judiciaire</t>
  </si>
  <si>
    <t>Q214339;Q28640</t>
  </si>
  <si>
    <t>Q110548120</t>
  </si>
  <si>
    <t>Q11060274;Q18218093;Q838948</t>
  </si>
  <si>
    <t>Q1420239</t>
  </si>
  <si>
    <t>universitÃ© temple</t>
  </si>
  <si>
    <t>Q23002039;Q2668072;Q3918</t>
  </si>
  <si>
    <t>Q1076369</t>
  </si>
  <si>
    <t>choc cytokinique</t>
  </si>
  <si>
    <t>Q1931388</t>
  </si>
  <si>
    <t>Q1102645</t>
  </si>
  <si>
    <t>cloud nothings</t>
  </si>
  <si>
    <t>Q1102652</t>
  </si>
  <si>
    <t>cloudscape</t>
  </si>
  <si>
    <t>Q1493450</t>
  </si>
  <si>
    <t>corrosion Ã  haute tempÃ©rature</t>
  </si>
  <si>
    <t>Q111366900</t>
  </si>
  <si>
    <t>corrosion inhibition</t>
  </si>
  <si>
    <t>Q268592</t>
  </si>
  <si>
    <t>Q1046088</t>
  </si>
  <si>
    <t>temple de la renommÃ©e</t>
  </si>
  <si>
    <t>Q107467117</t>
  </si>
  <si>
    <t>Q18676757</t>
  </si>
  <si>
    <t>Q1902763;Q3305213</t>
  </si>
  <si>
    <t>Q7169254</t>
  </si>
  <si>
    <t>template:bcdb title</t>
  </si>
  <si>
    <t>Q1064312</t>
  </si>
  <si>
    <t>cloud cult</t>
  </si>
  <si>
    <t>Q3548033</t>
  </si>
  <si>
    <t>Q1114461;Q30174902</t>
  </si>
  <si>
    <t>Q277157</t>
  </si>
  <si>
    <t>cloudy with a chance of meatballs 2</t>
  </si>
  <si>
    <t>Q22095616</t>
  </si>
  <si>
    <t>cloudsim</t>
  </si>
  <si>
    <t>Q7397</t>
  </si>
  <si>
    <t>Q5534660</t>
  </si>
  <si>
    <t>geoffrey hendricks</t>
  </si>
  <si>
    <t>Q113723376</t>
  </si>
  <si>
    <t>Q105071964</t>
  </si>
  <si>
    <t>Q202444</t>
  </si>
  <si>
    <t>Q102080180</t>
  </si>
  <si>
    <t>Q860861</t>
  </si>
  <si>
    <t>Q11193408</t>
  </si>
  <si>
    <t>Q50947865</t>
  </si>
  <si>
    <t>Q20634460</t>
  </si>
  <si>
    <t>Q21620788</t>
  </si>
  <si>
    <t>Q28039548</t>
  </si>
  <si>
    <t>Q19888744</t>
  </si>
  <si>
    <t>Q98706478</t>
  </si>
  <si>
    <t>Q20421180</t>
  </si>
  <si>
    <t>Q106566827</t>
  </si>
  <si>
    <t>Q100367914</t>
  </si>
  <si>
    <t>Q24055379</t>
  </si>
  <si>
    <t>Q79288279</t>
  </si>
  <si>
    <t>Q79291843</t>
  </si>
  <si>
    <t>Q79288389</t>
  </si>
  <si>
    <t>Q79294867</t>
  </si>
  <si>
    <t>Q18563217</t>
  </si>
  <si>
    <t>Q18761202</t>
  </si>
  <si>
    <t>Q79288341</t>
  </si>
  <si>
    <t>Q79294053</t>
  </si>
  <si>
    <t>Q110218463</t>
  </si>
  <si>
    <t>Q125191</t>
  </si>
  <si>
    <t>Q79288240</t>
  </si>
  <si>
    <t>Q112635406</t>
  </si>
  <si>
    <t>Q59506817</t>
  </si>
  <si>
    <t>Q158106</t>
  </si>
  <si>
    <t>arrondissement de tempelhof-schÃ¶neberg</t>
  </si>
  <si>
    <t>Q821435</t>
  </si>
  <si>
    <t>Q100937286</t>
  </si>
  <si>
    <t>Q7302866</t>
  </si>
  <si>
    <t>Q5135768</t>
  </si>
  <si>
    <t>clouds house</t>
  </si>
  <si>
    <t>Q3947</t>
  </si>
  <si>
    <t>Q13384512</t>
  </si>
  <si>
    <t>template:infobox lighthouse</t>
  </si>
  <si>
    <t>Q19887878</t>
  </si>
  <si>
    <t>Q13479680</t>
  </si>
  <si>
    <t>cloud species</t>
  </si>
  <si>
    <t>Q4050817</t>
  </si>
  <si>
    <t>temnothorax</t>
  </si>
  <si>
    <t>Q1102640</t>
  </si>
  <si>
    <t>cloudesley shovell</t>
  </si>
  <si>
    <t>Q2553613</t>
  </si>
  <si>
    <t>internet video</t>
  </si>
  <si>
    <t>Q616667</t>
  </si>
  <si>
    <t>temporal lobe epilepsy</t>
  </si>
  <si>
    <t>Q2610633</t>
  </si>
  <si>
    <t>commissariaat voor de media</t>
  </si>
  <si>
    <t>Q32798322</t>
  </si>
  <si>
    <t>Q6807904</t>
  </si>
  <si>
    <t>maison d'assemblÃ©e</t>
  </si>
  <si>
    <t>Q11743785</t>
  </si>
  <si>
    <t>corrosion of metals</t>
  </si>
  <si>
    <t>Q18615962</t>
  </si>
  <si>
    <t>temnaspis</t>
  </si>
  <si>
    <t>Q2635276</t>
  </si>
  <si>
    <t>temps immÃ©morial</t>
  </si>
  <si>
    <t>Q1755136</t>
  </si>
  <si>
    <t>temps de cÃ©phaline activÃ©e</t>
  </si>
  <si>
    <t>Q886837</t>
  </si>
  <si>
    <t>Q1272537</t>
  </si>
  <si>
    <t>corrosion des aciers dans le bÃ©ton</t>
  </si>
  <si>
    <t>Q3249551</t>
  </si>
  <si>
    <t>Q1454583</t>
  </si>
  <si>
    <t>temple maÃ§onnique</t>
  </si>
  <si>
    <t>Q3681214</t>
  </si>
  <si>
    <t>cloudkicker</t>
  </si>
  <si>
    <t>Q5135780</t>
  </si>
  <si>
    <t>cloudstreet</t>
  </si>
  <si>
    <t>Q5173030</t>
  </si>
  <si>
    <t>corrosion in space</t>
  </si>
  <si>
    <t>Q113131132</t>
  </si>
  <si>
    <t>corrosion engineer</t>
  </si>
  <si>
    <t>Q12737077;Q28640</t>
  </si>
  <si>
    <t>Q2680845</t>
  </si>
  <si>
    <t>temple chinois</t>
  </si>
  <si>
    <t>Q77977294</t>
  </si>
  <si>
    <t>Q50889494</t>
  </si>
  <si>
    <t>Q18615484</t>
  </si>
  <si>
    <t>Q838795</t>
  </si>
  <si>
    <t>Q1136687</t>
  </si>
  <si>
    <t>temple de la renommÃ©e du hockey</t>
  </si>
  <si>
    <t>Q42245028</t>
  </si>
  <si>
    <t>Q1228867</t>
  </si>
  <si>
    <t>clouds of witness</t>
  </si>
  <si>
    <t>Q96052471</t>
  </si>
  <si>
    <t>cockpit voice and data recorder</t>
  </si>
  <si>
    <t>Q1517587</t>
  </si>
  <si>
    <t>tÃ©miscouata</t>
  </si>
  <si>
    <t>Q204613</t>
  </si>
  <si>
    <t>Q19461057</t>
  </si>
  <si>
    <t>Q1469751</t>
  </si>
  <si>
    <t>corrosion protection medium</t>
  </si>
  <si>
    <t>Q16829513</t>
  </si>
  <si>
    <t>Q492419</t>
  </si>
  <si>
    <t>fcr 2001 duisburg</t>
  </si>
  <si>
    <t>Q51481377</t>
  </si>
  <si>
    <t>Q2162831</t>
  </si>
  <si>
    <t>cloud nine</t>
  </si>
  <si>
    <t>Q68816637</t>
  </si>
  <si>
    <t>Q5124673</t>
  </si>
  <si>
    <t>Q16884395</t>
  </si>
  <si>
    <t>templeman</t>
  </si>
  <si>
    <t>Q3157041</t>
  </si>
  <si>
    <t>tempÃªte tropicale</t>
  </si>
  <si>
    <t>Q105692813</t>
  </si>
  <si>
    <t>ieee international conference on cloud computing</t>
  </si>
  <si>
    <t>Q47258130</t>
  </si>
  <si>
    <t>Q124316328</t>
  </si>
  <si>
    <t>cloudsurfers</t>
  </si>
  <si>
    <t>Q50866964</t>
  </si>
  <si>
    <t>cloud native computing foundation</t>
  </si>
  <si>
    <t>Q18325460;Q39998995</t>
  </si>
  <si>
    <t>Q16919268</t>
  </si>
  <si>
    <t>corrosion under insulation</t>
  </si>
  <si>
    <t>Q5135617</t>
  </si>
  <si>
    <t>cloudsnap</t>
  </si>
  <si>
    <t>Q28974776</t>
  </si>
  <si>
    <t>cloud-init</t>
  </si>
  <si>
    <t>Q55118269</t>
  </si>
  <si>
    <t>cardiovascular disease ontology</t>
  </si>
  <si>
    <t>Q324254</t>
  </si>
  <si>
    <t>Q105699400</t>
  </si>
  <si>
    <t>computer vision meets databases</t>
  </si>
  <si>
    <t>Q110599030</t>
  </si>
  <si>
    <t>cimetiÃ¨re de vieux doulon</t>
  </si>
  <si>
    <t>Q548662</t>
  </si>
  <si>
    <t>Q21866939</t>
  </si>
  <si>
    <t>national society of film critics award</t>
  </si>
  <si>
    <t>Q107655869</t>
  </si>
  <si>
    <t>Q842400</t>
  </si>
  <si>
    <t>temples of kwan tai</t>
  </si>
  <si>
    <t>Q16540469</t>
  </si>
  <si>
    <t>cloud imperium games</t>
  </si>
  <si>
    <t>Q210167</t>
  </si>
  <si>
    <t>Q5135766</t>
  </si>
  <si>
    <t>clouds across the moon</t>
  </si>
  <si>
    <t>Q52217896</t>
  </si>
  <si>
    <t>national natural science foundation of china open access policy</t>
  </si>
  <si>
    <t>Q2000006</t>
  </si>
  <si>
    <t>Q29186572</t>
  </si>
  <si>
    <t>cloudesley brereton</t>
  </si>
  <si>
    <t>Q5135728</t>
  </si>
  <si>
    <t>cloudberry kingdom</t>
  </si>
  <si>
    <t>Q55830125</t>
  </si>
  <si>
    <t>corrosion resistance</t>
  </si>
  <si>
    <t>Q764285</t>
  </si>
  <si>
    <t>Q27219557</t>
  </si>
  <si>
    <t>Q130882675</t>
  </si>
  <si>
    <t>cardiovascular diseases research institute</t>
  </si>
  <si>
    <t>Q13226383</t>
  </si>
  <si>
    <t>Q107385682</t>
  </si>
  <si>
    <t>cloudscraper</t>
  </si>
  <si>
    <t>Q29642950</t>
  </si>
  <si>
    <t>Q5135791</t>
  </si>
  <si>
    <t>Q111854927</t>
  </si>
  <si>
    <t>cloud m1</t>
  </si>
  <si>
    <t>Q29023906</t>
  </si>
  <si>
    <t>temporary exhibition</t>
  </si>
  <si>
    <t>Q20900263</t>
  </si>
  <si>
    <t>cloudsley louis rutter</t>
  </si>
  <si>
    <t>Q106641023</t>
  </si>
  <si>
    <t>cvd-0013943</t>
  </si>
  <si>
    <t>ab-initio calculations</t>
  </si>
  <si>
    <t>Q97611808</t>
  </si>
  <si>
    <t>ab initio calculations in scintillator research</t>
  </si>
  <si>
    <t>Q187685</t>
  </si>
  <si>
    <t>Q123751201</t>
  </si>
  <si>
    <t>design of experiments for reliability achievement</t>
  </si>
  <si>
    <t>Q12623189</t>
  </si>
  <si>
    <t>corrosion science society of korea</t>
  </si>
  <si>
    <t>Q955824</t>
  </si>
  <si>
    <t>Q110160416</t>
  </si>
  <si>
    <t>cloud region</t>
  </si>
  <si>
    <t>Q85632250</t>
  </si>
  <si>
    <t>cloud gaming service</t>
  </si>
  <si>
    <t>Q5135655</t>
  </si>
  <si>
    <t>cloud county community college</t>
  </si>
  <si>
    <t>Q1336920;Q23002039</t>
  </si>
  <si>
    <t>mixed convection</t>
  </si>
  <si>
    <t>Q97612642</t>
  </si>
  <si>
    <t>mixed-convection instabilities in chemical vapor deposition reactors</t>
  </si>
  <si>
    <t>Q7698689</t>
  </si>
  <si>
    <t>temple university beasley school of law</t>
  </si>
  <si>
    <t>Q1321960</t>
  </si>
  <si>
    <t>Q104765433</t>
  </si>
  <si>
    <t>nuages en finlande</t>
  </si>
  <si>
    <t>Q101149183</t>
  </si>
  <si>
    <t>corrosion of conformity discography</t>
  </si>
  <si>
    <t>Q273057</t>
  </si>
  <si>
    <t>Q97612918</t>
  </si>
  <si>
    <t>corrosion fatigue of structural steel in seawater</t>
  </si>
  <si>
    <t>long range interactions</t>
  </si>
  <si>
    <t>Q59623883</t>
  </si>
  <si>
    <t>long range interactions regulate v(d)j recombination at the murine immunoglobulin lambda locus</t>
  </si>
  <si>
    <t>Q105427364</t>
  </si>
  <si>
    <t>king's commissioner of drenthe</t>
  </si>
  <si>
    <t>Q4164871</t>
  </si>
  <si>
    <t>Q28801911</t>
  </si>
  <si>
    <t>king's commissioner of limburg</t>
  </si>
  <si>
    <t>Q27650822</t>
  </si>
  <si>
    <t>king's commissioner of utrecht</t>
  </si>
  <si>
    <t>Q105427368</t>
  </si>
  <si>
    <t>king's commissioner of zeeland</t>
  </si>
  <si>
    <t>Q112880948</t>
  </si>
  <si>
    <t>ab initio calculations of water and ice : structural, electronic and optical properties</t>
  </si>
  <si>
    <t>Q104970674</t>
  </si>
  <si>
    <t>cvdbemjtpgtiid-jfvxfanosa-n</t>
  </si>
  <si>
    <t>Q59199015</t>
  </si>
  <si>
    <t>Q104970678</t>
  </si>
  <si>
    <t>cvdqdossutxmst-uhfffaoysa-n</t>
  </si>
  <si>
    <t>Q68749726</t>
  </si>
  <si>
    <t>corrosion and environmental degradation ii</t>
  </si>
  <si>
    <t>Q105427363</t>
  </si>
  <si>
    <t>king's commissioner of friesland</t>
  </si>
  <si>
    <t>Q105427362</t>
  </si>
  <si>
    <t>commissaire du roi Ã  groningue</t>
  </si>
  <si>
    <t>Q105427367</t>
  </si>
  <si>
    <t>commissaire du roi au flevoland</t>
  </si>
  <si>
    <t>wikimedia infobox template</t>
  </si>
  <si>
    <t>Q28530179</t>
  </si>
  <si>
    <t>king's commissioner of gelderland</t>
  </si>
  <si>
    <t>Q105427365</t>
  </si>
  <si>
    <t>king's commissioner of overijssel</t>
  </si>
  <si>
    <t>Q104970676</t>
  </si>
  <si>
    <t>cvdqdossutxmst-cywwhkobsa-n</t>
  </si>
  <si>
    <t>Q104970677</t>
  </si>
  <si>
    <t>cvdqdossutxmst-nhzfslkxsa-n</t>
  </si>
  <si>
    <t>Q59497131</t>
  </si>
  <si>
    <t>clouds and black hills</t>
  </si>
  <si>
    <t>Q102459691</t>
  </si>
  <si>
    <t>cardiovascular digital health journal</t>
  </si>
  <si>
    <t>Q16024164</t>
  </si>
  <si>
    <t>Q27531658</t>
  </si>
  <si>
    <t>king's commissioner of south holland</t>
  </si>
  <si>
    <t>Q14888544</t>
  </si>
  <si>
    <t>temperature homeostasis</t>
  </si>
  <si>
    <t>Q2996394</t>
  </si>
  <si>
    <t>Q27516596</t>
  </si>
  <si>
    <t>king's commissioner of north holland</t>
  </si>
  <si>
    <t>Q105427369</t>
  </si>
  <si>
    <t>king's commissioner of north brabant</t>
  </si>
  <si>
    <t>Q56613802</t>
  </si>
  <si>
    <t>corrosion processes and mechanisms in the presence of monoethylene glycol (meg)</t>
  </si>
  <si>
    <t>Q26377383</t>
  </si>
  <si>
    <t>corrosion of commercial alloys in a chlorine-sulfur atmosphere at high temperatures</t>
  </si>
  <si>
    <t>Q591041</t>
  </si>
  <si>
    <t>Q101149215</t>
  </si>
  <si>
    <t>corrosion of conformity's albums in chronological order</t>
  </si>
  <si>
    <t>Q59191021</t>
  </si>
  <si>
    <t>Q122761132</t>
  </si>
  <si>
    <t>corrosion inhibitor composition and methods of inhibiting corrosion during acid pickling</t>
  </si>
  <si>
    <t>Q43305660</t>
  </si>
  <si>
    <t>Q63368467</t>
  </si>
  <si>
    <t>corrosion prediction in residual co2 streams: shifting the paradigm</t>
  </si>
  <si>
    <t>Q1298668;Q54875403</t>
  </si>
  <si>
    <t>Q26359712</t>
  </si>
  <si>
    <t>corrosion studies in brines of the salton sea geothermal field</t>
  </si>
  <si>
    <t>Q3099732</t>
  </si>
  <si>
    <t>Q56614267</t>
  </si>
  <si>
    <t>corrosion behaviour of x65 carbon steel under flowing conditions</t>
  </si>
  <si>
    <t>Q58460224</t>
  </si>
  <si>
    <t>corrosion and erosion-corrosion processes of metal matrix composites in slurry conditions for oilsands application</t>
  </si>
  <si>
    <t>Q26369592</t>
  </si>
  <si>
    <t>corrosion in geothermal brines of the salton sea known geothermal resource area</t>
  </si>
  <si>
    <t>Q21481766</t>
  </si>
  <si>
    <t>Q60349014</t>
  </si>
  <si>
    <t>corrosion and tribo-corrosion behaviour of metallic orthopaedic implant materials</t>
  </si>
  <si>
    <t>Q112836283</t>
  </si>
  <si>
    <t>corrosion fatigue of 2024-t4 aluminium alloy in contact with superphosphate fertilizer</t>
  </si>
  <si>
    <t>Q56612978</t>
  </si>
  <si>
    <t>corrosion and erosion-corrosion behaviour of lean duplex stainless steels in marine and oilfield environments</t>
  </si>
  <si>
    <t>Q62054033</t>
  </si>
  <si>
    <t>cvd nutrition education</t>
  </si>
  <si>
    <t>Q30612</t>
  </si>
  <si>
    <t>Q126392607</t>
  </si>
  <si>
    <t>cvd coated cutting tool</t>
  </si>
  <si>
    <t>Q126392874</t>
  </si>
  <si>
    <t>Q65382839</t>
  </si>
  <si>
    <t>cvd risk reduction trial</t>
  </si>
  <si>
    <t>Q65391441</t>
  </si>
  <si>
    <t>cvd 909 vi prime boost study</t>
  </si>
  <si>
    <t>Q63805151</t>
  </si>
  <si>
    <t>cvd risk factor knowledge across age groups</t>
  </si>
  <si>
    <t>Q66036763</t>
  </si>
  <si>
    <t>cvd risk factors and sexual identity in women</t>
  </si>
  <si>
    <t>Q63394690</t>
  </si>
  <si>
    <t>cvd nutrition education for low literacy esl students</t>
  </si>
  <si>
    <t>Q66060160</t>
  </si>
  <si>
    <t>cvd nutrition modules tailored to low literacy skills</t>
  </si>
  <si>
    <t>Q66061699</t>
  </si>
  <si>
    <t>cvd risk and health in postmenopausal phytoestrogen users</t>
  </si>
  <si>
    <t>Q97615288</t>
  </si>
  <si>
    <t>cvd techniques for the synthesis or modification of porous ceramics</t>
  </si>
  <si>
    <t>Q63599804</t>
  </si>
  <si>
    <t>cvd 38000: study of responses to vaccination with typhoid and/or cholera</t>
  </si>
  <si>
    <t>Q66065283</t>
  </si>
  <si>
    <t>cvd 37000: immunity and microbiome studies at intestinal and systemic sites in ty21a vaccinated adults</t>
  </si>
  <si>
    <t>Short acronym</t>
  </si>
  <si>
    <t>Q7841462</t>
  </si>
  <si>
    <t>triethylenemelamine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</si>
</sst>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1" fontId="0" fillId="0" borderId="0" xfId="0" applyNumberFormat="1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8F89-1EAF-4E6D-9819-F5CCF96F356C}">
  <sheetPr filterMode="1"/>
  <dimension ref="A1:AB327"/>
  <sheetViews>
    <sheetView tabSelected="1" zoomScale="75" workbookViewId="0">
      <selection activeCell="P338" sqref="P338"/>
    </sheetView>
  </sheetViews>
  <sheetFormatPr defaultRowHeight="14.4" x14ac:dyDescent="0.3"/>
  <cols>
    <col min="1" max="1" width="9.77734375" customWidth="1"/>
    <col min="2" max="2" width="16.6640625" customWidth="1"/>
    <col min="3" max="3" width="25.6640625" customWidth="1"/>
    <col min="27" max="27" width="8.88671875" style="2"/>
  </cols>
  <sheetData>
    <row r="1" spans="1:28" x14ac:dyDescent="0.3">
      <c r="S1">
        <v>2</v>
      </c>
      <c r="T1">
        <v>0.4</v>
      </c>
      <c r="U1">
        <v>3</v>
      </c>
      <c r="V1">
        <v>50</v>
      </c>
      <c r="W1">
        <v>2.5</v>
      </c>
      <c r="X1">
        <v>1</v>
      </c>
      <c r="Y1">
        <v>1</v>
      </c>
    </row>
    <row r="2" spans="1:28" x14ac:dyDescent="0.3">
      <c r="S2">
        <v>2</v>
      </c>
      <c r="T2">
        <v>0.4</v>
      </c>
      <c r="U2">
        <v>2</v>
      </c>
      <c r="V2">
        <v>50</v>
      </c>
      <c r="W2">
        <v>4</v>
      </c>
      <c r="X2">
        <v>1</v>
      </c>
      <c r="Y2">
        <v>1</v>
      </c>
    </row>
    <row r="3" spans="1:28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R3" s="1"/>
      <c r="S3" s="1" t="s">
        <v>3</v>
      </c>
      <c r="T3" s="1" t="s">
        <v>4</v>
      </c>
      <c r="U3" s="1" t="s">
        <v>5</v>
      </c>
      <c r="V3" s="1" t="s">
        <v>16</v>
      </c>
      <c r="W3" s="1" t="s">
        <v>15</v>
      </c>
      <c r="X3" s="1" t="s">
        <v>8</v>
      </c>
      <c r="Y3" s="1" t="s">
        <v>13</v>
      </c>
      <c r="Z3" s="1" t="s">
        <v>17</v>
      </c>
      <c r="AB3" s="1" t="s">
        <v>747</v>
      </c>
    </row>
    <row r="4" spans="1:28" hidden="1" x14ac:dyDescent="0.3">
      <c r="A4" t="s">
        <v>18</v>
      </c>
      <c r="B4" t="s">
        <v>19</v>
      </c>
      <c r="C4" t="s">
        <v>20</v>
      </c>
      <c r="D4">
        <v>0.5</v>
      </c>
      <c r="E4">
        <v>100</v>
      </c>
      <c r="F4">
        <v>19.399999999999999</v>
      </c>
      <c r="G4" t="b">
        <v>1</v>
      </c>
      <c r="H4">
        <v>0</v>
      </c>
      <c r="I4">
        <v>1</v>
      </c>
      <c r="J4">
        <v>1</v>
      </c>
      <c r="K4">
        <v>151.80000000000001</v>
      </c>
      <c r="L4" t="s">
        <v>21</v>
      </c>
      <c r="N4">
        <v>1</v>
      </c>
      <c r="O4">
        <v>0</v>
      </c>
      <c r="P4">
        <v>17</v>
      </c>
      <c r="Q4">
        <f>K4</f>
        <v>151.80000000000001</v>
      </c>
      <c r="R4" s="1">
        <f>SUM(S4:Z4)</f>
        <v>151.625</v>
      </c>
      <c r="S4" s="1">
        <f>IF($AB4=TRUE,D4*S$2,D4*S$1)</f>
        <v>1</v>
      </c>
      <c r="T4" s="1">
        <f>IF($AB4=TRUE,E4*T$2,E4*T$1)</f>
        <v>40</v>
      </c>
      <c r="U4" s="1">
        <f>IF($AB4=TRUE,F4*U$2,F4*U$1)</f>
        <v>58.199999999999996</v>
      </c>
      <c r="V4" s="1">
        <f>IF($AB4=TRUE,J4*V$2,J4*V$1)</f>
        <v>50</v>
      </c>
      <c r="W4" s="1">
        <f>IF($AB4=TRUE,P4*W$2/100,P4*W$1/100)</f>
        <v>0.42499999999999999</v>
      </c>
      <c r="X4" s="1">
        <f>IF($AB4=TRUE,I4*X$2,I4*X$1)</f>
        <v>1</v>
      </c>
      <c r="Y4" s="1">
        <f>IF($AB4=TRUE,N4*Y$2,N4*Y$1)</f>
        <v>1</v>
      </c>
      <c r="Z4" s="1">
        <f>IF($AB4=TRUE,-H4*Z$2,-H4*Z$1)</f>
        <v>0</v>
      </c>
      <c r="AA4" s="2">
        <f>Q4-R4</f>
        <v>0.17500000000001137</v>
      </c>
      <c r="AB4" s="1" t="b">
        <f>IF(G4=TRUE,IF(LEN(A4)&lt;5,TRUE,FALSE),FALSE)</f>
        <v>0</v>
      </c>
    </row>
    <row r="5" spans="1:28" hidden="1" x14ac:dyDescent="0.3">
      <c r="A5" t="s">
        <v>28</v>
      </c>
      <c r="B5" t="s">
        <v>29</v>
      </c>
      <c r="C5" t="s">
        <v>30</v>
      </c>
      <c r="D5">
        <v>4.5999999999999996</v>
      </c>
      <c r="E5">
        <v>100</v>
      </c>
      <c r="F5">
        <v>13.1</v>
      </c>
      <c r="G5" t="b">
        <v>1</v>
      </c>
      <c r="H5">
        <v>0</v>
      </c>
      <c r="I5">
        <v>0</v>
      </c>
      <c r="J5">
        <v>1</v>
      </c>
      <c r="K5">
        <v>125.5</v>
      </c>
      <c r="N5">
        <v>0</v>
      </c>
      <c r="O5">
        <v>0</v>
      </c>
      <c r="P5">
        <v>0</v>
      </c>
      <c r="Q5">
        <f>K5</f>
        <v>125.5</v>
      </c>
      <c r="R5" s="1">
        <f>SUM(S5:Z5)</f>
        <v>125.4</v>
      </c>
      <c r="S5" s="1">
        <f>IF($AB5=TRUE,D5*S$2,D5*S$1)</f>
        <v>9.1999999999999993</v>
      </c>
      <c r="T5" s="1">
        <f>IF($AB5=TRUE,E5*T$2,E5*T$1)</f>
        <v>40</v>
      </c>
      <c r="U5" s="1">
        <f>IF($AB5=TRUE,F5*U$2,F5*U$1)</f>
        <v>26.2</v>
      </c>
      <c r="V5" s="1">
        <f>IF($AB5=TRUE,J5*V$2,J5*V$1)</f>
        <v>50</v>
      </c>
      <c r="W5" s="1">
        <f>IF($AB5=TRUE,P5*W$2/100,P5*W$1/100)</f>
        <v>0</v>
      </c>
      <c r="X5" s="1">
        <f>IF($AB5=TRUE,I5*X$2,I5*X$1)</f>
        <v>0</v>
      </c>
      <c r="Y5" s="1">
        <f>IF($AB5=TRUE,N5*Y$2,N5*Y$1)</f>
        <v>0</v>
      </c>
      <c r="Z5" s="1">
        <f>IF($AB5=TRUE,-H5*Z$2,-H5*Z$1)</f>
        <v>0</v>
      </c>
      <c r="AA5" s="2">
        <f>Q5-R5</f>
        <v>9.9999999999994316E-2</v>
      </c>
      <c r="AB5" s="1" t="b">
        <f>IF(G5=TRUE,IF(LEN(A5)&lt;5,TRUE,FALSE),FALSE)</f>
        <v>1</v>
      </c>
    </row>
    <row r="6" spans="1:28" hidden="1" x14ac:dyDescent="0.3">
      <c r="A6" t="s">
        <v>28</v>
      </c>
      <c r="B6" t="s">
        <v>31</v>
      </c>
      <c r="C6" t="s">
        <v>32</v>
      </c>
      <c r="D6">
        <v>0</v>
      </c>
      <c r="E6">
        <v>100</v>
      </c>
      <c r="F6">
        <v>15.9</v>
      </c>
      <c r="G6" t="b">
        <v>1</v>
      </c>
      <c r="H6">
        <v>0</v>
      </c>
      <c r="I6">
        <v>0</v>
      </c>
      <c r="J6">
        <v>1</v>
      </c>
      <c r="K6">
        <v>125.1</v>
      </c>
      <c r="L6" t="s">
        <v>33</v>
      </c>
      <c r="N6">
        <v>2</v>
      </c>
      <c r="O6">
        <v>0</v>
      </c>
      <c r="P6">
        <v>32.200000000000003</v>
      </c>
      <c r="Q6">
        <f>K6</f>
        <v>125.1</v>
      </c>
      <c r="R6" s="1">
        <f>SUM(S6:Z6)</f>
        <v>125.08799999999999</v>
      </c>
      <c r="S6" s="1">
        <f>IF($AB6=TRUE,D6*S$2,D6*S$1)</f>
        <v>0</v>
      </c>
      <c r="T6" s="1">
        <f>IF($AB6=TRUE,E6*T$2,E6*T$1)</f>
        <v>40</v>
      </c>
      <c r="U6" s="1">
        <f>IF($AB6=TRUE,F6*U$2,F6*U$1)</f>
        <v>31.8</v>
      </c>
      <c r="V6" s="1">
        <f>IF($AB6=TRUE,J6*V$2,J6*V$1)</f>
        <v>50</v>
      </c>
      <c r="W6" s="1">
        <f>IF($AB6=TRUE,P6*W$2/100,P6*W$1/100)</f>
        <v>1.288</v>
      </c>
      <c r="X6" s="1">
        <f>IF($AB6=TRUE,I6*X$2,I6*X$1)</f>
        <v>0</v>
      </c>
      <c r="Y6" s="1">
        <f>IF($AB6=TRUE,N6*Y$2,N6*Y$1)</f>
        <v>2</v>
      </c>
      <c r="Z6" s="1">
        <f>IF($AB6=TRUE,-H6*Z$2,-H6*Z$1)</f>
        <v>0</v>
      </c>
      <c r="AA6" s="2">
        <f>Q6-R6</f>
        <v>1.2000000000000455E-2</v>
      </c>
      <c r="AB6" s="1" t="b">
        <f>IF(G6=TRUE,IF(LEN(A6)&lt;5,TRUE,FALSE),FALSE)</f>
        <v>1</v>
      </c>
    </row>
    <row r="7" spans="1:28" hidden="1" x14ac:dyDescent="0.3">
      <c r="A7" t="s">
        <v>18</v>
      </c>
      <c r="B7" t="s">
        <v>22</v>
      </c>
      <c r="C7" t="s">
        <v>23</v>
      </c>
      <c r="D7">
        <v>0</v>
      </c>
      <c r="E7">
        <v>100</v>
      </c>
      <c r="F7">
        <v>10.9</v>
      </c>
      <c r="G7" t="b">
        <v>1</v>
      </c>
      <c r="H7">
        <v>0</v>
      </c>
      <c r="I7">
        <v>0</v>
      </c>
      <c r="J7">
        <v>1</v>
      </c>
      <c r="K7">
        <v>124.5</v>
      </c>
      <c r="L7" t="s">
        <v>24</v>
      </c>
      <c r="N7">
        <v>1</v>
      </c>
      <c r="O7">
        <v>0</v>
      </c>
      <c r="P7">
        <v>29.3</v>
      </c>
      <c r="Q7">
        <f>K7</f>
        <v>124.5</v>
      </c>
      <c r="R7" s="1">
        <f>SUM(S7:Z7)</f>
        <v>124.4325</v>
      </c>
      <c r="S7" s="1">
        <f>IF($AB7=TRUE,D7*S$2,D7*S$1)</f>
        <v>0</v>
      </c>
      <c r="T7" s="1">
        <f>IF($AB7=TRUE,E7*T$2,E7*T$1)</f>
        <v>40</v>
      </c>
      <c r="U7" s="1">
        <f>IF($AB7=TRUE,F7*U$2,F7*U$1)</f>
        <v>32.700000000000003</v>
      </c>
      <c r="V7" s="1">
        <f>IF($AB7=TRUE,J7*V$2,J7*V$1)</f>
        <v>50</v>
      </c>
      <c r="W7" s="1">
        <f>IF($AB7=TRUE,P7*W$2/100,P7*W$1/100)</f>
        <v>0.73250000000000004</v>
      </c>
      <c r="X7" s="1">
        <f>IF($AB7=TRUE,I7*X$2,I7*X$1)</f>
        <v>0</v>
      </c>
      <c r="Y7" s="1">
        <f>IF($AB7=TRUE,N7*Y$2,N7*Y$1)</f>
        <v>1</v>
      </c>
      <c r="Z7" s="1">
        <f>IF($AB7=TRUE,-H7*Z$2,-H7*Z$1)</f>
        <v>0</v>
      </c>
      <c r="AA7" s="2">
        <f>Q7-R7</f>
        <v>6.7499999999995453E-2</v>
      </c>
      <c r="AB7" s="1" t="b">
        <f>IF(G7=TRUE,IF(LEN(A7)&lt;5,TRUE,FALSE),FALSE)</f>
        <v>0</v>
      </c>
    </row>
    <row r="8" spans="1:28" x14ac:dyDescent="0.3">
      <c r="A8" t="s">
        <v>25</v>
      </c>
      <c r="B8" t="s">
        <v>26</v>
      </c>
      <c r="C8" t="s">
        <v>27</v>
      </c>
      <c r="D8">
        <v>1.8</v>
      </c>
      <c r="E8">
        <v>100</v>
      </c>
      <c r="F8">
        <v>9.6999999999999993</v>
      </c>
      <c r="G8" t="b">
        <v>1</v>
      </c>
      <c r="H8">
        <v>0</v>
      </c>
      <c r="I8">
        <v>0</v>
      </c>
      <c r="J8">
        <v>1</v>
      </c>
      <c r="K8">
        <v>122.7</v>
      </c>
      <c r="N8">
        <v>0</v>
      </c>
      <c r="O8">
        <v>0</v>
      </c>
      <c r="P8">
        <v>0</v>
      </c>
      <c r="Q8">
        <f>K8</f>
        <v>122.7</v>
      </c>
      <c r="R8" s="1">
        <f>SUM(S8:Z8)</f>
        <v>122.7</v>
      </c>
      <c r="S8" s="1">
        <f>IF($AB8=TRUE,D8*S$2,D8*S$1)</f>
        <v>3.6</v>
      </c>
      <c r="T8" s="1">
        <f>IF($AB8=TRUE,E8*T$2,E8*T$1)</f>
        <v>40</v>
      </c>
      <c r="U8" s="1">
        <f>IF($AB8=TRUE,F8*U$2,F8*U$1)</f>
        <v>29.099999999999998</v>
      </c>
      <c r="V8" s="1">
        <f>IF($AB8=TRUE,J8*V$2,J8*V$1)</f>
        <v>50</v>
      </c>
      <c r="W8" s="1">
        <f>IF($AB8=TRUE,P8*W$2/100,P8*W$1/100)</f>
        <v>0</v>
      </c>
      <c r="X8" s="1">
        <f>IF($AB8=TRUE,I8*X$2,I8*X$1)</f>
        <v>0</v>
      </c>
      <c r="Y8" s="1">
        <f>IF($AB8=TRUE,N8*Y$2,N8*Y$1)</f>
        <v>0</v>
      </c>
      <c r="Z8" s="1">
        <f>IF($AB8=TRUE,-H8*Z$2,-H8*Z$1)</f>
        <v>0</v>
      </c>
      <c r="AA8" s="2">
        <f>Q8-R8</f>
        <v>0</v>
      </c>
      <c r="AB8" s="1" t="b">
        <f>IF(G8=TRUE,IF(LEN(A8)&lt;5,TRUE,FALSE),FALSE)</f>
        <v>0</v>
      </c>
    </row>
    <row r="9" spans="1:28" hidden="1" x14ac:dyDescent="0.3">
      <c r="A9" t="s">
        <v>28</v>
      </c>
      <c r="B9" t="s">
        <v>37</v>
      </c>
      <c r="C9" t="s">
        <v>38</v>
      </c>
      <c r="D9">
        <v>0</v>
      </c>
      <c r="E9">
        <v>100</v>
      </c>
      <c r="F9">
        <v>12.4</v>
      </c>
      <c r="G9" t="b">
        <v>1</v>
      </c>
      <c r="H9">
        <v>0</v>
      </c>
      <c r="I9">
        <v>0</v>
      </c>
      <c r="J9">
        <v>1</v>
      </c>
      <c r="K9">
        <v>117.5</v>
      </c>
      <c r="L9" t="s">
        <v>39</v>
      </c>
      <c r="N9">
        <v>2</v>
      </c>
      <c r="O9">
        <v>0</v>
      </c>
      <c r="P9">
        <v>19.3</v>
      </c>
      <c r="Q9">
        <f>K9</f>
        <v>117.5</v>
      </c>
      <c r="R9" s="1">
        <f>SUM(S9:Z9)</f>
        <v>117.572</v>
      </c>
      <c r="S9" s="1">
        <f>IF($AB9=TRUE,D9*S$2,D9*S$1)</f>
        <v>0</v>
      </c>
      <c r="T9" s="1">
        <f>IF($AB9=TRUE,E9*T$2,E9*T$1)</f>
        <v>40</v>
      </c>
      <c r="U9" s="1">
        <f>IF($AB9=TRUE,F9*U$2,F9*U$1)</f>
        <v>24.8</v>
      </c>
      <c r="V9" s="1">
        <f>IF($AB9=TRUE,J9*V$2,J9*V$1)</f>
        <v>50</v>
      </c>
      <c r="W9" s="1">
        <f>IF($AB9=TRUE,P9*W$2/100,P9*W$1/100)</f>
        <v>0.77200000000000002</v>
      </c>
      <c r="X9" s="1">
        <f>IF($AB9=TRUE,I9*X$2,I9*X$1)</f>
        <v>0</v>
      </c>
      <c r="Y9" s="1">
        <f>IF($AB9=TRUE,N9*Y$2,N9*Y$1)</f>
        <v>2</v>
      </c>
      <c r="Z9" s="1">
        <f>IF($AB9=TRUE,-H9*Z$2,-H9*Z$1)</f>
        <v>0</v>
      </c>
      <c r="AA9" s="2">
        <f>Q9-R9</f>
        <v>-7.2000000000002728E-2</v>
      </c>
      <c r="AB9" s="1" t="b">
        <f>IF(G9=TRUE,IF(LEN(A9)&lt;5,TRUE,FALSE),FALSE)</f>
        <v>1</v>
      </c>
    </row>
    <row r="10" spans="1:28" hidden="1" x14ac:dyDescent="0.3">
      <c r="A10" t="s">
        <v>40</v>
      </c>
      <c r="B10" t="s">
        <v>41</v>
      </c>
      <c r="C10" t="s">
        <v>42</v>
      </c>
      <c r="D10">
        <v>0</v>
      </c>
      <c r="E10">
        <v>100</v>
      </c>
      <c r="F10">
        <v>11.7</v>
      </c>
      <c r="G10" t="b">
        <v>1</v>
      </c>
      <c r="H10">
        <v>0</v>
      </c>
      <c r="I10">
        <v>0</v>
      </c>
      <c r="J10">
        <v>1</v>
      </c>
      <c r="K10">
        <v>115.8</v>
      </c>
      <c r="L10" t="s">
        <v>43</v>
      </c>
      <c r="N10">
        <v>1</v>
      </c>
      <c r="O10">
        <v>0</v>
      </c>
      <c r="P10">
        <v>34.299999999999997</v>
      </c>
      <c r="Q10">
        <f>K10</f>
        <v>115.8</v>
      </c>
      <c r="R10" s="1">
        <f>SUM(S10:Z10)</f>
        <v>115.77200000000001</v>
      </c>
      <c r="S10" s="1">
        <f>IF($AB10=TRUE,D10*S$2,D10*S$1)</f>
        <v>0</v>
      </c>
      <c r="T10" s="1">
        <f>IF($AB10=TRUE,E10*T$2,E10*T$1)</f>
        <v>40</v>
      </c>
      <c r="U10" s="1">
        <f>IF($AB10=TRUE,F10*U$2,F10*U$1)</f>
        <v>23.4</v>
      </c>
      <c r="V10" s="1">
        <f>IF($AB10=TRUE,J10*V$2,J10*V$1)</f>
        <v>50</v>
      </c>
      <c r="W10" s="1">
        <f>IF($AB10=TRUE,P10*W$2/100,P10*W$1/100)</f>
        <v>1.3719999999999999</v>
      </c>
      <c r="X10" s="1">
        <f>IF($AB10=TRUE,I10*X$2,I10*X$1)</f>
        <v>0</v>
      </c>
      <c r="Y10" s="1">
        <f>IF($AB10=TRUE,N10*Y$2,N10*Y$1)</f>
        <v>1</v>
      </c>
      <c r="Z10" s="1">
        <f>IF($AB10=TRUE,-H10*Z$2,-H10*Z$1)</f>
        <v>0</v>
      </c>
      <c r="AA10" s="2">
        <f>Q10-R10</f>
        <v>2.7999999999991587E-2</v>
      </c>
      <c r="AB10" s="1" t="b">
        <f>IF(G10=TRUE,IF(LEN(A10)&lt;5,TRUE,FALSE),FALSE)</f>
        <v>1</v>
      </c>
    </row>
    <row r="11" spans="1:28" hidden="1" x14ac:dyDescent="0.3">
      <c r="A11" t="s">
        <v>40</v>
      </c>
      <c r="B11" t="s">
        <v>48</v>
      </c>
      <c r="C11" t="s">
        <v>49</v>
      </c>
      <c r="D11">
        <v>0</v>
      </c>
      <c r="E11">
        <v>100</v>
      </c>
      <c r="F11">
        <v>12.9</v>
      </c>
      <c r="G11" t="b">
        <v>1</v>
      </c>
      <c r="H11">
        <v>0</v>
      </c>
      <c r="I11">
        <v>0</v>
      </c>
      <c r="J11">
        <v>1</v>
      </c>
      <c r="K11">
        <v>115.8</v>
      </c>
      <c r="N11">
        <v>0</v>
      </c>
      <c r="O11">
        <v>0</v>
      </c>
      <c r="P11">
        <v>0</v>
      </c>
      <c r="Q11">
        <f>K11</f>
        <v>115.8</v>
      </c>
      <c r="R11" s="1">
        <f>SUM(S11:Z11)</f>
        <v>115.8</v>
      </c>
      <c r="S11" s="1">
        <f>IF($AB11=TRUE,D11*S$2,D11*S$1)</f>
        <v>0</v>
      </c>
      <c r="T11" s="1">
        <f>IF($AB11=TRUE,E11*T$2,E11*T$1)</f>
        <v>40</v>
      </c>
      <c r="U11" s="1">
        <f>IF($AB11=TRUE,F11*U$2,F11*U$1)</f>
        <v>25.8</v>
      </c>
      <c r="V11" s="1">
        <f>IF($AB11=TRUE,J11*V$2,J11*V$1)</f>
        <v>50</v>
      </c>
      <c r="W11" s="1">
        <f>IF($AB11=TRUE,P11*W$2/100,P11*W$1/100)</f>
        <v>0</v>
      </c>
      <c r="X11" s="1">
        <f>IF($AB11=TRUE,I11*X$2,I11*X$1)</f>
        <v>0</v>
      </c>
      <c r="Y11" s="1">
        <f>IF($AB11=TRUE,N11*Y$2,N11*Y$1)</f>
        <v>0</v>
      </c>
      <c r="Z11" s="1">
        <f>IF($AB11=TRUE,-H11*Z$2,-H11*Z$1)</f>
        <v>0</v>
      </c>
      <c r="AA11" s="2">
        <f>Q11-R11</f>
        <v>0</v>
      </c>
      <c r="AB11" s="1" t="b">
        <f>IF(G11=TRUE,IF(LEN(A11)&lt;5,TRUE,FALSE),FALSE)</f>
        <v>1</v>
      </c>
    </row>
    <row r="12" spans="1:28" hidden="1" x14ac:dyDescent="0.3">
      <c r="A12" t="s">
        <v>44</v>
      </c>
      <c r="B12" t="s">
        <v>45</v>
      </c>
      <c r="C12" t="s">
        <v>46</v>
      </c>
      <c r="D12">
        <v>0</v>
      </c>
      <c r="E12">
        <v>100</v>
      </c>
      <c r="F12">
        <v>10.1</v>
      </c>
      <c r="G12" t="b">
        <v>1</v>
      </c>
      <c r="H12">
        <v>0</v>
      </c>
      <c r="I12">
        <v>0</v>
      </c>
      <c r="J12">
        <v>1</v>
      </c>
      <c r="K12">
        <v>113.2</v>
      </c>
      <c r="L12" t="s">
        <v>47</v>
      </c>
      <c r="N12">
        <v>2</v>
      </c>
      <c r="O12">
        <v>0</v>
      </c>
      <c r="P12">
        <v>25.3</v>
      </c>
      <c r="Q12">
        <f>K12</f>
        <v>113.2</v>
      </c>
      <c r="R12" s="1">
        <f>SUM(S12:Z12)</f>
        <v>113.212</v>
      </c>
      <c r="S12" s="1">
        <f>IF($AB12=TRUE,D12*S$2,D12*S$1)</f>
        <v>0</v>
      </c>
      <c r="T12" s="1">
        <f>IF($AB12=TRUE,E12*T$2,E12*T$1)</f>
        <v>40</v>
      </c>
      <c r="U12" s="1">
        <f>IF($AB12=TRUE,F12*U$2,F12*U$1)</f>
        <v>20.2</v>
      </c>
      <c r="V12" s="1">
        <f>IF($AB12=TRUE,J12*V$2,J12*V$1)</f>
        <v>50</v>
      </c>
      <c r="W12" s="1">
        <f>IF($AB12=TRUE,P12*W$2/100,P12*W$1/100)</f>
        <v>1.012</v>
      </c>
      <c r="X12" s="1">
        <f>IF($AB12=TRUE,I12*X$2,I12*X$1)</f>
        <v>0</v>
      </c>
      <c r="Y12" s="1">
        <f>IF($AB12=TRUE,N12*Y$2,N12*Y$1)</f>
        <v>2</v>
      </c>
      <c r="Z12" s="1">
        <f>IF($AB12=TRUE,-H12*Z$2,-H12*Z$1)</f>
        <v>0</v>
      </c>
      <c r="AA12" s="2">
        <f>Q12-R12</f>
        <v>-1.2000000000000455E-2</v>
      </c>
      <c r="AB12" s="1" t="b">
        <f>IF(G12=TRUE,IF(LEN(A12)&lt;5,TRUE,FALSE),FALSE)</f>
        <v>1</v>
      </c>
    </row>
    <row r="13" spans="1:28" hidden="1" x14ac:dyDescent="0.3">
      <c r="A13" t="s">
        <v>40</v>
      </c>
      <c r="B13" t="s">
        <v>748</v>
      </c>
      <c r="C13" t="s">
        <v>749</v>
      </c>
      <c r="D13">
        <v>0</v>
      </c>
      <c r="E13">
        <v>100</v>
      </c>
      <c r="F13">
        <v>8.8000000000000007</v>
      </c>
      <c r="G13" t="b">
        <v>1</v>
      </c>
      <c r="H13">
        <v>0</v>
      </c>
      <c r="I13">
        <v>0</v>
      </c>
      <c r="J13">
        <v>1</v>
      </c>
      <c r="K13">
        <v>109.8</v>
      </c>
      <c r="L13" t="s">
        <v>132</v>
      </c>
      <c r="N13">
        <v>1</v>
      </c>
      <c r="O13">
        <v>0</v>
      </c>
      <c r="P13">
        <v>32.1</v>
      </c>
      <c r="Q13">
        <f>K13</f>
        <v>109.8</v>
      </c>
      <c r="R13" s="1">
        <f>SUM(S13:Z13)</f>
        <v>109.884</v>
      </c>
      <c r="S13" s="1">
        <f>IF($AB13=TRUE,D13*S$2,D13*S$1)</f>
        <v>0</v>
      </c>
      <c r="T13" s="1">
        <f>IF($AB13=TRUE,E13*T$2,E13*T$1)</f>
        <v>40</v>
      </c>
      <c r="U13" s="1">
        <f>IF($AB13=TRUE,F13*U$2,F13*U$1)</f>
        <v>17.600000000000001</v>
      </c>
      <c r="V13" s="1">
        <f>IF($AB13=TRUE,J13*V$2,J13*V$1)</f>
        <v>50</v>
      </c>
      <c r="W13" s="1">
        <f>IF($AB13=TRUE,P13*W$2/100,P13*W$1/100)</f>
        <v>1.284</v>
      </c>
      <c r="X13" s="1">
        <f>IF($AB13=TRUE,I13*X$2,I13*X$1)</f>
        <v>0</v>
      </c>
      <c r="Y13" s="1">
        <f>IF($AB13=TRUE,N13*Y$2,N13*Y$1)</f>
        <v>1</v>
      </c>
      <c r="Z13" s="1">
        <f>IF($AB13=TRUE,-H13*Z$2,-H13*Z$1)</f>
        <v>0</v>
      </c>
      <c r="AA13" s="2">
        <f>Q13-R13</f>
        <v>-8.4000000000003183E-2</v>
      </c>
      <c r="AB13" s="1" t="b">
        <f>IF(G13=TRUE,IF(LEN(A13)&lt;5,TRUE,FALSE),FALSE)</f>
        <v>1</v>
      </c>
    </row>
    <row r="14" spans="1:28" hidden="1" x14ac:dyDescent="0.3">
      <c r="A14" t="s">
        <v>40</v>
      </c>
      <c r="B14" t="s">
        <v>55</v>
      </c>
      <c r="C14" t="s">
        <v>56</v>
      </c>
      <c r="D14">
        <v>0</v>
      </c>
      <c r="E14">
        <v>100</v>
      </c>
      <c r="F14">
        <v>9.4</v>
      </c>
      <c r="G14" t="b">
        <v>1</v>
      </c>
      <c r="H14">
        <v>0</v>
      </c>
      <c r="I14">
        <v>0</v>
      </c>
      <c r="J14">
        <v>1</v>
      </c>
      <c r="K14">
        <v>108.8</v>
      </c>
      <c r="N14">
        <v>0</v>
      </c>
      <c r="O14">
        <v>0</v>
      </c>
      <c r="P14">
        <v>0</v>
      </c>
      <c r="Q14">
        <f>K14</f>
        <v>108.8</v>
      </c>
      <c r="R14" s="1">
        <f>SUM(S14:Z14)</f>
        <v>108.8</v>
      </c>
      <c r="S14" s="1">
        <f>IF($AB14=TRUE,D14*S$2,D14*S$1)</f>
        <v>0</v>
      </c>
      <c r="T14" s="1">
        <f>IF($AB14=TRUE,E14*T$2,E14*T$1)</f>
        <v>40</v>
      </c>
      <c r="U14" s="1">
        <f>IF($AB14=TRUE,F14*U$2,F14*U$1)</f>
        <v>18.8</v>
      </c>
      <c r="V14" s="1">
        <f>IF($AB14=TRUE,J14*V$2,J14*V$1)</f>
        <v>50</v>
      </c>
      <c r="W14" s="1">
        <f>IF($AB14=TRUE,P14*W$2/100,P14*W$1/100)</f>
        <v>0</v>
      </c>
      <c r="X14" s="1">
        <f>IF($AB14=TRUE,I14*X$2,I14*X$1)</f>
        <v>0</v>
      </c>
      <c r="Y14" s="1">
        <f>IF($AB14=TRUE,N14*Y$2,N14*Y$1)</f>
        <v>0</v>
      </c>
      <c r="Z14" s="1">
        <f>IF($AB14=TRUE,-H14*Z$2,-H14*Z$1)</f>
        <v>0</v>
      </c>
      <c r="AA14" s="2">
        <f>Q14-R14</f>
        <v>0</v>
      </c>
      <c r="AB14" s="1" t="b">
        <f>IF(G14=TRUE,IF(LEN(A14)&lt;5,TRUE,FALSE),FALSE)</f>
        <v>1</v>
      </c>
    </row>
    <row r="15" spans="1:28" hidden="1" x14ac:dyDescent="0.3">
      <c r="A15" t="s">
        <v>44</v>
      </c>
      <c r="B15" t="s">
        <v>52</v>
      </c>
      <c r="C15" t="s">
        <v>53</v>
      </c>
      <c r="D15">
        <v>0</v>
      </c>
      <c r="E15">
        <v>100</v>
      </c>
      <c r="F15">
        <v>5.7</v>
      </c>
      <c r="G15" t="b">
        <v>1</v>
      </c>
      <c r="H15">
        <v>0</v>
      </c>
      <c r="I15">
        <v>0</v>
      </c>
      <c r="J15">
        <v>1</v>
      </c>
      <c r="K15">
        <v>107.2</v>
      </c>
      <c r="L15" t="s">
        <v>54</v>
      </c>
      <c r="N15">
        <v>4</v>
      </c>
      <c r="O15">
        <v>0</v>
      </c>
      <c r="P15">
        <v>41.7</v>
      </c>
      <c r="Q15">
        <f>K15</f>
        <v>107.2</v>
      </c>
      <c r="R15" s="1">
        <f>SUM(S15:Z15)</f>
        <v>107.06800000000001</v>
      </c>
      <c r="S15" s="1">
        <f>IF($AB15=TRUE,D15*S$2,D15*S$1)</f>
        <v>0</v>
      </c>
      <c r="T15" s="1">
        <f>IF($AB15=TRUE,E15*T$2,E15*T$1)</f>
        <v>40</v>
      </c>
      <c r="U15" s="1">
        <f>IF($AB15=TRUE,F15*U$2,F15*U$1)</f>
        <v>11.4</v>
      </c>
      <c r="V15" s="1">
        <f>IF($AB15=TRUE,J15*V$2,J15*V$1)</f>
        <v>50</v>
      </c>
      <c r="W15" s="1">
        <f>IF($AB15=TRUE,P15*W$2/100,P15*W$1/100)</f>
        <v>1.6680000000000001</v>
      </c>
      <c r="X15" s="1">
        <f>IF($AB15=TRUE,I15*X$2,I15*X$1)</f>
        <v>0</v>
      </c>
      <c r="Y15" s="1">
        <f>IF($AB15=TRUE,N15*Y$2,N15*Y$1)</f>
        <v>4</v>
      </c>
      <c r="Z15" s="1">
        <f>IF($AB15=TRUE,-H15*Z$2,-H15*Z$1)</f>
        <v>0</v>
      </c>
      <c r="AA15" s="2">
        <f>Q15-R15</f>
        <v>0.13199999999999079</v>
      </c>
      <c r="AB15" s="1" t="b">
        <f>IF(G15=TRUE,IF(LEN(A15)&lt;5,TRUE,FALSE),FALSE)</f>
        <v>1</v>
      </c>
    </row>
    <row r="16" spans="1:28" hidden="1" x14ac:dyDescent="0.3">
      <c r="A16" t="s">
        <v>18</v>
      </c>
      <c r="B16" t="s">
        <v>34</v>
      </c>
      <c r="C16" t="s">
        <v>35</v>
      </c>
      <c r="D16">
        <v>0</v>
      </c>
      <c r="E16">
        <v>100</v>
      </c>
      <c r="F16">
        <v>5.2</v>
      </c>
      <c r="G16" t="b">
        <v>1</v>
      </c>
      <c r="H16">
        <v>0</v>
      </c>
      <c r="I16">
        <v>0</v>
      </c>
      <c r="J16">
        <v>1</v>
      </c>
      <c r="K16">
        <v>107.2</v>
      </c>
      <c r="L16" t="s">
        <v>36</v>
      </c>
      <c r="N16">
        <v>1</v>
      </c>
      <c r="O16">
        <v>0</v>
      </c>
      <c r="P16">
        <v>25.7</v>
      </c>
      <c r="Q16">
        <f>K16</f>
        <v>107.2</v>
      </c>
      <c r="R16" s="1">
        <f>SUM(S16:Z16)</f>
        <v>107.24249999999999</v>
      </c>
      <c r="S16" s="1">
        <f>IF($AB16=TRUE,D16*S$2,D16*S$1)</f>
        <v>0</v>
      </c>
      <c r="T16" s="1">
        <f>IF($AB16=TRUE,E16*T$2,E16*T$1)</f>
        <v>40</v>
      </c>
      <c r="U16" s="1">
        <f>IF($AB16=TRUE,F16*U$2,F16*U$1)</f>
        <v>15.600000000000001</v>
      </c>
      <c r="V16" s="1">
        <f>IF($AB16=TRUE,J16*V$2,J16*V$1)</f>
        <v>50</v>
      </c>
      <c r="W16" s="1">
        <f>IF($AB16=TRUE,P16*W$2/100,P16*W$1/100)</f>
        <v>0.64249999999999996</v>
      </c>
      <c r="X16" s="1">
        <f>IF($AB16=TRUE,I16*X$2,I16*X$1)</f>
        <v>0</v>
      </c>
      <c r="Y16" s="1">
        <f>IF($AB16=TRUE,N16*Y$2,N16*Y$1)</f>
        <v>1</v>
      </c>
      <c r="Z16" s="1">
        <f>IF($AB16=TRUE,-H16*Z$2,-H16*Z$1)</f>
        <v>0</v>
      </c>
      <c r="AA16" s="2">
        <f>Q16-R16</f>
        <v>-4.2499999999989768E-2</v>
      </c>
      <c r="AB16" s="1" t="b">
        <f>IF(G16=TRUE,IF(LEN(A16)&lt;5,TRUE,FALSE),FALSE)</f>
        <v>0</v>
      </c>
    </row>
    <row r="17" spans="1:28" hidden="1" x14ac:dyDescent="0.3">
      <c r="A17" t="s">
        <v>40</v>
      </c>
      <c r="B17" t="s">
        <v>60</v>
      </c>
      <c r="C17" t="s">
        <v>61</v>
      </c>
      <c r="D17">
        <v>0</v>
      </c>
      <c r="E17">
        <v>100</v>
      </c>
      <c r="F17">
        <v>7.2</v>
      </c>
      <c r="G17" t="b">
        <v>1</v>
      </c>
      <c r="H17">
        <v>0</v>
      </c>
      <c r="I17">
        <v>0</v>
      </c>
      <c r="J17">
        <v>1</v>
      </c>
      <c r="K17">
        <v>106.3</v>
      </c>
      <c r="L17" t="s">
        <v>62</v>
      </c>
      <c r="N17">
        <v>1</v>
      </c>
      <c r="O17">
        <v>0</v>
      </c>
      <c r="P17">
        <v>22.1</v>
      </c>
      <c r="Q17">
        <f>K17</f>
        <v>106.3</v>
      </c>
      <c r="R17" s="1">
        <f>SUM(S17:Z17)</f>
        <v>106.28400000000001</v>
      </c>
      <c r="S17" s="1">
        <f>IF($AB17=TRUE,D17*S$2,D17*S$1)</f>
        <v>0</v>
      </c>
      <c r="T17" s="1">
        <f>IF($AB17=TRUE,E17*T$2,E17*T$1)</f>
        <v>40</v>
      </c>
      <c r="U17" s="1">
        <f>IF($AB17=TRUE,F17*U$2,F17*U$1)</f>
        <v>14.4</v>
      </c>
      <c r="V17" s="1">
        <f>IF($AB17=TRUE,J17*V$2,J17*V$1)</f>
        <v>50</v>
      </c>
      <c r="W17" s="1">
        <f>IF($AB17=TRUE,P17*W$2/100,P17*W$1/100)</f>
        <v>0.88400000000000001</v>
      </c>
      <c r="X17" s="1">
        <f>IF($AB17=TRUE,I17*X$2,I17*X$1)</f>
        <v>0</v>
      </c>
      <c r="Y17" s="1">
        <f>IF($AB17=TRUE,N17*Y$2,N17*Y$1)</f>
        <v>1</v>
      </c>
      <c r="Z17" s="1">
        <f>IF($AB17=TRUE,-H17*Z$2,-H17*Z$1)</f>
        <v>0</v>
      </c>
      <c r="AA17" s="2">
        <f>Q17-R17</f>
        <v>1.5999999999991132E-2</v>
      </c>
      <c r="AB17" s="1" t="b">
        <f>IF(G17=TRUE,IF(LEN(A17)&lt;5,TRUE,FALSE),FALSE)</f>
        <v>1</v>
      </c>
    </row>
    <row r="18" spans="1:28" hidden="1" x14ac:dyDescent="0.3">
      <c r="A18" t="s">
        <v>40</v>
      </c>
      <c r="B18" t="s">
        <v>66</v>
      </c>
      <c r="C18" t="s">
        <v>67</v>
      </c>
      <c r="D18">
        <v>0</v>
      </c>
      <c r="E18">
        <v>100</v>
      </c>
      <c r="F18">
        <v>6.5</v>
      </c>
      <c r="G18" t="b">
        <v>1</v>
      </c>
      <c r="H18">
        <v>0</v>
      </c>
      <c r="I18">
        <v>0</v>
      </c>
      <c r="J18">
        <v>1</v>
      </c>
      <c r="K18">
        <v>105</v>
      </c>
      <c r="L18" t="s">
        <v>62</v>
      </c>
      <c r="N18">
        <v>1</v>
      </c>
      <c r="O18">
        <v>0</v>
      </c>
      <c r="P18">
        <v>22.1</v>
      </c>
      <c r="Q18">
        <f>K18</f>
        <v>105</v>
      </c>
      <c r="R18" s="1">
        <f>SUM(S18:Z18)</f>
        <v>104.884</v>
      </c>
      <c r="S18" s="1">
        <f>IF($AB18=TRUE,D18*S$2,D18*S$1)</f>
        <v>0</v>
      </c>
      <c r="T18" s="1">
        <f>IF($AB18=TRUE,E18*T$2,E18*T$1)</f>
        <v>40</v>
      </c>
      <c r="U18" s="1">
        <f>IF($AB18=TRUE,F18*U$2,F18*U$1)</f>
        <v>13</v>
      </c>
      <c r="V18" s="1">
        <f>IF($AB18=TRUE,J18*V$2,J18*V$1)</f>
        <v>50</v>
      </c>
      <c r="W18" s="1">
        <f>IF($AB18=TRUE,P18*W$2/100,P18*W$1/100)</f>
        <v>0.88400000000000001</v>
      </c>
      <c r="X18" s="1">
        <f>IF($AB18=TRUE,I18*X$2,I18*X$1)</f>
        <v>0</v>
      </c>
      <c r="Y18" s="1">
        <f>IF($AB18=TRUE,N18*Y$2,N18*Y$1)</f>
        <v>1</v>
      </c>
      <c r="Z18" s="1">
        <f>IF($AB18=TRUE,-H18*Z$2,-H18*Z$1)</f>
        <v>0</v>
      </c>
      <c r="AA18" s="2">
        <f>Q18-R18</f>
        <v>0.11599999999999966</v>
      </c>
      <c r="AB18" s="1" t="b">
        <f>IF(G18=TRUE,IF(LEN(A18)&lt;5,TRUE,FALSE),FALSE)</f>
        <v>1</v>
      </c>
    </row>
    <row r="19" spans="1:28" hidden="1" x14ac:dyDescent="0.3">
      <c r="A19" t="s">
        <v>18</v>
      </c>
      <c r="B19" t="s">
        <v>50</v>
      </c>
      <c r="C19" t="s">
        <v>23</v>
      </c>
      <c r="D19">
        <v>0</v>
      </c>
      <c r="E19">
        <v>100</v>
      </c>
      <c r="F19">
        <v>3.5</v>
      </c>
      <c r="G19" t="b">
        <v>1</v>
      </c>
      <c r="H19">
        <v>0</v>
      </c>
      <c r="I19">
        <v>0</v>
      </c>
      <c r="J19">
        <v>1</v>
      </c>
      <c r="K19">
        <v>102</v>
      </c>
      <c r="L19" t="s">
        <v>51</v>
      </c>
      <c r="N19">
        <v>1</v>
      </c>
      <c r="O19">
        <v>0</v>
      </c>
      <c r="P19">
        <v>16.399999999999999</v>
      </c>
      <c r="Q19">
        <f>K19</f>
        <v>102</v>
      </c>
      <c r="R19" s="1">
        <f>SUM(S19:Z19)</f>
        <v>101.91</v>
      </c>
      <c r="S19" s="1">
        <f>IF($AB19=TRUE,D19*S$2,D19*S$1)</f>
        <v>0</v>
      </c>
      <c r="T19" s="1">
        <f>IF($AB19=TRUE,E19*T$2,E19*T$1)</f>
        <v>40</v>
      </c>
      <c r="U19" s="1">
        <f>IF($AB19=TRUE,F19*U$2,F19*U$1)</f>
        <v>10.5</v>
      </c>
      <c r="V19" s="1">
        <f>IF($AB19=TRUE,J19*V$2,J19*V$1)</f>
        <v>50</v>
      </c>
      <c r="W19" s="1">
        <f>IF($AB19=TRUE,P19*W$2/100,P19*W$1/100)</f>
        <v>0.41</v>
      </c>
      <c r="X19" s="1">
        <f>IF($AB19=TRUE,I19*X$2,I19*X$1)</f>
        <v>0</v>
      </c>
      <c r="Y19" s="1">
        <f>IF($AB19=TRUE,N19*Y$2,N19*Y$1)</f>
        <v>1</v>
      </c>
      <c r="Z19" s="1">
        <f>IF($AB19=TRUE,-H19*Z$2,-H19*Z$1)</f>
        <v>0</v>
      </c>
      <c r="AA19" s="2">
        <f>Q19-R19</f>
        <v>9.0000000000003411E-2</v>
      </c>
      <c r="AB19" s="1" t="b">
        <f>IF(G19=TRUE,IF(LEN(A19)&lt;5,TRUE,FALSE),FALSE)</f>
        <v>0</v>
      </c>
    </row>
    <row r="20" spans="1:28" hidden="1" x14ac:dyDescent="0.3">
      <c r="A20" t="s">
        <v>40</v>
      </c>
      <c r="B20" t="s">
        <v>70</v>
      </c>
      <c r="C20" t="s">
        <v>71</v>
      </c>
      <c r="D20">
        <v>1.8</v>
      </c>
      <c r="E20">
        <v>100</v>
      </c>
      <c r="F20">
        <v>2</v>
      </c>
      <c r="G20" t="b">
        <v>1</v>
      </c>
      <c r="H20">
        <v>0</v>
      </c>
      <c r="I20">
        <v>0</v>
      </c>
      <c r="J20">
        <v>1</v>
      </c>
      <c r="K20">
        <v>99.6</v>
      </c>
      <c r="L20" t="s">
        <v>72</v>
      </c>
      <c r="N20">
        <v>1</v>
      </c>
      <c r="O20">
        <v>0</v>
      </c>
      <c r="P20">
        <v>23.4</v>
      </c>
      <c r="Q20">
        <f>K20</f>
        <v>99.6</v>
      </c>
      <c r="R20" s="1">
        <f>SUM(S20:Z20)</f>
        <v>99.536000000000001</v>
      </c>
      <c r="S20" s="1">
        <f>IF($AB20=TRUE,D20*S$2,D20*S$1)</f>
        <v>3.6</v>
      </c>
      <c r="T20" s="1">
        <f>IF($AB20=TRUE,E20*T$2,E20*T$1)</f>
        <v>40</v>
      </c>
      <c r="U20" s="1">
        <f>IF($AB20=TRUE,F20*U$2,F20*U$1)</f>
        <v>4</v>
      </c>
      <c r="V20" s="1">
        <f>IF($AB20=TRUE,J20*V$2,J20*V$1)</f>
        <v>50</v>
      </c>
      <c r="W20" s="1">
        <f>IF($AB20=TRUE,P20*W$2/100,P20*W$1/100)</f>
        <v>0.93599999999999994</v>
      </c>
      <c r="X20" s="1">
        <f>IF($AB20=TRUE,I20*X$2,I20*X$1)</f>
        <v>0</v>
      </c>
      <c r="Y20" s="1">
        <f>IF($AB20=TRUE,N20*Y$2,N20*Y$1)</f>
        <v>1</v>
      </c>
      <c r="Z20" s="1">
        <f>IF($AB20=TRUE,-H20*Z$2,-H20*Z$1)</f>
        <v>0</v>
      </c>
      <c r="AA20" s="2">
        <f>Q20-R20</f>
        <v>6.3999999999992951E-2</v>
      </c>
      <c r="AB20" s="1" t="b">
        <f>IF(G20=TRUE,IF(LEN(A20)&lt;5,TRUE,FALSE),FALSE)</f>
        <v>1</v>
      </c>
    </row>
    <row r="21" spans="1:28" hidden="1" x14ac:dyDescent="0.3">
      <c r="A21" t="s">
        <v>18</v>
      </c>
      <c r="B21" t="s">
        <v>57</v>
      </c>
      <c r="C21" t="s">
        <v>58</v>
      </c>
      <c r="D21">
        <v>0.5</v>
      </c>
      <c r="E21">
        <v>100</v>
      </c>
      <c r="F21">
        <v>2.2000000000000002</v>
      </c>
      <c r="G21" t="b">
        <v>1</v>
      </c>
      <c r="H21">
        <v>0</v>
      </c>
      <c r="I21">
        <v>0</v>
      </c>
      <c r="J21">
        <v>1</v>
      </c>
      <c r="K21">
        <v>99.4</v>
      </c>
      <c r="L21" t="s">
        <v>59</v>
      </c>
      <c r="N21">
        <v>1</v>
      </c>
      <c r="O21">
        <v>0</v>
      </c>
      <c r="P21">
        <v>24.6</v>
      </c>
      <c r="Q21">
        <f>K21</f>
        <v>99.4</v>
      </c>
      <c r="R21" s="1">
        <f>SUM(S21:Z21)</f>
        <v>99.214999999999989</v>
      </c>
      <c r="S21" s="1">
        <f>IF($AB21=TRUE,D21*S$2,D21*S$1)</f>
        <v>1</v>
      </c>
      <c r="T21" s="1">
        <f>IF($AB21=TRUE,E21*T$2,E21*T$1)</f>
        <v>40</v>
      </c>
      <c r="U21" s="1">
        <f>IF($AB21=TRUE,F21*U$2,F21*U$1)</f>
        <v>6.6000000000000005</v>
      </c>
      <c r="V21" s="1">
        <f>IF($AB21=TRUE,J21*V$2,J21*V$1)</f>
        <v>50</v>
      </c>
      <c r="W21" s="1">
        <f>IF($AB21=TRUE,P21*W$2/100,P21*W$1/100)</f>
        <v>0.61499999999999999</v>
      </c>
      <c r="X21" s="1">
        <f>IF($AB21=TRUE,I21*X$2,I21*X$1)</f>
        <v>0</v>
      </c>
      <c r="Y21" s="1">
        <f>IF($AB21=TRUE,N21*Y$2,N21*Y$1)</f>
        <v>1</v>
      </c>
      <c r="Z21" s="1">
        <f>IF($AB21=TRUE,-H21*Z$2,-H21*Z$1)</f>
        <v>0</v>
      </c>
      <c r="AA21" s="2">
        <f>Q21-R21</f>
        <v>0.18500000000001648</v>
      </c>
      <c r="AB21" s="1" t="b">
        <f>IF(G21=TRUE,IF(LEN(A21)&lt;5,TRUE,FALSE),FALSE)</f>
        <v>0</v>
      </c>
    </row>
    <row r="22" spans="1:28" x14ac:dyDescent="0.3">
      <c r="A22" t="s">
        <v>25</v>
      </c>
      <c r="B22" t="s">
        <v>63</v>
      </c>
      <c r="C22" t="s">
        <v>64</v>
      </c>
      <c r="D22">
        <v>3.6</v>
      </c>
      <c r="E22">
        <v>100</v>
      </c>
      <c r="F22">
        <v>0.1</v>
      </c>
      <c r="G22" t="b">
        <v>1</v>
      </c>
      <c r="H22">
        <v>0</v>
      </c>
      <c r="I22">
        <v>0</v>
      </c>
      <c r="J22">
        <v>1</v>
      </c>
      <c r="K22">
        <v>99</v>
      </c>
      <c r="L22" t="s">
        <v>65</v>
      </c>
      <c r="N22">
        <v>1</v>
      </c>
      <c r="O22">
        <v>0</v>
      </c>
      <c r="P22">
        <v>21.4</v>
      </c>
      <c r="Q22">
        <f>K22</f>
        <v>99</v>
      </c>
      <c r="R22" s="1">
        <f>SUM(S22:Z22)</f>
        <v>99.034999999999997</v>
      </c>
      <c r="S22" s="1">
        <f>IF($AB22=TRUE,D22*S$2,D22*S$1)</f>
        <v>7.2</v>
      </c>
      <c r="T22" s="1">
        <f>IF($AB22=TRUE,E22*T$2,E22*T$1)</f>
        <v>40</v>
      </c>
      <c r="U22" s="1">
        <f>IF($AB22=TRUE,F22*U$2,F22*U$1)</f>
        <v>0.30000000000000004</v>
      </c>
      <c r="V22" s="1">
        <f>IF($AB22=TRUE,J22*V$2,J22*V$1)</f>
        <v>50</v>
      </c>
      <c r="W22" s="1">
        <f>IF($AB22=TRUE,P22*W$2/100,P22*W$1/100)</f>
        <v>0.53500000000000003</v>
      </c>
      <c r="X22" s="1">
        <f>IF($AB22=TRUE,I22*X$2,I22*X$1)</f>
        <v>0</v>
      </c>
      <c r="Y22" s="1">
        <f>IF($AB22=TRUE,N22*Y$2,N22*Y$1)</f>
        <v>1</v>
      </c>
      <c r="Z22" s="1">
        <f>IF($AB22=TRUE,-H22*Z$2,-H22*Z$1)</f>
        <v>0</v>
      </c>
      <c r="AA22" s="2">
        <f>Q22-R22</f>
        <v>-3.4999999999996589E-2</v>
      </c>
      <c r="AB22" s="1" t="b">
        <f>IF(G22=TRUE,IF(LEN(A22)&lt;5,TRUE,FALSE),FALSE)</f>
        <v>0</v>
      </c>
    </row>
    <row r="23" spans="1:28" hidden="1" x14ac:dyDescent="0.3">
      <c r="A23" t="s">
        <v>18</v>
      </c>
      <c r="B23" t="s">
        <v>68</v>
      </c>
      <c r="C23" t="s">
        <v>23</v>
      </c>
      <c r="D23">
        <v>0</v>
      </c>
      <c r="E23">
        <v>100</v>
      </c>
      <c r="F23">
        <v>2.2000000000000002</v>
      </c>
      <c r="G23" t="b">
        <v>1</v>
      </c>
      <c r="H23">
        <v>0</v>
      </c>
      <c r="I23">
        <v>0</v>
      </c>
      <c r="J23">
        <v>1</v>
      </c>
      <c r="K23">
        <v>98.1</v>
      </c>
      <c r="L23" t="s">
        <v>69</v>
      </c>
      <c r="N23">
        <v>1</v>
      </c>
      <c r="O23">
        <v>0</v>
      </c>
      <c r="P23">
        <v>15.6</v>
      </c>
      <c r="Q23">
        <f>K23</f>
        <v>98.1</v>
      </c>
      <c r="R23" s="1">
        <f>SUM(S23:Z23)</f>
        <v>97.99</v>
      </c>
      <c r="S23" s="1">
        <f>IF($AB23=TRUE,D23*S$2,D23*S$1)</f>
        <v>0</v>
      </c>
      <c r="T23" s="1">
        <f>IF($AB23=TRUE,E23*T$2,E23*T$1)</f>
        <v>40</v>
      </c>
      <c r="U23" s="1">
        <f>IF($AB23=TRUE,F23*U$2,F23*U$1)</f>
        <v>6.6000000000000005</v>
      </c>
      <c r="V23" s="1">
        <f>IF($AB23=TRUE,J23*V$2,J23*V$1)</f>
        <v>50</v>
      </c>
      <c r="W23" s="1">
        <f>IF($AB23=TRUE,P23*W$2/100,P23*W$1/100)</f>
        <v>0.39</v>
      </c>
      <c r="X23" s="1">
        <f>IF($AB23=TRUE,I23*X$2,I23*X$1)</f>
        <v>0</v>
      </c>
      <c r="Y23" s="1">
        <f>IF($AB23=TRUE,N23*Y$2,N23*Y$1)</f>
        <v>1</v>
      </c>
      <c r="Z23" s="1">
        <f>IF($AB23=TRUE,-H23*Z$2,-H23*Z$1)</f>
        <v>0</v>
      </c>
      <c r="AA23" s="2">
        <f>Q23-R23</f>
        <v>0.10999999999999943</v>
      </c>
      <c r="AB23" s="1" t="b">
        <f>IF(G23=TRUE,IF(LEN(A23)&lt;5,TRUE,FALSE),FALSE)</f>
        <v>0</v>
      </c>
    </row>
    <row r="24" spans="1:28" hidden="1" x14ac:dyDescent="0.3">
      <c r="A24" t="s">
        <v>28</v>
      </c>
      <c r="B24" t="s">
        <v>75</v>
      </c>
      <c r="C24" t="s">
        <v>76</v>
      </c>
      <c r="D24">
        <v>0</v>
      </c>
      <c r="E24">
        <v>100</v>
      </c>
      <c r="F24">
        <v>2.2000000000000002</v>
      </c>
      <c r="G24" t="b">
        <v>1</v>
      </c>
      <c r="H24">
        <v>0</v>
      </c>
      <c r="I24">
        <v>0</v>
      </c>
      <c r="J24">
        <v>1</v>
      </c>
      <c r="K24">
        <v>96.3</v>
      </c>
      <c r="L24" t="s">
        <v>77</v>
      </c>
      <c r="N24">
        <v>1</v>
      </c>
      <c r="O24">
        <v>0</v>
      </c>
      <c r="P24">
        <v>20.399999999999999</v>
      </c>
      <c r="Q24">
        <f>K24</f>
        <v>96.3</v>
      </c>
      <c r="R24" s="1">
        <f>SUM(S24:Z24)</f>
        <v>96.216000000000008</v>
      </c>
      <c r="S24" s="1">
        <f>IF($AB24=TRUE,D24*S$2,D24*S$1)</f>
        <v>0</v>
      </c>
      <c r="T24" s="1">
        <f>IF($AB24=TRUE,E24*T$2,E24*T$1)</f>
        <v>40</v>
      </c>
      <c r="U24" s="1">
        <f>IF($AB24=TRUE,F24*U$2,F24*U$1)</f>
        <v>4.4000000000000004</v>
      </c>
      <c r="V24" s="1">
        <f>IF($AB24=TRUE,J24*V$2,J24*V$1)</f>
        <v>50</v>
      </c>
      <c r="W24" s="1">
        <f>IF($AB24=TRUE,P24*W$2/100,P24*W$1/100)</f>
        <v>0.81599999999999995</v>
      </c>
      <c r="X24" s="1">
        <f>IF($AB24=TRUE,I24*X$2,I24*X$1)</f>
        <v>0</v>
      </c>
      <c r="Y24" s="1">
        <f>IF($AB24=TRUE,N24*Y$2,N24*Y$1)</f>
        <v>1</v>
      </c>
      <c r="Z24" s="1">
        <f>IF($AB24=TRUE,-H24*Z$2,-H24*Z$1)</f>
        <v>0</v>
      </c>
      <c r="AA24" s="2">
        <f>Q24-R24</f>
        <v>8.3999999999988972E-2</v>
      </c>
      <c r="AB24" s="1" t="b">
        <f>IF(G24=TRUE,IF(LEN(A24)&lt;5,TRUE,FALSE),FALSE)</f>
        <v>1</v>
      </c>
    </row>
    <row r="25" spans="1:28" hidden="1" x14ac:dyDescent="0.3">
      <c r="A25" t="s">
        <v>28</v>
      </c>
      <c r="B25" t="s">
        <v>78</v>
      </c>
      <c r="C25" t="s">
        <v>79</v>
      </c>
      <c r="D25">
        <v>0</v>
      </c>
      <c r="E25">
        <v>100</v>
      </c>
      <c r="F25">
        <v>2.2000000000000002</v>
      </c>
      <c r="G25" t="b">
        <v>1</v>
      </c>
      <c r="H25">
        <v>0</v>
      </c>
      <c r="I25">
        <v>0</v>
      </c>
      <c r="J25">
        <v>1</v>
      </c>
      <c r="K25">
        <v>96.1</v>
      </c>
      <c r="L25" t="s">
        <v>80</v>
      </c>
      <c r="N25">
        <v>1</v>
      </c>
      <c r="O25">
        <v>0</v>
      </c>
      <c r="P25">
        <v>14.4</v>
      </c>
      <c r="Q25">
        <f>K25</f>
        <v>96.1</v>
      </c>
      <c r="R25" s="1">
        <f>SUM(S25:Z25)</f>
        <v>95.975999999999999</v>
      </c>
      <c r="S25" s="1">
        <f>IF($AB25=TRUE,D25*S$2,D25*S$1)</f>
        <v>0</v>
      </c>
      <c r="T25" s="1">
        <f>IF($AB25=TRUE,E25*T$2,E25*T$1)</f>
        <v>40</v>
      </c>
      <c r="U25" s="1">
        <f>IF($AB25=TRUE,F25*U$2,F25*U$1)</f>
        <v>4.4000000000000004</v>
      </c>
      <c r="V25" s="1">
        <f>IF($AB25=TRUE,J25*V$2,J25*V$1)</f>
        <v>50</v>
      </c>
      <c r="W25" s="1">
        <f>IF($AB25=TRUE,P25*W$2/100,P25*W$1/100)</f>
        <v>0.57600000000000007</v>
      </c>
      <c r="X25" s="1">
        <f>IF($AB25=TRUE,I25*X$2,I25*X$1)</f>
        <v>0</v>
      </c>
      <c r="Y25" s="1">
        <f>IF($AB25=TRUE,N25*Y$2,N25*Y$1)</f>
        <v>1</v>
      </c>
      <c r="Z25" s="1">
        <f>IF($AB25=TRUE,-H25*Z$2,-H25*Z$1)</f>
        <v>0</v>
      </c>
      <c r="AA25" s="2">
        <f>Q25-R25</f>
        <v>0.12399999999999523</v>
      </c>
      <c r="AB25" s="1" t="b">
        <f>IF(G25=TRUE,IF(LEN(A25)&lt;5,TRUE,FALSE),FALSE)</f>
        <v>1</v>
      </c>
    </row>
    <row r="26" spans="1:28" x14ac:dyDescent="0.3">
      <c r="A26" t="s">
        <v>25</v>
      </c>
      <c r="B26" t="s">
        <v>73</v>
      </c>
      <c r="C26" t="s">
        <v>25</v>
      </c>
      <c r="D26">
        <v>1.8</v>
      </c>
      <c r="E26">
        <v>100</v>
      </c>
      <c r="F26">
        <v>16.2</v>
      </c>
      <c r="G26" t="b">
        <v>0</v>
      </c>
      <c r="H26">
        <v>0</v>
      </c>
      <c r="I26">
        <v>1</v>
      </c>
      <c r="J26">
        <v>0</v>
      </c>
      <c r="K26">
        <v>94.7</v>
      </c>
      <c r="L26" t="s">
        <v>74</v>
      </c>
      <c r="N26">
        <v>1</v>
      </c>
      <c r="O26">
        <v>0</v>
      </c>
      <c r="P26">
        <v>23</v>
      </c>
      <c r="Q26">
        <f>K26</f>
        <v>94.7</v>
      </c>
      <c r="R26" s="1">
        <f>SUM(S26:Z26)</f>
        <v>94.774999999999991</v>
      </c>
      <c r="S26" s="1">
        <f>IF($AB26=TRUE,D26*S$2,D26*S$1)</f>
        <v>3.6</v>
      </c>
      <c r="T26" s="1">
        <f>IF($AB26=TRUE,E26*T$2,E26*T$1)</f>
        <v>40</v>
      </c>
      <c r="U26" s="1">
        <f>IF($AB26=TRUE,F26*U$2,F26*U$1)</f>
        <v>48.599999999999994</v>
      </c>
      <c r="V26" s="1">
        <f>IF($AB26=TRUE,J26*V$2,J26*V$1)</f>
        <v>0</v>
      </c>
      <c r="W26" s="1">
        <f>IF($AB26=TRUE,P26*W$2/100,P26*W$1/100)</f>
        <v>0.57499999999999996</v>
      </c>
      <c r="X26" s="1">
        <f>IF($AB26=TRUE,I26*X$2,I26*X$1)</f>
        <v>1</v>
      </c>
      <c r="Y26" s="1">
        <f>IF($AB26=TRUE,N26*Y$2,N26*Y$1)</f>
        <v>1</v>
      </c>
      <c r="Z26" s="1">
        <f>IF($AB26=TRUE,-H26*Z$2,-H26*Z$1)</f>
        <v>0</v>
      </c>
      <c r="AA26" s="2">
        <f>Q26-R26</f>
        <v>-7.4999999999988631E-2</v>
      </c>
      <c r="AB26" s="1" t="b">
        <f>IF(G26=TRUE,IF(LEN(A26)&lt;5,TRUE,FALSE),FALSE)</f>
        <v>0</v>
      </c>
    </row>
    <row r="27" spans="1:28" hidden="1" x14ac:dyDescent="0.3">
      <c r="A27" t="s">
        <v>40</v>
      </c>
      <c r="B27" t="s">
        <v>84</v>
      </c>
      <c r="C27" t="s">
        <v>85</v>
      </c>
      <c r="D27">
        <v>0</v>
      </c>
      <c r="E27">
        <v>75</v>
      </c>
      <c r="F27">
        <v>19.7</v>
      </c>
      <c r="G27" t="b">
        <v>0</v>
      </c>
      <c r="H27">
        <v>0</v>
      </c>
      <c r="I27">
        <v>0</v>
      </c>
      <c r="J27">
        <v>0</v>
      </c>
      <c r="K27">
        <v>92</v>
      </c>
      <c r="L27" t="s">
        <v>86</v>
      </c>
      <c r="N27">
        <v>2</v>
      </c>
      <c r="O27">
        <v>0</v>
      </c>
      <c r="P27">
        <v>39.700000000000003</v>
      </c>
      <c r="Q27">
        <f>K27</f>
        <v>92</v>
      </c>
      <c r="R27" s="1">
        <f>SUM(S27:Z27)</f>
        <v>92.092500000000001</v>
      </c>
      <c r="S27" s="1">
        <f>IF($AB27=TRUE,D27*S$2,D27*S$1)</f>
        <v>0</v>
      </c>
      <c r="T27" s="1">
        <f>IF($AB27=TRUE,E27*T$2,E27*T$1)</f>
        <v>30</v>
      </c>
      <c r="U27" s="1">
        <f>IF($AB27=TRUE,F27*U$2,F27*U$1)</f>
        <v>59.099999999999994</v>
      </c>
      <c r="V27" s="1">
        <f>IF($AB27=TRUE,J27*V$2,J27*V$1)</f>
        <v>0</v>
      </c>
      <c r="W27" s="1">
        <f>IF($AB27=TRUE,P27*W$2/100,P27*W$1/100)</f>
        <v>0.99250000000000005</v>
      </c>
      <c r="X27" s="1">
        <f>IF($AB27=TRUE,I27*X$2,I27*X$1)</f>
        <v>0</v>
      </c>
      <c r="Y27" s="1">
        <f>IF($AB27=TRUE,N27*Y$2,N27*Y$1)</f>
        <v>2</v>
      </c>
      <c r="Z27" s="1">
        <f>IF($AB27=TRUE,-H27*Z$2,-H27*Z$1)</f>
        <v>0</v>
      </c>
      <c r="AA27" s="2">
        <f>Q27-R27</f>
        <v>-9.2500000000001137E-2</v>
      </c>
      <c r="AB27" s="1" t="b">
        <f>IF(G27=TRUE,IF(LEN(A27)&lt;5,TRUE,FALSE),FALSE)</f>
        <v>0</v>
      </c>
    </row>
    <row r="28" spans="1:28" hidden="1" x14ac:dyDescent="0.3">
      <c r="A28" t="s">
        <v>18</v>
      </c>
      <c r="B28" t="s">
        <v>81</v>
      </c>
      <c r="C28" t="s">
        <v>82</v>
      </c>
      <c r="D28">
        <v>0</v>
      </c>
      <c r="E28">
        <v>100</v>
      </c>
      <c r="F28">
        <v>0</v>
      </c>
      <c r="G28" t="b">
        <v>1</v>
      </c>
      <c r="H28">
        <v>0</v>
      </c>
      <c r="I28">
        <v>0</v>
      </c>
      <c r="J28">
        <v>1</v>
      </c>
      <c r="K28">
        <v>91.3</v>
      </c>
      <c r="L28" t="s">
        <v>83</v>
      </c>
      <c r="N28">
        <v>1</v>
      </c>
      <c r="O28">
        <v>0</v>
      </c>
      <c r="P28">
        <v>12.3</v>
      </c>
      <c r="Q28">
        <f>K28</f>
        <v>91.3</v>
      </c>
      <c r="R28" s="1">
        <f>SUM(S28:Z28)</f>
        <v>91.307500000000005</v>
      </c>
      <c r="S28" s="1">
        <f>IF($AB28=TRUE,D28*S$2,D28*S$1)</f>
        <v>0</v>
      </c>
      <c r="T28" s="1">
        <f>IF($AB28=TRUE,E28*T$2,E28*T$1)</f>
        <v>40</v>
      </c>
      <c r="U28" s="1">
        <f>IF($AB28=TRUE,F28*U$2,F28*U$1)</f>
        <v>0</v>
      </c>
      <c r="V28" s="1">
        <f>IF($AB28=TRUE,J28*V$2,J28*V$1)</f>
        <v>50</v>
      </c>
      <c r="W28" s="1">
        <f>IF($AB28=TRUE,P28*W$2/100,P28*W$1/100)</f>
        <v>0.3075</v>
      </c>
      <c r="X28" s="1">
        <f>IF($AB28=TRUE,I28*X$2,I28*X$1)</f>
        <v>0</v>
      </c>
      <c r="Y28" s="1">
        <f>IF($AB28=TRUE,N28*Y$2,N28*Y$1)</f>
        <v>1</v>
      </c>
      <c r="Z28" s="1">
        <f>IF($AB28=TRUE,-H28*Z$2,-H28*Z$1)</f>
        <v>0</v>
      </c>
      <c r="AA28" s="2">
        <f>Q28-R28</f>
        <v>-7.5000000000073896E-3</v>
      </c>
      <c r="AB28" s="1" t="b">
        <f>IF(G28=TRUE,IF(LEN(A28)&lt;5,TRUE,FALSE),FALSE)</f>
        <v>0</v>
      </c>
    </row>
    <row r="29" spans="1:28" hidden="1" x14ac:dyDescent="0.3">
      <c r="A29" t="s">
        <v>40</v>
      </c>
      <c r="B29" t="s">
        <v>90</v>
      </c>
      <c r="C29" t="s">
        <v>85</v>
      </c>
      <c r="D29">
        <v>0</v>
      </c>
      <c r="E29">
        <v>75</v>
      </c>
      <c r="F29">
        <v>18.600000000000001</v>
      </c>
      <c r="G29" t="b">
        <v>0</v>
      </c>
      <c r="H29">
        <v>0</v>
      </c>
      <c r="I29">
        <v>0</v>
      </c>
      <c r="J29">
        <v>0</v>
      </c>
      <c r="K29">
        <v>87.3</v>
      </c>
      <c r="L29" t="s">
        <v>91</v>
      </c>
      <c r="N29">
        <v>1</v>
      </c>
      <c r="O29">
        <v>0</v>
      </c>
      <c r="P29">
        <v>22.7</v>
      </c>
      <c r="Q29">
        <f>K29</f>
        <v>87.3</v>
      </c>
      <c r="R29" s="1">
        <f>SUM(S29:Z29)</f>
        <v>87.367500000000007</v>
      </c>
      <c r="S29" s="1">
        <f>IF($AB29=TRUE,D29*S$2,D29*S$1)</f>
        <v>0</v>
      </c>
      <c r="T29" s="1">
        <f>IF($AB29=TRUE,E29*T$2,E29*T$1)</f>
        <v>30</v>
      </c>
      <c r="U29" s="1">
        <f>IF($AB29=TRUE,F29*U$2,F29*U$1)</f>
        <v>55.800000000000004</v>
      </c>
      <c r="V29" s="1">
        <f>IF($AB29=TRUE,J29*V$2,J29*V$1)</f>
        <v>0</v>
      </c>
      <c r="W29" s="1">
        <f>IF($AB29=TRUE,P29*W$2/100,P29*W$1/100)</f>
        <v>0.5675</v>
      </c>
      <c r="X29" s="1">
        <f>IF($AB29=TRUE,I29*X$2,I29*X$1)</f>
        <v>0</v>
      </c>
      <c r="Y29" s="1">
        <f>IF($AB29=TRUE,N29*Y$2,N29*Y$1)</f>
        <v>1</v>
      </c>
      <c r="Z29" s="1">
        <f>IF($AB29=TRUE,-H29*Z$2,-H29*Z$1)</f>
        <v>0</v>
      </c>
      <c r="AA29" s="2">
        <f>Q29-R29</f>
        <v>-6.7500000000009663E-2</v>
      </c>
      <c r="AB29" s="1" t="b">
        <f>IF(G29=TRUE,IF(LEN(A29)&lt;5,TRUE,FALSE),FALSE)</f>
        <v>0</v>
      </c>
    </row>
    <row r="30" spans="1:28" hidden="1" x14ac:dyDescent="0.3">
      <c r="A30" t="s">
        <v>87</v>
      </c>
      <c r="B30" t="s">
        <v>88</v>
      </c>
      <c r="C30" t="s">
        <v>87</v>
      </c>
      <c r="D30">
        <v>1.5</v>
      </c>
      <c r="E30">
        <v>100</v>
      </c>
      <c r="F30">
        <v>13</v>
      </c>
      <c r="G30" t="b">
        <v>0</v>
      </c>
      <c r="H30">
        <v>0</v>
      </c>
      <c r="I30">
        <v>1</v>
      </c>
      <c r="J30">
        <v>0</v>
      </c>
      <c r="K30">
        <v>85.9</v>
      </c>
      <c r="L30" t="s">
        <v>89</v>
      </c>
      <c r="N30">
        <v>2</v>
      </c>
      <c r="O30">
        <v>0</v>
      </c>
      <c r="P30">
        <v>30.2</v>
      </c>
      <c r="Q30">
        <f>K30</f>
        <v>85.9</v>
      </c>
      <c r="R30" s="1">
        <f>SUM(S30:Z30)</f>
        <v>85.754999999999995</v>
      </c>
      <c r="S30" s="1">
        <f>IF($AB30=TRUE,D30*S$2,D30*S$1)</f>
        <v>3</v>
      </c>
      <c r="T30" s="1">
        <f>IF($AB30=TRUE,E30*T$2,E30*T$1)</f>
        <v>40</v>
      </c>
      <c r="U30" s="1">
        <f>IF($AB30=TRUE,F30*U$2,F30*U$1)</f>
        <v>39</v>
      </c>
      <c r="V30" s="1">
        <f>IF($AB30=TRUE,J30*V$2,J30*V$1)</f>
        <v>0</v>
      </c>
      <c r="W30" s="1">
        <f>IF($AB30=TRUE,P30*W$2/100,P30*W$1/100)</f>
        <v>0.755</v>
      </c>
      <c r="X30" s="1">
        <f>IF($AB30=TRUE,I30*X$2,I30*X$1)</f>
        <v>1</v>
      </c>
      <c r="Y30" s="1">
        <f>IF($AB30=TRUE,N30*Y$2,N30*Y$1)</f>
        <v>2</v>
      </c>
      <c r="Z30" s="1">
        <f>IF($AB30=TRUE,-H30*Z$2,-H30*Z$1)</f>
        <v>0</v>
      </c>
      <c r="AA30" s="2">
        <f>Q30-R30</f>
        <v>0.14500000000001023</v>
      </c>
      <c r="AB30" s="1" t="b">
        <f>IF(G30=TRUE,IF(LEN(A30)&lt;5,TRUE,FALSE),FALSE)</f>
        <v>0</v>
      </c>
    </row>
    <row r="31" spans="1:28" hidden="1" x14ac:dyDescent="0.3">
      <c r="A31" t="s">
        <v>94</v>
      </c>
      <c r="B31" t="s">
        <v>95</v>
      </c>
      <c r="C31" t="s">
        <v>96</v>
      </c>
      <c r="D31">
        <v>1.5</v>
      </c>
      <c r="E31">
        <v>96.8</v>
      </c>
      <c r="F31">
        <v>12.2</v>
      </c>
      <c r="G31" t="b">
        <v>0</v>
      </c>
      <c r="H31">
        <v>0</v>
      </c>
      <c r="I31">
        <v>1</v>
      </c>
      <c r="J31">
        <v>0</v>
      </c>
      <c r="K31">
        <v>81.099999999999994</v>
      </c>
      <c r="L31" t="s">
        <v>97</v>
      </c>
      <c r="N31">
        <v>1</v>
      </c>
      <c r="O31">
        <v>0</v>
      </c>
      <c r="P31">
        <v>31.2</v>
      </c>
      <c r="Q31">
        <f>K31</f>
        <v>81.099999999999994</v>
      </c>
      <c r="R31" s="1">
        <f>SUM(S31:Z31)</f>
        <v>81.099999999999994</v>
      </c>
      <c r="S31" s="1">
        <f>IF($AB31=TRUE,D31*S$2,D31*S$1)</f>
        <v>3</v>
      </c>
      <c r="T31" s="1">
        <f>IF($AB31=TRUE,E31*T$2,E31*T$1)</f>
        <v>38.72</v>
      </c>
      <c r="U31" s="1">
        <f>IF($AB31=TRUE,F31*U$2,F31*U$1)</f>
        <v>36.599999999999994</v>
      </c>
      <c r="V31" s="1">
        <f>IF($AB31=TRUE,J31*V$2,J31*V$1)</f>
        <v>0</v>
      </c>
      <c r="W31" s="1">
        <f>IF($AB31=TRUE,P31*W$2/100,P31*W$1/100)</f>
        <v>0.78</v>
      </c>
      <c r="X31" s="1">
        <f>IF($AB31=TRUE,I31*X$2,I31*X$1)</f>
        <v>1</v>
      </c>
      <c r="Y31" s="1">
        <f>IF($AB31=TRUE,N31*Y$2,N31*Y$1)</f>
        <v>1</v>
      </c>
      <c r="Z31" s="1">
        <f>IF($AB31=TRUE,-H31*Z$2,-H31*Z$1)</f>
        <v>0</v>
      </c>
      <c r="AA31" s="2">
        <f>Q31-R31</f>
        <v>0</v>
      </c>
      <c r="AB31" s="1" t="b">
        <f>IF(G31=TRUE,IF(LEN(A31)&lt;5,TRUE,FALSE),FALSE)</f>
        <v>0</v>
      </c>
    </row>
    <row r="32" spans="1:28" hidden="1" x14ac:dyDescent="0.3">
      <c r="A32" t="s">
        <v>40</v>
      </c>
      <c r="B32" t="s">
        <v>92</v>
      </c>
      <c r="C32" t="s">
        <v>40</v>
      </c>
      <c r="D32">
        <v>0</v>
      </c>
      <c r="E32">
        <v>100</v>
      </c>
      <c r="F32">
        <v>11.6</v>
      </c>
      <c r="G32" t="b">
        <v>0</v>
      </c>
      <c r="H32">
        <v>0</v>
      </c>
      <c r="I32">
        <v>1</v>
      </c>
      <c r="J32">
        <v>0</v>
      </c>
      <c r="K32">
        <v>78.900000000000006</v>
      </c>
      <c r="L32" t="s">
        <v>93</v>
      </c>
      <c r="N32">
        <v>2</v>
      </c>
      <c r="O32">
        <v>0</v>
      </c>
      <c r="P32">
        <v>41.8</v>
      </c>
      <c r="Q32">
        <f>K32</f>
        <v>78.900000000000006</v>
      </c>
      <c r="R32" s="1">
        <f>SUM(S32:Z32)</f>
        <v>78.844999999999999</v>
      </c>
      <c r="S32" s="1">
        <f>IF($AB32=TRUE,D32*S$2,D32*S$1)</f>
        <v>0</v>
      </c>
      <c r="T32" s="1">
        <f>IF($AB32=TRUE,E32*T$2,E32*T$1)</f>
        <v>40</v>
      </c>
      <c r="U32" s="1">
        <f>IF($AB32=TRUE,F32*U$2,F32*U$1)</f>
        <v>34.799999999999997</v>
      </c>
      <c r="V32" s="1">
        <f>IF($AB32=TRUE,J32*V$2,J32*V$1)</f>
        <v>0</v>
      </c>
      <c r="W32" s="1">
        <f>IF($AB32=TRUE,P32*W$2/100,P32*W$1/100)</f>
        <v>1.0449999999999999</v>
      </c>
      <c r="X32" s="1">
        <f>IF($AB32=TRUE,I32*X$2,I32*X$1)</f>
        <v>1</v>
      </c>
      <c r="Y32" s="1">
        <f>IF($AB32=TRUE,N32*Y$2,N32*Y$1)</f>
        <v>2</v>
      </c>
      <c r="Z32" s="1">
        <f>IF($AB32=TRUE,-H32*Z$2,-H32*Z$1)</f>
        <v>0</v>
      </c>
      <c r="AA32" s="2">
        <f>Q32-R32</f>
        <v>5.5000000000006821E-2</v>
      </c>
      <c r="AB32" s="1" t="b">
        <f>IF(G32=TRUE,IF(LEN(A32)&lt;5,TRUE,FALSE),FALSE)</f>
        <v>0</v>
      </c>
    </row>
    <row r="33" spans="1:28" hidden="1" x14ac:dyDescent="0.3">
      <c r="A33" t="s">
        <v>40</v>
      </c>
      <c r="B33" t="s">
        <v>98</v>
      </c>
      <c r="C33" t="s">
        <v>99</v>
      </c>
      <c r="D33">
        <v>0</v>
      </c>
      <c r="E33">
        <v>66.7</v>
      </c>
      <c r="F33">
        <v>17.3</v>
      </c>
      <c r="G33" t="b">
        <v>0</v>
      </c>
      <c r="H33">
        <v>0</v>
      </c>
      <c r="I33">
        <v>0</v>
      </c>
      <c r="J33">
        <v>0</v>
      </c>
      <c r="K33">
        <v>78.400000000000006</v>
      </c>
      <c r="N33">
        <v>0</v>
      </c>
      <c r="O33">
        <v>0</v>
      </c>
      <c r="P33">
        <v>0</v>
      </c>
      <c r="Q33">
        <f>K33</f>
        <v>78.400000000000006</v>
      </c>
      <c r="R33" s="1">
        <f>SUM(S33:Z33)</f>
        <v>78.580000000000013</v>
      </c>
      <c r="S33" s="1">
        <f>IF($AB33=TRUE,D33*S$2,D33*S$1)</f>
        <v>0</v>
      </c>
      <c r="T33" s="1">
        <f>IF($AB33=TRUE,E33*T$2,E33*T$1)</f>
        <v>26.680000000000003</v>
      </c>
      <c r="U33" s="1">
        <f>IF($AB33=TRUE,F33*U$2,F33*U$1)</f>
        <v>51.900000000000006</v>
      </c>
      <c r="V33" s="1">
        <f>IF($AB33=TRUE,J33*V$2,J33*V$1)</f>
        <v>0</v>
      </c>
      <c r="W33" s="1">
        <f>IF($AB33=TRUE,P33*W$2/100,P33*W$1/100)</f>
        <v>0</v>
      </c>
      <c r="X33" s="1">
        <f>IF($AB33=TRUE,I33*X$2,I33*X$1)</f>
        <v>0</v>
      </c>
      <c r="Y33" s="1">
        <f>IF($AB33=TRUE,N33*Y$2,N33*Y$1)</f>
        <v>0</v>
      </c>
      <c r="Z33" s="1">
        <f>IF($AB33=TRUE,-H33*Z$2,-H33*Z$1)</f>
        <v>0</v>
      </c>
      <c r="AA33" s="2">
        <f>Q33-R33</f>
        <v>-0.18000000000000682</v>
      </c>
      <c r="AB33" s="1" t="b">
        <f>IF(G33=TRUE,IF(LEN(A33)&lt;5,TRUE,FALSE),FALSE)</f>
        <v>0</v>
      </c>
    </row>
    <row r="34" spans="1:28" hidden="1" x14ac:dyDescent="0.3">
      <c r="A34" t="s">
        <v>40</v>
      </c>
      <c r="B34" t="s">
        <v>100</v>
      </c>
      <c r="C34" t="s">
        <v>101</v>
      </c>
      <c r="D34">
        <v>0</v>
      </c>
      <c r="E34">
        <v>60</v>
      </c>
      <c r="F34">
        <v>17.5</v>
      </c>
      <c r="G34" t="b">
        <v>0</v>
      </c>
      <c r="H34">
        <v>0</v>
      </c>
      <c r="I34">
        <v>0</v>
      </c>
      <c r="J34">
        <v>0</v>
      </c>
      <c r="K34">
        <v>78.400000000000006</v>
      </c>
      <c r="L34" t="s">
        <v>21</v>
      </c>
      <c r="N34">
        <v>1</v>
      </c>
      <c r="O34">
        <v>0</v>
      </c>
      <c r="P34">
        <v>33.1</v>
      </c>
      <c r="Q34">
        <f>K34</f>
        <v>78.400000000000006</v>
      </c>
      <c r="R34" s="1">
        <f>SUM(S34:Z34)</f>
        <v>78.327500000000001</v>
      </c>
      <c r="S34" s="1">
        <f>IF($AB34=TRUE,D34*S$2,D34*S$1)</f>
        <v>0</v>
      </c>
      <c r="T34" s="1">
        <f>IF($AB34=TRUE,E34*T$2,E34*T$1)</f>
        <v>24</v>
      </c>
      <c r="U34" s="1">
        <f>IF($AB34=TRUE,F34*U$2,F34*U$1)</f>
        <v>52.5</v>
      </c>
      <c r="V34" s="1">
        <f>IF($AB34=TRUE,J34*V$2,J34*V$1)</f>
        <v>0</v>
      </c>
      <c r="W34" s="1">
        <f>IF($AB34=TRUE,P34*W$2/100,P34*W$1/100)</f>
        <v>0.82750000000000001</v>
      </c>
      <c r="X34" s="1">
        <f>IF($AB34=TRUE,I34*X$2,I34*X$1)</f>
        <v>0</v>
      </c>
      <c r="Y34" s="1">
        <f>IF($AB34=TRUE,N34*Y$2,N34*Y$1)</f>
        <v>1</v>
      </c>
      <c r="Z34" s="1">
        <f>IF($AB34=TRUE,-H34*Z$2,-H34*Z$1)</f>
        <v>0</v>
      </c>
      <c r="AA34" s="2">
        <f>Q34-R34</f>
        <v>7.2500000000005116E-2</v>
      </c>
      <c r="AB34" s="1" t="b">
        <f>IF(G34=TRUE,IF(LEN(A34)&lt;5,TRUE,FALSE),FALSE)</f>
        <v>0</v>
      </c>
    </row>
    <row r="35" spans="1:28" hidden="1" x14ac:dyDescent="0.3">
      <c r="A35" t="s">
        <v>40</v>
      </c>
      <c r="B35" t="s">
        <v>114</v>
      </c>
      <c r="C35" t="s">
        <v>115</v>
      </c>
      <c r="D35">
        <v>0</v>
      </c>
      <c r="E35">
        <v>54.5</v>
      </c>
      <c r="F35">
        <v>17.2</v>
      </c>
      <c r="G35" t="b">
        <v>0</v>
      </c>
      <c r="H35">
        <v>0</v>
      </c>
      <c r="I35">
        <v>0</v>
      </c>
      <c r="J35">
        <v>0</v>
      </c>
      <c r="K35">
        <v>75.5</v>
      </c>
      <c r="L35" t="s">
        <v>116</v>
      </c>
      <c r="N35">
        <v>1</v>
      </c>
      <c r="O35">
        <v>0</v>
      </c>
      <c r="P35">
        <v>39.6</v>
      </c>
      <c r="Q35">
        <f>K35</f>
        <v>75.5</v>
      </c>
      <c r="R35" s="1">
        <f>SUM(S35:Z35)</f>
        <v>75.389999999999986</v>
      </c>
      <c r="S35" s="1">
        <f>IF($AB35=TRUE,D35*S$2,D35*S$1)</f>
        <v>0</v>
      </c>
      <c r="T35" s="1">
        <f>IF($AB35=TRUE,E35*T$2,E35*T$1)</f>
        <v>21.8</v>
      </c>
      <c r="U35" s="1">
        <f>IF($AB35=TRUE,F35*U$2,F35*U$1)</f>
        <v>51.599999999999994</v>
      </c>
      <c r="V35" s="1">
        <f>IF($AB35=TRUE,J35*V$2,J35*V$1)</f>
        <v>0</v>
      </c>
      <c r="W35" s="1">
        <f>IF($AB35=TRUE,P35*W$2/100,P35*W$1/100)</f>
        <v>0.99</v>
      </c>
      <c r="X35" s="1">
        <f>IF($AB35=TRUE,I35*X$2,I35*X$1)</f>
        <v>0</v>
      </c>
      <c r="Y35" s="1">
        <f>IF($AB35=TRUE,N35*Y$2,N35*Y$1)</f>
        <v>1</v>
      </c>
      <c r="Z35" s="1">
        <f>IF($AB35=TRUE,-H35*Z$2,-H35*Z$1)</f>
        <v>0</v>
      </c>
      <c r="AA35" s="2">
        <f>Q35-R35</f>
        <v>0.11000000000001364</v>
      </c>
      <c r="AB35" s="1" t="b">
        <f>IF(G35=TRUE,IF(LEN(A35)&lt;5,TRUE,FALSE),FALSE)</f>
        <v>0</v>
      </c>
    </row>
    <row r="36" spans="1:28" hidden="1" x14ac:dyDescent="0.3">
      <c r="A36" t="s">
        <v>40</v>
      </c>
      <c r="B36" t="s">
        <v>120</v>
      </c>
      <c r="C36" t="s">
        <v>121</v>
      </c>
      <c r="D36">
        <v>0</v>
      </c>
      <c r="E36">
        <v>85.7</v>
      </c>
      <c r="F36">
        <v>12.8</v>
      </c>
      <c r="G36" t="b">
        <v>0</v>
      </c>
      <c r="H36">
        <v>0</v>
      </c>
      <c r="I36">
        <v>0</v>
      </c>
      <c r="J36">
        <v>0</v>
      </c>
      <c r="K36">
        <v>74.5</v>
      </c>
      <c r="L36" t="s">
        <v>122</v>
      </c>
      <c r="N36">
        <v>1</v>
      </c>
      <c r="O36">
        <v>0</v>
      </c>
      <c r="P36">
        <v>35.700000000000003</v>
      </c>
      <c r="Q36">
        <f>K36</f>
        <v>74.5</v>
      </c>
      <c r="R36" s="1">
        <f>SUM(S36:Z36)</f>
        <v>74.572500000000005</v>
      </c>
      <c r="S36" s="1">
        <f>IF($AB36=TRUE,D36*S$2,D36*S$1)</f>
        <v>0</v>
      </c>
      <c r="T36" s="1">
        <f>IF($AB36=TRUE,E36*T$2,E36*T$1)</f>
        <v>34.28</v>
      </c>
      <c r="U36" s="1">
        <f>IF($AB36=TRUE,F36*U$2,F36*U$1)</f>
        <v>38.400000000000006</v>
      </c>
      <c r="V36" s="1">
        <f>IF($AB36=TRUE,J36*V$2,J36*V$1)</f>
        <v>0</v>
      </c>
      <c r="W36" s="1">
        <f>IF($AB36=TRUE,P36*W$2/100,P36*W$1/100)</f>
        <v>0.89249999999999996</v>
      </c>
      <c r="X36" s="1">
        <f>IF($AB36=TRUE,I36*X$2,I36*X$1)</f>
        <v>0</v>
      </c>
      <c r="Y36" s="1">
        <f>IF($AB36=TRUE,N36*Y$2,N36*Y$1)</f>
        <v>1</v>
      </c>
      <c r="Z36" s="1">
        <f>IF($AB36=TRUE,-H36*Z$2,-H36*Z$1)</f>
        <v>0</v>
      </c>
      <c r="AA36" s="2">
        <f>Q36-R36</f>
        <v>-7.2500000000005116E-2</v>
      </c>
      <c r="AB36" s="1" t="b">
        <f>IF(G36=TRUE,IF(LEN(A36)&lt;5,TRUE,FALSE),FALSE)</f>
        <v>0</v>
      </c>
    </row>
    <row r="37" spans="1:28" hidden="1" x14ac:dyDescent="0.3">
      <c r="A37" t="s">
        <v>40</v>
      </c>
      <c r="B37" t="s">
        <v>102</v>
      </c>
      <c r="C37" t="s">
        <v>103</v>
      </c>
      <c r="D37">
        <v>0</v>
      </c>
      <c r="E37">
        <v>75</v>
      </c>
      <c r="F37">
        <v>13.8</v>
      </c>
      <c r="G37" t="b">
        <v>0</v>
      </c>
      <c r="H37">
        <v>0</v>
      </c>
      <c r="I37">
        <v>0</v>
      </c>
      <c r="J37">
        <v>0</v>
      </c>
      <c r="K37">
        <v>74.3</v>
      </c>
      <c r="L37" t="s">
        <v>104</v>
      </c>
      <c r="N37">
        <v>2</v>
      </c>
      <c r="O37">
        <v>0</v>
      </c>
      <c r="P37">
        <v>36</v>
      </c>
      <c r="Q37">
        <f>K37</f>
        <v>74.3</v>
      </c>
      <c r="R37" s="1">
        <f>SUM(S37:Z37)</f>
        <v>74.300000000000011</v>
      </c>
      <c r="S37" s="1">
        <f>IF($AB37=TRUE,D37*S$2,D37*S$1)</f>
        <v>0</v>
      </c>
      <c r="T37" s="1">
        <f>IF($AB37=TRUE,E37*T$2,E37*T$1)</f>
        <v>30</v>
      </c>
      <c r="U37" s="1">
        <f>IF($AB37=TRUE,F37*U$2,F37*U$1)</f>
        <v>41.400000000000006</v>
      </c>
      <c r="V37" s="1">
        <f>IF($AB37=TRUE,J37*V$2,J37*V$1)</f>
        <v>0</v>
      </c>
      <c r="W37" s="1">
        <f>IF($AB37=TRUE,P37*W$2/100,P37*W$1/100)</f>
        <v>0.9</v>
      </c>
      <c r="X37" s="1">
        <f>IF($AB37=TRUE,I37*X$2,I37*X$1)</f>
        <v>0</v>
      </c>
      <c r="Y37" s="1">
        <f>IF($AB37=TRUE,N37*Y$2,N37*Y$1)</f>
        <v>2</v>
      </c>
      <c r="Z37" s="1">
        <f>IF($AB37=TRUE,-H37*Z$2,-H37*Z$1)</f>
        <v>0</v>
      </c>
      <c r="AA37" s="2">
        <f>Q37-R37</f>
        <v>0</v>
      </c>
      <c r="AB37" s="1" t="b">
        <f>IF(G37=TRUE,IF(LEN(A37)&lt;5,TRUE,FALSE),FALSE)</f>
        <v>0</v>
      </c>
    </row>
    <row r="38" spans="1:28" hidden="1" x14ac:dyDescent="0.3">
      <c r="A38" t="s">
        <v>40</v>
      </c>
      <c r="B38" t="s">
        <v>105</v>
      </c>
      <c r="C38" t="s">
        <v>106</v>
      </c>
      <c r="D38">
        <v>0</v>
      </c>
      <c r="E38">
        <v>54.5</v>
      </c>
      <c r="F38">
        <v>15.4</v>
      </c>
      <c r="G38" t="b">
        <v>0</v>
      </c>
      <c r="H38">
        <v>0</v>
      </c>
      <c r="I38">
        <v>0</v>
      </c>
      <c r="J38">
        <v>0</v>
      </c>
      <c r="K38">
        <v>74</v>
      </c>
      <c r="L38" t="s">
        <v>107</v>
      </c>
      <c r="N38">
        <v>5</v>
      </c>
      <c r="O38">
        <v>0</v>
      </c>
      <c r="P38">
        <v>43.1</v>
      </c>
      <c r="Q38">
        <f>K38</f>
        <v>74</v>
      </c>
      <c r="R38" s="1">
        <f>SUM(S38:Z38)</f>
        <v>74.077500000000001</v>
      </c>
      <c r="S38" s="1">
        <f>IF($AB38=TRUE,D38*S$2,D38*S$1)</f>
        <v>0</v>
      </c>
      <c r="T38" s="1">
        <f>IF($AB38=TRUE,E38*T$2,E38*T$1)</f>
        <v>21.8</v>
      </c>
      <c r="U38" s="1">
        <f>IF($AB38=TRUE,F38*U$2,F38*U$1)</f>
        <v>46.2</v>
      </c>
      <c r="V38" s="1">
        <f>IF($AB38=TRUE,J38*V$2,J38*V$1)</f>
        <v>0</v>
      </c>
      <c r="W38" s="1">
        <f>IF($AB38=TRUE,P38*W$2/100,P38*W$1/100)</f>
        <v>1.0774999999999999</v>
      </c>
      <c r="X38" s="1">
        <f>IF($AB38=TRUE,I38*X$2,I38*X$1)</f>
        <v>0</v>
      </c>
      <c r="Y38" s="1">
        <f>IF($AB38=TRUE,N38*Y$2,N38*Y$1)</f>
        <v>5</v>
      </c>
      <c r="Z38" s="1">
        <f>IF($AB38=TRUE,-H38*Z$2,-H38*Z$1)</f>
        <v>0</v>
      </c>
      <c r="AA38" s="2">
        <f>Q38-R38</f>
        <v>-7.7500000000000568E-2</v>
      </c>
      <c r="AB38" s="1" t="b">
        <f>IF(G38=TRUE,IF(LEN(A38)&lt;5,TRUE,FALSE),FALSE)</f>
        <v>0</v>
      </c>
    </row>
    <row r="39" spans="1:28" hidden="1" x14ac:dyDescent="0.3">
      <c r="A39" t="s">
        <v>40</v>
      </c>
      <c r="B39" t="s">
        <v>108</v>
      </c>
      <c r="C39" t="s">
        <v>109</v>
      </c>
      <c r="D39">
        <v>0</v>
      </c>
      <c r="E39">
        <v>42.9</v>
      </c>
      <c r="F39">
        <v>18.3</v>
      </c>
      <c r="G39" t="b">
        <v>0</v>
      </c>
      <c r="H39">
        <v>0</v>
      </c>
      <c r="I39">
        <v>0</v>
      </c>
      <c r="J39">
        <v>0</v>
      </c>
      <c r="K39">
        <v>74</v>
      </c>
      <c r="L39" t="s">
        <v>110</v>
      </c>
      <c r="N39">
        <v>1</v>
      </c>
      <c r="O39">
        <v>0</v>
      </c>
      <c r="P39">
        <v>36</v>
      </c>
      <c r="Q39">
        <f>K39</f>
        <v>74</v>
      </c>
      <c r="R39" s="1">
        <f>SUM(S39:Z39)</f>
        <v>73.960000000000008</v>
      </c>
      <c r="S39" s="1">
        <f>IF($AB39=TRUE,D39*S$2,D39*S$1)</f>
        <v>0</v>
      </c>
      <c r="T39" s="1">
        <f>IF($AB39=TRUE,E39*T$2,E39*T$1)</f>
        <v>17.16</v>
      </c>
      <c r="U39" s="1">
        <f>IF($AB39=TRUE,F39*U$2,F39*U$1)</f>
        <v>54.900000000000006</v>
      </c>
      <c r="V39" s="1">
        <f>IF($AB39=TRUE,J39*V$2,J39*V$1)</f>
        <v>0</v>
      </c>
      <c r="W39" s="1">
        <f>IF($AB39=TRUE,P39*W$2/100,P39*W$1/100)</f>
        <v>0.9</v>
      </c>
      <c r="X39" s="1">
        <f>IF($AB39=TRUE,I39*X$2,I39*X$1)</f>
        <v>0</v>
      </c>
      <c r="Y39" s="1">
        <f>IF($AB39=TRUE,N39*Y$2,N39*Y$1)</f>
        <v>1</v>
      </c>
      <c r="Z39" s="1">
        <f>IF($AB39=TRUE,-H39*Z$2,-H39*Z$1)</f>
        <v>0</v>
      </c>
      <c r="AA39" s="2">
        <f>Q39-R39</f>
        <v>3.9999999999992042E-2</v>
      </c>
      <c r="AB39" s="1" t="b">
        <f>IF(G39=TRUE,IF(LEN(A39)&lt;5,TRUE,FALSE),FALSE)</f>
        <v>0</v>
      </c>
    </row>
    <row r="40" spans="1:28" hidden="1" x14ac:dyDescent="0.3">
      <c r="A40" t="s">
        <v>40</v>
      </c>
      <c r="B40" t="s">
        <v>111</v>
      </c>
      <c r="C40" t="s">
        <v>112</v>
      </c>
      <c r="D40">
        <v>0</v>
      </c>
      <c r="E40">
        <v>66.7</v>
      </c>
      <c r="F40">
        <v>14.8</v>
      </c>
      <c r="G40" t="b">
        <v>0</v>
      </c>
      <c r="H40">
        <v>0</v>
      </c>
      <c r="I40">
        <v>0</v>
      </c>
      <c r="J40">
        <v>0</v>
      </c>
      <c r="K40">
        <v>73.5</v>
      </c>
      <c r="L40" t="s">
        <v>113</v>
      </c>
      <c r="N40">
        <v>2</v>
      </c>
      <c r="O40">
        <v>0</v>
      </c>
      <c r="P40">
        <v>21.9</v>
      </c>
      <c r="Q40">
        <f>K40</f>
        <v>73.5</v>
      </c>
      <c r="R40" s="1">
        <f>SUM(S40:Z40)</f>
        <v>73.627500000000012</v>
      </c>
      <c r="S40" s="1">
        <f>IF($AB40=TRUE,D40*S$2,D40*S$1)</f>
        <v>0</v>
      </c>
      <c r="T40" s="1">
        <f>IF($AB40=TRUE,E40*T$2,E40*T$1)</f>
        <v>26.680000000000003</v>
      </c>
      <c r="U40" s="1">
        <f>IF($AB40=TRUE,F40*U$2,F40*U$1)</f>
        <v>44.400000000000006</v>
      </c>
      <c r="V40" s="1">
        <f>IF($AB40=TRUE,J40*V$2,J40*V$1)</f>
        <v>0</v>
      </c>
      <c r="W40" s="1">
        <f>IF($AB40=TRUE,P40*W$2/100,P40*W$1/100)</f>
        <v>0.54749999999999999</v>
      </c>
      <c r="X40" s="1">
        <f>IF($AB40=TRUE,I40*X$2,I40*X$1)</f>
        <v>0</v>
      </c>
      <c r="Y40" s="1">
        <f>IF($AB40=TRUE,N40*Y$2,N40*Y$1)</f>
        <v>2</v>
      </c>
      <c r="Z40" s="1">
        <f>IF($AB40=TRUE,-H40*Z$2,-H40*Z$1)</f>
        <v>0</v>
      </c>
      <c r="AA40" s="2">
        <f>Q40-R40</f>
        <v>-0.12750000000001194</v>
      </c>
      <c r="AB40" s="1" t="b">
        <f>IF(G40=TRUE,IF(LEN(A40)&lt;5,TRUE,FALSE),FALSE)</f>
        <v>0</v>
      </c>
    </row>
    <row r="41" spans="1:28" hidden="1" x14ac:dyDescent="0.3">
      <c r="A41" t="s">
        <v>28</v>
      </c>
      <c r="B41" t="s">
        <v>133</v>
      </c>
      <c r="C41" t="s">
        <v>134</v>
      </c>
      <c r="D41">
        <v>0</v>
      </c>
      <c r="E41">
        <v>85.7</v>
      </c>
      <c r="F41">
        <v>12.6</v>
      </c>
      <c r="G41" t="b">
        <v>0</v>
      </c>
      <c r="H41">
        <v>0</v>
      </c>
      <c r="I41">
        <v>0</v>
      </c>
      <c r="J41">
        <v>0</v>
      </c>
      <c r="K41">
        <v>72</v>
      </c>
      <c r="N41">
        <v>0</v>
      </c>
      <c r="O41">
        <v>0</v>
      </c>
      <c r="P41">
        <v>0</v>
      </c>
      <c r="Q41">
        <f>K41</f>
        <v>72</v>
      </c>
      <c r="R41" s="1">
        <f>SUM(S41:Z41)</f>
        <v>72.08</v>
      </c>
      <c r="S41" s="1">
        <f>IF($AB41=TRUE,D41*S$2,D41*S$1)</f>
        <v>0</v>
      </c>
      <c r="T41" s="1">
        <f>IF($AB41=TRUE,E41*T$2,E41*T$1)</f>
        <v>34.28</v>
      </c>
      <c r="U41" s="1">
        <f>IF($AB41=TRUE,F41*U$2,F41*U$1)</f>
        <v>37.799999999999997</v>
      </c>
      <c r="V41" s="1">
        <f>IF($AB41=TRUE,J41*V$2,J41*V$1)</f>
        <v>0</v>
      </c>
      <c r="W41" s="1">
        <f>IF($AB41=TRUE,P41*W$2/100,P41*W$1/100)</f>
        <v>0</v>
      </c>
      <c r="X41" s="1">
        <f>IF($AB41=TRUE,I41*X$2,I41*X$1)</f>
        <v>0</v>
      </c>
      <c r="Y41" s="1">
        <f>IF($AB41=TRUE,N41*Y$2,N41*Y$1)</f>
        <v>0</v>
      </c>
      <c r="Z41" s="1">
        <f>IF($AB41=TRUE,-H41*Z$2,-H41*Z$1)</f>
        <v>0</v>
      </c>
      <c r="AA41" s="2">
        <f>Q41-R41</f>
        <v>-7.9999999999998295E-2</v>
      </c>
      <c r="AB41" s="1" t="b">
        <f>IF(G41=TRUE,IF(LEN(A41)&lt;5,TRUE,FALSE),FALSE)</f>
        <v>0</v>
      </c>
    </row>
    <row r="42" spans="1:28" hidden="1" x14ac:dyDescent="0.3">
      <c r="A42" t="s">
        <v>18</v>
      </c>
      <c r="B42" t="s">
        <v>135</v>
      </c>
      <c r="C42" t="s">
        <v>136</v>
      </c>
      <c r="D42">
        <v>0</v>
      </c>
      <c r="E42">
        <v>70.599999999999994</v>
      </c>
      <c r="F42">
        <v>14</v>
      </c>
      <c r="G42" t="b">
        <v>0</v>
      </c>
      <c r="H42">
        <v>0</v>
      </c>
      <c r="I42">
        <v>0</v>
      </c>
      <c r="J42">
        <v>0</v>
      </c>
      <c r="K42">
        <v>71.8</v>
      </c>
      <c r="L42" t="s">
        <v>21</v>
      </c>
      <c r="N42">
        <v>1</v>
      </c>
      <c r="O42">
        <v>0</v>
      </c>
      <c r="P42">
        <v>17</v>
      </c>
      <c r="Q42">
        <f>K42</f>
        <v>71.8</v>
      </c>
      <c r="R42" s="1">
        <f>SUM(S42:Z42)</f>
        <v>71.664999999999992</v>
      </c>
      <c r="S42" s="1">
        <f>IF($AB42=TRUE,D42*S$2,D42*S$1)</f>
        <v>0</v>
      </c>
      <c r="T42" s="1">
        <f>IF($AB42=TRUE,E42*T$2,E42*T$1)</f>
        <v>28.24</v>
      </c>
      <c r="U42" s="1">
        <f>IF($AB42=TRUE,F42*U$2,F42*U$1)</f>
        <v>42</v>
      </c>
      <c r="V42" s="1">
        <f>IF($AB42=TRUE,J42*V$2,J42*V$1)</f>
        <v>0</v>
      </c>
      <c r="W42" s="1">
        <f>IF($AB42=TRUE,P42*W$2/100,P42*W$1/100)</f>
        <v>0.42499999999999999</v>
      </c>
      <c r="X42" s="1">
        <f>IF($AB42=TRUE,I42*X$2,I42*X$1)</f>
        <v>0</v>
      </c>
      <c r="Y42" s="1">
        <f>IF($AB42=TRUE,N42*Y$2,N42*Y$1)</f>
        <v>1</v>
      </c>
      <c r="Z42" s="1">
        <f>IF($AB42=TRUE,-H42*Z$2,-H42*Z$1)</f>
        <v>0</v>
      </c>
      <c r="AA42" s="2">
        <f>Q42-R42</f>
        <v>0.13500000000000512</v>
      </c>
      <c r="AB42" s="1" t="b">
        <f>IF(G42=TRUE,IF(LEN(A42)&lt;5,TRUE,FALSE),FALSE)</f>
        <v>0</v>
      </c>
    </row>
    <row r="43" spans="1:28" hidden="1" x14ac:dyDescent="0.3">
      <c r="A43" t="s">
        <v>40</v>
      </c>
      <c r="B43" t="s">
        <v>123</v>
      </c>
      <c r="C43" t="s">
        <v>124</v>
      </c>
      <c r="D43">
        <v>0</v>
      </c>
      <c r="E43">
        <v>33.299999999999997</v>
      </c>
      <c r="F43">
        <v>18.600000000000001</v>
      </c>
      <c r="G43" t="b">
        <v>0</v>
      </c>
      <c r="H43">
        <v>0</v>
      </c>
      <c r="I43">
        <v>0</v>
      </c>
      <c r="J43">
        <v>0</v>
      </c>
      <c r="K43">
        <v>70.5</v>
      </c>
      <c r="L43" t="s">
        <v>125</v>
      </c>
      <c r="N43">
        <v>1</v>
      </c>
      <c r="O43">
        <v>0</v>
      </c>
      <c r="P43">
        <v>21.1</v>
      </c>
      <c r="Q43">
        <f>K43</f>
        <v>70.5</v>
      </c>
      <c r="R43" s="1">
        <f>SUM(S43:Z43)</f>
        <v>70.647500000000008</v>
      </c>
      <c r="S43" s="1">
        <f>IF($AB43=TRUE,D43*S$2,D43*S$1)</f>
        <v>0</v>
      </c>
      <c r="T43" s="1">
        <f>IF($AB43=TRUE,E43*T$2,E43*T$1)</f>
        <v>13.32</v>
      </c>
      <c r="U43" s="1">
        <f>IF($AB43=TRUE,F43*U$2,F43*U$1)</f>
        <v>55.800000000000004</v>
      </c>
      <c r="V43" s="1">
        <f>IF($AB43=TRUE,J43*V$2,J43*V$1)</f>
        <v>0</v>
      </c>
      <c r="W43" s="1">
        <f>IF($AB43=TRUE,P43*W$2/100,P43*W$1/100)</f>
        <v>0.52749999999999997</v>
      </c>
      <c r="X43" s="1">
        <f>IF($AB43=TRUE,I43*X$2,I43*X$1)</f>
        <v>0</v>
      </c>
      <c r="Y43" s="1">
        <f>IF($AB43=TRUE,N43*Y$2,N43*Y$1)</f>
        <v>1</v>
      </c>
      <c r="Z43" s="1">
        <f>IF($AB43=TRUE,-H43*Z$2,-H43*Z$1)</f>
        <v>0</v>
      </c>
      <c r="AA43" s="2">
        <f>Q43-R43</f>
        <v>-0.14750000000000796</v>
      </c>
      <c r="AB43" s="1" t="b">
        <f>IF(G43=TRUE,IF(LEN(A43)&lt;5,TRUE,FALSE),FALSE)</f>
        <v>0</v>
      </c>
    </row>
    <row r="44" spans="1:28" hidden="1" x14ac:dyDescent="0.3">
      <c r="A44" t="s">
        <v>40</v>
      </c>
      <c r="B44" t="s">
        <v>126</v>
      </c>
      <c r="C44" t="s">
        <v>127</v>
      </c>
      <c r="D44">
        <v>0</v>
      </c>
      <c r="E44">
        <v>60</v>
      </c>
      <c r="F44">
        <v>15.5</v>
      </c>
      <c r="G44" t="b">
        <v>0</v>
      </c>
      <c r="H44">
        <v>0</v>
      </c>
      <c r="I44">
        <v>0</v>
      </c>
      <c r="J44">
        <v>0</v>
      </c>
      <c r="K44">
        <v>70.400000000000006</v>
      </c>
      <c r="N44">
        <v>0</v>
      </c>
      <c r="O44">
        <v>0</v>
      </c>
      <c r="P44">
        <v>0</v>
      </c>
      <c r="Q44">
        <f>K44</f>
        <v>70.400000000000006</v>
      </c>
      <c r="R44" s="1">
        <f>SUM(S44:Z44)</f>
        <v>70.5</v>
      </c>
      <c r="S44" s="1">
        <f>IF($AB44=TRUE,D44*S$2,D44*S$1)</f>
        <v>0</v>
      </c>
      <c r="T44" s="1">
        <f>IF($AB44=TRUE,E44*T$2,E44*T$1)</f>
        <v>24</v>
      </c>
      <c r="U44" s="1">
        <f>IF($AB44=TRUE,F44*U$2,F44*U$1)</f>
        <v>46.5</v>
      </c>
      <c r="V44" s="1">
        <f>IF($AB44=TRUE,J44*V$2,J44*V$1)</f>
        <v>0</v>
      </c>
      <c r="W44" s="1">
        <f>IF($AB44=TRUE,P44*W$2/100,P44*W$1/100)</f>
        <v>0</v>
      </c>
      <c r="X44" s="1">
        <f>IF($AB44=TRUE,I44*X$2,I44*X$1)</f>
        <v>0</v>
      </c>
      <c r="Y44" s="1">
        <f>IF($AB44=TRUE,N44*Y$2,N44*Y$1)</f>
        <v>0</v>
      </c>
      <c r="Z44" s="1">
        <f>IF($AB44=TRUE,-H44*Z$2,-H44*Z$1)</f>
        <v>0</v>
      </c>
      <c r="AA44" s="2">
        <f>Q44-R44</f>
        <v>-9.9999999999994316E-2</v>
      </c>
      <c r="AB44" s="1" t="b">
        <f>IF(G44=TRUE,IF(LEN(A44)&lt;5,TRUE,FALSE),FALSE)</f>
        <v>0</v>
      </c>
    </row>
    <row r="45" spans="1:28" hidden="1" x14ac:dyDescent="0.3">
      <c r="A45" t="s">
        <v>40</v>
      </c>
      <c r="B45" t="s">
        <v>128</v>
      </c>
      <c r="C45" t="s">
        <v>129</v>
      </c>
      <c r="D45">
        <v>0</v>
      </c>
      <c r="E45">
        <v>42.9</v>
      </c>
      <c r="F45">
        <v>17.600000000000001</v>
      </c>
      <c r="G45" t="b">
        <v>0</v>
      </c>
      <c r="H45">
        <v>0</v>
      </c>
      <c r="I45">
        <v>0</v>
      </c>
      <c r="J45">
        <v>0</v>
      </c>
      <c r="K45">
        <v>69.8</v>
      </c>
      <c r="N45">
        <v>0</v>
      </c>
      <c r="O45">
        <v>0</v>
      </c>
      <c r="P45">
        <v>0</v>
      </c>
      <c r="Q45">
        <f>K45</f>
        <v>69.8</v>
      </c>
      <c r="R45" s="1">
        <f>SUM(S45:Z45)</f>
        <v>69.960000000000008</v>
      </c>
      <c r="S45" s="1">
        <f>IF($AB45=TRUE,D45*S$2,D45*S$1)</f>
        <v>0</v>
      </c>
      <c r="T45" s="1">
        <f>IF($AB45=TRUE,E45*T$2,E45*T$1)</f>
        <v>17.16</v>
      </c>
      <c r="U45" s="1">
        <f>IF($AB45=TRUE,F45*U$2,F45*U$1)</f>
        <v>52.800000000000004</v>
      </c>
      <c r="V45" s="1">
        <f>IF($AB45=TRUE,J45*V$2,J45*V$1)</f>
        <v>0</v>
      </c>
      <c r="W45" s="1">
        <f>IF($AB45=TRUE,P45*W$2/100,P45*W$1/100)</f>
        <v>0</v>
      </c>
      <c r="X45" s="1">
        <f>IF($AB45=TRUE,I45*X$2,I45*X$1)</f>
        <v>0</v>
      </c>
      <c r="Y45" s="1">
        <f>IF($AB45=TRUE,N45*Y$2,N45*Y$1)</f>
        <v>0</v>
      </c>
      <c r="Z45" s="1">
        <f>IF($AB45=TRUE,-H45*Z$2,-H45*Z$1)</f>
        <v>0</v>
      </c>
      <c r="AA45" s="2">
        <f>Q45-R45</f>
        <v>-0.1600000000000108</v>
      </c>
      <c r="AB45" s="1" t="b">
        <f>IF(G45=TRUE,IF(LEN(A45)&lt;5,TRUE,FALSE),FALSE)</f>
        <v>0</v>
      </c>
    </row>
    <row r="46" spans="1:28" hidden="1" x14ac:dyDescent="0.3">
      <c r="A46" t="s">
        <v>18</v>
      </c>
      <c r="B46" t="s">
        <v>145</v>
      </c>
      <c r="C46" t="s">
        <v>146</v>
      </c>
      <c r="D46">
        <v>0.5</v>
      </c>
      <c r="E46">
        <v>47.6</v>
      </c>
      <c r="F46">
        <v>16.5</v>
      </c>
      <c r="G46" t="b">
        <v>0</v>
      </c>
      <c r="H46">
        <v>0</v>
      </c>
      <c r="I46">
        <v>0</v>
      </c>
      <c r="J46">
        <v>0</v>
      </c>
      <c r="K46">
        <v>69.8</v>
      </c>
      <c r="N46">
        <v>0</v>
      </c>
      <c r="O46">
        <v>0</v>
      </c>
      <c r="P46">
        <v>0</v>
      </c>
      <c r="Q46">
        <f>K46</f>
        <v>69.8</v>
      </c>
      <c r="R46" s="1">
        <f>SUM(S46:Z46)</f>
        <v>69.540000000000006</v>
      </c>
      <c r="S46" s="1">
        <f>IF($AB46=TRUE,D46*S$2,D46*S$1)</f>
        <v>1</v>
      </c>
      <c r="T46" s="1">
        <f>IF($AB46=TRUE,E46*T$2,E46*T$1)</f>
        <v>19.040000000000003</v>
      </c>
      <c r="U46" s="1">
        <f>IF($AB46=TRUE,F46*U$2,F46*U$1)</f>
        <v>49.5</v>
      </c>
      <c r="V46" s="1">
        <f>IF($AB46=TRUE,J46*V$2,J46*V$1)</f>
        <v>0</v>
      </c>
      <c r="W46" s="1">
        <f>IF($AB46=TRUE,P46*W$2/100,P46*W$1/100)</f>
        <v>0</v>
      </c>
      <c r="X46" s="1">
        <f>IF($AB46=TRUE,I46*X$2,I46*X$1)</f>
        <v>0</v>
      </c>
      <c r="Y46" s="1">
        <f>IF($AB46=TRUE,N46*Y$2,N46*Y$1)</f>
        <v>0</v>
      </c>
      <c r="Z46" s="1">
        <f>IF($AB46=TRUE,-H46*Z$2,-H46*Z$1)</f>
        <v>0</v>
      </c>
      <c r="AA46" s="2">
        <f>Q46-R46</f>
        <v>0.25999999999999091</v>
      </c>
      <c r="AB46" s="1" t="b">
        <f>IF(G46=TRUE,IF(LEN(A46)&lt;5,TRUE,FALSE),FALSE)</f>
        <v>0</v>
      </c>
    </row>
    <row r="47" spans="1:28" hidden="1" x14ac:dyDescent="0.3">
      <c r="A47" t="s">
        <v>18</v>
      </c>
      <c r="B47" t="s">
        <v>147</v>
      </c>
      <c r="C47" t="s">
        <v>148</v>
      </c>
      <c r="D47">
        <v>0</v>
      </c>
      <c r="E47">
        <v>66.7</v>
      </c>
      <c r="F47">
        <v>14.3</v>
      </c>
      <c r="G47" t="b">
        <v>0</v>
      </c>
      <c r="H47">
        <v>0</v>
      </c>
      <c r="I47">
        <v>0</v>
      </c>
      <c r="J47">
        <v>0</v>
      </c>
      <c r="K47">
        <v>69.5</v>
      </c>
      <c r="N47">
        <v>0</v>
      </c>
      <c r="O47">
        <v>0</v>
      </c>
      <c r="P47">
        <v>0</v>
      </c>
      <c r="Q47">
        <f>K47</f>
        <v>69.5</v>
      </c>
      <c r="R47" s="1">
        <f>SUM(S47:Z47)</f>
        <v>69.580000000000013</v>
      </c>
      <c r="S47" s="1">
        <f>IF($AB47=TRUE,D47*S$2,D47*S$1)</f>
        <v>0</v>
      </c>
      <c r="T47" s="1">
        <f>IF($AB47=TRUE,E47*T$2,E47*T$1)</f>
        <v>26.680000000000003</v>
      </c>
      <c r="U47" s="1">
        <f>IF($AB47=TRUE,F47*U$2,F47*U$1)</f>
        <v>42.900000000000006</v>
      </c>
      <c r="V47" s="1">
        <f>IF($AB47=TRUE,J47*V$2,J47*V$1)</f>
        <v>0</v>
      </c>
      <c r="W47" s="1">
        <f>IF($AB47=TRUE,P47*W$2/100,P47*W$1/100)</f>
        <v>0</v>
      </c>
      <c r="X47" s="1">
        <f>IF($AB47=TRUE,I47*X$2,I47*X$1)</f>
        <v>0</v>
      </c>
      <c r="Y47" s="1">
        <f>IF($AB47=TRUE,N47*Y$2,N47*Y$1)</f>
        <v>0</v>
      </c>
      <c r="Z47" s="1">
        <f>IF($AB47=TRUE,-H47*Z$2,-H47*Z$1)</f>
        <v>0</v>
      </c>
      <c r="AA47" s="2">
        <f>Q47-R47</f>
        <v>-8.0000000000012506E-2</v>
      </c>
      <c r="AB47" s="1" t="b">
        <f>IF(G47=TRUE,IF(LEN(A47)&lt;5,TRUE,FALSE),FALSE)</f>
        <v>0</v>
      </c>
    </row>
    <row r="48" spans="1:28" hidden="1" x14ac:dyDescent="0.3">
      <c r="A48" t="s">
        <v>40</v>
      </c>
      <c r="B48" t="s">
        <v>130</v>
      </c>
      <c r="C48" t="s">
        <v>131</v>
      </c>
      <c r="D48">
        <v>0</v>
      </c>
      <c r="E48">
        <v>60</v>
      </c>
      <c r="F48">
        <v>14.5</v>
      </c>
      <c r="G48" t="b">
        <v>0</v>
      </c>
      <c r="H48">
        <v>0</v>
      </c>
      <c r="I48">
        <v>0</v>
      </c>
      <c r="J48">
        <v>0</v>
      </c>
      <c r="K48">
        <v>69.3</v>
      </c>
      <c r="L48" t="s">
        <v>132</v>
      </c>
      <c r="N48">
        <v>1</v>
      </c>
      <c r="O48">
        <v>0</v>
      </c>
      <c r="P48">
        <v>32.1</v>
      </c>
      <c r="Q48">
        <f>K48</f>
        <v>69.3</v>
      </c>
      <c r="R48" s="1">
        <f>SUM(S48:Z48)</f>
        <v>69.302499999999995</v>
      </c>
      <c r="S48" s="1">
        <f>IF($AB48=TRUE,D48*S$2,D48*S$1)</f>
        <v>0</v>
      </c>
      <c r="T48" s="1">
        <f>IF($AB48=TRUE,E48*T$2,E48*T$1)</f>
        <v>24</v>
      </c>
      <c r="U48" s="1">
        <f>IF($AB48=TRUE,F48*U$2,F48*U$1)</f>
        <v>43.5</v>
      </c>
      <c r="V48" s="1">
        <f>IF($AB48=TRUE,J48*V$2,J48*V$1)</f>
        <v>0</v>
      </c>
      <c r="W48" s="1">
        <f>IF($AB48=TRUE,P48*W$2/100,P48*W$1/100)</f>
        <v>0.80249999999999999</v>
      </c>
      <c r="X48" s="1">
        <f>IF($AB48=TRUE,I48*X$2,I48*X$1)</f>
        <v>0</v>
      </c>
      <c r="Y48" s="1">
        <f>IF($AB48=TRUE,N48*Y$2,N48*Y$1)</f>
        <v>1</v>
      </c>
      <c r="Z48" s="1">
        <f>IF($AB48=TRUE,-H48*Z$2,-H48*Z$1)</f>
        <v>0</v>
      </c>
      <c r="AA48" s="2">
        <f>Q48-R48</f>
        <v>-2.4999999999977263E-3</v>
      </c>
      <c r="AB48" s="1" t="b">
        <f>IF(G48=TRUE,IF(LEN(A48)&lt;5,TRUE,FALSE),FALSE)</f>
        <v>0</v>
      </c>
    </row>
    <row r="49" spans="1:28" hidden="1" x14ac:dyDescent="0.3">
      <c r="A49" t="s">
        <v>40</v>
      </c>
      <c r="B49" t="s">
        <v>117</v>
      </c>
      <c r="C49" t="s">
        <v>40</v>
      </c>
      <c r="D49">
        <v>0</v>
      </c>
      <c r="E49">
        <v>100</v>
      </c>
      <c r="F49">
        <v>8.6999999999999993</v>
      </c>
      <c r="G49" t="b">
        <v>0</v>
      </c>
      <c r="H49">
        <v>0</v>
      </c>
      <c r="I49">
        <v>1</v>
      </c>
      <c r="J49">
        <v>0</v>
      </c>
      <c r="K49">
        <v>69</v>
      </c>
      <c r="L49" t="s">
        <v>116</v>
      </c>
      <c r="N49">
        <v>1</v>
      </c>
      <c r="O49">
        <v>0</v>
      </c>
      <c r="P49">
        <v>39.6</v>
      </c>
      <c r="Q49">
        <f>K49</f>
        <v>69</v>
      </c>
      <c r="R49" s="1">
        <f>SUM(S49:Z49)</f>
        <v>69.089999999999989</v>
      </c>
      <c r="S49" s="1">
        <f>IF($AB49=TRUE,D49*S$2,D49*S$1)</f>
        <v>0</v>
      </c>
      <c r="T49" s="1">
        <f>IF($AB49=TRUE,E49*T$2,E49*T$1)</f>
        <v>40</v>
      </c>
      <c r="U49" s="1">
        <f>IF($AB49=TRUE,F49*U$2,F49*U$1)</f>
        <v>26.099999999999998</v>
      </c>
      <c r="V49" s="1">
        <f>IF($AB49=TRUE,J49*V$2,J49*V$1)</f>
        <v>0</v>
      </c>
      <c r="W49" s="1">
        <f>IF($AB49=TRUE,P49*W$2/100,P49*W$1/100)</f>
        <v>0.99</v>
      </c>
      <c r="X49" s="1">
        <f>IF($AB49=TRUE,I49*X$2,I49*X$1)</f>
        <v>1</v>
      </c>
      <c r="Y49" s="1">
        <f>IF($AB49=TRUE,N49*Y$2,N49*Y$1)</f>
        <v>1</v>
      </c>
      <c r="Z49" s="1">
        <f>IF($AB49=TRUE,-H49*Z$2,-H49*Z$1)</f>
        <v>0</v>
      </c>
      <c r="AA49" s="2">
        <f>Q49-R49</f>
        <v>-8.99999999999892E-2</v>
      </c>
      <c r="AB49" s="1" t="b">
        <f>IF(G49=TRUE,IF(LEN(A49)&lt;5,TRUE,FALSE),FALSE)</f>
        <v>0</v>
      </c>
    </row>
    <row r="50" spans="1:28" hidden="1" x14ac:dyDescent="0.3">
      <c r="A50" t="s">
        <v>40</v>
      </c>
      <c r="B50" t="s">
        <v>154</v>
      </c>
      <c r="C50" t="s">
        <v>155</v>
      </c>
      <c r="D50">
        <v>0</v>
      </c>
      <c r="E50">
        <v>35.299999999999997</v>
      </c>
      <c r="F50">
        <v>17.600000000000001</v>
      </c>
      <c r="G50" t="b">
        <v>0</v>
      </c>
      <c r="H50">
        <v>0</v>
      </c>
      <c r="I50">
        <v>0</v>
      </c>
      <c r="J50">
        <v>0</v>
      </c>
      <c r="K50">
        <v>68.8</v>
      </c>
      <c r="L50" t="s">
        <v>156</v>
      </c>
      <c r="N50">
        <v>1</v>
      </c>
      <c r="O50">
        <v>0</v>
      </c>
      <c r="P50">
        <v>38</v>
      </c>
      <c r="Q50">
        <f>K50</f>
        <v>68.8</v>
      </c>
      <c r="R50" s="1">
        <f>SUM(S50:Z50)</f>
        <v>68.87</v>
      </c>
      <c r="S50" s="1">
        <f>IF($AB50=TRUE,D50*S$2,D50*S$1)</f>
        <v>0</v>
      </c>
      <c r="T50" s="1">
        <f>IF($AB50=TRUE,E50*T$2,E50*T$1)</f>
        <v>14.12</v>
      </c>
      <c r="U50" s="1">
        <f>IF($AB50=TRUE,F50*U$2,F50*U$1)</f>
        <v>52.800000000000004</v>
      </c>
      <c r="V50" s="1">
        <f>IF($AB50=TRUE,J50*V$2,J50*V$1)</f>
        <v>0</v>
      </c>
      <c r="W50" s="1">
        <f>IF($AB50=TRUE,P50*W$2/100,P50*W$1/100)</f>
        <v>0.95</v>
      </c>
      <c r="X50" s="1">
        <f>IF($AB50=TRUE,I50*X$2,I50*X$1)</f>
        <v>0</v>
      </c>
      <c r="Y50" s="1">
        <f>IF($AB50=TRUE,N50*Y$2,N50*Y$1)</f>
        <v>1</v>
      </c>
      <c r="Z50" s="1">
        <f>IF($AB50=TRUE,-H50*Z$2,-H50*Z$1)</f>
        <v>0</v>
      </c>
      <c r="AA50" s="2">
        <f>Q50-R50</f>
        <v>-7.000000000000739E-2</v>
      </c>
      <c r="AB50" s="1" t="b">
        <f>IF(G50=TRUE,IF(LEN(A50)&lt;5,TRUE,FALSE),FALSE)</f>
        <v>0</v>
      </c>
    </row>
    <row r="51" spans="1:28" hidden="1" x14ac:dyDescent="0.3">
      <c r="A51" t="s">
        <v>118</v>
      </c>
      <c r="B51" t="s">
        <v>119</v>
      </c>
      <c r="C51" t="s">
        <v>118</v>
      </c>
      <c r="D51">
        <v>0.8</v>
      </c>
      <c r="E51">
        <v>100</v>
      </c>
      <c r="F51">
        <v>8.6999999999999993</v>
      </c>
      <c r="G51" t="b">
        <v>0</v>
      </c>
      <c r="H51">
        <v>0</v>
      </c>
      <c r="I51">
        <v>1</v>
      </c>
      <c r="J51">
        <v>0</v>
      </c>
      <c r="K51">
        <v>68.5</v>
      </c>
      <c r="N51">
        <v>0</v>
      </c>
      <c r="O51">
        <v>0</v>
      </c>
      <c r="P51">
        <v>0</v>
      </c>
      <c r="Q51">
        <f>K51</f>
        <v>68.5</v>
      </c>
      <c r="R51" s="1">
        <f>SUM(S51:Z51)</f>
        <v>68.7</v>
      </c>
      <c r="S51" s="1">
        <f>IF($AB51=TRUE,D51*S$2,D51*S$1)</f>
        <v>1.6</v>
      </c>
      <c r="T51" s="1">
        <f>IF($AB51=TRUE,E51*T$2,E51*T$1)</f>
        <v>40</v>
      </c>
      <c r="U51" s="1">
        <f>IF($AB51=TRUE,F51*U$2,F51*U$1)</f>
        <v>26.099999999999998</v>
      </c>
      <c r="V51" s="1">
        <f>IF($AB51=TRUE,J51*V$2,J51*V$1)</f>
        <v>0</v>
      </c>
      <c r="W51" s="1">
        <f>IF($AB51=TRUE,P51*W$2/100,P51*W$1/100)</f>
        <v>0</v>
      </c>
      <c r="X51" s="1">
        <f>IF($AB51=TRUE,I51*X$2,I51*X$1)</f>
        <v>1</v>
      </c>
      <c r="Y51" s="1">
        <f>IF($AB51=TRUE,N51*Y$2,N51*Y$1)</f>
        <v>0</v>
      </c>
      <c r="Z51" s="1">
        <f>IF($AB51=TRUE,-H51*Z$2,-H51*Z$1)</f>
        <v>0</v>
      </c>
      <c r="AA51" s="2">
        <f>Q51-R51</f>
        <v>-0.20000000000000284</v>
      </c>
      <c r="AB51" s="1" t="b">
        <f>IF(G51=TRUE,IF(LEN(A51)&lt;5,TRUE,FALSE),FALSE)</f>
        <v>0</v>
      </c>
    </row>
    <row r="52" spans="1:28" hidden="1" x14ac:dyDescent="0.3">
      <c r="A52" t="s">
        <v>40</v>
      </c>
      <c r="B52" t="s">
        <v>157</v>
      </c>
      <c r="C52" t="s">
        <v>158</v>
      </c>
      <c r="D52">
        <v>0</v>
      </c>
      <c r="E52">
        <v>37.5</v>
      </c>
      <c r="F52">
        <v>16.100000000000001</v>
      </c>
      <c r="G52" t="b">
        <v>0</v>
      </c>
      <c r="H52">
        <v>0</v>
      </c>
      <c r="I52">
        <v>0</v>
      </c>
      <c r="J52">
        <v>0</v>
      </c>
      <c r="K52">
        <v>68.3</v>
      </c>
      <c r="L52" t="s">
        <v>159</v>
      </c>
      <c r="N52">
        <v>4</v>
      </c>
      <c r="O52">
        <v>0</v>
      </c>
      <c r="P52">
        <v>44.8</v>
      </c>
      <c r="Q52">
        <f>K52</f>
        <v>68.3</v>
      </c>
      <c r="R52" s="1">
        <f>SUM(S52:Z52)</f>
        <v>68.42</v>
      </c>
      <c r="S52" s="1">
        <f>IF($AB52=TRUE,D52*S$2,D52*S$1)</f>
        <v>0</v>
      </c>
      <c r="T52" s="1">
        <f>IF($AB52=TRUE,E52*T$2,E52*T$1)</f>
        <v>15</v>
      </c>
      <c r="U52" s="1">
        <f>IF($AB52=TRUE,F52*U$2,F52*U$1)</f>
        <v>48.300000000000004</v>
      </c>
      <c r="V52" s="1">
        <f>IF($AB52=TRUE,J52*V$2,J52*V$1)</f>
        <v>0</v>
      </c>
      <c r="W52" s="1">
        <f>IF($AB52=TRUE,P52*W$2/100,P52*W$1/100)</f>
        <v>1.1200000000000001</v>
      </c>
      <c r="X52" s="1">
        <f>IF($AB52=TRUE,I52*X$2,I52*X$1)</f>
        <v>0</v>
      </c>
      <c r="Y52" s="1">
        <f>IF($AB52=TRUE,N52*Y$2,N52*Y$1)</f>
        <v>4</v>
      </c>
      <c r="Z52" s="1">
        <f>IF($AB52=TRUE,-H52*Z$2,-H52*Z$1)</f>
        <v>0</v>
      </c>
      <c r="AA52" s="2">
        <f>Q52-R52</f>
        <v>-0.12000000000000455</v>
      </c>
      <c r="AB52" s="1" t="b">
        <f>IF(G52=TRUE,IF(LEN(A52)&lt;5,TRUE,FALSE),FALSE)</f>
        <v>0</v>
      </c>
    </row>
    <row r="53" spans="1:28" hidden="1" x14ac:dyDescent="0.3">
      <c r="A53" t="s">
        <v>18</v>
      </c>
      <c r="B53" t="s">
        <v>162</v>
      </c>
      <c r="C53" t="s">
        <v>163</v>
      </c>
      <c r="D53">
        <v>0.5</v>
      </c>
      <c r="E53">
        <v>62.5</v>
      </c>
      <c r="F53">
        <v>13.5</v>
      </c>
      <c r="G53" t="b">
        <v>0</v>
      </c>
      <c r="H53">
        <v>0</v>
      </c>
      <c r="I53">
        <v>0</v>
      </c>
      <c r="J53">
        <v>0</v>
      </c>
      <c r="K53">
        <v>68.099999999999994</v>
      </c>
      <c r="L53" t="s">
        <v>164</v>
      </c>
      <c r="N53">
        <v>1</v>
      </c>
      <c r="O53">
        <v>0</v>
      </c>
      <c r="P53">
        <v>16.100000000000001</v>
      </c>
      <c r="Q53">
        <f>K53</f>
        <v>68.099999999999994</v>
      </c>
      <c r="R53" s="1">
        <f>SUM(S53:Z53)</f>
        <v>67.902500000000003</v>
      </c>
      <c r="S53" s="1">
        <f>IF($AB53=TRUE,D53*S$2,D53*S$1)</f>
        <v>1</v>
      </c>
      <c r="T53" s="1">
        <f>IF($AB53=TRUE,E53*T$2,E53*T$1)</f>
        <v>25</v>
      </c>
      <c r="U53" s="1">
        <f>IF($AB53=TRUE,F53*U$2,F53*U$1)</f>
        <v>40.5</v>
      </c>
      <c r="V53" s="1">
        <f>IF($AB53=TRUE,J53*V$2,J53*V$1)</f>
        <v>0</v>
      </c>
      <c r="W53" s="1">
        <f>IF($AB53=TRUE,P53*W$2/100,P53*W$1/100)</f>
        <v>0.40250000000000002</v>
      </c>
      <c r="X53" s="1">
        <f>IF($AB53=TRUE,I53*X$2,I53*X$1)</f>
        <v>0</v>
      </c>
      <c r="Y53" s="1">
        <f>IF($AB53=TRUE,N53*Y$2,N53*Y$1)</f>
        <v>1</v>
      </c>
      <c r="Z53" s="1">
        <f>IF($AB53=TRUE,-H53*Z$2,-H53*Z$1)</f>
        <v>0</v>
      </c>
      <c r="AA53" s="2">
        <f>Q53-R53</f>
        <v>0.19749999999999091</v>
      </c>
      <c r="AB53" s="1" t="b">
        <f>IF(G53=TRUE,IF(LEN(A53)&lt;5,TRUE,FALSE),FALSE)</f>
        <v>0</v>
      </c>
    </row>
    <row r="54" spans="1:28" hidden="1" x14ac:dyDescent="0.3">
      <c r="A54" t="s">
        <v>40</v>
      </c>
      <c r="B54" t="s">
        <v>137</v>
      </c>
      <c r="C54" t="s">
        <v>138</v>
      </c>
      <c r="D54">
        <v>0</v>
      </c>
      <c r="E54">
        <v>44.4</v>
      </c>
      <c r="F54">
        <v>15.5</v>
      </c>
      <c r="G54" t="b">
        <v>0</v>
      </c>
      <c r="H54">
        <v>0</v>
      </c>
      <c r="I54">
        <v>0</v>
      </c>
      <c r="J54">
        <v>0</v>
      </c>
      <c r="K54">
        <v>67.2</v>
      </c>
      <c r="L54" t="s">
        <v>139</v>
      </c>
      <c r="N54">
        <v>2</v>
      </c>
      <c r="O54">
        <v>0</v>
      </c>
      <c r="P54">
        <v>37.4</v>
      </c>
      <c r="Q54">
        <f>K54</f>
        <v>67.2</v>
      </c>
      <c r="R54" s="1">
        <f>SUM(S54:Z54)</f>
        <v>67.195000000000007</v>
      </c>
      <c r="S54" s="1">
        <f>IF($AB54=TRUE,D54*S$2,D54*S$1)</f>
        <v>0</v>
      </c>
      <c r="T54" s="1">
        <f>IF($AB54=TRUE,E54*T$2,E54*T$1)</f>
        <v>17.760000000000002</v>
      </c>
      <c r="U54" s="1">
        <f>IF($AB54=TRUE,F54*U$2,F54*U$1)</f>
        <v>46.5</v>
      </c>
      <c r="V54" s="1">
        <f>IF($AB54=TRUE,J54*V$2,J54*V$1)</f>
        <v>0</v>
      </c>
      <c r="W54" s="1">
        <f>IF($AB54=TRUE,P54*W$2/100,P54*W$1/100)</f>
        <v>0.93500000000000005</v>
      </c>
      <c r="X54" s="1">
        <f>IF($AB54=TRUE,I54*X$2,I54*X$1)</f>
        <v>0</v>
      </c>
      <c r="Y54" s="1">
        <f>IF($AB54=TRUE,N54*Y$2,N54*Y$1)</f>
        <v>2</v>
      </c>
      <c r="Z54" s="1">
        <f>IF($AB54=TRUE,-H54*Z$2,-H54*Z$1)</f>
        <v>0</v>
      </c>
      <c r="AA54" s="2">
        <f>Q54-R54</f>
        <v>4.9999999999954525E-3</v>
      </c>
      <c r="AB54" s="1" t="b">
        <f>IF(G54=TRUE,IF(LEN(A54)&lt;5,TRUE,FALSE),FALSE)</f>
        <v>0</v>
      </c>
    </row>
    <row r="55" spans="1:28" hidden="1" x14ac:dyDescent="0.3">
      <c r="A55" t="s">
        <v>18</v>
      </c>
      <c r="B55" t="s">
        <v>140</v>
      </c>
      <c r="C55" t="s">
        <v>20</v>
      </c>
      <c r="D55">
        <v>0</v>
      </c>
      <c r="E55">
        <v>90.9</v>
      </c>
      <c r="F55">
        <v>9.4</v>
      </c>
      <c r="G55" t="b">
        <v>0</v>
      </c>
      <c r="H55">
        <v>0</v>
      </c>
      <c r="I55">
        <v>1</v>
      </c>
      <c r="J55">
        <v>0</v>
      </c>
      <c r="K55">
        <v>67</v>
      </c>
      <c r="L55" t="s">
        <v>141</v>
      </c>
      <c r="N55">
        <v>1</v>
      </c>
      <c r="O55">
        <v>0</v>
      </c>
      <c r="P55">
        <v>13</v>
      </c>
      <c r="Q55">
        <f>K55</f>
        <v>67</v>
      </c>
      <c r="R55" s="1">
        <f>SUM(S55:Z55)</f>
        <v>66.885000000000005</v>
      </c>
      <c r="S55" s="1">
        <f>IF($AB55=TRUE,D55*S$2,D55*S$1)</f>
        <v>0</v>
      </c>
      <c r="T55" s="1">
        <f>IF($AB55=TRUE,E55*T$2,E55*T$1)</f>
        <v>36.360000000000007</v>
      </c>
      <c r="U55" s="1">
        <f>IF($AB55=TRUE,F55*U$2,F55*U$1)</f>
        <v>28.200000000000003</v>
      </c>
      <c r="V55" s="1">
        <f>IF($AB55=TRUE,J55*V$2,J55*V$1)</f>
        <v>0</v>
      </c>
      <c r="W55" s="1">
        <f>IF($AB55=TRUE,P55*W$2/100,P55*W$1/100)</f>
        <v>0.32500000000000001</v>
      </c>
      <c r="X55" s="1">
        <f>IF($AB55=TRUE,I55*X$2,I55*X$1)</f>
        <v>1</v>
      </c>
      <c r="Y55" s="1">
        <f>IF($AB55=TRUE,N55*Y$2,N55*Y$1)</f>
        <v>1</v>
      </c>
      <c r="Z55" s="1">
        <f>IF($AB55=TRUE,-H55*Z$2,-H55*Z$1)</f>
        <v>0</v>
      </c>
      <c r="AA55" s="2">
        <f>Q55-R55</f>
        <v>0.11499999999999488</v>
      </c>
      <c r="AB55" s="1" t="b">
        <f>IF(G55=TRUE,IF(LEN(A55)&lt;5,TRUE,FALSE),FALSE)</f>
        <v>0</v>
      </c>
    </row>
    <row r="56" spans="1:28" hidden="1" x14ac:dyDescent="0.3">
      <c r="A56" t="s">
        <v>25</v>
      </c>
      <c r="B56" t="s">
        <v>142</v>
      </c>
      <c r="C56" t="s">
        <v>143</v>
      </c>
      <c r="D56">
        <v>1.8</v>
      </c>
      <c r="E56">
        <v>64.3</v>
      </c>
      <c r="F56">
        <v>11.9</v>
      </c>
      <c r="G56" t="b">
        <v>0</v>
      </c>
      <c r="H56">
        <v>0</v>
      </c>
      <c r="I56">
        <v>0</v>
      </c>
      <c r="J56">
        <v>0</v>
      </c>
      <c r="K56">
        <v>66.8</v>
      </c>
      <c r="L56" t="s">
        <v>144</v>
      </c>
      <c r="N56">
        <v>1</v>
      </c>
      <c r="O56">
        <v>0</v>
      </c>
      <c r="P56">
        <v>30.6</v>
      </c>
      <c r="Q56">
        <f>K56</f>
        <v>66.8</v>
      </c>
      <c r="R56" s="1">
        <f>SUM(S56:Z56)</f>
        <v>66.785000000000011</v>
      </c>
      <c r="S56" s="1">
        <f>IF($AB56=TRUE,D56*S$2,D56*S$1)</f>
        <v>3.6</v>
      </c>
      <c r="T56" s="1">
        <f>IF($AB56=TRUE,E56*T$2,E56*T$1)</f>
        <v>25.72</v>
      </c>
      <c r="U56" s="1">
        <f>IF($AB56=TRUE,F56*U$2,F56*U$1)</f>
        <v>35.700000000000003</v>
      </c>
      <c r="V56" s="1">
        <f>IF($AB56=TRUE,J56*V$2,J56*V$1)</f>
        <v>0</v>
      </c>
      <c r="W56" s="1">
        <f>IF($AB56=TRUE,P56*W$2/100,P56*W$1/100)</f>
        <v>0.76500000000000001</v>
      </c>
      <c r="X56" s="1">
        <f>IF($AB56=TRUE,I56*X$2,I56*X$1)</f>
        <v>0</v>
      </c>
      <c r="Y56" s="1">
        <f>IF($AB56=TRUE,N56*Y$2,N56*Y$1)</f>
        <v>1</v>
      </c>
      <c r="Z56" s="1">
        <f>IF($AB56=TRUE,-H56*Z$2,-H56*Z$1)</f>
        <v>0</v>
      </c>
      <c r="AA56" s="2">
        <f>Q56-R56</f>
        <v>1.4999999999986358E-2</v>
      </c>
      <c r="AB56" s="1" t="b">
        <f>IF(G56=TRUE,IF(LEN(A56)&lt;5,TRUE,FALSE),FALSE)</f>
        <v>0</v>
      </c>
    </row>
    <row r="57" spans="1:28" hidden="1" x14ac:dyDescent="0.3">
      <c r="A57" t="s">
        <v>40</v>
      </c>
      <c r="B57" t="s">
        <v>174</v>
      </c>
      <c r="C57" t="s">
        <v>175</v>
      </c>
      <c r="D57">
        <v>0</v>
      </c>
      <c r="E57">
        <v>33.299999999999997</v>
      </c>
      <c r="F57">
        <v>17.100000000000001</v>
      </c>
      <c r="G57" t="b">
        <v>0</v>
      </c>
      <c r="H57">
        <v>0</v>
      </c>
      <c r="I57">
        <v>0</v>
      </c>
      <c r="J57">
        <v>0</v>
      </c>
      <c r="K57">
        <v>66.7</v>
      </c>
      <c r="L57" t="s">
        <v>156</v>
      </c>
      <c r="N57">
        <v>1</v>
      </c>
      <c r="O57">
        <v>0</v>
      </c>
      <c r="P57">
        <v>38</v>
      </c>
      <c r="Q57">
        <f>K57</f>
        <v>66.7</v>
      </c>
      <c r="R57" s="1">
        <f>SUM(S57:Z57)</f>
        <v>66.570000000000007</v>
      </c>
      <c r="S57" s="1">
        <f>IF($AB57=TRUE,D57*S$2,D57*S$1)</f>
        <v>0</v>
      </c>
      <c r="T57" s="1">
        <f>IF($AB57=TRUE,E57*T$2,E57*T$1)</f>
        <v>13.32</v>
      </c>
      <c r="U57" s="1">
        <f>IF($AB57=TRUE,F57*U$2,F57*U$1)</f>
        <v>51.300000000000004</v>
      </c>
      <c r="V57" s="1">
        <f>IF($AB57=TRUE,J57*V$2,J57*V$1)</f>
        <v>0</v>
      </c>
      <c r="W57" s="1">
        <f>IF($AB57=TRUE,P57*W$2/100,P57*W$1/100)</f>
        <v>0.95</v>
      </c>
      <c r="X57" s="1">
        <f>IF($AB57=TRUE,I57*X$2,I57*X$1)</f>
        <v>0</v>
      </c>
      <c r="Y57" s="1">
        <f>IF($AB57=TRUE,N57*Y$2,N57*Y$1)</f>
        <v>1</v>
      </c>
      <c r="Z57" s="1">
        <f>IF($AB57=TRUE,-H57*Z$2,-H57*Z$1)</f>
        <v>0</v>
      </c>
      <c r="AA57" s="2">
        <f>Q57-R57</f>
        <v>0.12999999999999545</v>
      </c>
      <c r="AB57" s="1" t="b">
        <f>IF(G57=TRUE,IF(LEN(A57)&lt;5,TRUE,FALSE),FALSE)</f>
        <v>0</v>
      </c>
    </row>
    <row r="58" spans="1:28" hidden="1" x14ac:dyDescent="0.3">
      <c r="A58" t="s">
        <v>40</v>
      </c>
      <c r="B58" t="s">
        <v>176</v>
      </c>
      <c r="C58" t="s">
        <v>177</v>
      </c>
      <c r="D58">
        <v>0</v>
      </c>
      <c r="E58">
        <v>30</v>
      </c>
      <c r="F58">
        <v>17.5</v>
      </c>
      <c r="G58" t="b">
        <v>0</v>
      </c>
      <c r="H58">
        <v>0</v>
      </c>
      <c r="I58">
        <v>0</v>
      </c>
      <c r="J58">
        <v>0</v>
      </c>
      <c r="K58">
        <v>66.5</v>
      </c>
      <c r="L58" t="s">
        <v>156</v>
      </c>
      <c r="N58">
        <v>1</v>
      </c>
      <c r="O58">
        <v>0</v>
      </c>
      <c r="P58">
        <v>38</v>
      </c>
      <c r="Q58">
        <f>K58</f>
        <v>66.5</v>
      </c>
      <c r="R58" s="1">
        <f>SUM(S58:Z58)</f>
        <v>66.45</v>
      </c>
      <c r="S58" s="1">
        <f>IF($AB58=TRUE,D58*S$2,D58*S$1)</f>
        <v>0</v>
      </c>
      <c r="T58" s="1">
        <f>IF($AB58=TRUE,E58*T$2,E58*T$1)</f>
        <v>12</v>
      </c>
      <c r="U58" s="1">
        <f>IF($AB58=TRUE,F58*U$2,F58*U$1)</f>
        <v>52.5</v>
      </c>
      <c r="V58" s="1">
        <f>IF($AB58=TRUE,J58*V$2,J58*V$1)</f>
        <v>0</v>
      </c>
      <c r="W58" s="1">
        <f>IF($AB58=TRUE,P58*W$2/100,P58*W$1/100)</f>
        <v>0.95</v>
      </c>
      <c r="X58" s="1">
        <f>IF($AB58=TRUE,I58*X$2,I58*X$1)</f>
        <v>0</v>
      </c>
      <c r="Y58" s="1">
        <f>IF($AB58=TRUE,N58*Y$2,N58*Y$1)</f>
        <v>1</v>
      </c>
      <c r="Z58" s="1">
        <f>IF($AB58=TRUE,-H58*Z$2,-H58*Z$1)</f>
        <v>0</v>
      </c>
      <c r="AA58" s="2">
        <f>Q58-R58</f>
        <v>4.9999999999997158E-2</v>
      </c>
      <c r="AB58" s="1" t="b">
        <f>IF(G58=TRUE,IF(LEN(A58)&lt;5,TRUE,FALSE),FALSE)</f>
        <v>0</v>
      </c>
    </row>
    <row r="59" spans="1:28" hidden="1" x14ac:dyDescent="0.3">
      <c r="A59" t="s">
        <v>25</v>
      </c>
      <c r="B59" t="s">
        <v>149</v>
      </c>
      <c r="C59" t="s">
        <v>150</v>
      </c>
      <c r="D59">
        <v>1.8</v>
      </c>
      <c r="E59">
        <v>66.7</v>
      </c>
      <c r="F59">
        <v>12</v>
      </c>
      <c r="G59" t="b">
        <v>0</v>
      </c>
      <c r="H59">
        <v>0</v>
      </c>
      <c r="I59">
        <v>0</v>
      </c>
      <c r="J59">
        <v>0</v>
      </c>
      <c r="K59">
        <v>66.400000000000006</v>
      </c>
      <c r="N59">
        <v>0</v>
      </c>
      <c r="O59">
        <v>0</v>
      </c>
      <c r="P59">
        <v>0</v>
      </c>
      <c r="Q59">
        <f>K59</f>
        <v>66.400000000000006</v>
      </c>
      <c r="R59" s="1">
        <f>SUM(S59:Z59)</f>
        <v>66.28</v>
      </c>
      <c r="S59" s="1">
        <f>IF($AB59=TRUE,D59*S$2,D59*S$1)</f>
        <v>3.6</v>
      </c>
      <c r="T59" s="1">
        <f>IF($AB59=TRUE,E59*T$2,E59*T$1)</f>
        <v>26.680000000000003</v>
      </c>
      <c r="U59" s="1">
        <f>IF($AB59=TRUE,F59*U$2,F59*U$1)</f>
        <v>36</v>
      </c>
      <c r="V59" s="1">
        <f>IF($AB59=TRUE,J59*V$2,J59*V$1)</f>
        <v>0</v>
      </c>
      <c r="W59" s="1">
        <f>IF($AB59=TRUE,P59*W$2/100,P59*W$1/100)</f>
        <v>0</v>
      </c>
      <c r="X59" s="1">
        <f>IF($AB59=TRUE,I59*X$2,I59*X$1)</f>
        <v>0</v>
      </c>
      <c r="Y59" s="1">
        <f>IF($AB59=TRUE,N59*Y$2,N59*Y$1)</f>
        <v>0</v>
      </c>
      <c r="Z59" s="1">
        <f>IF($AB59=TRUE,-H59*Z$2,-H59*Z$1)</f>
        <v>0</v>
      </c>
      <c r="AA59" s="2">
        <f>Q59-R59</f>
        <v>0.12000000000000455</v>
      </c>
      <c r="AB59" s="1" t="b">
        <f>IF(G59=TRUE,IF(LEN(A59)&lt;5,TRUE,FALSE),FALSE)</f>
        <v>0</v>
      </c>
    </row>
    <row r="60" spans="1:28" hidden="1" x14ac:dyDescent="0.3">
      <c r="A60" t="s">
        <v>18</v>
      </c>
      <c r="B60" t="s">
        <v>181</v>
      </c>
      <c r="C60" t="s">
        <v>182</v>
      </c>
      <c r="D60">
        <v>0</v>
      </c>
      <c r="E60">
        <v>58.8</v>
      </c>
      <c r="F60">
        <v>14.3</v>
      </c>
      <c r="G60" t="b">
        <v>0</v>
      </c>
      <c r="H60">
        <v>0</v>
      </c>
      <c r="I60">
        <v>0</v>
      </c>
      <c r="J60">
        <v>0</v>
      </c>
      <c r="K60">
        <v>66.400000000000006</v>
      </c>
      <c r="N60">
        <v>0</v>
      </c>
      <c r="O60">
        <v>0</v>
      </c>
      <c r="P60">
        <v>0</v>
      </c>
      <c r="Q60">
        <f>K60</f>
        <v>66.400000000000006</v>
      </c>
      <c r="R60" s="1">
        <f>SUM(S60:Z60)</f>
        <v>66.42</v>
      </c>
      <c r="S60" s="1">
        <f>IF($AB60=TRUE,D60*S$2,D60*S$1)</f>
        <v>0</v>
      </c>
      <c r="T60" s="1">
        <f>IF($AB60=TRUE,E60*T$2,E60*T$1)</f>
        <v>23.52</v>
      </c>
      <c r="U60" s="1">
        <f>IF($AB60=TRUE,F60*U$2,F60*U$1)</f>
        <v>42.900000000000006</v>
      </c>
      <c r="V60" s="1">
        <f>IF($AB60=TRUE,J60*V$2,J60*V$1)</f>
        <v>0</v>
      </c>
      <c r="W60" s="1">
        <f>IF($AB60=TRUE,P60*W$2/100,P60*W$1/100)</f>
        <v>0</v>
      </c>
      <c r="X60" s="1">
        <f>IF($AB60=TRUE,I60*X$2,I60*X$1)</f>
        <v>0</v>
      </c>
      <c r="Y60" s="1">
        <f>IF($AB60=TRUE,N60*Y$2,N60*Y$1)</f>
        <v>0</v>
      </c>
      <c r="Z60" s="1">
        <f>IF($AB60=TRUE,-H60*Z$2,-H60*Z$1)</f>
        <v>0</v>
      </c>
      <c r="AA60" s="2">
        <f>Q60-R60</f>
        <v>-1.9999999999996021E-2</v>
      </c>
      <c r="AB60" s="1" t="b">
        <f>IF(G60=TRUE,IF(LEN(A60)&lt;5,TRUE,FALSE),FALSE)</f>
        <v>0</v>
      </c>
    </row>
    <row r="61" spans="1:28" hidden="1" x14ac:dyDescent="0.3">
      <c r="A61" t="s">
        <v>18</v>
      </c>
      <c r="B61" t="s">
        <v>183</v>
      </c>
      <c r="C61" t="s">
        <v>184</v>
      </c>
      <c r="D61">
        <v>0.5</v>
      </c>
      <c r="E61">
        <v>63.2</v>
      </c>
      <c r="F61">
        <v>13.3</v>
      </c>
      <c r="G61" t="b">
        <v>0</v>
      </c>
      <c r="H61">
        <v>0</v>
      </c>
      <c r="I61">
        <v>0</v>
      </c>
      <c r="J61">
        <v>0</v>
      </c>
      <c r="K61">
        <v>66.3</v>
      </c>
      <c r="N61">
        <v>0</v>
      </c>
      <c r="O61">
        <v>0</v>
      </c>
      <c r="P61">
        <v>0</v>
      </c>
      <c r="Q61">
        <f>K61</f>
        <v>66.3</v>
      </c>
      <c r="R61" s="1">
        <f>SUM(S61:Z61)</f>
        <v>66.180000000000007</v>
      </c>
      <c r="S61" s="1">
        <f>IF($AB61=TRUE,D61*S$2,D61*S$1)</f>
        <v>1</v>
      </c>
      <c r="T61" s="1">
        <f>IF($AB61=TRUE,E61*T$2,E61*T$1)</f>
        <v>25.28</v>
      </c>
      <c r="U61" s="1">
        <f>IF($AB61=TRUE,F61*U$2,F61*U$1)</f>
        <v>39.900000000000006</v>
      </c>
      <c r="V61" s="1">
        <f>IF($AB61=TRUE,J61*V$2,J61*V$1)</f>
        <v>0</v>
      </c>
      <c r="W61" s="1">
        <f>IF($AB61=TRUE,P61*W$2/100,P61*W$1/100)</f>
        <v>0</v>
      </c>
      <c r="X61" s="1">
        <f>IF($AB61=TRUE,I61*X$2,I61*X$1)</f>
        <v>0</v>
      </c>
      <c r="Y61" s="1">
        <f>IF($AB61=TRUE,N61*Y$2,N61*Y$1)</f>
        <v>0</v>
      </c>
      <c r="Z61" s="1">
        <f>IF($AB61=TRUE,-H61*Z$2,-H61*Z$1)</f>
        <v>0</v>
      </c>
      <c r="AA61" s="2">
        <f>Q61-R61</f>
        <v>0.11999999999999034</v>
      </c>
      <c r="AB61" s="1" t="b">
        <f>IF(G61=TRUE,IF(LEN(A61)&lt;5,TRUE,FALSE),FALSE)</f>
        <v>0</v>
      </c>
    </row>
    <row r="62" spans="1:28" hidden="1" x14ac:dyDescent="0.3">
      <c r="A62" t="s">
        <v>18</v>
      </c>
      <c r="B62" t="s">
        <v>151</v>
      </c>
      <c r="C62" t="s">
        <v>152</v>
      </c>
      <c r="D62">
        <v>0</v>
      </c>
      <c r="E62">
        <v>83.3</v>
      </c>
      <c r="F62">
        <v>9.6</v>
      </c>
      <c r="G62" t="b">
        <v>0</v>
      </c>
      <c r="H62">
        <v>0</v>
      </c>
      <c r="I62">
        <v>0</v>
      </c>
      <c r="J62">
        <v>0</v>
      </c>
      <c r="K62">
        <v>65.900000000000006</v>
      </c>
      <c r="L62" t="s">
        <v>153</v>
      </c>
      <c r="N62">
        <v>3</v>
      </c>
      <c r="O62">
        <v>0</v>
      </c>
      <c r="P62">
        <v>26</v>
      </c>
      <c r="Q62">
        <f>K62</f>
        <v>65.900000000000006</v>
      </c>
      <c r="R62" s="1">
        <f>SUM(S62:Z62)</f>
        <v>65.77</v>
      </c>
      <c r="S62" s="1">
        <f>IF($AB62=TRUE,D62*S$2,D62*S$1)</f>
        <v>0</v>
      </c>
      <c r="T62" s="1">
        <f>IF($AB62=TRUE,E62*T$2,E62*T$1)</f>
        <v>33.32</v>
      </c>
      <c r="U62" s="1">
        <f>IF($AB62=TRUE,F62*U$2,F62*U$1)</f>
        <v>28.799999999999997</v>
      </c>
      <c r="V62" s="1">
        <f>IF($AB62=TRUE,J62*V$2,J62*V$1)</f>
        <v>0</v>
      </c>
      <c r="W62" s="1">
        <f>IF($AB62=TRUE,P62*W$2/100,P62*W$1/100)</f>
        <v>0.65</v>
      </c>
      <c r="X62" s="1">
        <f>IF($AB62=TRUE,I62*X$2,I62*X$1)</f>
        <v>0</v>
      </c>
      <c r="Y62" s="1">
        <f>IF($AB62=TRUE,N62*Y$2,N62*Y$1)</f>
        <v>3</v>
      </c>
      <c r="Z62" s="1">
        <f>IF($AB62=TRUE,-H62*Z$2,-H62*Z$1)</f>
        <v>0</v>
      </c>
      <c r="AA62" s="2">
        <f>Q62-R62</f>
        <v>0.13000000000000966</v>
      </c>
      <c r="AB62" s="1" t="b">
        <f>IF(G62=TRUE,IF(LEN(A62)&lt;5,TRUE,FALSE),FALSE)</f>
        <v>0</v>
      </c>
    </row>
    <row r="63" spans="1:28" hidden="1" x14ac:dyDescent="0.3">
      <c r="A63" t="s">
        <v>40</v>
      </c>
      <c r="B63" t="s">
        <v>189</v>
      </c>
      <c r="C63" t="s">
        <v>190</v>
      </c>
      <c r="D63">
        <v>0</v>
      </c>
      <c r="E63">
        <v>27.3</v>
      </c>
      <c r="F63">
        <v>17.600000000000001</v>
      </c>
      <c r="G63" t="b">
        <v>0</v>
      </c>
      <c r="H63">
        <v>0</v>
      </c>
      <c r="I63">
        <v>0</v>
      </c>
      <c r="J63">
        <v>0</v>
      </c>
      <c r="K63">
        <v>65.5</v>
      </c>
      <c r="L63" t="s">
        <v>156</v>
      </c>
      <c r="N63">
        <v>1</v>
      </c>
      <c r="O63">
        <v>0</v>
      </c>
      <c r="P63">
        <v>38</v>
      </c>
      <c r="Q63">
        <f>K63</f>
        <v>65.5</v>
      </c>
      <c r="R63" s="1">
        <f>SUM(S63:Z63)</f>
        <v>65.67</v>
      </c>
      <c r="S63" s="1">
        <f>IF($AB63=TRUE,D63*S$2,D63*S$1)</f>
        <v>0</v>
      </c>
      <c r="T63" s="1">
        <f>IF($AB63=TRUE,E63*T$2,E63*T$1)</f>
        <v>10.920000000000002</v>
      </c>
      <c r="U63" s="1">
        <f>IF($AB63=TRUE,F63*U$2,F63*U$1)</f>
        <v>52.800000000000004</v>
      </c>
      <c r="V63" s="1">
        <f>IF($AB63=TRUE,J63*V$2,J63*V$1)</f>
        <v>0</v>
      </c>
      <c r="W63" s="1">
        <f>IF($AB63=TRUE,P63*W$2/100,P63*W$1/100)</f>
        <v>0.95</v>
      </c>
      <c r="X63" s="1">
        <f>IF($AB63=TRUE,I63*X$2,I63*X$1)</f>
        <v>0</v>
      </c>
      <c r="Y63" s="1">
        <f>IF($AB63=TRUE,N63*Y$2,N63*Y$1)</f>
        <v>1</v>
      </c>
      <c r="Z63" s="1">
        <f>IF($AB63=TRUE,-H63*Z$2,-H63*Z$1)</f>
        <v>0</v>
      </c>
      <c r="AA63" s="2">
        <f>Q63-R63</f>
        <v>-0.17000000000000171</v>
      </c>
      <c r="AB63" s="1" t="b">
        <f>IF(G63=TRUE,IF(LEN(A63)&lt;5,TRUE,FALSE),FALSE)</f>
        <v>0</v>
      </c>
    </row>
    <row r="64" spans="1:28" hidden="1" x14ac:dyDescent="0.3">
      <c r="A64" t="s">
        <v>40</v>
      </c>
      <c r="B64" t="s">
        <v>160</v>
      </c>
      <c r="C64" t="s">
        <v>161</v>
      </c>
      <c r="D64">
        <v>0</v>
      </c>
      <c r="E64">
        <v>42.9</v>
      </c>
      <c r="F64">
        <v>16</v>
      </c>
      <c r="G64" t="b">
        <v>0</v>
      </c>
      <c r="H64">
        <v>0</v>
      </c>
      <c r="I64">
        <v>0</v>
      </c>
      <c r="J64">
        <v>0</v>
      </c>
      <c r="K64">
        <v>65.2</v>
      </c>
      <c r="N64">
        <v>0</v>
      </c>
      <c r="O64">
        <v>0</v>
      </c>
      <c r="P64">
        <v>0</v>
      </c>
      <c r="Q64">
        <f>K64</f>
        <v>65.2</v>
      </c>
      <c r="R64" s="1">
        <f>SUM(S64:Z64)</f>
        <v>65.16</v>
      </c>
      <c r="S64" s="1">
        <f>IF($AB64=TRUE,D64*S$2,D64*S$1)</f>
        <v>0</v>
      </c>
      <c r="T64" s="1">
        <f>IF($AB64=TRUE,E64*T$2,E64*T$1)</f>
        <v>17.16</v>
      </c>
      <c r="U64" s="1">
        <f>IF($AB64=TRUE,F64*U$2,F64*U$1)</f>
        <v>48</v>
      </c>
      <c r="V64" s="1">
        <f>IF($AB64=TRUE,J64*V$2,J64*V$1)</f>
        <v>0</v>
      </c>
      <c r="W64" s="1">
        <f>IF($AB64=TRUE,P64*W$2/100,P64*W$1/100)</f>
        <v>0</v>
      </c>
      <c r="X64" s="1">
        <f>IF($AB64=TRUE,I64*X$2,I64*X$1)</f>
        <v>0</v>
      </c>
      <c r="Y64" s="1">
        <f>IF($AB64=TRUE,N64*Y$2,N64*Y$1)</f>
        <v>0</v>
      </c>
      <c r="Z64" s="1">
        <f>IF($AB64=TRUE,-H64*Z$2,-H64*Z$1)</f>
        <v>0</v>
      </c>
      <c r="AA64" s="2">
        <f>Q64-R64</f>
        <v>4.0000000000006253E-2</v>
      </c>
      <c r="AB64" s="1" t="b">
        <f>IF(G64=TRUE,IF(LEN(A64)&lt;5,TRUE,FALSE),FALSE)</f>
        <v>0</v>
      </c>
    </row>
    <row r="65" spans="1:28" hidden="1" x14ac:dyDescent="0.3">
      <c r="A65" t="s">
        <v>40</v>
      </c>
      <c r="B65" t="s">
        <v>165</v>
      </c>
      <c r="C65" t="s">
        <v>166</v>
      </c>
      <c r="D65">
        <v>0</v>
      </c>
      <c r="E65">
        <v>60</v>
      </c>
      <c r="F65">
        <v>12.5</v>
      </c>
      <c r="G65" t="b">
        <v>0</v>
      </c>
      <c r="H65">
        <v>0</v>
      </c>
      <c r="I65">
        <v>0</v>
      </c>
      <c r="J65">
        <v>0</v>
      </c>
      <c r="K65">
        <v>64.5</v>
      </c>
      <c r="L65" t="s">
        <v>167</v>
      </c>
      <c r="N65">
        <v>2</v>
      </c>
      <c r="O65">
        <v>0</v>
      </c>
      <c r="P65">
        <v>37.200000000000003</v>
      </c>
      <c r="Q65">
        <f>K65</f>
        <v>64.5</v>
      </c>
      <c r="R65" s="1">
        <f>SUM(S65:Z65)</f>
        <v>64.430000000000007</v>
      </c>
      <c r="S65" s="1">
        <f>IF($AB65=TRUE,D65*S$2,D65*S$1)</f>
        <v>0</v>
      </c>
      <c r="T65" s="1">
        <f>IF($AB65=TRUE,E65*T$2,E65*T$1)</f>
        <v>24</v>
      </c>
      <c r="U65" s="1">
        <f>IF($AB65=TRUE,F65*U$2,F65*U$1)</f>
        <v>37.5</v>
      </c>
      <c r="V65" s="1">
        <f>IF($AB65=TRUE,J65*V$2,J65*V$1)</f>
        <v>0</v>
      </c>
      <c r="W65" s="1">
        <f>IF($AB65=TRUE,P65*W$2/100,P65*W$1/100)</f>
        <v>0.93</v>
      </c>
      <c r="X65" s="1">
        <f>IF($AB65=TRUE,I65*X$2,I65*X$1)</f>
        <v>0</v>
      </c>
      <c r="Y65" s="1">
        <f>IF($AB65=TRUE,N65*Y$2,N65*Y$1)</f>
        <v>2</v>
      </c>
      <c r="Z65" s="1">
        <f>IF($AB65=TRUE,-H65*Z$2,-H65*Z$1)</f>
        <v>0</v>
      </c>
      <c r="AA65" s="2">
        <f>Q65-R65</f>
        <v>6.9999999999993179E-2</v>
      </c>
      <c r="AB65" s="1" t="b">
        <f>IF(G65=TRUE,IF(LEN(A65)&lt;5,TRUE,FALSE),FALSE)</f>
        <v>0</v>
      </c>
    </row>
    <row r="66" spans="1:28" hidden="1" x14ac:dyDescent="0.3">
      <c r="A66" t="s">
        <v>18</v>
      </c>
      <c r="B66" t="s">
        <v>168</v>
      </c>
      <c r="C66" t="s">
        <v>169</v>
      </c>
      <c r="D66">
        <v>0</v>
      </c>
      <c r="E66">
        <v>85.7</v>
      </c>
      <c r="F66">
        <v>9.6</v>
      </c>
      <c r="G66" t="b">
        <v>0</v>
      </c>
      <c r="H66">
        <v>0</v>
      </c>
      <c r="I66">
        <v>0</v>
      </c>
      <c r="J66">
        <v>0</v>
      </c>
      <c r="K66">
        <v>64.5</v>
      </c>
      <c r="L66" t="s">
        <v>170</v>
      </c>
      <c r="N66">
        <v>1</v>
      </c>
      <c r="O66">
        <v>0</v>
      </c>
      <c r="P66">
        <v>15</v>
      </c>
      <c r="Q66">
        <f>K66</f>
        <v>64.5</v>
      </c>
      <c r="R66" s="1">
        <f>SUM(S66:Z66)</f>
        <v>64.454999999999998</v>
      </c>
      <c r="S66" s="1">
        <f>IF($AB66=TRUE,D66*S$2,D66*S$1)</f>
        <v>0</v>
      </c>
      <c r="T66" s="1">
        <f>IF($AB66=TRUE,E66*T$2,E66*T$1)</f>
        <v>34.28</v>
      </c>
      <c r="U66" s="1">
        <f>IF($AB66=TRUE,F66*U$2,F66*U$1)</f>
        <v>28.799999999999997</v>
      </c>
      <c r="V66" s="1">
        <f>IF($AB66=TRUE,J66*V$2,J66*V$1)</f>
        <v>0</v>
      </c>
      <c r="W66" s="1">
        <f>IF($AB66=TRUE,P66*W$2/100,P66*W$1/100)</f>
        <v>0.375</v>
      </c>
      <c r="X66" s="1">
        <f>IF($AB66=TRUE,I66*X$2,I66*X$1)</f>
        <v>0</v>
      </c>
      <c r="Y66" s="1">
        <f>IF($AB66=TRUE,N66*Y$2,N66*Y$1)</f>
        <v>1</v>
      </c>
      <c r="Z66" s="1">
        <f>IF($AB66=TRUE,-H66*Z$2,-H66*Z$1)</f>
        <v>0</v>
      </c>
      <c r="AA66" s="2">
        <f>Q66-R66</f>
        <v>4.5000000000001705E-2</v>
      </c>
      <c r="AB66" s="1" t="b">
        <f>IF(G66=TRUE,IF(LEN(A66)&lt;5,TRUE,FALSE),FALSE)</f>
        <v>0</v>
      </c>
    </row>
    <row r="67" spans="1:28" hidden="1" x14ac:dyDescent="0.3">
      <c r="A67" t="s">
        <v>18</v>
      </c>
      <c r="B67" t="s">
        <v>197</v>
      </c>
      <c r="C67" t="s">
        <v>198</v>
      </c>
      <c r="D67">
        <v>0.5</v>
      </c>
      <c r="E67">
        <v>47.6</v>
      </c>
      <c r="F67">
        <v>14.1</v>
      </c>
      <c r="G67" t="b">
        <v>0</v>
      </c>
      <c r="H67">
        <v>0</v>
      </c>
      <c r="I67">
        <v>0</v>
      </c>
      <c r="J67">
        <v>0</v>
      </c>
      <c r="K67">
        <v>63.9</v>
      </c>
      <c r="L67" t="s">
        <v>164</v>
      </c>
      <c r="N67">
        <v>1</v>
      </c>
      <c r="O67">
        <v>0</v>
      </c>
      <c r="P67">
        <v>16.100000000000001</v>
      </c>
      <c r="Q67">
        <f>K67</f>
        <v>63.9</v>
      </c>
      <c r="R67" s="1">
        <f>SUM(S67:Z67)</f>
        <v>63.742500000000007</v>
      </c>
      <c r="S67" s="1">
        <f>IF($AB67=TRUE,D67*S$2,D67*S$1)</f>
        <v>1</v>
      </c>
      <c r="T67" s="1">
        <f>IF($AB67=TRUE,E67*T$2,E67*T$1)</f>
        <v>19.040000000000003</v>
      </c>
      <c r="U67" s="1">
        <f>IF($AB67=TRUE,F67*U$2,F67*U$1)</f>
        <v>42.3</v>
      </c>
      <c r="V67" s="1">
        <f>IF($AB67=TRUE,J67*V$2,J67*V$1)</f>
        <v>0</v>
      </c>
      <c r="W67" s="1">
        <f>IF($AB67=TRUE,P67*W$2/100,P67*W$1/100)</f>
        <v>0.40250000000000002</v>
      </c>
      <c r="X67" s="1">
        <f>IF($AB67=TRUE,I67*X$2,I67*X$1)</f>
        <v>0</v>
      </c>
      <c r="Y67" s="1">
        <f>IF($AB67=TRUE,N67*Y$2,N67*Y$1)</f>
        <v>1</v>
      </c>
      <c r="Z67" s="1">
        <f>IF($AB67=TRUE,-H67*Z$2,-H67*Z$1)</f>
        <v>0</v>
      </c>
      <c r="AA67" s="2">
        <f>Q67-R67</f>
        <v>0.15749999999999176</v>
      </c>
      <c r="AB67" s="1" t="b">
        <f>IF(G67=TRUE,IF(LEN(A67)&lt;5,TRUE,FALSE),FALSE)</f>
        <v>0</v>
      </c>
    </row>
    <row r="68" spans="1:28" hidden="1" x14ac:dyDescent="0.3">
      <c r="A68" t="s">
        <v>40</v>
      </c>
      <c r="B68" t="s">
        <v>171</v>
      </c>
      <c r="C68" t="s">
        <v>172</v>
      </c>
      <c r="D68">
        <v>0</v>
      </c>
      <c r="E68">
        <v>22.2</v>
      </c>
      <c r="F68">
        <v>17.3</v>
      </c>
      <c r="G68" t="b">
        <v>0</v>
      </c>
      <c r="H68">
        <v>0</v>
      </c>
      <c r="I68">
        <v>0</v>
      </c>
      <c r="J68">
        <v>0</v>
      </c>
      <c r="K68">
        <v>63.8</v>
      </c>
      <c r="L68" t="s">
        <v>173</v>
      </c>
      <c r="N68">
        <v>2</v>
      </c>
      <c r="O68">
        <v>0</v>
      </c>
      <c r="P68">
        <v>37.9</v>
      </c>
      <c r="Q68">
        <f>K68</f>
        <v>63.8</v>
      </c>
      <c r="R68" s="1">
        <f>SUM(S68:Z68)</f>
        <v>63.727500000000006</v>
      </c>
      <c r="S68" s="1">
        <f>IF($AB68=TRUE,D68*S$2,D68*S$1)</f>
        <v>0</v>
      </c>
      <c r="T68" s="1">
        <f>IF($AB68=TRUE,E68*T$2,E68*T$1)</f>
        <v>8.8800000000000008</v>
      </c>
      <c r="U68" s="1">
        <f>IF($AB68=TRUE,F68*U$2,F68*U$1)</f>
        <v>51.900000000000006</v>
      </c>
      <c r="V68" s="1">
        <f>IF($AB68=TRUE,J68*V$2,J68*V$1)</f>
        <v>0</v>
      </c>
      <c r="W68" s="1">
        <f>IF($AB68=TRUE,P68*W$2/100,P68*W$1/100)</f>
        <v>0.94750000000000001</v>
      </c>
      <c r="X68" s="1">
        <f>IF($AB68=TRUE,I68*X$2,I68*X$1)</f>
        <v>0</v>
      </c>
      <c r="Y68" s="1">
        <f>IF($AB68=TRUE,N68*Y$2,N68*Y$1)</f>
        <v>2</v>
      </c>
      <c r="Z68" s="1">
        <f>IF($AB68=TRUE,-H68*Z$2,-H68*Z$1)</f>
        <v>0</v>
      </c>
      <c r="AA68" s="2">
        <f>Q68-R68</f>
        <v>7.2499999999990905E-2</v>
      </c>
      <c r="AB68" s="1" t="b">
        <f>IF(G68=TRUE,IF(LEN(A68)&lt;5,TRUE,FALSE),FALSE)</f>
        <v>0</v>
      </c>
    </row>
    <row r="69" spans="1:28" hidden="1" x14ac:dyDescent="0.3">
      <c r="A69" t="s">
        <v>40</v>
      </c>
      <c r="B69" t="s">
        <v>201</v>
      </c>
      <c r="C69" t="s">
        <v>202</v>
      </c>
      <c r="D69">
        <v>0</v>
      </c>
      <c r="E69">
        <v>33.299999999999997</v>
      </c>
      <c r="F69">
        <v>16.100000000000001</v>
      </c>
      <c r="G69" t="b">
        <v>0</v>
      </c>
      <c r="H69">
        <v>0</v>
      </c>
      <c r="I69">
        <v>0</v>
      </c>
      <c r="J69">
        <v>0</v>
      </c>
      <c r="K69">
        <v>63.7</v>
      </c>
      <c r="L69" t="s">
        <v>156</v>
      </c>
      <c r="N69">
        <v>1</v>
      </c>
      <c r="O69">
        <v>0</v>
      </c>
      <c r="P69">
        <v>38</v>
      </c>
      <c r="Q69">
        <f>K69</f>
        <v>63.7</v>
      </c>
      <c r="R69" s="1">
        <f>SUM(S69:Z69)</f>
        <v>63.570000000000007</v>
      </c>
      <c r="S69" s="1">
        <f>IF($AB69=TRUE,D69*S$2,D69*S$1)</f>
        <v>0</v>
      </c>
      <c r="T69" s="1">
        <f>IF($AB69=TRUE,E69*T$2,E69*T$1)</f>
        <v>13.32</v>
      </c>
      <c r="U69" s="1">
        <f>IF($AB69=TRUE,F69*U$2,F69*U$1)</f>
        <v>48.300000000000004</v>
      </c>
      <c r="V69" s="1">
        <f>IF($AB69=TRUE,J69*V$2,J69*V$1)</f>
        <v>0</v>
      </c>
      <c r="W69" s="1">
        <f>IF($AB69=TRUE,P69*W$2/100,P69*W$1/100)</f>
        <v>0.95</v>
      </c>
      <c r="X69" s="1">
        <f>IF($AB69=TRUE,I69*X$2,I69*X$1)</f>
        <v>0</v>
      </c>
      <c r="Y69" s="1">
        <f>IF($AB69=TRUE,N69*Y$2,N69*Y$1)</f>
        <v>1</v>
      </c>
      <c r="Z69" s="1">
        <f>IF($AB69=TRUE,-H69*Z$2,-H69*Z$1)</f>
        <v>0</v>
      </c>
      <c r="AA69" s="2">
        <f>Q69-R69</f>
        <v>0.12999999999999545</v>
      </c>
      <c r="AB69" s="1" t="b">
        <f>IF(G69=TRUE,IF(LEN(A69)&lt;5,TRUE,FALSE),FALSE)</f>
        <v>0</v>
      </c>
    </row>
    <row r="70" spans="1:28" hidden="1" x14ac:dyDescent="0.3">
      <c r="A70" t="s">
        <v>18</v>
      </c>
      <c r="B70" t="s">
        <v>178</v>
      </c>
      <c r="C70" t="s">
        <v>179</v>
      </c>
      <c r="D70">
        <v>0</v>
      </c>
      <c r="E70">
        <v>62.5</v>
      </c>
      <c r="F70">
        <v>11.6</v>
      </c>
      <c r="G70" t="b">
        <v>0</v>
      </c>
      <c r="H70">
        <v>0</v>
      </c>
      <c r="I70">
        <v>0</v>
      </c>
      <c r="J70">
        <v>0</v>
      </c>
      <c r="K70">
        <v>63.4</v>
      </c>
      <c r="L70" t="s">
        <v>180</v>
      </c>
      <c r="N70">
        <v>3</v>
      </c>
      <c r="O70">
        <v>0</v>
      </c>
      <c r="P70">
        <v>25</v>
      </c>
      <c r="Q70">
        <f>K70</f>
        <v>63.4</v>
      </c>
      <c r="R70" s="1">
        <f>SUM(S70:Z70)</f>
        <v>63.424999999999997</v>
      </c>
      <c r="S70" s="1">
        <f>IF($AB70=TRUE,D70*S$2,D70*S$1)</f>
        <v>0</v>
      </c>
      <c r="T70" s="1">
        <f>IF($AB70=TRUE,E70*T$2,E70*T$1)</f>
        <v>25</v>
      </c>
      <c r="U70" s="1">
        <f>IF($AB70=TRUE,F70*U$2,F70*U$1)</f>
        <v>34.799999999999997</v>
      </c>
      <c r="V70" s="1">
        <f>IF($AB70=TRUE,J70*V$2,J70*V$1)</f>
        <v>0</v>
      </c>
      <c r="W70" s="1">
        <f>IF($AB70=TRUE,P70*W$2/100,P70*W$1/100)</f>
        <v>0.625</v>
      </c>
      <c r="X70" s="1">
        <f>IF($AB70=TRUE,I70*X$2,I70*X$1)</f>
        <v>0</v>
      </c>
      <c r="Y70" s="1">
        <f>IF($AB70=TRUE,N70*Y$2,N70*Y$1)</f>
        <v>3</v>
      </c>
      <c r="Z70" s="1">
        <f>IF($AB70=TRUE,-H70*Z$2,-H70*Z$1)</f>
        <v>0</v>
      </c>
      <c r="AA70" s="2">
        <f>Q70-R70</f>
        <v>-2.4999999999998579E-2</v>
      </c>
      <c r="AB70" s="1" t="b">
        <f>IF(G70=TRUE,IF(LEN(A70)&lt;5,TRUE,FALSE),FALSE)</f>
        <v>0</v>
      </c>
    </row>
    <row r="71" spans="1:28" hidden="1" x14ac:dyDescent="0.3">
      <c r="A71" t="s">
        <v>53</v>
      </c>
      <c r="B71" t="s">
        <v>52</v>
      </c>
      <c r="C71" t="s">
        <v>53</v>
      </c>
      <c r="D71">
        <v>0</v>
      </c>
      <c r="E71">
        <v>100</v>
      </c>
      <c r="F71">
        <v>5.7</v>
      </c>
      <c r="G71" t="b">
        <v>0</v>
      </c>
      <c r="H71">
        <v>0</v>
      </c>
      <c r="I71">
        <v>1</v>
      </c>
      <c r="J71">
        <v>0</v>
      </c>
      <c r="K71">
        <v>63.3</v>
      </c>
      <c r="L71" t="s">
        <v>54</v>
      </c>
      <c r="N71">
        <v>4</v>
      </c>
      <c r="O71">
        <v>0</v>
      </c>
      <c r="P71">
        <v>41.7</v>
      </c>
      <c r="Q71">
        <f>K71</f>
        <v>63.3</v>
      </c>
      <c r="R71" s="1">
        <f>SUM(S71:Z71)</f>
        <v>63.142499999999998</v>
      </c>
      <c r="S71" s="1">
        <f>IF($AB71=TRUE,D71*S$2,D71*S$1)</f>
        <v>0</v>
      </c>
      <c r="T71" s="1">
        <f>IF($AB71=TRUE,E71*T$2,E71*T$1)</f>
        <v>40</v>
      </c>
      <c r="U71" s="1">
        <f>IF($AB71=TRUE,F71*U$2,F71*U$1)</f>
        <v>17.100000000000001</v>
      </c>
      <c r="V71" s="1">
        <f>IF($AB71=TRUE,J71*V$2,J71*V$1)</f>
        <v>0</v>
      </c>
      <c r="W71" s="1">
        <f>IF($AB71=TRUE,P71*W$2/100,P71*W$1/100)</f>
        <v>1.0425</v>
      </c>
      <c r="X71" s="1">
        <f>IF($AB71=TRUE,I71*X$2,I71*X$1)</f>
        <v>1</v>
      </c>
      <c r="Y71" s="1">
        <f>IF($AB71=TRUE,N71*Y$2,N71*Y$1)</f>
        <v>4</v>
      </c>
      <c r="Z71" s="1">
        <f>IF($AB71=TRUE,-H71*Z$2,-H71*Z$1)</f>
        <v>0</v>
      </c>
      <c r="AA71" s="2">
        <f>Q71-R71</f>
        <v>0.15749999999999886</v>
      </c>
      <c r="AB71" s="1" t="b">
        <f>IF(G71=TRUE,IF(LEN(A71)&lt;5,TRUE,FALSE),FALSE)</f>
        <v>0</v>
      </c>
    </row>
    <row r="72" spans="1:28" hidden="1" x14ac:dyDescent="0.3">
      <c r="A72" t="s">
        <v>18</v>
      </c>
      <c r="B72" t="s">
        <v>205</v>
      </c>
      <c r="C72" t="s">
        <v>206</v>
      </c>
      <c r="D72">
        <v>0.5</v>
      </c>
      <c r="E72">
        <v>55.6</v>
      </c>
      <c r="F72">
        <v>12.7</v>
      </c>
      <c r="G72" t="b">
        <v>0</v>
      </c>
      <c r="H72">
        <v>0</v>
      </c>
      <c r="I72">
        <v>0</v>
      </c>
      <c r="J72">
        <v>0</v>
      </c>
      <c r="K72">
        <v>63.2</v>
      </c>
      <c r="L72" t="s">
        <v>207</v>
      </c>
      <c r="N72">
        <v>1</v>
      </c>
      <c r="O72">
        <v>0</v>
      </c>
      <c r="P72">
        <v>26.4</v>
      </c>
      <c r="Q72">
        <f>K72</f>
        <v>63.2</v>
      </c>
      <c r="R72" s="1">
        <f>SUM(S72:Z72)</f>
        <v>62.999999999999993</v>
      </c>
      <c r="S72" s="1">
        <f>IF($AB72=TRUE,D72*S$2,D72*S$1)</f>
        <v>1</v>
      </c>
      <c r="T72" s="1">
        <f>IF($AB72=TRUE,E72*T$2,E72*T$1)</f>
        <v>22.240000000000002</v>
      </c>
      <c r="U72" s="1">
        <f>IF($AB72=TRUE,F72*U$2,F72*U$1)</f>
        <v>38.099999999999994</v>
      </c>
      <c r="V72" s="1">
        <f>IF($AB72=TRUE,J72*V$2,J72*V$1)</f>
        <v>0</v>
      </c>
      <c r="W72" s="1">
        <f>IF($AB72=TRUE,P72*W$2/100,P72*W$1/100)</f>
        <v>0.66</v>
      </c>
      <c r="X72" s="1">
        <f>IF($AB72=TRUE,I72*X$2,I72*X$1)</f>
        <v>0</v>
      </c>
      <c r="Y72" s="1">
        <f>IF($AB72=TRUE,N72*Y$2,N72*Y$1)</f>
        <v>1</v>
      </c>
      <c r="Z72" s="1">
        <f>IF($AB72=TRUE,-H72*Z$2,-H72*Z$1)</f>
        <v>0</v>
      </c>
      <c r="AA72" s="2">
        <f>Q72-R72</f>
        <v>0.20000000000000995</v>
      </c>
      <c r="AB72" s="1" t="b">
        <f>IF(G72=TRUE,IF(LEN(A72)&lt;5,TRUE,FALSE),FALSE)</f>
        <v>0</v>
      </c>
    </row>
    <row r="73" spans="1:28" hidden="1" x14ac:dyDescent="0.3">
      <c r="A73" t="s">
        <v>40</v>
      </c>
      <c r="B73" t="s">
        <v>185</v>
      </c>
      <c r="C73" t="s">
        <v>186</v>
      </c>
      <c r="D73">
        <v>0</v>
      </c>
      <c r="E73">
        <v>50</v>
      </c>
      <c r="F73">
        <v>13.7</v>
      </c>
      <c r="G73" t="b">
        <v>0</v>
      </c>
      <c r="H73">
        <v>0</v>
      </c>
      <c r="I73">
        <v>0</v>
      </c>
      <c r="J73">
        <v>0</v>
      </c>
      <c r="K73">
        <v>62.7</v>
      </c>
      <c r="L73" t="s">
        <v>187</v>
      </c>
      <c r="N73">
        <v>1</v>
      </c>
      <c r="O73">
        <v>0</v>
      </c>
      <c r="P73">
        <v>22.7</v>
      </c>
      <c r="Q73">
        <f>K73</f>
        <v>62.7</v>
      </c>
      <c r="R73" s="1">
        <f>SUM(S73:Z73)</f>
        <v>62.667499999999997</v>
      </c>
      <c r="S73" s="1">
        <f>IF($AB73=TRUE,D73*S$2,D73*S$1)</f>
        <v>0</v>
      </c>
      <c r="T73" s="1">
        <f>IF($AB73=TRUE,E73*T$2,E73*T$1)</f>
        <v>20</v>
      </c>
      <c r="U73" s="1">
        <f>IF($AB73=TRUE,F73*U$2,F73*U$1)</f>
        <v>41.099999999999994</v>
      </c>
      <c r="V73" s="1">
        <f>IF($AB73=TRUE,J73*V$2,J73*V$1)</f>
        <v>0</v>
      </c>
      <c r="W73" s="1">
        <f>IF($AB73=TRUE,P73*W$2/100,P73*W$1/100)</f>
        <v>0.5675</v>
      </c>
      <c r="X73" s="1">
        <f>IF($AB73=TRUE,I73*X$2,I73*X$1)</f>
        <v>0</v>
      </c>
      <c r="Y73" s="1">
        <f>IF($AB73=TRUE,N73*Y$2,N73*Y$1)</f>
        <v>1</v>
      </c>
      <c r="Z73" s="1">
        <f>IF($AB73=TRUE,-H73*Z$2,-H73*Z$1)</f>
        <v>0</v>
      </c>
      <c r="AA73" s="2">
        <f>Q73-R73</f>
        <v>3.2500000000005969E-2</v>
      </c>
      <c r="AB73" s="1" t="b">
        <f>IF(G73=TRUE,IF(LEN(A73)&lt;5,TRUE,FALSE),FALSE)</f>
        <v>0</v>
      </c>
    </row>
    <row r="74" spans="1:28" hidden="1" x14ac:dyDescent="0.3">
      <c r="A74" t="s">
        <v>18</v>
      </c>
      <c r="B74" t="s">
        <v>212</v>
      </c>
      <c r="C74" t="s">
        <v>213</v>
      </c>
      <c r="D74">
        <v>0</v>
      </c>
      <c r="E74">
        <v>66.7</v>
      </c>
      <c r="F74">
        <v>11.5</v>
      </c>
      <c r="G74" t="b">
        <v>0</v>
      </c>
      <c r="H74">
        <v>0</v>
      </c>
      <c r="I74">
        <v>0</v>
      </c>
      <c r="J74">
        <v>0</v>
      </c>
      <c r="K74">
        <v>62.6</v>
      </c>
      <c r="L74" t="s">
        <v>214</v>
      </c>
      <c r="N74">
        <v>1</v>
      </c>
      <c r="O74">
        <v>0</v>
      </c>
      <c r="P74">
        <v>18.600000000000001</v>
      </c>
      <c r="Q74">
        <f>K74</f>
        <v>62.6</v>
      </c>
      <c r="R74" s="1">
        <f>SUM(S74:Z74)</f>
        <v>62.64500000000001</v>
      </c>
      <c r="S74" s="1">
        <f>IF($AB74=TRUE,D74*S$2,D74*S$1)</f>
        <v>0</v>
      </c>
      <c r="T74" s="1">
        <f>IF($AB74=TRUE,E74*T$2,E74*T$1)</f>
        <v>26.680000000000003</v>
      </c>
      <c r="U74" s="1">
        <f>IF($AB74=TRUE,F74*U$2,F74*U$1)</f>
        <v>34.5</v>
      </c>
      <c r="V74" s="1">
        <f>IF($AB74=TRUE,J74*V$2,J74*V$1)</f>
        <v>0</v>
      </c>
      <c r="W74" s="1">
        <f>IF($AB74=TRUE,P74*W$2/100,P74*W$1/100)</f>
        <v>0.46500000000000002</v>
      </c>
      <c r="X74" s="1">
        <f>IF($AB74=TRUE,I74*X$2,I74*X$1)</f>
        <v>0</v>
      </c>
      <c r="Y74" s="1">
        <f>IF($AB74=TRUE,N74*Y$2,N74*Y$1)</f>
        <v>1</v>
      </c>
      <c r="Z74" s="1">
        <f>IF($AB74=TRUE,-H74*Z$2,-H74*Z$1)</f>
        <v>0</v>
      </c>
      <c r="AA74" s="2">
        <f>Q74-R74</f>
        <v>-4.5000000000008811E-2</v>
      </c>
      <c r="AB74" s="1" t="b">
        <f>IF(G74=TRUE,IF(LEN(A74)&lt;5,TRUE,FALSE),FALSE)</f>
        <v>0</v>
      </c>
    </row>
    <row r="75" spans="1:28" hidden="1" x14ac:dyDescent="0.3">
      <c r="A75" t="s">
        <v>18</v>
      </c>
      <c r="B75" t="s">
        <v>218</v>
      </c>
      <c r="C75" t="s">
        <v>219</v>
      </c>
      <c r="D75">
        <v>0</v>
      </c>
      <c r="E75">
        <v>70.599999999999994</v>
      </c>
      <c r="F75">
        <v>10.9</v>
      </c>
      <c r="G75" t="b">
        <v>0</v>
      </c>
      <c r="H75">
        <v>0</v>
      </c>
      <c r="I75">
        <v>0</v>
      </c>
      <c r="J75">
        <v>0</v>
      </c>
      <c r="K75">
        <v>62.3</v>
      </c>
      <c r="L75" t="s">
        <v>69</v>
      </c>
      <c r="N75">
        <v>1</v>
      </c>
      <c r="O75">
        <v>0</v>
      </c>
      <c r="P75">
        <v>15.6</v>
      </c>
      <c r="Q75">
        <f>K75</f>
        <v>62.3</v>
      </c>
      <c r="R75" s="1">
        <f>SUM(S75:Z75)</f>
        <v>62.33</v>
      </c>
      <c r="S75" s="1">
        <f>IF($AB75=TRUE,D75*S$2,D75*S$1)</f>
        <v>0</v>
      </c>
      <c r="T75" s="1">
        <f>IF($AB75=TRUE,E75*T$2,E75*T$1)</f>
        <v>28.24</v>
      </c>
      <c r="U75" s="1">
        <f>IF($AB75=TRUE,F75*U$2,F75*U$1)</f>
        <v>32.700000000000003</v>
      </c>
      <c r="V75" s="1">
        <f>IF($AB75=TRUE,J75*V$2,J75*V$1)</f>
        <v>0</v>
      </c>
      <c r="W75" s="1">
        <f>IF($AB75=TRUE,P75*W$2/100,P75*W$1/100)</f>
        <v>0.39</v>
      </c>
      <c r="X75" s="1">
        <f>IF($AB75=TRUE,I75*X$2,I75*X$1)</f>
        <v>0</v>
      </c>
      <c r="Y75" s="1">
        <f>IF($AB75=TRUE,N75*Y$2,N75*Y$1)</f>
        <v>1</v>
      </c>
      <c r="Z75" s="1">
        <f>IF($AB75=TRUE,-H75*Z$2,-H75*Z$1)</f>
        <v>0</v>
      </c>
      <c r="AA75" s="2">
        <f>Q75-R75</f>
        <v>-3.0000000000001137E-2</v>
      </c>
      <c r="AB75" s="1" t="b">
        <f>IF(G75=TRUE,IF(LEN(A75)&lt;5,TRUE,FALSE),FALSE)</f>
        <v>0</v>
      </c>
    </row>
    <row r="76" spans="1:28" hidden="1" x14ac:dyDescent="0.3">
      <c r="A76" t="s">
        <v>18</v>
      </c>
      <c r="B76" t="s">
        <v>191</v>
      </c>
      <c r="C76" t="s">
        <v>20</v>
      </c>
      <c r="D76">
        <v>0</v>
      </c>
      <c r="E76">
        <v>90.9</v>
      </c>
      <c r="F76">
        <v>7.7</v>
      </c>
      <c r="G76" t="b">
        <v>0</v>
      </c>
      <c r="H76">
        <v>0</v>
      </c>
      <c r="I76">
        <v>1</v>
      </c>
      <c r="J76">
        <v>0</v>
      </c>
      <c r="K76">
        <v>62</v>
      </c>
      <c r="L76" t="s">
        <v>116</v>
      </c>
      <c r="N76">
        <v>1</v>
      </c>
      <c r="O76">
        <v>0</v>
      </c>
      <c r="P76">
        <v>21.7</v>
      </c>
      <c r="Q76">
        <f>K76</f>
        <v>62</v>
      </c>
      <c r="R76" s="1">
        <f>SUM(S76:Z76)</f>
        <v>62.002500000000005</v>
      </c>
      <c r="S76" s="1">
        <f>IF($AB76=TRUE,D76*S$2,D76*S$1)</f>
        <v>0</v>
      </c>
      <c r="T76" s="1">
        <f>IF($AB76=TRUE,E76*T$2,E76*T$1)</f>
        <v>36.360000000000007</v>
      </c>
      <c r="U76" s="1">
        <f>IF($AB76=TRUE,F76*U$2,F76*U$1)</f>
        <v>23.1</v>
      </c>
      <c r="V76" s="1">
        <f>IF($AB76=TRUE,J76*V$2,J76*V$1)</f>
        <v>0</v>
      </c>
      <c r="W76" s="1">
        <f>IF($AB76=TRUE,P76*W$2/100,P76*W$1/100)</f>
        <v>0.54249999999999998</v>
      </c>
      <c r="X76" s="1">
        <f>IF($AB76=TRUE,I76*X$2,I76*X$1)</f>
        <v>1</v>
      </c>
      <c r="Y76" s="1">
        <f>IF($AB76=TRUE,N76*Y$2,N76*Y$1)</f>
        <v>1</v>
      </c>
      <c r="Z76" s="1">
        <f>IF($AB76=TRUE,-H76*Z$2,-H76*Z$1)</f>
        <v>0</v>
      </c>
      <c r="AA76" s="2">
        <f>Q76-R76</f>
        <v>-2.5000000000048317E-3</v>
      </c>
      <c r="AB76" s="1" t="b">
        <f>IF(G76=TRUE,IF(LEN(A76)&lt;5,TRUE,FALSE),FALSE)</f>
        <v>0</v>
      </c>
    </row>
    <row r="77" spans="1:28" hidden="1" x14ac:dyDescent="0.3">
      <c r="A77" t="s">
        <v>40</v>
      </c>
      <c r="B77" t="s">
        <v>220</v>
      </c>
      <c r="C77" t="s">
        <v>221</v>
      </c>
      <c r="D77">
        <v>0</v>
      </c>
      <c r="E77">
        <v>31.6</v>
      </c>
      <c r="F77">
        <v>15.7</v>
      </c>
      <c r="G77" t="b">
        <v>0</v>
      </c>
      <c r="H77">
        <v>0</v>
      </c>
      <c r="I77">
        <v>0</v>
      </c>
      <c r="J77">
        <v>0</v>
      </c>
      <c r="K77">
        <v>61.5</v>
      </c>
      <c r="L77" t="s">
        <v>222</v>
      </c>
      <c r="N77">
        <v>1</v>
      </c>
      <c r="O77">
        <v>0</v>
      </c>
      <c r="P77">
        <v>27.9</v>
      </c>
      <c r="Q77">
        <f>K77</f>
        <v>61.5</v>
      </c>
      <c r="R77" s="1">
        <f>SUM(S77:Z77)</f>
        <v>61.437499999999993</v>
      </c>
      <c r="S77" s="1">
        <f>IF($AB77=TRUE,D77*S$2,D77*S$1)</f>
        <v>0</v>
      </c>
      <c r="T77" s="1">
        <f>IF($AB77=TRUE,E77*T$2,E77*T$1)</f>
        <v>12.64</v>
      </c>
      <c r="U77" s="1">
        <f>IF($AB77=TRUE,F77*U$2,F77*U$1)</f>
        <v>47.099999999999994</v>
      </c>
      <c r="V77" s="1">
        <f>IF($AB77=TRUE,J77*V$2,J77*V$1)</f>
        <v>0</v>
      </c>
      <c r="W77" s="1">
        <f>IF($AB77=TRUE,P77*W$2/100,P77*W$1/100)</f>
        <v>0.69750000000000001</v>
      </c>
      <c r="X77" s="1">
        <f>IF($AB77=TRUE,I77*X$2,I77*X$1)</f>
        <v>0</v>
      </c>
      <c r="Y77" s="1">
        <f>IF($AB77=TRUE,N77*Y$2,N77*Y$1)</f>
        <v>1</v>
      </c>
      <c r="Z77" s="1">
        <f>IF($AB77=TRUE,-H77*Z$2,-H77*Z$1)</f>
        <v>0</v>
      </c>
      <c r="AA77" s="2">
        <f>Q77-R77</f>
        <v>6.2500000000007105E-2</v>
      </c>
      <c r="AB77" s="1" t="b">
        <f>IF(G77=TRUE,IF(LEN(A77)&lt;5,TRUE,FALSE),FALSE)</f>
        <v>0</v>
      </c>
    </row>
    <row r="78" spans="1:28" hidden="1" x14ac:dyDescent="0.3">
      <c r="A78" t="s">
        <v>18</v>
      </c>
      <c r="B78" t="s">
        <v>223</v>
      </c>
      <c r="C78" t="s">
        <v>224</v>
      </c>
      <c r="D78">
        <v>0</v>
      </c>
      <c r="E78">
        <v>66.7</v>
      </c>
      <c r="F78">
        <v>11.1</v>
      </c>
      <c r="G78" t="b">
        <v>0</v>
      </c>
      <c r="H78">
        <v>0</v>
      </c>
      <c r="I78">
        <v>0</v>
      </c>
      <c r="J78">
        <v>0</v>
      </c>
      <c r="K78">
        <v>61.4</v>
      </c>
      <c r="L78" t="s">
        <v>225</v>
      </c>
      <c r="N78">
        <v>1</v>
      </c>
      <c r="O78">
        <v>0</v>
      </c>
      <c r="P78">
        <v>19.899999999999999</v>
      </c>
      <c r="Q78">
        <f>K78</f>
        <v>61.4</v>
      </c>
      <c r="R78" s="1">
        <f>SUM(S78:Z78)</f>
        <v>61.477500000000006</v>
      </c>
      <c r="S78" s="1">
        <f>IF($AB78=TRUE,D78*S$2,D78*S$1)</f>
        <v>0</v>
      </c>
      <c r="T78" s="1">
        <f>IF($AB78=TRUE,E78*T$2,E78*T$1)</f>
        <v>26.680000000000003</v>
      </c>
      <c r="U78" s="1">
        <f>IF($AB78=TRUE,F78*U$2,F78*U$1)</f>
        <v>33.299999999999997</v>
      </c>
      <c r="V78" s="1">
        <f>IF($AB78=TRUE,J78*V$2,J78*V$1)</f>
        <v>0</v>
      </c>
      <c r="W78" s="1">
        <f>IF($AB78=TRUE,P78*W$2/100,P78*W$1/100)</f>
        <v>0.4975</v>
      </c>
      <c r="X78" s="1">
        <f>IF($AB78=TRUE,I78*X$2,I78*X$1)</f>
        <v>0</v>
      </c>
      <c r="Y78" s="1">
        <f>IF($AB78=TRUE,N78*Y$2,N78*Y$1)</f>
        <v>1</v>
      </c>
      <c r="Z78" s="1">
        <f>IF($AB78=TRUE,-H78*Z$2,-H78*Z$1)</f>
        <v>0</v>
      </c>
      <c r="AA78" s="2">
        <f>Q78-R78</f>
        <v>-7.7500000000007674E-2</v>
      </c>
      <c r="AB78" s="1" t="b">
        <f>IF(G78=TRUE,IF(LEN(A78)&lt;5,TRUE,FALSE),FALSE)</f>
        <v>0</v>
      </c>
    </row>
    <row r="79" spans="1:28" hidden="1" x14ac:dyDescent="0.3">
      <c r="A79" t="s">
        <v>25</v>
      </c>
      <c r="B79" t="s">
        <v>192</v>
      </c>
      <c r="C79" t="s">
        <v>193</v>
      </c>
      <c r="D79">
        <v>1.8</v>
      </c>
      <c r="E79">
        <v>69.2</v>
      </c>
      <c r="F79">
        <v>9.4</v>
      </c>
      <c r="G79" t="b">
        <v>0</v>
      </c>
      <c r="H79">
        <v>0</v>
      </c>
      <c r="I79">
        <v>0</v>
      </c>
      <c r="J79">
        <v>0</v>
      </c>
      <c r="K79">
        <v>61.3</v>
      </c>
      <c r="L79" t="s">
        <v>194</v>
      </c>
      <c r="N79">
        <v>1</v>
      </c>
      <c r="O79">
        <v>0</v>
      </c>
      <c r="P79">
        <v>33.9</v>
      </c>
      <c r="Q79">
        <f>K79</f>
        <v>61.3</v>
      </c>
      <c r="R79" s="1">
        <f>SUM(S79:Z79)</f>
        <v>61.327500000000001</v>
      </c>
      <c r="S79" s="1">
        <f>IF($AB79=TRUE,D79*S$2,D79*S$1)</f>
        <v>3.6</v>
      </c>
      <c r="T79" s="1">
        <f>IF($AB79=TRUE,E79*T$2,E79*T$1)</f>
        <v>27.680000000000003</v>
      </c>
      <c r="U79" s="1">
        <f>IF($AB79=TRUE,F79*U$2,F79*U$1)</f>
        <v>28.200000000000003</v>
      </c>
      <c r="V79" s="1">
        <f>IF($AB79=TRUE,J79*V$2,J79*V$1)</f>
        <v>0</v>
      </c>
      <c r="W79" s="1">
        <f>IF($AB79=TRUE,P79*W$2/100,P79*W$1/100)</f>
        <v>0.84750000000000003</v>
      </c>
      <c r="X79" s="1">
        <f>IF($AB79=TRUE,I79*X$2,I79*X$1)</f>
        <v>0</v>
      </c>
      <c r="Y79" s="1">
        <f>IF($AB79=TRUE,N79*Y$2,N79*Y$1)</f>
        <v>1</v>
      </c>
      <c r="Z79" s="1">
        <f>IF($AB79=TRUE,-H79*Z$2,-H79*Z$1)</f>
        <v>0</v>
      </c>
      <c r="AA79" s="2">
        <f>Q79-R79</f>
        <v>-2.7500000000003411E-2</v>
      </c>
      <c r="AB79" s="1" t="b">
        <f>IF(G79=TRUE,IF(LEN(A79)&lt;5,TRUE,FALSE),FALSE)</f>
        <v>0</v>
      </c>
    </row>
    <row r="80" spans="1:28" hidden="1" x14ac:dyDescent="0.3">
      <c r="A80" t="s">
        <v>40</v>
      </c>
      <c r="B80" t="s">
        <v>226</v>
      </c>
      <c r="C80" t="s">
        <v>227</v>
      </c>
      <c r="D80">
        <v>0</v>
      </c>
      <c r="E80">
        <v>54.5</v>
      </c>
      <c r="F80">
        <v>12.5</v>
      </c>
      <c r="G80" t="b">
        <v>0</v>
      </c>
      <c r="H80">
        <v>0</v>
      </c>
      <c r="I80">
        <v>0</v>
      </c>
      <c r="J80">
        <v>0</v>
      </c>
      <c r="K80">
        <v>61.3</v>
      </c>
      <c r="L80" t="s">
        <v>116</v>
      </c>
      <c r="M80" t="s">
        <v>228</v>
      </c>
      <c r="N80">
        <v>1</v>
      </c>
      <c r="O80">
        <v>1</v>
      </c>
      <c r="P80">
        <v>39.6</v>
      </c>
      <c r="Q80">
        <f>K80</f>
        <v>61.3</v>
      </c>
      <c r="R80" s="1">
        <f>SUM(S80:Z80)</f>
        <v>61.29</v>
      </c>
      <c r="S80" s="1">
        <f>IF($AB80=TRUE,D80*S$2,D80*S$1)</f>
        <v>0</v>
      </c>
      <c r="T80" s="1">
        <f>IF($AB80=TRUE,E80*T$2,E80*T$1)</f>
        <v>21.8</v>
      </c>
      <c r="U80" s="1">
        <f>IF($AB80=TRUE,F80*U$2,F80*U$1)</f>
        <v>37.5</v>
      </c>
      <c r="V80" s="1">
        <f>IF($AB80=TRUE,J80*V$2,J80*V$1)</f>
        <v>0</v>
      </c>
      <c r="W80" s="1">
        <f>IF($AB80=TRUE,P80*W$2/100,P80*W$1/100)</f>
        <v>0.99</v>
      </c>
      <c r="X80" s="1">
        <f>IF($AB80=TRUE,I80*X$2,I80*X$1)</f>
        <v>0</v>
      </c>
      <c r="Y80" s="1">
        <f>IF($AB80=TRUE,N80*Y$2,N80*Y$1)</f>
        <v>1</v>
      </c>
      <c r="Z80" s="1">
        <f>IF($AB80=TRUE,-H80*Z$2,-H80*Z$1)</f>
        <v>0</v>
      </c>
      <c r="AA80" s="2">
        <f>Q80-R80</f>
        <v>9.9999999999980105E-3</v>
      </c>
      <c r="AB80" s="1" t="b">
        <f>IF(G80=TRUE,IF(LEN(A80)&lt;5,TRUE,FALSE),FALSE)</f>
        <v>0</v>
      </c>
    </row>
    <row r="81" spans="1:28" hidden="1" x14ac:dyDescent="0.3">
      <c r="A81" t="s">
        <v>28</v>
      </c>
      <c r="B81" t="s">
        <v>195</v>
      </c>
      <c r="C81" t="s">
        <v>196</v>
      </c>
      <c r="D81">
        <v>0</v>
      </c>
      <c r="E81">
        <v>85.7</v>
      </c>
      <c r="F81">
        <v>8.4</v>
      </c>
      <c r="G81" t="b">
        <v>0</v>
      </c>
      <c r="H81">
        <v>0</v>
      </c>
      <c r="I81">
        <v>0</v>
      </c>
      <c r="J81">
        <v>0</v>
      </c>
      <c r="K81">
        <v>61</v>
      </c>
      <c r="L81" t="s">
        <v>62</v>
      </c>
      <c r="N81">
        <v>1</v>
      </c>
      <c r="O81">
        <v>0</v>
      </c>
      <c r="P81">
        <v>22.6</v>
      </c>
      <c r="Q81">
        <f>K81</f>
        <v>61</v>
      </c>
      <c r="R81" s="1">
        <f>SUM(S81:Z81)</f>
        <v>61.045000000000002</v>
      </c>
      <c r="S81" s="1">
        <f>IF($AB81=TRUE,D81*S$2,D81*S$1)</f>
        <v>0</v>
      </c>
      <c r="T81" s="1">
        <f>IF($AB81=TRUE,E81*T$2,E81*T$1)</f>
        <v>34.28</v>
      </c>
      <c r="U81" s="1">
        <f>IF($AB81=TRUE,F81*U$2,F81*U$1)</f>
        <v>25.200000000000003</v>
      </c>
      <c r="V81" s="1">
        <f>IF($AB81=TRUE,J81*V$2,J81*V$1)</f>
        <v>0</v>
      </c>
      <c r="W81" s="1">
        <f>IF($AB81=TRUE,P81*W$2/100,P81*W$1/100)</f>
        <v>0.56499999999999995</v>
      </c>
      <c r="X81" s="1">
        <f>IF($AB81=TRUE,I81*X$2,I81*X$1)</f>
        <v>0</v>
      </c>
      <c r="Y81" s="1">
        <f>IF($AB81=TRUE,N81*Y$2,N81*Y$1)</f>
        <v>1</v>
      </c>
      <c r="Z81" s="1">
        <f>IF($AB81=TRUE,-H81*Z$2,-H81*Z$1)</f>
        <v>0</v>
      </c>
      <c r="AA81" s="2">
        <f>Q81-R81</f>
        <v>-4.5000000000001705E-2</v>
      </c>
      <c r="AB81" s="1" t="b">
        <f>IF(G81=TRUE,IF(LEN(A81)&lt;5,TRUE,FALSE),FALSE)</f>
        <v>0</v>
      </c>
    </row>
    <row r="82" spans="1:28" hidden="1" x14ac:dyDescent="0.3">
      <c r="A82" t="s">
        <v>18</v>
      </c>
      <c r="B82" t="s">
        <v>199</v>
      </c>
      <c r="C82" t="s">
        <v>200</v>
      </c>
      <c r="D82">
        <v>0</v>
      </c>
      <c r="E82">
        <v>83.3</v>
      </c>
      <c r="F82">
        <v>8.6999999999999993</v>
      </c>
      <c r="G82" t="b">
        <v>0</v>
      </c>
      <c r="H82">
        <v>0</v>
      </c>
      <c r="I82">
        <v>0</v>
      </c>
      <c r="J82">
        <v>0</v>
      </c>
      <c r="K82">
        <v>60.8</v>
      </c>
      <c r="L82" t="s">
        <v>181</v>
      </c>
      <c r="N82">
        <v>1</v>
      </c>
      <c r="O82">
        <v>0</v>
      </c>
      <c r="P82">
        <v>16.5</v>
      </c>
      <c r="Q82">
        <f>K82</f>
        <v>60.8</v>
      </c>
      <c r="R82" s="1">
        <f>SUM(S82:Z82)</f>
        <v>60.832500000000003</v>
      </c>
      <c r="S82" s="1">
        <f>IF($AB82=TRUE,D82*S$2,D82*S$1)</f>
        <v>0</v>
      </c>
      <c r="T82" s="1">
        <f>IF($AB82=TRUE,E82*T$2,E82*T$1)</f>
        <v>33.32</v>
      </c>
      <c r="U82" s="1">
        <f>IF($AB82=TRUE,F82*U$2,F82*U$1)</f>
        <v>26.099999999999998</v>
      </c>
      <c r="V82" s="1">
        <f>IF($AB82=TRUE,J82*V$2,J82*V$1)</f>
        <v>0</v>
      </c>
      <c r="W82" s="1">
        <f>IF($AB82=TRUE,P82*W$2/100,P82*W$1/100)</f>
        <v>0.41249999999999998</v>
      </c>
      <c r="X82" s="1">
        <f>IF($AB82=TRUE,I82*X$2,I82*X$1)</f>
        <v>0</v>
      </c>
      <c r="Y82" s="1">
        <f>IF($AB82=TRUE,N82*Y$2,N82*Y$1)</f>
        <v>1</v>
      </c>
      <c r="Z82" s="1">
        <f>IF($AB82=TRUE,-H82*Z$2,-H82*Z$1)</f>
        <v>0</v>
      </c>
      <c r="AA82" s="2">
        <f>Q82-R82</f>
        <v>-3.2500000000005969E-2</v>
      </c>
      <c r="AB82" s="1" t="b">
        <f>IF(G82=TRUE,IF(LEN(A82)&lt;5,TRUE,FALSE),FALSE)</f>
        <v>0</v>
      </c>
    </row>
    <row r="83" spans="1:28" hidden="1" x14ac:dyDescent="0.3">
      <c r="A83" t="s">
        <v>40</v>
      </c>
      <c r="B83" t="s">
        <v>203</v>
      </c>
      <c r="C83" t="s">
        <v>204</v>
      </c>
      <c r="D83">
        <v>0</v>
      </c>
      <c r="E83">
        <v>46.2</v>
      </c>
      <c r="F83">
        <v>14</v>
      </c>
      <c r="G83" t="b">
        <v>0</v>
      </c>
      <c r="H83">
        <v>0</v>
      </c>
      <c r="I83">
        <v>0</v>
      </c>
      <c r="J83">
        <v>0</v>
      </c>
      <c r="K83">
        <v>60.6</v>
      </c>
      <c r="N83">
        <v>0</v>
      </c>
      <c r="O83">
        <v>0</v>
      </c>
      <c r="P83">
        <v>0</v>
      </c>
      <c r="Q83">
        <f>K83</f>
        <v>60.6</v>
      </c>
      <c r="R83" s="1">
        <f>SUM(S83:Z83)</f>
        <v>60.480000000000004</v>
      </c>
      <c r="S83" s="1">
        <f>IF($AB83=TRUE,D83*S$2,D83*S$1)</f>
        <v>0</v>
      </c>
      <c r="T83" s="1">
        <f>IF($AB83=TRUE,E83*T$2,E83*T$1)</f>
        <v>18.48</v>
      </c>
      <c r="U83" s="1">
        <f>IF($AB83=TRUE,F83*U$2,F83*U$1)</f>
        <v>42</v>
      </c>
      <c r="V83" s="1">
        <f>IF($AB83=TRUE,J83*V$2,J83*V$1)</f>
        <v>0</v>
      </c>
      <c r="W83" s="1">
        <f>IF($AB83=TRUE,P83*W$2/100,P83*W$1/100)</f>
        <v>0</v>
      </c>
      <c r="X83" s="1">
        <f>IF($AB83=TRUE,I83*X$2,I83*X$1)</f>
        <v>0</v>
      </c>
      <c r="Y83" s="1">
        <f>IF($AB83=TRUE,N83*Y$2,N83*Y$1)</f>
        <v>0</v>
      </c>
      <c r="Z83" s="1">
        <f>IF($AB83=TRUE,-H83*Z$2,-H83*Z$1)</f>
        <v>0</v>
      </c>
      <c r="AA83" s="2">
        <f>Q83-R83</f>
        <v>0.11999999999999744</v>
      </c>
      <c r="AB83" s="1" t="b">
        <f>IF(G83=TRUE,IF(LEN(A83)&lt;5,TRUE,FALSE),FALSE)</f>
        <v>0</v>
      </c>
    </row>
    <row r="84" spans="1:28" hidden="1" x14ac:dyDescent="0.3">
      <c r="A84" t="s">
        <v>28</v>
      </c>
      <c r="B84" t="s">
        <v>229</v>
      </c>
      <c r="C84" t="s">
        <v>230</v>
      </c>
      <c r="D84">
        <v>0</v>
      </c>
      <c r="E84">
        <v>85.7</v>
      </c>
      <c r="F84">
        <v>7.8</v>
      </c>
      <c r="G84" t="b">
        <v>0</v>
      </c>
      <c r="H84">
        <v>0</v>
      </c>
      <c r="I84">
        <v>0</v>
      </c>
      <c r="J84">
        <v>0</v>
      </c>
      <c r="K84">
        <v>60.5</v>
      </c>
      <c r="L84" t="s">
        <v>231</v>
      </c>
      <c r="N84">
        <v>2</v>
      </c>
      <c r="O84">
        <v>0</v>
      </c>
      <c r="P84">
        <v>30.2</v>
      </c>
      <c r="Q84">
        <f>K84</f>
        <v>60.5</v>
      </c>
      <c r="R84" s="1">
        <f>SUM(S84:Z84)</f>
        <v>60.435000000000002</v>
      </c>
      <c r="S84" s="1">
        <f>IF($AB84=TRUE,D84*S$2,D84*S$1)</f>
        <v>0</v>
      </c>
      <c r="T84" s="1">
        <f>IF($AB84=TRUE,E84*T$2,E84*T$1)</f>
        <v>34.28</v>
      </c>
      <c r="U84" s="1">
        <f>IF($AB84=TRUE,F84*U$2,F84*U$1)</f>
        <v>23.4</v>
      </c>
      <c r="V84" s="1">
        <f>IF($AB84=TRUE,J84*V$2,J84*V$1)</f>
        <v>0</v>
      </c>
      <c r="W84" s="1">
        <f>IF($AB84=TRUE,P84*W$2/100,P84*W$1/100)</f>
        <v>0.755</v>
      </c>
      <c r="X84" s="1">
        <f>IF($AB84=TRUE,I84*X$2,I84*X$1)</f>
        <v>0</v>
      </c>
      <c r="Y84" s="1">
        <f>IF($AB84=TRUE,N84*Y$2,N84*Y$1)</f>
        <v>2</v>
      </c>
      <c r="Z84" s="1">
        <f>IF($AB84=TRUE,-H84*Z$2,-H84*Z$1)</f>
        <v>0</v>
      </c>
      <c r="AA84" s="2">
        <f>Q84-R84</f>
        <v>6.4999999999997726E-2</v>
      </c>
      <c r="AB84" s="1" t="b">
        <f>IF(G84=TRUE,IF(LEN(A84)&lt;5,TRUE,FALSE),FALSE)</f>
        <v>0</v>
      </c>
    </row>
    <row r="85" spans="1:28" hidden="1" x14ac:dyDescent="0.3">
      <c r="A85" t="s">
        <v>18</v>
      </c>
      <c r="B85" t="s">
        <v>232</v>
      </c>
      <c r="C85" t="s">
        <v>233</v>
      </c>
      <c r="D85">
        <v>0</v>
      </c>
      <c r="E85">
        <v>62.5</v>
      </c>
      <c r="F85">
        <v>11</v>
      </c>
      <c r="G85" t="b">
        <v>0</v>
      </c>
      <c r="H85">
        <v>0</v>
      </c>
      <c r="I85">
        <v>0</v>
      </c>
      <c r="J85">
        <v>0</v>
      </c>
      <c r="K85">
        <v>60.5</v>
      </c>
      <c r="L85" t="s">
        <v>234</v>
      </c>
      <c r="N85">
        <v>2</v>
      </c>
      <c r="O85">
        <v>0</v>
      </c>
      <c r="P85">
        <v>19.2</v>
      </c>
      <c r="Q85">
        <f>K85</f>
        <v>60.5</v>
      </c>
      <c r="R85" s="1">
        <f>SUM(S85:Z85)</f>
        <v>60.48</v>
      </c>
      <c r="S85" s="1">
        <f>IF($AB85=TRUE,D85*S$2,D85*S$1)</f>
        <v>0</v>
      </c>
      <c r="T85" s="1">
        <f>IF($AB85=TRUE,E85*T$2,E85*T$1)</f>
        <v>25</v>
      </c>
      <c r="U85" s="1">
        <f>IF($AB85=TRUE,F85*U$2,F85*U$1)</f>
        <v>33</v>
      </c>
      <c r="V85" s="1">
        <f>IF($AB85=TRUE,J85*V$2,J85*V$1)</f>
        <v>0</v>
      </c>
      <c r="W85" s="1">
        <f>IF($AB85=TRUE,P85*W$2/100,P85*W$1/100)</f>
        <v>0.48</v>
      </c>
      <c r="X85" s="1">
        <f>IF($AB85=TRUE,I85*X$2,I85*X$1)</f>
        <v>0</v>
      </c>
      <c r="Y85" s="1">
        <f>IF($AB85=TRUE,N85*Y$2,N85*Y$1)</f>
        <v>2</v>
      </c>
      <c r="Z85" s="1">
        <f>IF($AB85=TRUE,-H85*Z$2,-H85*Z$1)</f>
        <v>0</v>
      </c>
      <c r="AA85" s="2">
        <f>Q85-R85</f>
        <v>2.0000000000003126E-2</v>
      </c>
      <c r="AB85" s="1" t="b">
        <f>IF(G85=TRUE,IF(LEN(A85)&lt;5,TRUE,FALSE),FALSE)</f>
        <v>0</v>
      </c>
    </row>
    <row r="86" spans="1:28" hidden="1" x14ac:dyDescent="0.3">
      <c r="A86" t="s">
        <v>18</v>
      </c>
      <c r="B86" t="s">
        <v>235</v>
      </c>
      <c r="C86" t="s">
        <v>236</v>
      </c>
      <c r="D86">
        <v>0</v>
      </c>
      <c r="E86">
        <v>62.5</v>
      </c>
      <c r="F86">
        <v>11.8</v>
      </c>
      <c r="G86" t="b">
        <v>0</v>
      </c>
      <c r="H86">
        <v>0</v>
      </c>
      <c r="I86">
        <v>0</v>
      </c>
      <c r="J86">
        <v>0</v>
      </c>
      <c r="K86">
        <v>60.4</v>
      </c>
      <c r="N86">
        <v>0</v>
      </c>
      <c r="O86">
        <v>0</v>
      </c>
      <c r="P86">
        <v>0</v>
      </c>
      <c r="Q86">
        <f>K86</f>
        <v>60.4</v>
      </c>
      <c r="R86" s="1">
        <f>SUM(S86:Z86)</f>
        <v>60.400000000000006</v>
      </c>
      <c r="S86" s="1">
        <f>IF($AB86=TRUE,D86*S$2,D86*S$1)</f>
        <v>0</v>
      </c>
      <c r="T86" s="1">
        <f>IF($AB86=TRUE,E86*T$2,E86*T$1)</f>
        <v>25</v>
      </c>
      <c r="U86" s="1">
        <f>IF($AB86=TRUE,F86*U$2,F86*U$1)</f>
        <v>35.400000000000006</v>
      </c>
      <c r="V86" s="1">
        <f>IF($AB86=TRUE,J86*V$2,J86*V$1)</f>
        <v>0</v>
      </c>
      <c r="W86" s="1">
        <f>IF($AB86=TRUE,P86*W$2/100,P86*W$1/100)</f>
        <v>0</v>
      </c>
      <c r="X86" s="1">
        <f>IF($AB86=TRUE,I86*X$2,I86*X$1)</f>
        <v>0</v>
      </c>
      <c r="Y86" s="1">
        <f>IF($AB86=TRUE,N86*Y$2,N86*Y$1)</f>
        <v>0</v>
      </c>
      <c r="Z86" s="1">
        <f>IF($AB86=TRUE,-H86*Z$2,-H86*Z$1)</f>
        <v>0</v>
      </c>
      <c r="AA86" s="2">
        <f>Q86-R86</f>
        <v>0</v>
      </c>
      <c r="AB86" s="1" t="b">
        <f>IF(G86=TRUE,IF(LEN(A86)&lt;5,TRUE,FALSE),FALSE)</f>
        <v>0</v>
      </c>
    </row>
    <row r="87" spans="1:28" hidden="1" x14ac:dyDescent="0.3">
      <c r="A87" t="s">
        <v>18</v>
      </c>
      <c r="B87" t="s">
        <v>237</v>
      </c>
      <c r="C87" t="s">
        <v>238</v>
      </c>
      <c r="D87">
        <v>0</v>
      </c>
      <c r="E87">
        <v>55.6</v>
      </c>
      <c r="F87">
        <v>12.3</v>
      </c>
      <c r="G87" t="b">
        <v>0</v>
      </c>
      <c r="H87">
        <v>0</v>
      </c>
      <c r="I87">
        <v>0</v>
      </c>
      <c r="J87">
        <v>0</v>
      </c>
      <c r="K87">
        <v>60.3</v>
      </c>
      <c r="L87" t="s">
        <v>239</v>
      </c>
      <c r="N87">
        <v>1</v>
      </c>
      <c r="O87">
        <v>0</v>
      </c>
      <c r="P87">
        <v>7.4</v>
      </c>
      <c r="Q87">
        <f>K87</f>
        <v>60.3</v>
      </c>
      <c r="R87" s="1">
        <f>SUM(S87:Z87)</f>
        <v>60.32500000000001</v>
      </c>
      <c r="S87" s="1">
        <f>IF($AB87=TRUE,D87*S$2,D87*S$1)</f>
        <v>0</v>
      </c>
      <c r="T87" s="1">
        <f>IF($AB87=TRUE,E87*T$2,E87*T$1)</f>
        <v>22.240000000000002</v>
      </c>
      <c r="U87" s="1">
        <f>IF($AB87=TRUE,F87*U$2,F87*U$1)</f>
        <v>36.900000000000006</v>
      </c>
      <c r="V87" s="1">
        <f>IF($AB87=TRUE,J87*V$2,J87*V$1)</f>
        <v>0</v>
      </c>
      <c r="W87" s="1">
        <f>IF($AB87=TRUE,P87*W$2/100,P87*W$1/100)</f>
        <v>0.185</v>
      </c>
      <c r="X87" s="1">
        <f>IF($AB87=TRUE,I87*X$2,I87*X$1)</f>
        <v>0</v>
      </c>
      <c r="Y87" s="1">
        <f>IF($AB87=TRUE,N87*Y$2,N87*Y$1)</f>
        <v>1</v>
      </c>
      <c r="Z87" s="1">
        <f>IF($AB87=TRUE,-H87*Z$2,-H87*Z$1)</f>
        <v>0</v>
      </c>
      <c r="AA87" s="2">
        <f>Q87-R87</f>
        <v>-2.500000000001279E-2</v>
      </c>
      <c r="AB87" s="1" t="b">
        <f>IF(G87=TRUE,IF(LEN(A87)&lt;5,TRUE,FALSE),FALSE)</f>
        <v>0</v>
      </c>
    </row>
    <row r="88" spans="1:28" hidden="1" x14ac:dyDescent="0.3">
      <c r="A88" t="s">
        <v>40</v>
      </c>
      <c r="B88" t="s">
        <v>240</v>
      </c>
      <c r="C88" t="s">
        <v>241</v>
      </c>
      <c r="D88">
        <v>0</v>
      </c>
      <c r="E88">
        <v>21.4</v>
      </c>
      <c r="F88">
        <v>16.600000000000001</v>
      </c>
      <c r="G88" t="b">
        <v>0</v>
      </c>
      <c r="H88">
        <v>0</v>
      </c>
      <c r="I88">
        <v>0</v>
      </c>
      <c r="J88">
        <v>0</v>
      </c>
      <c r="K88">
        <v>60.2</v>
      </c>
      <c r="L88" t="s">
        <v>242</v>
      </c>
      <c r="N88">
        <v>1</v>
      </c>
      <c r="O88">
        <v>0</v>
      </c>
      <c r="P88">
        <v>27.2</v>
      </c>
      <c r="Q88">
        <f>K88</f>
        <v>60.2</v>
      </c>
      <c r="R88" s="1">
        <f>SUM(S88:Z88)</f>
        <v>60.040000000000006</v>
      </c>
      <c r="S88" s="1">
        <f>IF($AB88=TRUE,D88*S$2,D88*S$1)</f>
        <v>0</v>
      </c>
      <c r="T88" s="1">
        <f>IF($AB88=TRUE,E88*T$2,E88*T$1)</f>
        <v>8.56</v>
      </c>
      <c r="U88" s="1">
        <f>IF($AB88=TRUE,F88*U$2,F88*U$1)</f>
        <v>49.800000000000004</v>
      </c>
      <c r="V88" s="1">
        <f>IF($AB88=TRUE,J88*V$2,J88*V$1)</f>
        <v>0</v>
      </c>
      <c r="W88" s="1">
        <f>IF($AB88=TRUE,P88*W$2/100,P88*W$1/100)</f>
        <v>0.68</v>
      </c>
      <c r="X88" s="1">
        <f>IF($AB88=TRUE,I88*X$2,I88*X$1)</f>
        <v>0</v>
      </c>
      <c r="Y88" s="1">
        <f>IF($AB88=TRUE,N88*Y$2,N88*Y$1)</f>
        <v>1</v>
      </c>
      <c r="Z88" s="1">
        <f>IF($AB88=TRUE,-H88*Z$2,-H88*Z$1)</f>
        <v>0</v>
      </c>
      <c r="AA88" s="2">
        <f>Q88-R88</f>
        <v>0.15999999999999659</v>
      </c>
      <c r="AB88" s="1" t="b">
        <f>IF(G88=TRUE,IF(LEN(A88)&lt;5,TRUE,FALSE),FALSE)</f>
        <v>0</v>
      </c>
    </row>
    <row r="89" spans="1:28" hidden="1" x14ac:dyDescent="0.3">
      <c r="A89" t="s">
        <v>40</v>
      </c>
      <c r="B89" t="s">
        <v>243</v>
      </c>
      <c r="C89" t="s">
        <v>244</v>
      </c>
      <c r="D89">
        <v>0</v>
      </c>
      <c r="E89">
        <v>21.4</v>
      </c>
      <c r="F89">
        <v>16.2</v>
      </c>
      <c r="G89" t="b">
        <v>0</v>
      </c>
      <c r="H89">
        <v>0</v>
      </c>
      <c r="I89">
        <v>0</v>
      </c>
      <c r="J89">
        <v>0</v>
      </c>
      <c r="K89">
        <v>60.2</v>
      </c>
      <c r="L89" t="s">
        <v>245</v>
      </c>
      <c r="N89">
        <v>2</v>
      </c>
      <c r="O89">
        <v>0</v>
      </c>
      <c r="P89">
        <v>40.700000000000003</v>
      </c>
      <c r="Q89">
        <f>K89</f>
        <v>60.2</v>
      </c>
      <c r="R89" s="1">
        <f>SUM(S89:Z89)</f>
        <v>60.177499999999995</v>
      </c>
      <c r="S89" s="1">
        <f>IF($AB89=TRUE,D89*S$2,D89*S$1)</f>
        <v>0</v>
      </c>
      <c r="T89" s="1">
        <f>IF($AB89=TRUE,E89*T$2,E89*T$1)</f>
        <v>8.56</v>
      </c>
      <c r="U89" s="1">
        <f>IF($AB89=TRUE,F89*U$2,F89*U$1)</f>
        <v>48.599999999999994</v>
      </c>
      <c r="V89" s="1">
        <f>IF($AB89=TRUE,J89*V$2,J89*V$1)</f>
        <v>0</v>
      </c>
      <c r="W89" s="1">
        <f>IF($AB89=TRUE,P89*W$2/100,P89*W$1/100)</f>
        <v>1.0175000000000001</v>
      </c>
      <c r="X89" s="1">
        <f>IF($AB89=TRUE,I89*X$2,I89*X$1)</f>
        <v>0</v>
      </c>
      <c r="Y89" s="1">
        <f>IF($AB89=TRUE,N89*Y$2,N89*Y$1)</f>
        <v>2</v>
      </c>
      <c r="Z89" s="1">
        <f>IF($AB89=TRUE,-H89*Z$2,-H89*Z$1)</f>
        <v>0</v>
      </c>
      <c r="AA89" s="2">
        <f>Q89-R89</f>
        <v>2.2500000000007958E-2</v>
      </c>
      <c r="AB89" s="1" t="b">
        <f>IF(G89=TRUE,IF(LEN(A89)&lt;5,TRUE,FALSE),FALSE)</f>
        <v>0</v>
      </c>
    </row>
    <row r="90" spans="1:28" hidden="1" x14ac:dyDescent="0.3">
      <c r="A90" t="s">
        <v>18</v>
      </c>
      <c r="B90" t="s">
        <v>246</v>
      </c>
      <c r="C90" t="s">
        <v>247</v>
      </c>
      <c r="D90">
        <v>0</v>
      </c>
      <c r="E90">
        <v>75</v>
      </c>
      <c r="F90">
        <v>8.6999999999999993</v>
      </c>
      <c r="G90" t="b">
        <v>0</v>
      </c>
      <c r="H90">
        <v>0</v>
      </c>
      <c r="I90">
        <v>0</v>
      </c>
      <c r="J90">
        <v>0</v>
      </c>
      <c r="K90">
        <v>60.1</v>
      </c>
      <c r="L90" t="s">
        <v>248</v>
      </c>
      <c r="N90">
        <v>3</v>
      </c>
      <c r="O90">
        <v>0</v>
      </c>
      <c r="P90">
        <v>38.5</v>
      </c>
      <c r="Q90">
        <f>K90</f>
        <v>60.1</v>
      </c>
      <c r="R90" s="1">
        <f>SUM(S90:Z90)</f>
        <v>60.062499999999993</v>
      </c>
      <c r="S90" s="1">
        <f>IF($AB90=TRUE,D90*S$2,D90*S$1)</f>
        <v>0</v>
      </c>
      <c r="T90" s="1">
        <f>IF($AB90=TRUE,E90*T$2,E90*T$1)</f>
        <v>30</v>
      </c>
      <c r="U90" s="1">
        <f>IF($AB90=TRUE,F90*U$2,F90*U$1)</f>
        <v>26.099999999999998</v>
      </c>
      <c r="V90" s="1">
        <f>IF($AB90=TRUE,J90*V$2,J90*V$1)</f>
        <v>0</v>
      </c>
      <c r="W90" s="1">
        <f>IF($AB90=TRUE,P90*W$2/100,P90*W$1/100)</f>
        <v>0.96250000000000002</v>
      </c>
      <c r="X90" s="1">
        <f>IF($AB90=TRUE,I90*X$2,I90*X$1)</f>
        <v>0</v>
      </c>
      <c r="Y90" s="1">
        <f>IF($AB90=TRUE,N90*Y$2,N90*Y$1)</f>
        <v>3</v>
      </c>
      <c r="Z90" s="1">
        <f>IF($AB90=TRUE,-H90*Z$2,-H90*Z$1)</f>
        <v>0</v>
      </c>
      <c r="AA90" s="2">
        <f>Q90-R90</f>
        <v>3.7500000000008527E-2</v>
      </c>
      <c r="AB90" s="1" t="b">
        <f>IF(G90=TRUE,IF(LEN(A90)&lt;5,TRUE,FALSE),FALSE)</f>
        <v>0</v>
      </c>
    </row>
    <row r="91" spans="1:28" hidden="1" x14ac:dyDescent="0.3">
      <c r="A91" t="s">
        <v>18</v>
      </c>
      <c r="B91" t="s">
        <v>249</v>
      </c>
      <c r="C91" t="s">
        <v>250</v>
      </c>
      <c r="D91">
        <v>0</v>
      </c>
      <c r="E91">
        <v>76.900000000000006</v>
      </c>
      <c r="F91">
        <v>9.1999999999999993</v>
      </c>
      <c r="G91" t="b">
        <v>0</v>
      </c>
      <c r="H91">
        <v>0</v>
      </c>
      <c r="I91">
        <v>0</v>
      </c>
      <c r="J91">
        <v>0</v>
      </c>
      <c r="K91">
        <v>60.1</v>
      </c>
      <c r="L91" t="s">
        <v>251</v>
      </c>
      <c r="N91">
        <v>1</v>
      </c>
      <c r="O91">
        <v>0</v>
      </c>
      <c r="P91">
        <v>25</v>
      </c>
      <c r="Q91">
        <f>K91</f>
        <v>60.1</v>
      </c>
      <c r="R91" s="1">
        <f>SUM(S91:Z91)</f>
        <v>59.984999999999999</v>
      </c>
      <c r="S91" s="1">
        <f>IF($AB91=TRUE,D91*S$2,D91*S$1)</f>
        <v>0</v>
      </c>
      <c r="T91" s="1">
        <f>IF($AB91=TRUE,E91*T$2,E91*T$1)</f>
        <v>30.760000000000005</v>
      </c>
      <c r="U91" s="1">
        <f>IF($AB91=TRUE,F91*U$2,F91*U$1)</f>
        <v>27.599999999999998</v>
      </c>
      <c r="V91" s="1">
        <f>IF($AB91=TRUE,J91*V$2,J91*V$1)</f>
        <v>0</v>
      </c>
      <c r="W91" s="1">
        <f>IF($AB91=TRUE,P91*W$2/100,P91*W$1/100)</f>
        <v>0.625</v>
      </c>
      <c r="X91" s="1">
        <f>IF($AB91=TRUE,I91*X$2,I91*X$1)</f>
        <v>0</v>
      </c>
      <c r="Y91" s="1">
        <f>IF($AB91=TRUE,N91*Y$2,N91*Y$1)</f>
        <v>1</v>
      </c>
      <c r="Z91" s="1">
        <f>IF($AB91=TRUE,-H91*Z$2,-H91*Z$1)</f>
        <v>0</v>
      </c>
      <c r="AA91" s="2">
        <f>Q91-R91</f>
        <v>0.11500000000000199</v>
      </c>
      <c r="AB91" s="1" t="b">
        <f>IF(G91=TRUE,IF(LEN(A91)&lt;5,TRUE,FALSE),FALSE)</f>
        <v>0</v>
      </c>
    </row>
    <row r="92" spans="1:28" hidden="1" x14ac:dyDescent="0.3">
      <c r="A92" t="s">
        <v>40</v>
      </c>
      <c r="B92" t="s">
        <v>252</v>
      </c>
      <c r="C92" t="s">
        <v>253</v>
      </c>
      <c r="D92">
        <v>0</v>
      </c>
      <c r="E92">
        <v>24</v>
      </c>
      <c r="F92">
        <v>16.100000000000001</v>
      </c>
      <c r="G92" t="b">
        <v>0</v>
      </c>
      <c r="H92">
        <v>0</v>
      </c>
      <c r="I92">
        <v>0</v>
      </c>
      <c r="J92">
        <v>0</v>
      </c>
      <c r="K92">
        <v>60</v>
      </c>
      <c r="L92" t="s">
        <v>156</v>
      </c>
      <c r="N92">
        <v>1</v>
      </c>
      <c r="O92">
        <v>0</v>
      </c>
      <c r="P92">
        <v>38</v>
      </c>
      <c r="Q92">
        <f>K92</f>
        <v>60</v>
      </c>
      <c r="R92" s="1">
        <f>SUM(S92:Z92)</f>
        <v>59.850000000000009</v>
      </c>
      <c r="S92" s="1">
        <f>IF($AB92=TRUE,D92*S$2,D92*S$1)</f>
        <v>0</v>
      </c>
      <c r="T92" s="1">
        <f>IF($AB92=TRUE,E92*T$2,E92*T$1)</f>
        <v>9.6000000000000014</v>
      </c>
      <c r="U92" s="1">
        <f>IF($AB92=TRUE,F92*U$2,F92*U$1)</f>
        <v>48.300000000000004</v>
      </c>
      <c r="V92" s="1">
        <f>IF($AB92=TRUE,J92*V$2,J92*V$1)</f>
        <v>0</v>
      </c>
      <c r="W92" s="1">
        <f>IF($AB92=TRUE,P92*W$2/100,P92*W$1/100)</f>
        <v>0.95</v>
      </c>
      <c r="X92" s="1">
        <f>IF($AB92=TRUE,I92*X$2,I92*X$1)</f>
        <v>0</v>
      </c>
      <c r="Y92" s="1">
        <f>IF($AB92=TRUE,N92*Y$2,N92*Y$1)</f>
        <v>1</v>
      </c>
      <c r="Z92" s="1">
        <f>IF($AB92=TRUE,-H92*Z$2,-H92*Z$1)</f>
        <v>0</v>
      </c>
      <c r="AA92" s="2">
        <f>Q92-R92</f>
        <v>0.14999999999999147</v>
      </c>
      <c r="AB92" s="1" t="b">
        <f>IF(G92=TRUE,IF(LEN(A92)&lt;5,TRUE,FALSE),FALSE)</f>
        <v>0</v>
      </c>
    </row>
    <row r="93" spans="1:28" hidden="1" x14ac:dyDescent="0.3">
      <c r="A93" t="s">
        <v>40</v>
      </c>
      <c r="B93" t="s">
        <v>208</v>
      </c>
      <c r="C93" t="s">
        <v>209</v>
      </c>
      <c r="D93">
        <v>0</v>
      </c>
      <c r="E93">
        <v>37.5</v>
      </c>
      <c r="F93">
        <v>15</v>
      </c>
      <c r="G93" t="b">
        <v>0</v>
      </c>
      <c r="H93">
        <v>0</v>
      </c>
      <c r="I93">
        <v>0</v>
      </c>
      <c r="J93">
        <v>0</v>
      </c>
      <c r="K93">
        <v>60</v>
      </c>
      <c r="N93">
        <v>0</v>
      </c>
      <c r="O93">
        <v>0</v>
      </c>
      <c r="P93">
        <v>0</v>
      </c>
      <c r="Q93">
        <f>K93</f>
        <v>60</v>
      </c>
      <c r="R93" s="1">
        <f>SUM(S93:Z93)</f>
        <v>60</v>
      </c>
      <c r="S93" s="1">
        <f>IF($AB93=TRUE,D93*S$2,D93*S$1)</f>
        <v>0</v>
      </c>
      <c r="T93" s="1">
        <f>IF($AB93=TRUE,E93*T$2,E93*T$1)</f>
        <v>15</v>
      </c>
      <c r="U93" s="1">
        <f>IF($AB93=TRUE,F93*U$2,F93*U$1)</f>
        <v>45</v>
      </c>
      <c r="V93" s="1">
        <f>IF($AB93=TRUE,J93*V$2,J93*V$1)</f>
        <v>0</v>
      </c>
      <c r="W93" s="1">
        <f>IF($AB93=TRUE,P93*W$2/100,P93*W$1/100)</f>
        <v>0</v>
      </c>
      <c r="X93" s="1">
        <f>IF($AB93=TRUE,I93*X$2,I93*X$1)</f>
        <v>0</v>
      </c>
      <c r="Y93" s="1">
        <f>IF($AB93=TRUE,N93*Y$2,N93*Y$1)</f>
        <v>0</v>
      </c>
      <c r="Z93" s="1">
        <f>IF($AB93=TRUE,-H93*Z$2,-H93*Z$1)</f>
        <v>0</v>
      </c>
      <c r="AA93" s="2">
        <f>Q93-R93</f>
        <v>0</v>
      </c>
      <c r="AB93" s="1" t="b">
        <f>IF(G93=TRUE,IF(LEN(A93)&lt;5,TRUE,FALSE),FALSE)</f>
        <v>0</v>
      </c>
    </row>
    <row r="94" spans="1:28" hidden="1" x14ac:dyDescent="0.3">
      <c r="A94" t="s">
        <v>18</v>
      </c>
      <c r="B94" t="s">
        <v>254</v>
      </c>
      <c r="C94" t="s">
        <v>255</v>
      </c>
      <c r="D94">
        <v>0</v>
      </c>
      <c r="E94">
        <v>58.8</v>
      </c>
      <c r="F94">
        <v>12.2</v>
      </c>
      <c r="G94" t="b">
        <v>0</v>
      </c>
      <c r="H94">
        <v>0</v>
      </c>
      <c r="I94">
        <v>0</v>
      </c>
      <c r="J94">
        <v>0</v>
      </c>
      <c r="K94">
        <v>60</v>
      </c>
      <c r="N94">
        <v>0</v>
      </c>
      <c r="O94">
        <v>0</v>
      </c>
      <c r="P94">
        <v>0</v>
      </c>
      <c r="Q94">
        <f>K94</f>
        <v>60</v>
      </c>
      <c r="R94" s="1">
        <f>SUM(S94:Z94)</f>
        <v>60.11999999999999</v>
      </c>
      <c r="S94" s="1">
        <f>IF($AB94=TRUE,D94*S$2,D94*S$1)</f>
        <v>0</v>
      </c>
      <c r="T94" s="1">
        <f>IF($AB94=TRUE,E94*T$2,E94*T$1)</f>
        <v>23.52</v>
      </c>
      <c r="U94" s="1">
        <f>IF($AB94=TRUE,F94*U$2,F94*U$1)</f>
        <v>36.599999999999994</v>
      </c>
      <c r="V94" s="1">
        <f>IF($AB94=TRUE,J94*V$2,J94*V$1)</f>
        <v>0</v>
      </c>
      <c r="W94" s="1">
        <f>IF($AB94=TRUE,P94*W$2/100,P94*W$1/100)</f>
        <v>0</v>
      </c>
      <c r="X94" s="1">
        <f>IF($AB94=TRUE,I94*X$2,I94*X$1)</f>
        <v>0</v>
      </c>
      <c r="Y94" s="1">
        <f>IF($AB94=TRUE,N94*Y$2,N94*Y$1)</f>
        <v>0</v>
      </c>
      <c r="Z94" s="1">
        <f>IF($AB94=TRUE,-H94*Z$2,-H94*Z$1)</f>
        <v>0</v>
      </c>
      <c r="AA94" s="2">
        <f>Q94-R94</f>
        <v>-0.11999999999999034</v>
      </c>
      <c r="AB94" s="1" t="b">
        <f>IF(G94=TRUE,IF(LEN(A94)&lt;5,TRUE,FALSE),FALSE)</f>
        <v>0</v>
      </c>
    </row>
    <row r="95" spans="1:28" hidden="1" x14ac:dyDescent="0.3">
      <c r="A95" t="s">
        <v>18</v>
      </c>
      <c r="B95" t="s">
        <v>210</v>
      </c>
      <c r="C95" t="s">
        <v>20</v>
      </c>
      <c r="D95">
        <v>0.5</v>
      </c>
      <c r="E95">
        <v>90.9</v>
      </c>
      <c r="F95">
        <v>6.7</v>
      </c>
      <c r="G95" t="b">
        <v>0</v>
      </c>
      <c r="H95">
        <v>0</v>
      </c>
      <c r="I95">
        <v>1</v>
      </c>
      <c r="J95">
        <v>0</v>
      </c>
      <c r="K95">
        <v>60</v>
      </c>
      <c r="L95" t="s">
        <v>211</v>
      </c>
      <c r="N95">
        <v>1</v>
      </c>
      <c r="O95">
        <v>0</v>
      </c>
      <c r="P95">
        <v>23.4</v>
      </c>
      <c r="Q95">
        <f>K95</f>
        <v>60</v>
      </c>
      <c r="R95" s="1">
        <f>SUM(S95:Z95)</f>
        <v>60.045000000000009</v>
      </c>
      <c r="S95" s="1">
        <f>IF($AB95=TRUE,D95*S$2,D95*S$1)</f>
        <v>1</v>
      </c>
      <c r="T95" s="1">
        <f>IF($AB95=TRUE,E95*T$2,E95*T$1)</f>
        <v>36.360000000000007</v>
      </c>
      <c r="U95" s="1">
        <f>IF($AB95=TRUE,F95*U$2,F95*U$1)</f>
        <v>20.100000000000001</v>
      </c>
      <c r="V95" s="1">
        <f>IF($AB95=TRUE,J95*V$2,J95*V$1)</f>
        <v>0</v>
      </c>
      <c r="W95" s="1">
        <f>IF($AB95=TRUE,P95*W$2/100,P95*W$1/100)</f>
        <v>0.58499999999999996</v>
      </c>
      <c r="X95" s="1">
        <f>IF($AB95=TRUE,I95*X$2,I95*X$1)</f>
        <v>1</v>
      </c>
      <c r="Y95" s="1">
        <f>IF($AB95=TRUE,N95*Y$2,N95*Y$1)</f>
        <v>1</v>
      </c>
      <c r="Z95" s="1">
        <f>IF($AB95=TRUE,-H95*Z$2,-H95*Z$1)</f>
        <v>0</v>
      </c>
      <c r="AA95" s="2">
        <f>Q95-R95</f>
        <v>-4.5000000000008811E-2</v>
      </c>
      <c r="AB95" s="1" t="b">
        <f>IF(G95=TRUE,IF(LEN(A95)&lt;5,TRUE,FALSE),FALSE)</f>
        <v>0</v>
      </c>
    </row>
    <row r="96" spans="1:28" hidden="1" x14ac:dyDescent="0.3">
      <c r="A96" t="s">
        <v>40</v>
      </c>
      <c r="B96" t="s">
        <v>258</v>
      </c>
      <c r="C96" t="s">
        <v>259</v>
      </c>
      <c r="D96">
        <v>0</v>
      </c>
      <c r="E96">
        <v>28.6</v>
      </c>
      <c r="F96">
        <v>15.6</v>
      </c>
      <c r="G96" t="b">
        <v>0</v>
      </c>
      <c r="H96">
        <v>0</v>
      </c>
      <c r="I96">
        <v>0</v>
      </c>
      <c r="J96">
        <v>0</v>
      </c>
      <c r="K96">
        <v>59.9</v>
      </c>
      <c r="L96" t="s">
        <v>260</v>
      </c>
      <c r="N96">
        <v>1</v>
      </c>
      <c r="O96">
        <v>0</v>
      </c>
      <c r="P96">
        <v>22</v>
      </c>
      <c r="Q96">
        <f>K96</f>
        <v>59.9</v>
      </c>
      <c r="R96" s="1">
        <f>SUM(S96:Z96)</f>
        <v>59.789999999999992</v>
      </c>
      <c r="S96" s="1">
        <f>IF($AB96=TRUE,D96*S$2,D96*S$1)</f>
        <v>0</v>
      </c>
      <c r="T96" s="1">
        <f>IF($AB96=TRUE,E96*T$2,E96*T$1)</f>
        <v>11.440000000000001</v>
      </c>
      <c r="U96" s="1">
        <f>IF($AB96=TRUE,F96*U$2,F96*U$1)</f>
        <v>46.8</v>
      </c>
      <c r="V96" s="1">
        <f>IF($AB96=TRUE,J96*V$2,J96*V$1)</f>
        <v>0</v>
      </c>
      <c r="W96" s="1">
        <f>IF($AB96=TRUE,P96*W$2/100,P96*W$1/100)</f>
        <v>0.55000000000000004</v>
      </c>
      <c r="X96" s="1">
        <f>IF($AB96=TRUE,I96*X$2,I96*X$1)</f>
        <v>0</v>
      </c>
      <c r="Y96" s="1">
        <f>IF($AB96=TRUE,N96*Y$2,N96*Y$1)</f>
        <v>1</v>
      </c>
      <c r="Z96" s="1">
        <f>IF($AB96=TRUE,-H96*Z$2,-H96*Z$1)</f>
        <v>0</v>
      </c>
      <c r="AA96" s="2">
        <f>Q96-R96</f>
        <v>0.11000000000000654</v>
      </c>
      <c r="AB96" s="1" t="b">
        <f>IF(G96=TRUE,IF(LEN(A96)&lt;5,TRUE,FALSE),FALSE)</f>
        <v>0</v>
      </c>
    </row>
    <row r="97" spans="1:28" hidden="1" x14ac:dyDescent="0.3">
      <c r="A97" t="s">
        <v>25</v>
      </c>
      <c r="B97" t="s">
        <v>261</v>
      </c>
      <c r="C97" t="s">
        <v>262</v>
      </c>
      <c r="D97">
        <v>3.6</v>
      </c>
      <c r="E97">
        <v>69.2</v>
      </c>
      <c r="F97">
        <v>8.1999999999999993</v>
      </c>
      <c r="G97" t="b">
        <v>0</v>
      </c>
      <c r="H97">
        <v>0</v>
      </c>
      <c r="I97">
        <v>0</v>
      </c>
      <c r="J97">
        <v>0</v>
      </c>
      <c r="K97">
        <v>59.7</v>
      </c>
      <c r="N97">
        <v>0</v>
      </c>
      <c r="O97">
        <v>0</v>
      </c>
      <c r="P97">
        <v>0</v>
      </c>
      <c r="Q97">
        <f>K97</f>
        <v>59.7</v>
      </c>
      <c r="R97" s="1">
        <f>SUM(S97:Z97)</f>
        <v>59.480000000000004</v>
      </c>
      <c r="S97" s="1">
        <f>IF($AB97=TRUE,D97*S$2,D97*S$1)</f>
        <v>7.2</v>
      </c>
      <c r="T97" s="1">
        <f>IF($AB97=TRUE,E97*T$2,E97*T$1)</f>
        <v>27.680000000000003</v>
      </c>
      <c r="U97" s="1">
        <f>IF($AB97=TRUE,F97*U$2,F97*U$1)</f>
        <v>24.599999999999998</v>
      </c>
      <c r="V97" s="1">
        <f>IF($AB97=TRUE,J97*V$2,J97*V$1)</f>
        <v>0</v>
      </c>
      <c r="W97" s="1">
        <f>IF($AB97=TRUE,P97*W$2/100,P97*W$1/100)</f>
        <v>0</v>
      </c>
      <c r="X97" s="1">
        <f>IF($AB97=TRUE,I97*X$2,I97*X$1)</f>
        <v>0</v>
      </c>
      <c r="Y97" s="1">
        <f>IF($AB97=TRUE,N97*Y$2,N97*Y$1)</f>
        <v>0</v>
      </c>
      <c r="Z97" s="1">
        <f>IF($AB97=TRUE,-H97*Z$2,-H97*Z$1)</f>
        <v>0</v>
      </c>
      <c r="AA97" s="2">
        <f>Q97-R97</f>
        <v>0.21999999999999886</v>
      </c>
      <c r="AB97" s="1" t="b">
        <f>IF(G97=TRUE,IF(LEN(A97)&lt;5,TRUE,FALSE),FALSE)</f>
        <v>0</v>
      </c>
    </row>
    <row r="98" spans="1:28" hidden="1" x14ac:dyDescent="0.3">
      <c r="A98" t="s">
        <v>18</v>
      </c>
      <c r="B98" t="s">
        <v>188</v>
      </c>
      <c r="C98" t="s">
        <v>18</v>
      </c>
      <c r="D98">
        <v>0</v>
      </c>
      <c r="E98">
        <v>100</v>
      </c>
      <c r="F98">
        <v>5.7</v>
      </c>
      <c r="G98" t="b">
        <v>0</v>
      </c>
      <c r="H98">
        <v>0</v>
      </c>
      <c r="I98">
        <v>1</v>
      </c>
      <c r="J98">
        <v>0</v>
      </c>
      <c r="K98">
        <v>59.6</v>
      </c>
      <c r="L98" t="s">
        <v>51</v>
      </c>
      <c r="N98">
        <v>1</v>
      </c>
      <c r="O98">
        <v>0</v>
      </c>
      <c r="P98">
        <v>16.399999999999999</v>
      </c>
      <c r="Q98">
        <f>K98</f>
        <v>59.6</v>
      </c>
      <c r="R98" s="1">
        <f>SUM(S98:Z98)</f>
        <v>59.51</v>
      </c>
      <c r="S98" s="1">
        <f>IF($AB98=TRUE,D98*S$2,D98*S$1)</f>
        <v>0</v>
      </c>
      <c r="T98" s="1">
        <f>IF($AB98=TRUE,E98*T$2,E98*T$1)</f>
        <v>40</v>
      </c>
      <c r="U98" s="1">
        <f>IF($AB98=TRUE,F98*U$2,F98*U$1)</f>
        <v>17.100000000000001</v>
      </c>
      <c r="V98" s="1">
        <f>IF($AB98=TRUE,J98*V$2,J98*V$1)</f>
        <v>0</v>
      </c>
      <c r="W98" s="1">
        <f>IF($AB98=TRUE,P98*W$2/100,P98*W$1/100)</f>
        <v>0.41</v>
      </c>
      <c r="X98" s="1">
        <f>IF($AB98=TRUE,I98*X$2,I98*X$1)</f>
        <v>1</v>
      </c>
      <c r="Y98" s="1">
        <f>IF($AB98=TRUE,N98*Y$2,N98*Y$1)</f>
        <v>1</v>
      </c>
      <c r="Z98" s="1">
        <f>IF($AB98=TRUE,-H98*Z$2,-H98*Z$1)</f>
        <v>0</v>
      </c>
      <c r="AA98" s="2">
        <f>Q98-R98</f>
        <v>9.0000000000003411E-2</v>
      </c>
      <c r="AB98" s="1" t="b">
        <f>IF(G98=TRUE,IF(LEN(A98)&lt;5,TRUE,FALSE),FALSE)</f>
        <v>0</v>
      </c>
    </row>
    <row r="99" spans="1:28" hidden="1" x14ac:dyDescent="0.3">
      <c r="A99" t="s">
        <v>18</v>
      </c>
      <c r="B99" t="s">
        <v>215</v>
      </c>
      <c r="C99" t="s">
        <v>216</v>
      </c>
      <c r="D99">
        <v>0</v>
      </c>
      <c r="E99">
        <v>62.5</v>
      </c>
      <c r="F99">
        <v>11</v>
      </c>
      <c r="G99" t="b">
        <v>0</v>
      </c>
      <c r="H99">
        <v>0</v>
      </c>
      <c r="I99">
        <v>0</v>
      </c>
      <c r="J99">
        <v>0</v>
      </c>
      <c r="K99">
        <v>59.4</v>
      </c>
      <c r="L99" t="s">
        <v>217</v>
      </c>
      <c r="N99">
        <v>1</v>
      </c>
      <c r="O99">
        <v>0</v>
      </c>
      <c r="P99">
        <v>13.6</v>
      </c>
      <c r="Q99">
        <f>K99</f>
        <v>59.4</v>
      </c>
      <c r="R99" s="1">
        <f>SUM(S99:Z99)</f>
        <v>59.34</v>
      </c>
      <c r="S99" s="1">
        <f>IF($AB99=TRUE,D99*S$2,D99*S$1)</f>
        <v>0</v>
      </c>
      <c r="T99" s="1">
        <f>IF($AB99=TRUE,E99*T$2,E99*T$1)</f>
        <v>25</v>
      </c>
      <c r="U99" s="1">
        <f>IF($AB99=TRUE,F99*U$2,F99*U$1)</f>
        <v>33</v>
      </c>
      <c r="V99" s="1">
        <f>IF($AB99=TRUE,J99*V$2,J99*V$1)</f>
        <v>0</v>
      </c>
      <c r="W99" s="1">
        <f>IF($AB99=TRUE,P99*W$2/100,P99*W$1/100)</f>
        <v>0.34</v>
      </c>
      <c r="X99" s="1">
        <f>IF($AB99=TRUE,I99*X$2,I99*X$1)</f>
        <v>0</v>
      </c>
      <c r="Y99" s="1">
        <f>IF($AB99=TRUE,N99*Y$2,N99*Y$1)</f>
        <v>1</v>
      </c>
      <c r="Z99" s="1">
        <f>IF($AB99=TRUE,-H99*Z$2,-H99*Z$1)</f>
        <v>0</v>
      </c>
      <c r="AA99" s="2">
        <f>Q99-R99</f>
        <v>5.9999999999995168E-2</v>
      </c>
      <c r="AB99" s="1" t="b">
        <f>IF(G99=TRUE,IF(LEN(A99)&lt;5,TRUE,FALSE),FALSE)</f>
        <v>0</v>
      </c>
    </row>
    <row r="100" spans="1:28" hidden="1" x14ac:dyDescent="0.3">
      <c r="A100" t="s">
        <v>18</v>
      </c>
      <c r="B100" t="s">
        <v>271</v>
      </c>
      <c r="C100" t="s">
        <v>272</v>
      </c>
      <c r="D100">
        <v>0.5</v>
      </c>
      <c r="E100">
        <v>66.7</v>
      </c>
      <c r="F100">
        <v>9.3000000000000007</v>
      </c>
      <c r="G100" t="b">
        <v>0</v>
      </c>
      <c r="H100">
        <v>0</v>
      </c>
      <c r="I100">
        <v>0</v>
      </c>
      <c r="J100">
        <v>0</v>
      </c>
      <c r="K100">
        <v>58.1</v>
      </c>
      <c r="L100" t="s">
        <v>273</v>
      </c>
      <c r="M100" t="s">
        <v>274</v>
      </c>
      <c r="N100">
        <v>2</v>
      </c>
      <c r="O100">
        <v>1</v>
      </c>
      <c r="P100">
        <v>20.9</v>
      </c>
      <c r="Q100">
        <f>K100</f>
        <v>58.1</v>
      </c>
      <c r="R100" s="1">
        <f>SUM(S100:Z100)</f>
        <v>58.102500000000006</v>
      </c>
      <c r="S100" s="1">
        <f>IF($AB100=TRUE,D100*S$2,D100*S$1)</f>
        <v>1</v>
      </c>
      <c r="T100" s="1">
        <f>IF($AB100=TRUE,E100*T$2,E100*T$1)</f>
        <v>26.680000000000003</v>
      </c>
      <c r="U100" s="1">
        <f>IF($AB100=TRUE,F100*U$2,F100*U$1)</f>
        <v>27.900000000000002</v>
      </c>
      <c r="V100" s="1">
        <f>IF($AB100=TRUE,J100*V$2,J100*V$1)</f>
        <v>0</v>
      </c>
      <c r="W100" s="1">
        <f>IF($AB100=TRUE,P100*W$2/100,P100*W$1/100)</f>
        <v>0.52249999999999996</v>
      </c>
      <c r="X100" s="1">
        <f>IF($AB100=TRUE,I100*X$2,I100*X$1)</f>
        <v>0</v>
      </c>
      <c r="Y100" s="1">
        <f>IF($AB100=TRUE,N100*Y$2,N100*Y$1)</f>
        <v>2</v>
      </c>
      <c r="Z100" s="1">
        <f>IF($AB100=TRUE,-H100*Z$2,-H100*Z$1)</f>
        <v>0</v>
      </c>
      <c r="AA100" s="2">
        <f>Q100-R100</f>
        <v>-2.5000000000048317E-3</v>
      </c>
      <c r="AB100" s="1" t="b">
        <f>IF(G100=TRUE,IF(LEN(A100)&lt;5,TRUE,FALSE),FALSE)</f>
        <v>0</v>
      </c>
    </row>
    <row r="101" spans="1:28" hidden="1" x14ac:dyDescent="0.3">
      <c r="A101" t="s">
        <v>40</v>
      </c>
      <c r="B101" t="s">
        <v>275</v>
      </c>
      <c r="C101" t="s">
        <v>276</v>
      </c>
      <c r="D101">
        <v>0</v>
      </c>
      <c r="E101">
        <v>20.7</v>
      </c>
      <c r="F101">
        <v>14.5</v>
      </c>
      <c r="G101" t="b">
        <v>0</v>
      </c>
      <c r="H101">
        <v>0</v>
      </c>
      <c r="I101">
        <v>0</v>
      </c>
      <c r="J101">
        <v>0</v>
      </c>
      <c r="K101">
        <v>58</v>
      </c>
      <c r="L101" t="s">
        <v>277</v>
      </c>
      <c r="N101">
        <v>5</v>
      </c>
      <c r="O101">
        <v>0</v>
      </c>
      <c r="P101">
        <v>45.4</v>
      </c>
      <c r="Q101">
        <f>K101</f>
        <v>58</v>
      </c>
      <c r="R101" s="1">
        <f>SUM(S101:Z101)</f>
        <v>57.914999999999999</v>
      </c>
      <c r="S101" s="1">
        <f>IF($AB101=TRUE,D101*S$2,D101*S$1)</f>
        <v>0</v>
      </c>
      <c r="T101" s="1">
        <f>IF($AB101=TRUE,E101*T$2,E101*T$1)</f>
        <v>8.2799999999999994</v>
      </c>
      <c r="U101" s="1">
        <f>IF($AB101=TRUE,F101*U$2,F101*U$1)</f>
        <v>43.5</v>
      </c>
      <c r="V101" s="1">
        <f>IF($AB101=TRUE,J101*V$2,J101*V$1)</f>
        <v>0</v>
      </c>
      <c r="W101" s="1">
        <f>IF($AB101=TRUE,P101*W$2/100,P101*W$1/100)</f>
        <v>1.135</v>
      </c>
      <c r="X101" s="1">
        <f>IF($AB101=TRUE,I101*X$2,I101*X$1)</f>
        <v>0</v>
      </c>
      <c r="Y101" s="1">
        <f>IF($AB101=TRUE,N101*Y$2,N101*Y$1)</f>
        <v>5</v>
      </c>
      <c r="Z101" s="1">
        <f>IF($AB101=TRUE,-H101*Z$2,-H101*Z$1)</f>
        <v>0</v>
      </c>
      <c r="AA101" s="2">
        <f>Q101-R101</f>
        <v>8.5000000000000853E-2</v>
      </c>
      <c r="AB101" s="1" t="b">
        <f>IF(G101=TRUE,IF(LEN(A101)&lt;5,TRUE,FALSE),FALSE)</f>
        <v>0</v>
      </c>
    </row>
    <row r="102" spans="1:28" hidden="1" x14ac:dyDescent="0.3">
      <c r="A102" t="s">
        <v>25</v>
      </c>
      <c r="B102" t="s">
        <v>278</v>
      </c>
      <c r="C102" t="s">
        <v>279</v>
      </c>
      <c r="D102">
        <v>1.8</v>
      </c>
      <c r="E102">
        <v>52.9</v>
      </c>
      <c r="F102">
        <v>10.9</v>
      </c>
      <c r="G102" t="b">
        <v>0</v>
      </c>
      <c r="H102">
        <v>0</v>
      </c>
      <c r="I102">
        <v>0</v>
      </c>
      <c r="J102">
        <v>0</v>
      </c>
      <c r="K102">
        <v>57.5</v>
      </c>
      <c r="N102">
        <v>0</v>
      </c>
      <c r="O102">
        <v>0</v>
      </c>
      <c r="P102">
        <v>0</v>
      </c>
      <c r="Q102">
        <f>K102</f>
        <v>57.5</v>
      </c>
      <c r="R102" s="1">
        <f>SUM(S102:Z102)</f>
        <v>57.460000000000008</v>
      </c>
      <c r="S102" s="1">
        <f>IF($AB102=TRUE,D102*S$2,D102*S$1)</f>
        <v>3.6</v>
      </c>
      <c r="T102" s="1">
        <f>IF($AB102=TRUE,E102*T$2,E102*T$1)</f>
        <v>21.16</v>
      </c>
      <c r="U102" s="1">
        <f>IF($AB102=TRUE,F102*U$2,F102*U$1)</f>
        <v>32.700000000000003</v>
      </c>
      <c r="V102" s="1">
        <f>IF($AB102=TRUE,J102*V$2,J102*V$1)</f>
        <v>0</v>
      </c>
      <c r="W102" s="1">
        <f>IF($AB102=TRUE,P102*W$2/100,P102*W$1/100)</f>
        <v>0</v>
      </c>
      <c r="X102" s="1">
        <f>IF($AB102=TRUE,I102*X$2,I102*X$1)</f>
        <v>0</v>
      </c>
      <c r="Y102" s="1">
        <f>IF($AB102=TRUE,N102*Y$2,N102*Y$1)</f>
        <v>0</v>
      </c>
      <c r="Z102" s="1">
        <f>IF($AB102=TRUE,-H102*Z$2,-H102*Z$1)</f>
        <v>0</v>
      </c>
      <c r="AA102" s="2">
        <f>Q102-R102</f>
        <v>3.9999999999992042E-2</v>
      </c>
      <c r="AB102" s="1" t="b">
        <f>IF(G102=TRUE,IF(LEN(A102)&lt;5,TRUE,FALSE),FALSE)</f>
        <v>0</v>
      </c>
    </row>
    <row r="103" spans="1:28" hidden="1" x14ac:dyDescent="0.3">
      <c r="A103" t="s">
        <v>18</v>
      </c>
      <c r="B103" t="s">
        <v>280</v>
      </c>
      <c r="C103" t="s">
        <v>281</v>
      </c>
      <c r="D103">
        <v>0.5</v>
      </c>
      <c r="E103">
        <v>46.2</v>
      </c>
      <c r="F103">
        <v>12.1</v>
      </c>
      <c r="G103" t="b">
        <v>0</v>
      </c>
      <c r="H103">
        <v>0</v>
      </c>
      <c r="I103">
        <v>0</v>
      </c>
      <c r="J103">
        <v>0</v>
      </c>
      <c r="K103">
        <v>57.4</v>
      </c>
      <c r="L103" t="s">
        <v>282</v>
      </c>
      <c r="N103">
        <v>1</v>
      </c>
      <c r="O103">
        <v>0</v>
      </c>
      <c r="P103">
        <v>27.3</v>
      </c>
      <c r="Q103">
        <f>K103</f>
        <v>57.4</v>
      </c>
      <c r="R103" s="1">
        <f>SUM(S103:Z103)</f>
        <v>57.462499999999999</v>
      </c>
      <c r="S103" s="1">
        <f>IF($AB103=TRUE,D103*S$2,D103*S$1)</f>
        <v>1</v>
      </c>
      <c r="T103" s="1">
        <f>IF($AB103=TRUE,E103*T$2,E103*T$1)</f>
        <v>18.48</v>
      </c>
      <c r="U103" s="1">
        <f>IF($AB103=TRUE,F103*U$2,F103*U$1)</f>
        <v>36.299999999999997</v>
      </c>
      <c r="V103" s="1">
        <f>IF($AB103=TRUE,J103*V$2,J103*V$1)</f>
        <v>0</v>
      </c>
      <c r="W103" s="1">
        <f>IF($AB103=TRUE,P103*W$2/100,P103*W$1/100)</f>
        <v>0.6825</v>
      </c>
      <c r="X103" s="1">
        <f>IF($AB103=TRUE,I103*X$2,I103*X$1)</f>
        <v>0</v>
      </c>
      <c r="Y103" s="1">
        <f>IF($AB103=TRUE,N103*Y$2,N103*Y$1)</f>
        <v>1</v>
      </c>
      <c r="Z103" s="1">
        <f>IF($AB103=TRUE,-H103*Z$2,-H103*Z$1)</f>
        <v>0</v>
      </c>
      <c r="AA103" s="2">
        <f>Q103-R103</f>
        <v>-6.25E-2</v>
      </c>
      <c r="AB103" s="1" t="b">
        <f>IF(G103=TRUE,IF(LEN(A103)&lt;5,TRUE,FALSE),FALSE)</f>
        <v>0</v>
      </c>
    </row>
    <row r="104" spans="1:28" hidden="1" x14ac:dyDescent="0.3">
      <c r="A104" t="s">
        <v>40</v>
      </c>
      <c r="B104" t="s">
        <v>286</v>
      </c>
      <c r="C104" t="s">
        <v>287</v>
      </c>
      <c r="D104">
        <v>0</v>
      </c>
      <c r="E104">
        <v>25</v>
      </c>
      <c r="F104">
        <v>15.3</v>
      </c>
      <c r="G104" t="b">
        <v>0</v>
      </c>
      <c r="H104">
        <v>0</v>
      </c>
      <c r="I104">
        <v>0</v>
      </c>
      <c r="J104">
        <v>0</v>
      </c>
      <c r="K104">
        <v>57.3</v>
      </c>
      <c r="L104" t="s">
        <v>288</v>
      </c>
      <c r="N104">
        <v>1</v>
      </c>
      <c r="O104">
        <v>0</v>
      </c>
      <c r="P104">
        <v>15.2</v>
      </c>
      <c r="Q104">
        <f>K104</f>
        <v>57.3</v>
      </c>
      <c r="R104" s="1">
        <f>SUM(S104:Z104)</f>
        <v>57.280000000000008</v>
      </c>
      <c r="S104" s="1">
        <f>IF($AB104=TRUE,D104*S$2,D104*S$1)</f>
        <v>0</v>
      </c>
      <c r="T104" s="1">
        <f>IF($AB104=TRUE,E104*T$2,E104*T$1)</f>
        <v>10</v>
      </c>
      <c r="U104" s="1">
        <f>IF($AB104=TRUE,F104*U$2,F104*U$1)</f>
        <v>45.900000000000006</v>
      </c>
      <c r="V104" s="1">
        <f>IF($AB104=TRUE,J104*V$2,J104*V$1)</f>
        <v>0</v>
      </c>
      <c r="W104" s="1">
        <f>IF($AB104=TRUE,P104*W$2/100,P104*W$1/100)</f>
        <v>0.38</v>
      </c>
      <c r="X104" s="1">
        <f>IF($AB104=TRUE,I104*X$2,I104*X$1)</f>
        <v>0</v>
      </c>
      <c r="Y104" s="1">
        <f>IF($AB104=TRUE,N104*Y$2,N104*Y$1)</f>
        <v>1</v>
      </c>
      <c r="Z104" s="1">
        <f>IF($AB104=TRUE,-H104*Z$2,-H104*Z$1)</f>
        <v>0</v>
      </c>
      <c r="AA104" s="2">
        <f>Q104-R104</f>
        <v>1.9999999999988916E-2</v>
      </c>
      <c r="AB104" s="1" t="b">
        <f>IF(G104=TRUE,IF(LEN(A104)&lt;5,TRUE,FALSE),FALSE)</f>
        <v>0</v>
      </c>
    </row>
    <row r="105" spans="1:28" hidden="1" x14ac:dyDescent="0.3">
      <c r="A105" t="s">
        <v>40</v>
      </c>
      <c r="B105" t="s">
        <v>292</v>
      </c>
      <c r="C105" t="s">
        <v>293</v>
      </c>
      <c r="D105">
        <v>0</v>
      </c>
      <c r="E105">
        <v>17.600000000000001</v>
      </c>
      <c r="F105">
        <v>15.7</v>
      </c>
      <c r="G105" t="b">
        <v>0</v>
      </c>
      <c r="H105">
        <v>0</v>
      </c>
      <c r="I105">
        <v>0</v>
      </c>
      <c r="J105">
        <v>0</v>
      </c>
      <c r="K105">
        <v>57.2</v>
      </c>
      <c r="L105" t="s">
        <v>294</v>
      </c>
      <c r="N105">
        <v>2</v>
      </c>
      <c r="O105">
        <v>0</v>
      </c>
      <c r="P105">
        <v>38.299999999999997</v>
      </c>
      <c r="Q105">
        <f>K105</f>
        <v>57.2</v>
      </c>
      <c r="R105" s="1">
        <f>SUM(S105:Z105)</f>
        <v>57.097499999999997</v>
      </c>
      <c r="S105" s="1">
        <f>IF($AB105=TRUE,D105*S$2,D105*S$1)</f>
        <v>0</v>
      </c>
      <c r="T105" s="1">
        <f>IF($AB105=TRUE,E105*T$2,E105*T$1)</f>
        <v>7.0400000000000009</v>
      </c>
      <c r="U105" s="1">
        <f>IF($AB105=TRUE,F105*U$2,F105*U$1)</f>
        <v>47.099999999999994</v>
      </c>
      <c r="V105" s="1">
        <f>IF($AB105=TRUE,J105*V$2,J105*V$1)</f>
        <v>0</v>
      </c>
      <c r="W105" s="1">
        <f>IF($AB105=TRUE,P105*W$2/100,P105*W$1/100)</f>
        <v>0.95750000000000002</v>
      </c>
      <c r="X105" s="1">
        <f>IF($AB105=TRUE,I105*X$2,I105*X$1)</f>
        <v>0</v>
      </c>
      <c r="Y105" s="1">
        <f>IF($AB105=TRUE,N105*Y$2,N105*Y$1)</f>
        <v>2</v>
      </c>
      <c r="Z105" s="1">
        <f>IF($AB105=TRUE,-H105*Z$2,-H105*Z$1)</f>
        <v>0</v>
      </c>
      <c r="AA105" s="2">
        <f>Q105-R105</f>
        <v>0.10250000000000625</v>
      </c>
      <c r="AB105" s="1" t="b">
        <f>IF(G105=TRUE,IF(LEN(A105)&lt;5,TRUE,FALSE),FALSE)</f>
        <v>0</v>
      </c>
    </row>
    <row r="106" spans="1:28" hidden="1" x14ac:dyDescent="0.3">
      <c r="A106" t="s">
        <v>18</v>
      </c>
      <c r="B106" t="s">
        <v>295</v>
      </c>
      <c r="C106" t="s">
        <v>296</v>
      </c>
      <c r="D106">
        <v>0.5</v>
      </c>
      <c r="E106">
        <v>50</v>
      </c>
      <c r="F106">
        <v>11.6</v>
      </c>
      <c r="G106" t="b">
        <v>0</v>
      </c>
      <c r="H106">
        <v>0</v>
      </c>
      <c r="I106">
        <v>0</v>
      </c>
      <c r="J106">
        <v>0</v>
      </c>
      <c r="K106">
        <v>57.2</v>
      </c>
      <c r="L106" t="s">
        <v>164</v>
      </c>
      <c r="N106">
        <v>1</v>
      </c>
      <c r="O106">
        <v>0</v>
      </c>
      <c r="P106">
        <v>16.100000000000001</v>
      </c>
      <c r="Q106">
        <f>K106</f>
        <v>57.2</v>
      </c>
      <c r="R106" s="1">
        <f>SUM(S106:Z106)</f>
        <v>57.202500000000001</v>
      </c>
      <c r="S106" s="1">
        <f>IF($AB106=TRUE,D106*S$2,D106*S$1)</f>
        <v>1</v>
      </c>
      <c r="T106" s="1">
        <f>IF($AB106=TRUE,E106*T$2,E106*T$1)</f>
        <v>20</v>
      </c>
      <c r="U106" s="1">
        <f>IF($AB106=TRUE,F106*U$2,F106*U$1)</f>
        <v>34.799999999999997</v>
      </c>
      <c r="V106" s="1">
        <f>IF($AB106=TRUE,J106*V$2,J106*V$1)</f>
        <v>0</v>
      </c>
      <c r="W106" s="1">
        <f>IF($AB106=TRUE,P106*W$2/100,P106*W$1/100)</f>
        <v>0.40250000000000002</v>
      </c>
      <c r="X106" s="1">
        <f>IF($AB106=TRUE,I106*X$2,I106*X$1)</f>
        <v>0</v>
      </c>
      <c r="Y106" s="1">
        <f>IF($AB106=TRUE,N106*Y$2,N106*Y$1)</f>
        <v>1</v>
      </c>
      <c r="Z106" s="1">
        <f>IF($AB106=TRUE,-H106*Z$2,-H106*Z$1)</f>
        <v>0</v>
      </c>
      <c r="AA106" s="2">
        <f>Q106-R106</f>
        <v>-2.4999999999977263E-3</v>
      </c>
      <c r="AB106" s="1" t="b">
        <f>IF(G106=TRUE,IF(LEN(A106)&lt;5,TRUE,FALSE),FALSE)</f>
        <v>0</v>
      </c>
    </row>
    <row r="107" spans="1:28" hidden="1" x14ac:dyDescent="0.3">
      <c r="A107" t="s">
        <v>25</v>
      </c>
      <c r="B107" t="s">
        <v>297</v>
      </c>
      <c r="C107" t="s">
        <v>298</v>
      </c>
      <c r="D107">
        <v>1.8</v>
      </c>
      <c r="E107">
        <v>56.2</v>
      </c>
      <c r="F107">
        <v>9.8000000000000007</v>
      </c>
      <c r="G107" t="b">
        <v>0</v>
      </c>
      <c r="H107">
        <v>0</v>
      </c>
      <c r="I107">
        <v>0</v>
      </c>
      <c r="J107">
        <v>0</v>
      </c>
      <c r="K107">
        <v>57.1</v>
      </c>
      <c r="L107" t="s">
        <v>51</v>
      </c>
      <c r="N107">
        <v>1</v>
      </c>
      <c r="O107">
        <v>0</v>
      </c>
      <c r="P107">
        <v>27.3</v>
      </c>
      <c r="Q107">
        <f>K107</f>
        <v>57.1</v>
      </c>
      <c r="R107" s="1">
        <f>SUM(S107:Z107)</f>
        <v>57.162500000000001</v>
      </c>
      <c r="S107" s="1">
        <f>IF($AB107=TRUE,D107*S$2,D107*S$1)</f>
        <v>3.6</v>
      </c>
      <c r="T107" s="1">
        <f>IF($AB107=TRUE,E107*T$2,E107*T$1)</f>
        <v>22.480000000000004</v>
      </c>
      <c r="U107" s="1">
        <f>IF($AB107=TRUE,F107*U$2,F107*U$1)</f>
        <v>29.400000000000002</v>
      </c>
      <c r="V107" s="1">
        <f>IF($AB107=TRUE,J107*V$2,J107*V$1)</f>
        <v>0</v>
      </c>
      <c r="W107" s="1">
        <f>IF($AB107=TRUE,P107*W$2/100,P107*W$1/100)</f>
        <v>0.6825</v>
      </c>
      <c r="X107" s="1">
        <f>IF($AB107=TRUE,I107*X$2,I107*X$1)</f>
        <v>0</v>
      </c>
      <c r="Y107" s="1">
        <f>IF($AB107=TRUE,N107*Y$2,N107*Y$1)</f>
        <v>1</v>
      </c>
      <c r="Z107" s="1">
        <f>IF($AB107=TRUE,-H107*Z$2,-H107*Z$1)</f>
        <v>0</v>
      </c>
      <c r="AA107" s="2">
        <f>Q107-R107</f>
        <v>-6.25E-2</v>
      </c>
      <c r="AB107" s="1" t="b">
        <f>IF(G107=TRUE,IF(LEN(A107)&lt;5,TRUE,FALSE),FALSE)</f>
        <v>0</v>
      </c>
    </row>
    <row r="108" spans="1:28" hidden="1" x14ac:dyDescent="0.3">
      <c r="A108" t="s">
        <v>40</v>
      </c>
      <c r="B108" t="s">
        <v>299</v>
      </c>
      <c r="C108" t="s">
        <v>300</v>
      </c>
      <c r="D108">
        <v>0</v>
      </c>
      <c r="E108">
        <v>18.8</v>
      </c>
      <c r="F108">
        <v>16.100000000000001</v>
      </c>
      <c r="G108" t="b">
        <v>0</v>
      </c>
      <c r="H108">
        <v>0</v>
      </c>
      <c r="I108">
        <v>0</v>
      </c>
      <c r="J108">
        <v>0</v>
      </c>
      <c r="K108">
        <v>57.1</v>
      </c>
      <c r="L108" t="s">
        <v>301</v>
      </c>
      <c r="N108">
        <v>1</v>
      </c>
      <c r="O108">
        <v>0</v>
      </c>
      <c r="P108">
        <v>11.5</v>
      </c>
      <c r="Q108">
        <f>K108</f>
        <v>57.1</v>
      </c>
      <c r="R108" s="1">
        <f>SUM(S108:Z108)</f>
        <v>57.107500000000009</v>
      </c>
      <c r="S108" s="1">
        <f>IF($AB108=TRUE,D108*S$2,D108*S$1)</f>
        <v>0</v>
      </c>
      <c r="T108" s="1">
        <f>IF($AB108=TRUE,E108*T$2,E108*T$1)</f>
        <v>7.5200000000000005</v>
      </c>
      <c r="U108" s="1">
        <f>IF($AB108=TRUE,F108*U$2,F108*U$1)</f>
        <v>48.300000000000004</v>
      </c>
      <c r="V108" s="1">
        <f>IF($AB108=TRUE,J108*V$2,J108*V$1)</f>
        <v>0</v>
      </c>
      <c r="W108" s="1">
        <f>IF($AB108=TRUE,P108*W$2/100,P108*W$1/100)</f>
        <v>0.28749999999999998</v>
      </c>
      <c r="X108" s="1">
        <f>IF($AB108=TRUE,I108*X$2,I108*X$1)</f>
        <v>0</v>
      </c>
      <c r="Y108" s="1">
        <f>IF($AB108=TRUE,N108*Y$2,N108*Y$1)</f>
        <v>1</v>
      </c>
      <c r="Z108" s="1">
        <f>IF($AB108=TRUE,-H108*Z$2,-H108*Z$1)</f>
        <v>0</v>
      </c>
      <c r="AA108" s="2">
        <f>Q108-R108</f>
        <v>-7.5000000000073896E-3</v>
      </c>
      <c r="AB108" s="1" t="b">
        <f>IF(G108=TRUE,IF(LEN(A108)&lt;5,TRUE,FALSE),FALSE)</f>
        <v>0</v>
      </c>
    </row>
    <row r="109" spans="1:28" hidden="1" x14ac:dyDescent="0.3">
      <c r="A109" t="s">
        <v>18</v>
      </c>
      <c r="B109" t="s">
        <v>256</v>
      </c>
      <c r="C109" t="s">
        <v>152</v>
      </c>
      <c r="D109">
        <v>0</v>
      </c>
      <c r="E109">
        <v>83.3</v>
      </c>
      <c r="F109">
        <v>7</v>
      </c>
      <c r="G109" t="b">
        <v>0</v>
      </c>
      <c r="H109">
        <v>0</v>
      </c>
      <c r="I109">
        <v>0</v>
      </c>
      <c r="J109">
        <v>0</v>
      </c>
      <c r="K109">
        <v>57</v>
      </c>
      <c r="L109" t="s">
        <v>257</v>
      </c>
      <c r="N109">
        <v>2</v>
      </c>
      <c r="O109">
        <v>0</v>
      </c>
      <c r="P109">
        <v>22.3</v>
      </c>
      <c r="Q109">
        <f>K109</f>
        <v>57</v>
      </c>
      <c r="R109" s="1">
        <f>SUM(S109:Z109)</f>
        <v>56.877499999999998</v>
      </c>
      <c r="S109" s="1">
        <f>IF($AB109=TRUE,D109*S$2,D109*S$1)</f>
        <v>0</v>
      </c>
      <c r="T109" s="1">
        <f>IF($AB109=TRUE,E109*T$2,E109*T$1)</f>
        <v>33.32</v>
      </c>
      <c r="U109" s="1">
        <f>IF($AB109=TRUE,F109*U$2,F109*U$1)</f>
        <v>21</v>
      </c>
      <c r="V109" s="1">
        <f>IF($AB109=TRUE,J109*V$2,J109*V$1)</f>
        <v>0</v>
      </c>
      <c r="W109" s="1">
        <f>IF($AB109=TRUE,P109*W$2/100,P109*W$1/100)</f>
        <v>0.5575</v>
      </c>
      <c r="X109" s="1">
        <f>IF($AB109=TRUE,I109*X$2,I109*X$1)</f>
        <v>0</v>
      </c>
      <c r="Y109" s="1">
        <f>IF($AB109=TRUE,N109*Y$2,N109*Y$1)</f>
        <v>2</v>
      </c>
      <c r="Z109" s="1">
        <f>IF($AB109=TRUE,-H109*Z$2,-H109*Z$1)</f>
        <v>0</v>
      </c>
      <c r="AA109" s="2">
        <f>Q109-R109</f>
        <v>0.12250000000000227</v>
      </c>
      <c r="AB109" s="1" t="b">
        <f>IF(G109=TRUE,IF(LEN(A109)&lt;5,TRUE,FALSE),FALSE)</f>
        <v>0</v>
      </c>
    </row>
    <row r="110" spans="1:28" hidden="1" x14ac:dyDescent="0.3">
      <c r="A110" t="s">
        <v>40</v>
      </c>
      <c r="B110" t="s">
        <v>302</v>
      </c>
      <c r="C110" t="s">
        <v>303</v>
      </c>
      <c r="D110">
        <v>0</v>
      </c>
      <c r="E110">
        <v>18.8</v>
      </c>
      <c r="F110">
        <v>15.5</v>
      </c>
      <c r="G110" t="b">
        <v>0</v>
      </c>
      <c r="H110">
        <v>0</v>
      </c>
      <c r="I110">
        <v>0</v>
      </c>
      <c r="J110">
        <v>0</v>
      </c>
      <c r="K110">
        <v>56.9</v>
      </c>
      <c r="L110" t="s">
        <v>294</v>
      </c>
      <c r="N110">
        <v>2</v>
      </c>
      <c r="O110">
        <v>0</v>
      </c>
      <c r="P110">
        <v>38.299999999999997</v>
      </c>
      <c r="Q110">
        <f>K110</f>
        <v>56.9</v>
      </c>
      <c r="R110" s="1">
        <f>SUM(S110:Z110)</f>
        <v>56.977500000000006</v>
      </c>
      <c r="S110" s="1">
        <f>IF($AB110=TRUE,D110*S$2,D110*S$1)</f>
        <v>0</v>
      </c>
      <c r="T110" s="1">
        <f>IF($AB110=TRUE,E110*T$2,E110*T$1)</f>
        <v>7.5200000000000005</v>
      </c>
      <c r="U110" s="1">
        <f>IF($AB110=TRUE,F110*U$2,F110*U$1)</f>
        <v>46.5</v>
      </c>
      <c r="V110" s="1">
        <f>IF($AB110=TRUE,J110*V$2,J110*V$1)</f>
        <v>0</v>
      </c>
      <c r="W110" s="1">
        <f>IF($AB110=TRUE,P110*W$2/100,P110*W$1/100)</f>
        <v>0.95750000000000002</v>
      </c>
      <c r="X110" s="1">
        <f>IF($AB110=TRUE,I110*X$2,I110*X$1)</f>
        <v>0</v>
      </c>
      <c r="Y110" s="1">
        <f>IF($AB110=TRUE,N110*Y$2,N110*Y$1)</f>
        <v>2</v>
      </c>
      <c r="Z110" s="1">
        <f>IF($AB110=TRUE,-H110*Z$2,-H110*Z$1)</f>
        <v>0</v>
      </c>
      <c r="AA110" s="2">
        <f>Q110-R110</f>
        <v>-7.7500000000007674E-2</v>
      </c>
      <c r="AB110" s="1" t="b">
        <f>IF(G110=TRUE,IF(LEN(A110)&lt;5,TRUE,FALSE),FALSE)</f>
        <v>0</v>
      </c>
    </row>
    <row r="111" spans="1:28" hidden="1" x14ac:dyDescent="0.3">
      <c r="A111" t="s">
        <v>18</v>
      </c>
      <c r="B111" t="s">
        <v>304</v>
      </c>
      <c r="C111" t="s">
        <v>305</v>
      </c>
      <c r="D111">
        <v>0.5</v>
      </c>
      <c r="E111">
        <v>50</v>
      </c>
      <c r="F111">
        <v>11.4</v>
      </c>
      <c r="G111" t="b">
        <v>0</v>
      </c>
      <c r="H111">
        <v>0</v>
      </c>
      <c r="I111">
        <v>0</v>
      </c>
      <c r="J111">
        <v>0</v>
      </c>
      <c r="K111">
        <v>56.8</v>
      </c>
      <c r="L111" t="s">
        <v>164</v>
      </c>
      <c r="N111">
        <v>1</v>
      </c>
      <c r="O111">
        <v>0</v>
      </c>
      <c r="P111">
        <v>16.100000000000001</v>
      </c>
      <c r="Q111">
        <f>K111</f>
        <v>56.8</v>
      </c>
      <c r="R111" s="1">
        <f>SUM(S111:Z111)</f>
        <v>56.602500000000006</v>
      </c>
      <c r="S111" s="1">
        <f>IF($AB111=TRUE,D111*S$2,D111*S$1)</f>
        <v>1</v>
      </c>
      <c r="T111" s="1">
        <f>IF($AB111=TRUE,E111*T$2,E111*T$1)</f>
        <v>20</v>
      </c>
      <c r="U111" s="1">
        <f>IF($AB111=TRUE,F111*U$2,F111*U$1)</f>
        <v>34.200000000000003</v>
      </c>
      <c r="V111" s="1">
        <f>IF($AB111=TRUE,J111*V$2,J111*V$1)</f>
        <v>0</v>
      </c>
      <c r="W111" s="1">
        <f>IF($AB111=TRUE,P111*W$2/100,P111*W$1/100)</f>
        <v>0.40250000000000002</v>
      </c>
      <c r="X111" s="1">
        <f>IF($AB111=TRUE,I111*X$2,I111*X$1)</f>
        <v>0</v>
      </c>
      <c r="Y111" s="1">
        <f>IF($AB111=TRUE,N111*Y$2,N111*Y$1)</f>
        <v>1</v>
      </c>
      <c r="Z111" s="1">
        <f>IF($AB111=TRUE,-H111*Z$2,-H111*Z$1)</f>
        <v>0</v>
      </c>
      <c r="AA111" s="2">
        <f>Q111-R111</f>
        <v>0.19749999999999091</v>
      </c>
      <c r="AB111" s="1" t="b">
        <f>IF(G111=TRUE,IF(LEN(A111)&lt;5,TRUE,FALSE),FALSE)</f>
        <v>0</v>
      </c>
    </row>
    <row r="112" spans="1:28" hidden="1" x14ac:dyDescent="0.3">
      <c r="A112" t="s">
        <v>40</v>
      </c>
      <c r="B112" t="s">
        <v>263</v>
      </c>
      <c r="C112" t="s">
        <v>264</v>
      </c>
      <c r="D112">
        <v>0</v>
      </c>
      <c r="E112">
        <v>75</v>
      </c>
      <c r="F112">
        <v>8.1999999999999993</v>
      </c>
      <c r="G112" t="b">
        <v>0</v>
      </c>
      <c r="H112">
        <v>0</v>
      </c>
      <c r="I112">
        <v>0</v>
      </c>
      <c r="J112">
        <v>0</v>
      </c>
      <c r="K112">
        <v>56.3</v>
      </c>
      <c r="L112" t="s">
        <v>62</v>
      </c>
      <c r="N112">
        <v>1</v>
      </c>
      <c r="O112">
        <v>0</v>
      </c>
      <c r="P112">
        <v>22.1</v>
      </c>
      <c r="Q112">
        <f>K112</f>
        <v>56.3</v>
      </c>
      <c r="R112" s="1">
        <f>SUM(S112:Z112)</f>
        <v>56.152499999999996</v>
      </c>
      <c r="S112" s="1">
        <f>IF($AB112=TRUE,D112*S$2,D112*S$1)</f>
        <v>0</v>
      </c>
      <c r="T112" s="1">
        <f>IF($AB112=TRUE,E112*T$2,E112*T$1)</f>
        <v>30</v>
      </c>
      <c r="U112" s="1">
        <f>IF($AB112=TRUE,F112*U$2,F112*U$1)</f>
        <v>24.599999999999998</v>
      </c>
      <c r="V112" s="1">
        <f>IF($AB112=TRUE,J112*V$2,J112*V$1)</f>
        <v>0</v>
      </c>
      <c r="W112" s="1">
        <f>IF($AB112=TRUE,P112*W$2/100,P112*W$1/100)</f>
        <v>0.55249999999999999</v>
      </c>
      <c r="X112" s="1">
        <f>IF($AB112=TRUE,I112*X$2,I112*X$1)</f>
        <v>0</v>
      </c>
      <c r="Y112" s="1">
        <f>IF($AB112=TRUE,N112*Y$2,N112*Y$1)</f>
        <v>1</v>
      </c>
      <c r="Z112" s="1">
        <f>IF($AB112=TRUE,-H112*Z$2,-H112*Z$1)</f>
        <v>0</v>
      </c>
      <c r="AA112" s="2">
        <f>Q112-R112</f>
        <v>0.14750000000000085</v>
      </c>
      <c r="AB112" s="1" t="b">
        <f>IF(G112=TRUE,IF(LEN(A112)&lt;5,TRUE,FALSE),FALSE)</f>
        <v>0</v>
      </c>
    </row>
    <row r="113" spans="1:28" hidden="1" x14ac:dyDescent="0.3">
      <c r="A113" t="s">
        <v>18</v>
      </c>
      <c r="B113" t="s">
        <v>320</v>
      </c>
      <c r="C113" t="s">
        <v>321</v>
      </c>
      <c r="D113">
        <v>0</v>
      </c>
      <c r="E113">
        <v>60</v>
      </c>
      <c r="F113">
        <v>10.7</v>
      </c>
      <c r="G113" t="b">
        <v>0</v>
      </c>
      <c r="H113">
        <v>0</v>
      </c>
      <c r="I113">
        <v>0</v>
      </c>
      <c r="J113">
        <v>0</v>
      </c>
      <c r="K113">
        <v>56.1</v>
      </c>
      <c r="N113">
        <v>0</v>
      </c>
      <c r="O113">
        <v>0</v>
      </c>
      <c r="P113">
        <v>0</v>
      </c>
      <c r="Q113">
        <f>K113</f>
        <v>56.1</v>
      </c>
      <c r="R113" s="1">
        <f>SUM(S113:Z113)</f>
        <v>56.099999999999994</v>
      </c>
      <c r="S113" s="1">
        <f>IF($AB113=TRUE,D113*S$2,D113*S$1)</f>
        <v>0</v>
      </c>
      <c r="T113" s="1">
        <f>IF($AB113=TRUE,E113*T$2,E113*T$1)</f>
        <v>24</v>
      </c>
      <c r="U113" s="1">
        <f>IF($AB113=TRUE,F113*U$2,F113*U$1)</f>
        <v>32.099999999999994</v>
      </c>
      <c r="V113" s="1">
        <f>IF($AB113=TRUE,J113*V$2,J113*V$1)</f>
        <v>0</v>
      </c>
      <c r="W113" s="1">
        <f>IF($AB113=TRUE,P113*W$2/100,P113*W$1/100)</f>
        <v>0</v>
      </c>
      <c r="X113" s="1">
        <f>IF($AB113=TRUE,I113*X$2,I113*X$1)</f>
        <v>0</v>
      </c>
      <c r="Y113" s="1">
        <f>IF($AB113=TRUE,N113*Y$2,N113*Y$1)</f>
        <v>0</v>
      </c>
      <c r="Z113" s="1">
        <f>IF($AB113=TRUE,-H113*Z$2,-H113*Z$1)</f>
        <v>0</v>
      </c>
      <c r="AA113" s="2">
        <f>Q113-R113</f>
        <v>0</v>
      </c>
      <c r="AB113" s="1" t="b">
        <f>IF(G113=TRUE,IF(LEN(A113)&lt;5,TRUE,FALSE),FALSE)</f>
        <v>0</v>
      </c>
    </row>
    <row r="114" spans="1:28" hidden="1" x14ac:dyDescent="0.3">
      <c r="A114" t="s">
        <v>18</v>
      </c>
      <c r="B114" t="s">
        <v>266</v>
      </c>
      <c r="C114" t="s">
        <v>267</v>
      </c>
      <c r="D114">
        <v>0</v>
      </c>
      <c r="E114">
        <v>71.400000000000006</v>
      </c>
      <c r="F114">
        <v>8.1999999999999993</v>
      </c>
      <c r="G114" t="b">
        <v>0</v>
      </c>
      <c r="H114">
        <v>0</v>
      </c>
      <c r="I114">
        <v>0</v>
      </c>
      <c r="J114">
        <v>0</v>
      </c>
      <c r="K114">
        <v>56</v>
      </c>
      <c r="L114" t="s">
        <v>268</v>
      </c>
      <c r="N114">
        <v>2</v>
      </c>
      <c r="O114">
        <v>0</v>
      </c>
      <c r="P114">
        <v>30</v>
      </c>
      <c r="Q114">
        <f>K114</f>
        <v>56</v>
      </c>
      <c r="R114" s="1">
        <f>SUM(S114:Z114)</f>
        <v>55.91</v>
      </c>
      <c r="S114" s="1">
        <f>IF($AB114=TRUE,D114*S$2,D114*S$1)</f>
        <v>0</v>
      </c>
      <c r="T114" s="1">
        <f>IF($AB114=TRUE,E114*T$2,E114*T$1)</f>
        <v>28.560000000000002</v>
      </c>
      <c r="U114" s="1">
        <f>IF($AB114=TRUE,F114*U$2,F114*U$1)</f>
        <v>24.599999999999998</v>
      </c>
      <c r="V114" s="1">
        <f>IF($AB114=TRUE,J114*V$2,J114*V$1)</f>
        <v>0</v>
      </c>
      <c r="W114" s="1">
        <f>IF($AB114=TRUE,P114*W$2/100,P114*W$1/100)</f>
        <v>0.75</v>
      </c>
      <c r="X114" s="1">
        <f>IF($AB114=TRUE,I114*X$2,I114*X$1)</f>
        <v>0</v>
      </c>
      <c r="Y114" s="1">
        <f>IF($AB114=TRUE,N114*Y$2,N114*Y$1)</f>
        <v>2</v>
      </c>
      <c r="Z114" s="1">
        <f>IF($AB114=TRUE,-H114*Z$2,-H114*Z$1)</f>
        <v>0</v>
      </c>
      <c r="AA114" s="2">
        <f>Q114-R114</f>
        <v>9.0000000000003411E-2</v>
      </c>
      <c r="AB114" s="1" t="b">
        <f>IF(G114=TRUE,IF(LEN(A114)&lt;5,TRUE,FALSE),FALSE)</f>
        <v>0</v>
      </c>
    </row>
    <row r="115" spans="1:28" hidden="1" x14ac:dyDescent="0.3">
      <c r="A115" t="s">
        <v>40</v>
      </c>
      <c r="B115" t="s">
        <v>326</v>
      </c>
      <c r="C115" t="s">
        <v>327</v>
      </c>
      <c r="D115">
        <v>0</v>
      </c>
      <c r="E115">
        <v>31.6</v>
      </c>
      <c r="F115">
        <v>14.4</v>
      </c>
      <c r="G115" t="b">
        <v>0</v>
      </c>
      <c r="H115">
        <v>0</v>
      </c>
      <c r="I115">
        <v>0</v>
      </c>
      <c r="J115">
        <v>0</v>
      </c>
      <c r="K115">
        <v>55.9</v>
      </c>
      <c r="N115">
        <v>0</v>
      </c>
      <c r="O115">
        <v>0</v>
      </c>
      <c r="P115">
        <v>0</v>
      </c>
      <c r="Q115">
        <f>K115</f>
        <v>55.9</v>
      </c>
      <c r="R115" s="1">
        <f>SUM(S115:Z115)</f>
        <v>55.84</v>
      </c>
      <c r="S115" s="1">
        <f>IF($AB115=TRUE,D115*S$2,D115*S$1)</f>
        <v>0</v>
      </c>
      <c r="T115" s="1">
        <f>IF($AB115=TRUE,E115*T$2,E115*T$1)</f>
        <v>12.64</v>
      </c>
      <c r="U115" s="1">
        <f>IF($AB115=TRUE,F115*U$2,F115*U$1)</f>
        <v>43.2</v>
      </c>
      <c r="V115" s="1">
        <f>IF($AB115=TRUE,J115*V$2,J115*V$1)</f>
        <v>0</v>
      </c>
      <c r="W115" s="1">
        <f>IF($AB115=TRUE,P115*W$2/100,P115*W$1/100)</f>
        <v>0</v>
      </c>
      <c r="X115" s="1">
        <f>IF($AB115=TRUE,I115*X$2,I115*X$1)</f>
        <v>0</v>
      </c>
      <c r="Y115" s="1">
        <f>IF($AB115=TRUE,N115*Y$2,N115*Y$1)</f>
        <v>0</v>
      </c>
      <c r="Z115" s="1">
        <f>IF($AB115=TRUE,-H115*Z$2,-H115*Z$1)</f>
        <v>0</v>
      </c>
      <c r="AA115" s="2">
        <f>Q115-R115</f>
        <v>5.9999999999995168E-2</v>
      </c>
      <c r="AB115" s="1" t="b">
        <f>IF(G115=TRUE,IF(LEN(A115)&lt;5,TRUE,FALSE),FALSE)</f>
        <v>0</v>
      </c>
    </row>
    <row r="116" spans="1:28" hidden="1" x14ac:dyDescent="0.3">
      <c r="A116" t="s">
        <v>40</v>
      </c>
      <c r="B116" t="s">
        <v>330</v>
      </c>
      <c r="C116" t="s">
        <v>331</v>
      </c>
      <c r="D116">
        <v>0</v>
      </c>
      <c r="E116">
        <v>28.6</v>
      </c>
      <c r="F116">
        <v>14.6</v>
      </c>
      <c r="G116" t="b">
        <v>0</v>
      </c>
      <c r="H116">
        <v>0</v>
      </c>
      <c r="I116">
        <v>0</v>
      </c>
      <c r="J116">
        <v>0</v>
      </c>
      <c r="K116">
        <v>55.4</v>
      </c>
      <c r="N116">
        <v>0</v>
      </c>
      <c r="O116">
        <v>0</v>
      </c>
      <c r="P116">
        <v>0</v>
      </c>
      <c r="Q116">
        <f>K116</f>
        <v>55.4</v>
      </c>
      <c r="R116" s="1">
        <f>SUM(S116:Z116)</f>
        <v>55.239999999999995</v>
      </c>
      <c r="S116" s="1">
        <f>IF($AB116=TRUE,D116*S$2,D116*S$1)</f>
        <v>0</v>
      </c>
      <c r="T116" s="1">
        <f>IF($AB116=TRUE,E116*T$2,E116*T$1)</f>
        <v>11.440000000000001</v>
      </c>
      <c r="U116" s="1">
        <f>IF($AB116=TRUE,F116*U$2,F116*U$1)</f>
        <v>43.8</v>
      </c>
      <c r="V116" s="1">
        <f>IF($AB116=TRUE,J116*V$2,J116*V$1)</f>
        <v>0</v>
      </c>
      <c r="W116" s="1">
        <f>IF($AB116=TRUE,P116*W$2/100,P116*W$1/100)</f>
        <v>0</v>
      </c>
      <c r="X116" s="1">
        <f>IF($AB116=TRUE,I116*X$2,I116*X$1)</f>
        <v>0</v>
      </c>
      <c r="Y116" s="1">
        <f>IF($AB116=TRUE,N116*Y$2,N116*Y$1)</f>
        <v>0</v>
      </c>
      <c r="Z116" s="1">
        <f>IF($AB116=TRUE,-H116*Z$2,-H116*Z$1)</f>
        <v>0</v>
      </c>
      <c r="AA116" s="2">
        <f>Q116-R116</f>
        <v>0.16000000000000369</v>
      </c>
      <c r="AB116" s="1" t="b">
        <f>IF(G116=TRUE,IF(LEN(A116)&lt;5,TRUE,FALSE),FALSE)</f>
        <v>0</v>
      </c>
    </row>
    <row r="117" spans="1:28" hidden="1" x14ac:dyDescent="0.3">
      <c r="A117" t="s">
        <v>18</v>
      </c>
      <c r="B117" t="s">
        <v>332</v>
      </c>
      <c r="C117" t="s">
        <v>333</v>
      </c>
      <c r="D117">
        <v>0</v>
      </c>
      <c r="E117">
        <v>75</v>
      </c>
      <c r="F117">
        <v>8</v>
      </c>
      <c r="G117" t="b">
        <v>0</v>
      </c>
      <c r="H117">
        <v>0</v>
      </c>
      <c r="I117">
        <v>0</v>
      </c>
      <c r="J117">
        <v>0</v>
      </c>
      <c r="K117">
        <v>55.4</v>
      </c>
      <c r="L117" t="s">
        <v>334</v>
      </c>
      <c r="N117">
        <v>1</v>
      </c>
      <c r="O117">
        <v>0</v>
      </c>
      <c r="P117">
        <v>18.8</v>
      </c>
      <c r="Q117">
        <f>K117</f>
        <v>55.4</v>
      </c>
      <c r="R117" s="1">
        <f>SUM(S117:Z117)</f>
        <v>55.47</v>
      </c>
      <c r="S117" s="1">
        <f>IF($AB117=TRUE,D117*S$2,D117*S$1)</f>
        <v>0</v>
      </c>
      <c r="T117" s="1">
        <f>IF($AB117=TRUE,E117*T$2,E117*T$1)</f>
        <v>30</v>
      </c>
      <c r="U117" s="1">
        <f>IF($AB117=TRUE,F117*U$2,F117*U$1)</f>
        <v>24</v>
      </c>
      <c r="V117" s="1">
        <f>IF($AB117=TRUE,J117*V$2,J117*V$1)</f>
        <v>0</v>
      </c>
      <c r="W117" s="1">
        <f>IF($AB117=TRUE,P117*W$2/100,P117*W$1/100)</f>
        <v>0.47</v>
      </c>
      <c r="X117" s="1">
        <f>IF($AB117=TRUE,I117*X$2,I117*X$1)</f>
        <v>0</v>
      </c>
      <c r="Y117" s="1">
        <f>IF($AB117=TRUE,N117*Y$2,N117*Y$1)</f>
        <v>1</v>
      </c>
      <c r="Z117" s="1">
        <f>IF($AB117=TRUE,-H117*Z$2,-H117*Z$1)</f>
        <v>0</v>
      </c>
      <c r="AA117" s="2">
        <f>Q117-R117</f>
        <v>-7.0000000000000284E-2</v>
      </c>
      <c r="AB117" s="1" t="b">
        <f>IF(G117=TRUE,IF(LEN(A117)&lt;5,TRUE,FALSE),FALSE)</f>
        <v>0</v>
      </c>
    </row>
    <row r="118" spans="1:28" hidden="1" x14ac:dyDescent="0.3">
      <c r="A118" t="s">
        <v>28</v>
      </c>
      <c r="B118" t="s">
        <v>269</v>
      </c>
      <c r="C118" t="s">
        <v>270</v>
      </c>
      <c r="D118">
        <v>0</v>
      </c>
      <c r="E118">
        <v>85.7</v>
      </c>
      <c r="F118">
        <v>6.5</v>
      </c>
      <c r="G118" t="b">
        <v>0</v>
      </c>
      <c r="H118">
        <v>0</v>
      </c>
      <c r="I118">
        <v>0</v>
      </c>
      <c r="J118">
        <v>0</v>
      </c>
      <c r="K118">
        <v>55.2</v>
      </c>
      <c r="L118" t="s">
        <v>62</v>
      </c>
      <c r="N118">
        <v>1</v>
      </c>
      <c r="O118">
        <v>0</v>
      </c>
      <c r="P118">
        <v>22.6</v>
      </c>
      <c r="Q118">
        <f>K118</f>
        <v>55.2</v>
      </c>
      <c r="R118" s="1">
        <f>SUM(S118:Z118)</f>
        <v>55.344999999999999</v>
      </c>
      <c r="S118" s="1">
        <f>IF($AB118=TRUE,D118*S$2,D118*S$1)</f>
        <v>0</v>
      </c>
      <c r="T118" s="1">
        <f>IF($AB118=TRUE,E118*T$2,E118*T$1)</f>
        <v>34.28</v>
      </c>
      <c r="U118" s="1">
        <f>IF($AB118=TRUE,F118*U$2,F118*U$1)</f>
        <v>19.5</v>
      </c>
      <c r="V118" s="1">
        <f>IF($AB118=TRUE,J118*V$2,J118*V$1)</f>
        <v>0</v>
      </c>
      <c r="W118" s="1">
        <f>IF($AB118=TRUE,P118*W$2/100,P118*W$1/100)</f>
        <v>0.56499999999999995</v>
      </c>
      <c r="X118" s="1">
        <f>IF($AB118=TRUE,I118*X$2,I118*X$1)</f>
        <v>0</v>
      </c>
      <c r="Y118" s="1">
        <f>IF($AB118=TRUE,N118*Y$2,N118*Y$1)</f>
        <v>1</v>
      </c>
      <c r="Z118" s="1">
        <f>IF($AB118=TRUE,-H118*Z$2,-H118*Z$1)</f>
        <v>0</v>
      </c>
      <c r="AA118" s="2">
        <f>Q118-R118</f>
        <v>-0.14499999999999602</v>
      </c>
      <c r="AB118" s="1" t="b">
        <f>IF(G118=TRUE,IF(LEN(A118)&lt;5,TRUE,FALSE),FALSE)</f>
        <v>0</v>
      </c>
    </row>
    <row r="119" spans="1:28" hidden="1" x14ac:dyDescent="0.3">
      <c r="A119" t="s">
        <v>40</v>
      </c>
      <c r="B119" t="s">
        <v>335</v>
      </c>
      <c r="C119" t="s">
        <v>336</v>
      </c>
      <c r="D119">
        <v>0</v>
      </c>
      <c r="E119">
        <v>20.7</v>
      </c>
      <c r="F119">
        <v>15.2</v>
      </c>
      <c r="G119" t="b">
        <v>0</v>
      </c>
      <c r="H119">
        <v>0</v>
      </c>
      <c r="I119">
        <v>0</v>
      </c>
      <c r="J119">
        <v>0</v>
      </c>
      <c r="K119">
        <v>55.1</v>
      </c>
      <c r="L119" t="s">
        <v>301</v>
      </c>
      <c r="N119">
        <v>1</v>
      </c>
      <c r="O119">
        <v>0</v>
      </c>
      <c r="P119">
        <v>11.5</v>
      </c>
      <c r="Q119">
        <f>K119</f>
        <v>55.1</v>
      </c>
      <c r="R119" s="1">
        <f>SUM(S119:Z119)</f>
        <v>55.167499999999997</v>
      </c>
      <c r="S119" s="1">
        <f>IF($AB119=TRUE,D119*S$2,D119*S$1)</f>
        <v>0</v>
      </c>
      <c r="T119" s="1">
        <f>IF($AB119=TRUE,E119*T$2,E119*T$1)</f>
        <v>8.2799999999999994</v>
      </c>
      <c r="U119" s="1">
        <f>IF($AB119=TRUE,F119*U$2,F119*U$1)</f>
        <v>45.599999999999994</v>
      </c>
      <c r="V119" s="1">
        <f>IF($AB119=TRUE,J119*V$2,J119*V$1)</f>
        <v>0</v>
      </c>
      <c r="W119" s="1">
        <f>IF($AB119=TRUE,P119*W$2/100,P119*W$1/100)</f>
        <v>0.28749999999999998</v>
      </c>
      <c r="X119" s="1">
        <f>IF($AB119=TRUE,I119*X$2,I119*X$1)</f>
        <v>0</v>
      </c>
      <c r="Y119" s="1">
        <f>IF($AB119=TRUE,N119*Y$2,N119*Y$1)</f>
        <v>1</v>
      </c>
      <c r="Z119" s="1">
        <f>IF($AB119=TRUE,-H119*Z$2,-H119*Z$1)</f>
        <v>0</v>
      </c>
      <c r="AA119" s="2">
        <f>Q119-R119</f>
        <v>-6.7499999999995453E-2</v>
      </c>
      <c r="AB119" s="1" t="b">
        <f>IF(G119=TRUE,IF(LEN(A119)&lt;5,TRUE,FALSE),FALSE)</f>
        <v>0</v>
      </c>
    </row>
    <row r="120" spans="1:28" hidden="1" x14ac:dyDescent="0.3">
      <c r="A120" t="s">
        <v>40</v>
      </c>
      <c r="B120" t="s">
        <v>339</v>
      </c>
      <c r="C120" t="s">
        <v>340</v>
      </c>
      <c r="D120">
        <v>0</v>
      </c>
      <c r="E120">
        <v>17.600000000000001</v>
      </c>
      <c r="F120">
        <v>15.6</v>
      </c>
      <c r="G120" t="b">
        <v>0</v>
      </c>
      <c r="H120">
        <v>0</v>
      </c>
      <c r="I120">
        <v>0</v>
      </c>
      <c r="J120">
        <v>0</v>
      </c>
      <c r="K120">
        <v>55</v>
      </c>
      <c r="L120" t="s">
        <v>301</v>
      </c>
      <c r="N120">
        <v>1</v>
      </c>
      <c r="O120">
        <v>0</v>
      </c>
      <c r="P120">
        <v>11.5</v>
      </c>
      <c r="Q120">
        <f>K120</f>
        <v>55</v>
      </c>
      <c r="R120" s="1">
        <f>SUM(S120:Z120)</f>
        <v>55.127499999999998</v>
      </c>
      <c r="S120" s="1">
        <f>IF($AB120=TRUE,D120*S$2,D120*S$1)</f>
        <v>0</v>
      </c>
      <c r="T120" s="1">
        <f>IF($AB120=TRUE,E120*T$2,E120*T$1)</f>
        <v>7.0400000000000009</v>
      </c>
      <c r="U120" s="1">
        <f>IF($AB120=TRUE,F120*U$2,F120*U$1)</f>
        <v>46.8</v>
      </c>
      <c r="V120" s="1">
        <f>IF($AB120=TRUE,J120*V$2,J120*V$1)</f>
        <v>0</v>
      </c>
      <c r="W120" s="1">
        <f>IF($AB120=TRUE,P120*W$2/100,P120*W$1/100)</f>
        <v>0.28749999999999998</v>
      </c>
      <c r="X120" s="1">
        <f>IF($AB120=TRUE,I120*X$2,I120*X$1)</f>
        <v>0</v>
      </c>
      <c r="Y120" s="1">
        <f>IF($AB120=TRUE,N120*Y$2,N120*Y$1)</f>
        <v>1</v>
      </c>
      <c r="Z120" s="1">
        <f>IF($AB120=TRUE,-H120*Z$2,-H120*Z$1)</f>
        <v>0</v>
      </c>
      <c r="AA120" s="2">
        <f>Q120-R120</f>
        <v>-0.12749999999999773</v>
      </c>
      <c r="AB120" s="1" t="b">
        <f>IF(G120=TRUE,IF(LEN(A120)&lt;5,TRUE,FALSE),FALSE)</f>
        <v>0</v>
      </c>
    </row>
    <row r="121" spans="1:28" hidden="1" x14ac:dyDescent="0.3">
      <c r="A121" t="s">
        <v>40</v>
      </c>
      <c r="B121" t="s">
        <v>342</v>
      </c>
      <c r="C121" t="s">
        <v>343</v>
      </c>
      <c r="D121">
        <v>0</v>
      </c>
      <c r="E121">
        <v>22.2</v>
      </c>
      <c r="F121">
        <v>14.2</v>
      </c>
      <c r="G121" t="b">
        <v>0</v>
      </c>
      <c r="H121">
        <v>0</v>
      </c>
      <c r="I121">
        <v>0</v>
      </c>
      <c r="J121">
        <v>0</v>
      </c>
      <c r="K121">
        <v>54.5</v>
      </c>
      <c r="L121" t="s">
        <v>245</v>
      </c>
      <c r="N121">
        <v>2</v>
      </c>
      <c r="O121">
        <v>0</v>
      </c>
      <c r="P121">
        <v>40.700000000000003</v>
      </c>
      <c r="Q121">
        <f>K121</f>
        <v>54.5</v>
      </c>
      <c r="R121" s="1">
        <f>SUM(S121:Z121)</f>
        <v>54.497499999999995</v>
      </c>
      <c r="S121" s="1">
        <f>IF($AB121=TRUE,D121*S$2,D121*S$1)</f>
        <v>0</v>
      </c>
      <c r="T121" s="1">
        <f>IF($AB121=TRUE,E121*T$2,E121*T$1)</f>
        <v>8.8800000000000008</v>
      </c>
      <c r="U121" s="1">
        <f>IF($AB121=TRUE,F121*U$2,F121*U$1)</f>
        <v>42.599999999999994</v>
      </c>
      <c r="V121" s="1">
        <f>IF($AB121=TRUE,J121*V$2,J121*V$1)</f>
        <v>0</v>
      </c>
      <c r="W121" s="1">
        <f>IF($AB121=TRUE,P121*W$2/100,P121*W$1/100)</f>
        <v>1.0175000000000001</v>
      </c>
      <c r="X121" s="1">
        <f>IF($AB121=TRUE,I121*X$2,I121*X$1)</f>
        <v>0</v>
      </c>
      <c r="Y121" s="1">
        <f>IF($AB121=TRUE,N121*Y$2,N121*Y$1)</f>
        <v>2</v>
      </c>
      <c r="Z121" s="1">
        <f>IF($AB121=TRUE,-H121*Z$2,-H121*Z$1)</f>
        <v>0</v>
      </c>
      <c r="AA121" s="2">
        <f>Q121-R121</f>
        <v>2.5000000000048317E-3</v>
      </c>
      <c r="AB121" s="1" t="b">
        <f>IF(G121=TRUE,IF(LEN(A121)&lt;5,TRUE,FALSE),FALSE)</f>
        <v>0</v>
      </c>
    </row>
    <row r="122" spans="1:28" hidden="1" x14ac:dyDescent="0.3">
      <c r="A122" t="s">
        <v>18</v>
      </c>
      <c r="B122" t="s">
        <v>283</v>
      </c>
      <c r="C122" t="s">
        <v>284</v>
      </c>
      <c r="D122">
        <v>0</v>
      </c>
      <c r="E122">
        <v>71.400000000000006</v>
      </c>
      <c r="F122">
        <v>8.1999999999999993</v>
      </c>
      <c r="G122" t="b">
        <v>0</v>
      </c>
      <c r="H122">
        <v>0</v>
      </c>
      <c r="I122">
        <v>0</v>
      </c>
      <c r="J122">
        <v>0</v>
      </c>
      <c r="K122">
        <v>54.4</v>
      </c>
      <c r="L122" t="s">
        <v>285</v>
      </c>
      <c r="N122">
        <v>1</v>
      </c>
      <c r="O122">
        <v>0</v>
      </c>
      <c r="P122">
        <v>10.199999999999999</v>
      </c>
      <c r="Q122">
        <f>K122</f>
        <v>54.4</v>
      </c>
      <c r="R122" s="1">
        <f>SUM(S122:Z122)</f>
        <v>54.414999999999999</v>
      </c>
      <c r="S122" s="1">
        <f>IF($AB122=TRUE,D122*S$2,D122*S$1)</f>
        <v>0</v>
      </c>
      <c r="T122" s="1">
        <f>IF($AB122=TRUE,E122*T$2,E122*T$1)</f>
        <v>28.560000000000002</v>
      </c>
      <c r="U122" s="1">
        <f>IF($AB122=TRUE,F122*U$2,F122*U$1)</f>
        <v>24.599999999999998</v>
      </c>
      <c r="V122" s="1">
        <f>IF($AB122=TRUE,J122*V$2,J122*V$1)</f>
        <v>0</v>
      </c>
      <c r="W122" s="1">
        <f>IF($AB122=TRUE,P122*W$2/100,P122*W$1/100)</f>
        <v>0.255</v>
      </c>
      <c r="X122" s="1">
        <f>IF($AB122=TRUE,I122*X$2,I122*X$1)</f>
        <v>0</v>
      </c>
      <c r="Y122" s="1">
        <f>IF($AB122=TRUE,N122*Y$2,N122*Y$1)</f>
        <v>1</v>
      </c>
      <c r="Z122" s="1">
        <f>IF($AB122=TRUE,-H122*Z$2,-H122*Z$1)</f>
        <v>0</v>
      </c>
      <c r="AA122" s="2">
        <f>Q122-R122</f>
        <v>-1.5000000000000568E-2</v>
      </c>
      <c r="AB122" s="1" t="b">
        <f>IF(G122=TRUE,IF(LEN(A122)&lt;5,TRUE,FALSE),FALSE)</f>
        <v>0</v>
      </c>
    </row>
    <row r="123" spans="1:28" hidden="1" x14ac:dyDescent="0.3">
      <c r="A123" t="s">
        <v>40</v>
      </c>
      <c r="B123" t="s">
        <v>289</v>
      </c>
      <c r="C123" t="s">
        <v>290</v>
      </c>
      <c r="D123">
        <v>0</v>
      </c>
      <c r="E123">
        <v>66.7</v>
      </c>
      <c r="F123">
        <v>8.1999999999999993</v>
      </c>
      <c r="G123" t="b">
        <v>0</v>
      </c>
      <c r="H123">
        <v>0</v>
      </c>
      <c r="I123">
        <v>0</v>
      </c>
      <c r="J123">
        <v>0</v>
      </c>
      <c r="K123">
        <v>54.2</v>
      </c>
      <c r="L123" t="s">
        <v>291</v>
      </c>
      <c r="N123">
        <v>2</v>
      </c>
      <c r="O123">
        <v>0</v>
      </c>
      <c r="P123">
        <v>37.799999999999997</v>
      </c>
      <c r="Q123">
        <f>K123</f>
        <v>54.2</v>
      </c>
      <c r="R123" s="1">
        <f>SUM(S123:Z123)</f>
        <v>54.225000000000001</v>
      </c>
      <c r="S123" s="1">
        <f>IF($AB123=TRUE,D123*S$2,D123*S$1)</f>
        <v>0</v>
      </c>
      <c r="T123" s="1">
        <f>IF($AB123=TRUE,E123*T$2,E123*T$1)</f>
        <v>26.680000000000003</v>
      </c>
      <c r="U123" s="1">
        <f>IF($AB123=TRUE,F123*U$2,F123*U$1)</f>
        <v>24.599999999999998</v>
      </c>
      <c r="V123" s="1">
        <f>IF($AB123=TRUE,J123*V$2,J123*V$1)</f>
        <v>0</v>
      </c>
      <c r="W123" s="1">
        <f>IF($AB123=TRUE,P123*W$2/100,P123*W$1/100)</f>
        <v>0.94499999999999995</v>
      </c>
      <c r="X123" s="1">
        <f>IF($AB123=TRUE,I123*X$2,I123*X$1)</f>
        <v>0</v>
      </c>
      <c r="Y123" s="1">
        <f>IF($AB123=TRUE,N123*Y$2,N123*Y$1)</f>
        <v>2</v>
      </c>
      <c r="Z123" s="1">
        <f>IF($AB123=TRUE,-H123*Z$2,-H123*Z$1)</f>
        <v>0</v>
      </c>
      <c r="AA123" s="2">
        <f>Q123-R123</f>
        <v>-2.4999999999998579E-2</v>
      </c>
      <c r="AB123" s="1" t="b">
        <f>IF(G123=TRUE,IF(LEN(A123)&lt;5,TRUE,FALSE),FALSE)</f>
        <v>0</v>
      </c>
    </row>
    <row r="124" spans="1:28" hidden="1" x14ac:dyDescent="0.3">
      <c r="A124" t="s">
        <v>25</v>
      </c>
      <c r="B124" t="s">
        <v>346</v>
      </c>
      <c r="C124" t="s">
        <v>347</v>
      </c>
      <c r="D124">
        <v>0</v>
      </c>
      <c r="E124">
        <v>62.1</v>
      </c>
      <c r="F124">
        <v>9.6999999999999993</v>
      </c>
      <c r="G124" t="b">
        <v>0</v>
      </c>
      <c r="H124">
        <v>0</v>
      </c>
      <c r="I124">
        <v>0</v>
      </c>
      <c r="J124">
        <v>0</v>
      </c>
      <c r="K124">
        <v>53.9</v>
      </c>
      <c r="N124">
        <v>0</v>
      </c>
      <c r="O124">
        <v>0</v>
      </c>
      <c r="P124">
        <v>0</v>
      </c>
      <c r="Q124">
        <f>K124</f>
        <v>53.9</v>
      </c>
      <c r="R124" s="1">
        <f>SUM(S124:Z124)</f>
        <v>53.94</v>
      </c>
      <c r="S124" s="1">
        <f>IF($AB124=TRUE,D124*S$2,D124*S$1)</f>
        <v>0</v>
      </c>
      <c r="T124" s="1">
        <f>IF($AB124=TRUE,E124*T$2,E124*T$1)</f>
        <v>24.840000000000003</v>
      </c>
      <c r="U124" s="1">
        <f>IF($AB124=TRUE,F124*U$2,F124*U$1)</f>
        <v>29.099999999999998</v>
      </c>
      <c r="V124" s="1">
        <f>IF($AB124=TRUE,J124*V$2,J124*V$1)</f>
        <v>0</v>
      </c>
      <c r="W124" s="1">
        <f>IF($AB124=TRUE,P124*W$2/100,P124*W$1/100)</f>
        <v>0</v>
      </c>
      <c r="X124" s="1">
        <f>IF($AB124=TRUE,I124*X$2,I124*X$1)</f>
        <v>0</v>
      </c>
      <c r="Y124" s="1">
        <f>IF($AB124=TRUE,N124*Y$2,N124*Y$1)</f>
        <v>0</v>
      </c>
      <c r="Z124" s="1">
        <f>IF($AB124=TRUE,-H124*Z$2,-H124*Z$1)</f>
        <v>0</v>
      </c>
      <c r="AA124" s="2">
        <f>Q124-R124</f>
        <v>-3.9999999999999147E-2</v>
      </c>
      <c r="AB124" s="1" t="b">
        <f>IF(G124=TRUE,IF(LEN(A124)&lt;5,TRUE,FALSE),FALSE)</f>
        <v>0</v>
      </c>
    </row>
    <row r="125" spans="1:28" hidden="1" x14ac:dyDescent="0.3">
      <c r="A125" t="s">
        <v>40</v>
      </c>
      <c r="B125" t="s">
        <v>351</v>
      </c>
      <c r="C125" t="s">
        <v>352</v>
      </c>
      <c r="D125">
        <v>0</v>
      </c>
      <c r="E125">
        <v>33.299999999999997</v>
      </c>
      <c r="F125">
        <v>13</v>
      </c>
      <c r="G125" t="b">
        <v>0</v>
      </c>
      <c r="H125">
        <v>0</v>
      </c>
      <c r="I125">
        <v>0</v>
      </c>
      <c r="J125">
        <v>0</v>
      </c>
      <c r="K125">
        <v>53.8</v>
      </c>
      <c r="L125" t="s">
        <v>353</v>
      </c>
      <c r="N125">
        <v>1</v>
      </c>
      <c r="O125">
        <v>0</v>
      </c>
      <c r="P125">
        <v>23.4</v>
      </c>
      <c r="Q125">
        <f>K125</f>
        <v>53.8</v>
      </c>
      <c r="R125" s="1">
        <f>SUM(S125:Z125)</f>
        <v>53.905000000000001</v>
      </c>
      <c r="S125" s="1">
        <f>IF($AB125=TRUE,D125*S$2,D125*S$1)</f>
        <v>0</v>
      </c>
      <c r="T125" s="1">
        <f>IF($AB125=TRUE,E125*T$2,E125*T$1)</f>
        <v>13.32</v>
      </c>
      <c r="U125" s="1">
        <f>IF($AB125=TRUE,F125*U$2,F125*U$1)</f>
        <v>39</v>
      </c>
      <c r="V125" s="1">
        <f>IF($AB125=TRUE,J125*V$2,J125*V$1)</f>
        <v>0</v>
      </c>
      <c r="W125" s="1">
        <f>IF($AB125=TRUE,P125*W$2/100,P125*W$1/100)</f>
        <v>0.58499999999999996</v>
      </c>
      <c r="X125" s="1">
        <f>IF($AB125=TRUE,I125*X$2,I125*X$1)</f>
        <v>0</v>
      </c>
      <c r="Y125" s="1">
        <f>IF($AB125=TRUE,N125*Y$2,N125*Y$1)</f>
        <v>1</v>
      </c>
      <c r="Z125" s="1">
        <f>IF($AB125=TRUE,-H125*Z$2,-H125*Z$1)</f>
        <v>0</v>
      </c>
      <c r="AA125" s="2">
        <f>Q125-R125</f>
        <v>-0.10500000000000398</v>
      </c>
      <c r="AB125" s="1" t="b">
        <f>IF(G125=TRUE,IF(LEN(A125)&lt;5,TRUE,FALSE),FALSE)</f>
        <v>0</v>
      </c>
    </row>
    <row r="126" spans="1:28" hidden="1" x14ac:dyDescent="0.3">
      <c r="A126" t="s">
        <v>40</v>
      </c>
      <c r="B126" t="s">
        <v>306</v>
      </c>
      <c r="C126" t="s">
        <v>307</v>
      </c>
      <c r="D126">
        <v>0</v>
      </c>
      <c r="E126">
        <v>33.299999999999997</v>
      </c>
      <c r="F126">
        <v>12.9</v>
      </c>
      <c r="G126" t="b">
        <v>0</v>
      </c>
      <c r="H126">
        <v>0</v>
      </c>
      <c r="I126">
        <v>0</v>
      </c>
      <c r="J126">
        <v>0</v>
      </c>
      <c r="K126">
        <v>53.7</v>
      </c>
      <c r="L126" t="s">
        <v>132</v>
      </c>
      <c r="N126">
        <v>1</v>
      </c>
      <c r="O126">
        <v>0</v>
      </c>
      <c r="P126">
        <v>32.1</v>
      </c>
      <c r="Q126">
        <f>K126</f>
        <v>53.7</v>
      </c>
      <c r="R126" s="1">
        <f>SUM(S126:Z126)</f>
        <v>53.822500000000005</v>
      </c>
      <c r="S126" s="1">
        <f>IF($AB126=TRUE,D126*S$2,D126*S$1)</f>
        <v>0</v>
      </c>
      <c r="T126" s="1">
        <f>IF($AB126=TRUE,E126*T$2,E126*T$1)</f>
        <v>13.32</v>
      </c>
      <c r="U126" s="1">
        <f>IF($AB126=TRUE,F126*U$2,F126*U$1)</f>
        <v>38.700000000000003</v>
      </c>
      <c r="V126" s="1">
        <f>IF($AB126=TRUE,J126*V$2,J126*V$1)</f>
        <v>0</v>
      </c>
      <c r="W126" s="1">
        <f>IF($AB126=TRUE,P126*W$2/100,P126*W$1/100)</f>
        <v>0.80249999999999999</v>
      </c>
      <c r="X126" s="1">
        <f>IF($AB126=TRUE,I126*X$2,I126*X$1)</f>
        <v>0</v>
      </c>
      <c r="Y126" s="1">
        <f>IF($AB126=TRUE,N126*Y$2,N126*Y$1)</f>
        <v>1</v>
      </c>
      <c r="Z126" s="1">
        <f>IF($AB126=TRUE,-H126*Z$2,-H126*Z$1)</f>
        <v>0</v>
      </c>
      <c r="AA126" s="2">
        <f>Q126-R126</f>
        <v>-0.12250000000000227</v>
      </c>
      <c r="AB126" s="1" t="b">
        <f>IF(G126=TRUE,IF(LEN(A126)&lt;5,TRUE,FALSE),FALSE)</f>
        <v>0</v>
      </c>
    </row>
    <row r="127" spans="1:28" hidden="1" x14ac:dyDescent="0.3">
      <c r="A127" t="s">
        <v>40</v>
      </c>
      <c r="B127" t="s">
        <v>308</v>
      </c>
      <c r="C127" t="s">
        <v>309</v>
      </c>
      <c r="D127">
        <v>0</v>
      </c>
      <c r="E127">
        <v>30.8</v>
      </c>
      <c r="F127">
        <v>12.8</v>
      </c>
      <c r="G127" t="b">
        <v>0</v>
      </c>
      <c r="H127">
        <v>0</v>
      </c>
      <c r="I127">
        <v>0</v>
      </c>
      <c r="J127">
        <v>0</v>
      </c>
      <c r="K127">
        <v>53.7</v>
      </c>
      <c r="L127" t="s">
        <v>310</v>
      </c>
      <c r="N127">
        <v>2</v>
      </c>
      <c r="O127">
        <v>0</v>
      </c>
      <c r="P127">
        <v>41.7</v>
      </c>
      <c r="Q127">
        <f>K127</f>
        <v>53.7</v>
      </c>
      <c r="R127" s="1">
        <f>SUM(S127:Z127)</f>
        <v>53.762500000000003</v>
      </c>
      <c r="S127" s="1">
        <f>IF($AB127=TRUE,D127*S$2,D127*S$1)</f>
        <v>0</v>
      </c>
      <c r="T127" s="1">
        <f>IF($AB127=TRUE,E127*T$2,E127*T$1)</f>
        <v>12.32</v>
      </c>
      <c r="U127" s="1">
        <f>IF($AB127=TRUE,F127*U$2,F127*U$1)</f>
        <v>38.400000000000006</v>
      </c>
      <c r="V127" s="1">
        <f>IF($AB127=TRUE,J127*V$2,J127*V$1)</f>
        <v>0</v>
      </c>
      <c r="W127" s="1">
        <f>IF($AB127=TRUE,P127*W$2/100,P127*W$1/100)</f>
        <v>1.0425</v>
      </c>
      <c r="X127" s="1">
        <f>IF($AB127=TRUE,I127*X$2,I127*X$1)</f>
        <v>0</v>
      </c>
      <c r="Y127" s="1">
        <f>IF($AB127=TRUE,N127*Y$2,N127*Y$1)</f>
        <v>2</v>
      </c>
      <c r="Z127" s="1">
        <f>IF($AB127=TRUE,-H127*Z$2,-H127*Z$1)</f>
        <v>0</v>
      </c>
      <c r="AA127" s="2">
        <f>Q127-R127</f>
        <v>-6.25E-2</v>
      </c>
      <c r="AB127" s="1" t="b">
        <f>IF(G127=TRUE,IF(LEN(A127)&lt;5,TRUE,FALSE),FALSE)</f>
        <v>0</v>
      </c>
    </row>
    <row r="128" spans="1:28" hidden="1" x14ac:dyDescent="0.3">
      <c r="A128" t="s">
        <v>40</v>
      </c>
      <c r="B128" t="s">
        <v>354</v>
      </c>
      <c r="C128" t="s">
        <v>355</v>
      </c>
      <c r="D128">
        <v>0</v>
      </c>
      <c r="E128">
        <v>17.100000000000001</v>
      </c>
      <c r="F128">
        <v>15.2</v>
      </c>
      <c r="G128" t="b">
        <v>0</v>
      </c>
      <c r="H128">
        <v>0</v>
      </c>
      <c r="I128">
        <v>0</v>
      </c>
      <c r="J128">
        <v>0</v>
      </c>
      <c r="K128">
        <v>53.6</v>
      </c>
      <c r="L128" t="s">
        <v>301</v>
      </c>
      <c r="N128">
        <v>1</v>
      </c>
      <c r="O128">
        <v>0</v>
      </c>
      <c r="P128">
        <v>11.5</v>
      </c>
      <c r="Q128">
        <f>K128</f>
        <v>53.6</v>
      </c>
      <c r="R128" s="1">
        <f>SUM(S128:Z128)</f>
        <v>53.727499999999999</v>
      </c>
      <c r="S128" s="1">
        <f>IF($AB128=TRUE,D128*S$2,D128*S$1)</f>
        <v>0</v>
      </c>
      <c r="T128" s="1">
        <f>IF($AB128=TRUE,E128*T$2,E128*T$1)</f>
        <v>6.8400000000000007</v>
      </c>
      <c r="U128" s="1">
        <f>IF($AB128=TRUE,F128*U$2,F128*U$1)</f>
        <v>45.599999999999994</v>
      </c>
      <c r="V128" s="1">
        <f>IF($AB128=TRUE,J128*V$2,J128*V$1)</f>
        <v>0</v>
      </c>
      <c r="W128" s="1">
        <f>IF($AB128=TRUE,P128*W$2/100,P128*W$1/100)</f>
        <v>0.28749999999999998</v>
      </c>
      <c r="X128" s="1">
        <f>IF($AB128=TRUE,I128*X$2,I128*X$1)</f>
        <v>0</v>
      </c>
      <c r="Y128" s="1">
        <f>IF($AB128=TRUE,N128*Y$2,N128*Y$1)</f>
        <v>1</v>
      </c>
      <c r="Z128" s="1">
        <f>IF($AB128=TRUE,-H128*Z$2,-H128*Z$1)</f>
        <v>0</v>
      </c>
      <c r="AA128" s="2">
        <f>Q128-R128</f>
        <v>-0.12749999999999773</v>
      </c>
      <c r="AB128" s="1" t="b">
        <f>IF(G128=TRUE,IF(LEN(A128)&lt;5,TRUE,FALSE),FALSE)</f>
        <v>0</v>
      </c>
    </row>
    <row r="129" spans="1:28" hidden="1" x14ac:dyDescent="0.3">
      <c r="A129" t="s">
        <v>40</v>
      </c>
      <c r="B129" t="s">
        <v>356</v>
      </c>
      <c r="C129" t="s">
        <v>357</v>
      </c>
      <c r="D129">
        <v>0</v>
      </c>
      <c r="E129">
        <v>17.100000000000001</v>
      </c>
      <c r="F129">
        <v>15.1</v>
      </c>
      <c r="G129" t="b">
        <v>0</v>
      </c>
      <c r="H129">
        <v>0</v>
      </c>
      <c r="I129">
        <v>0</v>
      </c>
      <c r="J129">
        <v>0</v>
      </c>
      <c r="K129">
        <v>53.5</v>
      </c>
      <c r="L129" t="s">
        <v>301</v>
      </c>
      <c r="N129">
        <v>1</v>
      </c>
      <c r="O129">
        <v>0</v>
      </c>
      <c r="P129">
        <v>11.5</v>
      </c>
      <c r="Q129">
        <f>K129</f>
        <v>53.5</v>
      </c>
      <c r="R129" s="1">
        <f>SUM(S129:Z129)</f>
        <v>53.427500000000002</v>
      </c>
      <c r="S129" s="1">
        <f>IF($AB129=TRUE,D129*S$2,D129*S$1)</f>
        <v>0</v>
      </c>
      <c r="T129" s="1">
        <f>IF($AB129=TRUE,E129*T$2,E129*T$1)</f>
        <v>6.8400000000000007</v>
      </c>
      <c r="U129" s="1">
        <f>IF($AB129=TRUE,F129*U$2,F129*U$1)</f>
        <v>45.3</v>
      </c>
      <c r="V129" s="1">
        <f>IF($AB129=TRUE,J129*V$2,J129*V$1)</f>
        <v>0</v>
      </c>
      <c r="W129" s="1">
        <f>IF($AB129=TRUE,P129*W$2/100,P129*W$1/100)</f>
        <v>0.28749999999999998</v>
      </c>
      <c r="X129" s="1">
        <f>IF($AB129=TRUE,I129*X$2,I129*X$1)</f>
        <v>0</v>
      </c>
      <c r="Y129" s="1">
        <f>IF($AB129=TRUE,N129*Y$2,N129*Y$1)</f>
        <v>1</v>
      </c>
      <c r="Z129" s="1">
        <f>IF($AB129=TRUE,-H129*Z$2,-H129*Z$1)</f>
        <v>0</v>
      </c>
      <c r="AA129" s="2">
        <f>Q129-R129</f>
        <v>7.249999999999801E-2</v>
      </c>
      <c r="AB129" s="1" t="b">
        <f>IF(G129=TRUE,IF(LEN(A129)&lt;5,TRUE,FALSE),FALSE)</f>
        <v>0</v>
      </c>
    </row>
    <row r="130" spans="1:28" hidden="1" x14ac:dyDescent="0.3">
      <c r="A130" t="s">
        <v>40</v>
      </c>
      <c r="B130" t="s">
        <v>358</v>
      </c>
      <c r="C130" t="s">
        <v>359</v>
      </c>
      <c r="D130">
        <v>0</v>
      </c>
      <c r="E130">
        <v>15.4</v>
      </c>
      <c r="F130">
        <v>15.4</v>
      </c>
      <c r="G130" t="b">
        <v>0</v>
      </c>
      <c r="H130">
        <v>0</v>
      </c>
      <c r="I130">
        <v>0</v>
      </c>
      <c r="J130">
        <v>0</v>
      </c>
      <c r="K130">
        <v>53.5</v>
      </c>
      <c r="L130" t="s">
        <v>301</v>
      </c>
      <c r="N130">
        <v>1</v>
      </c>
      <c r="O130">
        <v>0</v>
      </c>
      <c r="P130">
        <v>11.5</v>
      </c>
      <c r="Q130">
        <f>K130</f>
        <v>53.5</v>
      </c>
      <c r="R130" s="1">
        <f>SUM(S130:Z130)</f>
        <v>53.647500000000001</v>
      </c>
      <c r="S130" s="1">
        <f>IF($AB130=TRUE,D130*S$2,D130*S$1)</f>
        <v>0</v>
      </c>
      <c r="T130" s="1">
        <f>IF($AB130=TRUE,E130*T$2,E130*T$1)</f>
        <v>6.16</v>
      </c>
      <c r="U130" s="1">
        <f>IF($AB130=TRUE,F130*U$2,F130*U$1)</f>
        <v>46.2</v>
      </c>
      <c r="V130" s="1">
        <f>IF($AB130=TRUE,J130*V$2,J130*V$1)</f>
        <v>0</v>
      </c>
      <c r="W130" s="1">
        <f>IF($AB130=TRUE,P130*W$2/100,P130*W$1/100)</f>
        <v>0.28749999999999998</v>
      </c>
      <c r="X130" s="1">
        <f>IF($AB130=TRUE,I130*X$2,I130*X$1)</f>
        <v>0</v>
      </c>
      <c r="Y130" s="1">
        <f>IF($AB130=TRUE,N130*Y$2,N130*Y$1)</f>
        <v>1</v>
      </c>
      <c r="Z130" s="1">
        <f>IF($AB130=TRUE,-H130*Z$2,-H130*Z$1)</f>
        <v>0</v>
      </c>
      <c r="AA130" s="2">
        <f>Q130-R130</f>
        <v>-0.14750000000000085</v>
      </c>
      <c r="AB130" s="1" t="b">
        <f>IF(G130=TRUE,IF(LEN(A130)&lt;5,TRUE,FALSE),FALSE)</f>
        <v>0</v>
      </c>
    </row>
    <row r="131" spans="1:28" hidden="1" x14ac:dyDescent="0.3">
      <c r="A131" t="s">
        <v>40</v>
      </c>
      <c r="B131" t="s">
        <v>311</v>
      </c>
      <c r="C131" t="s">
        <v>312</v>
      </c>
      <c r="D131">
        <v>0</v>
      </c>
      <c r="E131">
        <v>46.2</v>
      </c>
      <c r="F131">
        <v>11.2</v>
      </c>
      <c r="G131" t="b">
        <v>0</v>
      </c>
      <c r="H131">
        <v>0</v>
      </c>
      <c r="I131">
        <v>0</v>
      </c>
      <c r="J131">
        <v>0</v>
      </c>
      <c r="K131">
        <v>53.5</v>
      </c>
      <c r="L131" t="s">
        <v>313</v>
      </c>
      <c r="N131">
        <v>1</v>
      </c>
      <c r="O131">
        <v>0</v>
      </c>
      <c r="P131">
        <v>18.899999999999999</v>
      </c>
      <c r="Q131">
        <f>K131</f>
        <v>53.5</v>
      </c>
      <c r="R131" s="1">
        <f>SUM(S131:Z131)</f>
        <v>53.552499999999995</v>
      </c>
      <c r="S131" s="1">
        <f>IF($AB131=TRUE,D131*S$2,D131*S$1)</f>
        <v>0</v>
      </c>
      <c r="T131" s="1">
        <f>IF($AB131=TRUE,E131*T$2,E131*T$1)</f>
        <v>18.48</v>
      </c>
      <c r="U131" s="1">
        <f>IF($AB131=TRUE,F131*U$2,F131*U$1)</f>
        <v>33.599999999999994</v>
      </c>
      <c r="V131" s="1">
        <f>IF($AB131=TRUE,J131*V$2,J131*V$1)</f>
        <v>0</v>
      </c>
      <c r="W131" s="1">
        <f>IF($AB131=TRUE,P131*W$2/100,P131*W$1/100)</f>
        <v>0.47249999999999998</v>
      </c>
      <c r="X131" s="1">
        <f>IF($AB131=TRUE,I131*X$2,I131*X$1)</f>
        <v>0</v>
      </c>
      <c r="Y131" s="1">
        <f>IF($AB131=TRUE,N131*Y$2,N131*Y$1)</f>
        <v>1</v>
      </c>
      <c r="Z131" s="1">
        <f>IF($AB131=TRUE,-H131*Z$2,-H131*Z$1)</f>
        <v>0</v>
      </c>
      <c r="AA131" s="2">
        <f>Q131-R131</f>
        <v>-5.2499999999994884E-2</v>
      </c>
      <c r="AB131" s="1" t="b">
        <f>IF(G131=TRUE,IF(LEN(A131)&lt;5,TRUE,FALSE),FALSE)</f>
        <v>0</v>
      </c>
    </row>
    <row r="132" spans="1:28" hidden="1" x14ac:dyDescent="0.3">
      <c r="A132" t="s">
        <v>40</v>
      </c>
      <c r="B132" t="s">
        <v>314</v>
      </c>
      <c r="C132" t="s">
        <v>315</v>
      </c>
      <c r="D132">
        <v>0</v>
      </c>
      <c r="E132">
        <v>50</v>
      </c>
      <c r="F132">
        <v>10.6</v>
      </c>
      <c r="G132" t="b">
        <v>0</v>
      </c>
      <c r="H132">
        <v>0</v>
      </c>
      <c r="I132">
        <v>0</v>
      </c>
      <c r="J132">
        <v>0</v>
      </c>
      <c r="K132">
        <v>53.4</v>
      </c>
      <c r="L132" t="s">
        <v>316</v>
      </c>
      <c r="N132">
        <v>1</v>
      </c>
      <c r="O132">
        <v>0</v>
      </c>
      <c r="P132">
        <v>27.5</v>
      </c>
      <c r="Q132">
        <f>K132</f>
        <v>53.4</v>
      </c>
      <c r="R132" s="1">
        <f>SUM(S132:Z132)</f>
        <v>53.487499999999997</v>
      </c>
      <c r="S132" s="1">
        <f>IF($AB132=TRUE,D132*S$2,D132*S$1)</f>
        <v>0</v>
      </c>
      <c r="T132" s="1">
        <f>IF($AB132=TRUE,E132*T$2,E132*T$1)</f>
        <v>20</v>
      </c>
      <c r="U132" s="1">
        <f>IF($AB132=TRUE,F132*U$2,F132*U$1)</f>
        <v>31.799999999999997</v>
      </c>
      <c r="V132" s="1">
        <f>IF($AB132=TRUE,J132*V$2,J132*V$1)</f>
        <v>0</v>
      </c>
      <c r="W132" s="1">
        <f>IF($AB132=TRUE,P132*W$2/100,P132*W$1/100)</f>
        <v>0.6875</v>
      </c>
      <c r="X132" s="1">
        <f>IF($AB132=TRUE,I132*X$2,I132*X$1)</f>
        <v>0</v>
      </c>
      <c r="Y132" s="1">
        <f>IF($AB132=TRUE,N132*Y$2,N132*Y$1)</f>
        <v>1</v>
      </c>
      <c r="Z132" s="1">
        <f>IF($AB132=TRUE,-H132*Z$2,-H132*Z$1)</f>
        <v>0</v>
      </c>
      <c r="AA132" s="2">
        <f>Q132-R132</f>
        <v>-8.7499999999998579E-2</v>
      </c>
      <c r="AB132" s="1" t="b">
        <f>IF(G132=TRUE,IF(LEN(A132)&lt;5,TRUE,FALSE),FALSE)</f>
        <v>0</v>
      </c>
    </row>
    <row r="133" spans="1:28" hidden="1" x14ac:dyDescent="0.3">
      <c r="A133" t="s">
        <v>40</v>
      </c>
      <c r="B133" t="s">
        <v>317</v>
      </c>
      <c r="C133" t="s">
        <v>318</v>
      </c>
      <c r="D133">
        <v>0</v>
      </c>
      <c r="E133">
        <v>46.2</v>
      </c>
      <c r="F133">
        <v>11</v>
      </c>
      <c r="G133" t="b">
        <v>0</v>
      </c>
      <c r="H133">
        <v>0</v>
      </c>
      <c r="I133">
        <v>0</v>
      </c>
      <c r="J133">
        <v>0</v>
      </c>
      <c r="K133">
        <v>53.3</v>
      </c>
      <c r="L133" t="s">
        <v>319</v>
      </c>
      <c r="N133">
        <v>1</v>
      </c>
      <c r="O133">
        <v>0</v>
      </c>
      <c r="P133">
        <v>27.9</v>
      </c>
      <c r="Q133">
        <f>K133</f>
        <v>53.3</v>
      </c>
      <c r="R133" s="1">
        <f>SUM(S133:Z133)</f>
        <v>53.177500000000002</v>
      </c>
      <c r="S133" s="1">
        <f>IF($AB133=TRUE,D133*S$2,D133*S$1)</f>
        <v>0</v>
      </c>
      <c r="T133" s="1">
        <f>IF($AB133=TRUE,E133*T$2,E133*T$1)</f>
        <v>18.48</v>
      </c>
      <c r="U133" s="1">
        <f>IF($AB133=TRUE,F133*U$2,F133*U$1)</f>
        <v>33</v>
      </c>
      <c r="V133" s="1">
        <f>IF($AB133=TRUE,J133*V$2,J133*V$1)</f>
        <v>0</v>
      </c>
      <c r="W133" s="1">
        <f>IF($AB133=TRUE,P133*W$2/100,P133*W$1/100)</f>
        <v>0.69750000000000001</v>
      </c>
      <c r="X133" s="1">
        <f>IF($AB133=TRUE,I133*X$2,I133*X$1)</f>
        <v>0</v>
      </c>
      <c r="Y133" s="1">
        <f>IF($AB133=TRUE,N133*Y$2,N133*Y$1)</f>
        <v>1</v>
      </c>
      <c r="Z133" s="1">
        <f>IF($AB133=TRUE,-H133*Z$2,-H133*Z$1)</f>
        <v>0</v>
      </c>
      <c r="AA133" s="2">
        <f>Q133-R133</f>
        <v>0.12249999999999517</v>
      </c>
      <c r="AB133" s="1" t="b">
        <f>IF(G133=TRUE,IF(LEN(A133)&lt;5,TRUE,FALSE),FALSE)</f>
        <v>0</v>
      </c>
    </row>
    <row r="134" spans="1:28" hidden="1" x14ac:dyDescent="0.3">
      <c r="A134" t="s">
        <v>18</v>
      </c>
      <c r="B134" t="s">
        <v>363</v>
      </c>
      <c r="C134" t="s">
        <v>364</v>
      </c>
      <c r="D134">
        <v>0.5</v>
      </c>
      <c r="E134">
        <v>55.6</v>
      </c>
      <c r="F134">
        <v>10</v>
      </c>
      <c r="G134" t="b">
        <v>0</v>
      </c>
      <c r="H134">
        <v>0</v>
      </c>
      <c r="I134">
        <v>0</v>
      </c>
      <c r="J134">
        <v>0</v>
      </c>
      <c r="K134">
        <v>53.2</v>
      </c>
      <c r="N134">
        <v>0</v>
      </c>
      <c r="O134">
        <v>0</v>
      </c>
      <c r="P134">
        <v>0</v>
      </c>
      <c r="Q134">
        <f>K134</f>
        <v>53.2</v>
      </c>
      <c r="R134" s="1">
        <f>SUM(S134:Z134)</f>
        <v>53.24</v>
      </c>
      <c r="S134" s="1">
        <f>IF($AB134=TRUE,D134*S$2,D134*S$1)</f>
        <v>1</v>
      </c>
      <c r="T134" s="1">
        <f>IF($AB134=TRUE,E134*T$2,E134*T$1)</f>
        <v>22.240000000000002</v>
      </c>
      <c r="U134" s="1">
        <f>IF($AB134=TRUE,F134*U$2,F134*U$1)</f>
        <v>30</v>
      </c>
      <c r="V134" s="1">
        <f>IF($AB134=TRUE,J134*V$2,J134*V$1)</f>
        <v>0</v>
      </c>
      <c r="W134" s="1">
        <f>IF($AB134=TRUE,P134*W$2/100,P134*W$1/100)</f>
        <v>0</v>
      </c>
      <c r="X134" s="1">
        <f>IF($AB134=TRUE,I134*X$2,I134*X$1)</f>
        <v>0</v>
      </c>
      <c r="Y134" s="1">
        <f>IF($AB134=TRUE,N134*Y$2,N134*Y$1)</f>
        <v>0</v>
      </c>
      <c r="Z134" s="1">
        <f>IF($AB134=TRUE,-H134*Z$2,-H134*Z$1)</f>
        <v>0</v>
      </c>
      <c r="AA134" s="2">
        <f>Q134-R134</f>
        <v>-3.9999999999999147E-2</v>
      </c>
      <c r="AB134" s="1" t="b">
        <f>IF(G134=TRUE,IF(LEN(A134)&lt;5,TRUE,FALSE),FALSE)</f>
        <v>0</v>
      </c>
    </row>
    <row r="135" spans="1:28" hidden="1" x14ac:dyDescent="0.3">
      <c r="A135" t="s">
        <v>25</v>
      </c>
      <c r="B135" t="s">
        <v>365</v>
      </c>
      <c r="C135" t="s">
        <v>366</v>
      </c>
      <c r="D135">
        <v>1.8</v>
      </c>
      <c r="E135">
        <v>66.7</v>
      </c>
      <c r="F135">
        <v>7.1</v>
      </c>
      <c r="G135" t="b">
        <v>0</v>
      </c>
      <c r="H135">
        <v>0</v>
      </c>
      <c r="I135">
        <v>0</v>
      </c>
      <c r="J135">
        <v>0</v>
      </c>
      <c r="K135">
        <v>53.1</v>
      </c>
      <c r="L135" t="s">
        <v>51</v>
      </c>
      <c r="N135">
        <v>1</v>
      </c>
      <c r="O135">
        <v>0</v>
      </c>
      <c r="P135">
        <v>27.3</v>
      </c>
      <c r="Q135">
        <f>K135</f>
        <v>53.1</v>
      </c>
      <c r="R135" s="1">
        <f>SUM(S135:Z135)</f>
        <v>53.262499999999996</v>
      </c>
      <c r="S135" s="1">
        <f>IF($AB135=TRUE,D135*S$2,D135*S$1)</f>
        <v>3.6</v>
      </c>
      <c r="T135" s="1">
        <f>IF($AB135=TRUE,E135*T$2,E135*T$1)</f>
        <v>26.680000000000003</v>
      </c>
      <c r="U135" s="1">
        <f>IF($AB135=TRUE,F135*U$2,F135*U$1)</f>
        <v>21.299999999999997</v>
      </c>
      <c r="V135" s="1">
        <f>IF($AB135=TRUE,J135*V$2,J135*V$1)</f>
        <v>0</v>
      </c>
      <c r="W135" s="1">
        <f>IF($AB135=TRUE,P135*W$2/100,P135*W$1/100)</f>
        <v>0.6825</v>
      </c>
      <c r="X135" s="1">
        <f>IF($AB135=TRUE,I135*X$2,I135*X$1)</f>
        <v>0</v>
      </c>
      <c r="Y135" s="1">
        <f>IF($AB135=TRUE,N135*Y$2,N135*Y$1)</f>
        <v>1</v>
      </c>
      <c r="Z135" s="1">
        <f>IF($AB135=TRUE,-H135*Z$2,-H135*Z$1)</f>
        <v>0</v>
      </c>
      <c r="AA135" s="2">
        <f>Q135-R135</f>
        <v>-0.16249999999999432</v>
      </c>
      <c r="AB135" s="1" t="b">
        <f>IF(G135=TRUE,IF(LEN(A135)&lt;5,TRUE,FALSE),FALSE)</f>
        <v>0</v>
      </c>
    </row>
    <row r="136" spans="1:28" hidden="1" x14ac:dyDescent="0.3">
      <c r="A136" t="s">
        <v>18</v>
      </c>
      <c r="B136" t="s">
        <v>265</v>
      </c>
      <c r="C136" t="s">
        <v>18</v>
      </c>
      <c r="D136">
        <v>0</v>
      </c>
      <c r="E136">
        <v>100</v>
      </c>
      <c r="F136">
        <v>3.5</v>
      </c>
      <c r="G136" t="b">
        <v>0</v>
      </c>
      <c r="H136">
        <v>0</v>
      </c>
      <c r="I136">
        <v>1</v>
      </c>
      <c r="J136">
        <v>0</v>
      </c>
      <c r="K136">
        <v>53</v>
      </c>
      <c r="L136" t="s">
        <v>51</v>
      </c>
      <c r="N136">
        <v>1</v>
      </c>
      <c r="O136">
        <v>0</v>
      </c>
      <c r="P136">
        <v>16.399999999999999</v>
      </c>
      <c r="Q136">
        <f>K136</f>
        <v>53</v>
      </c>
      <c r="R136" s="1">
        <f>SUM(S136:Z136)</f>
        <v>52.91</v>
      </c>
      <c r="S136" s="1">
        <f>IF($AB136=TRUE,D136*S$2,D136*S$1)</f>
        <v>0</v>
      </c>
      <c r="T136" s="1">
        <f>IF($AB136=TRUE,E136*T$2,E136*T$1)</f>
        <v>40</v>
      </c>
      <c r="U136" s="1">
        <f>IF($AB136=TRUE,F136*U$2,F136*U$1)</f>
        <v>10.5</v>
      </c>
      <c r="V136" s="1">
        <f>IF($AB136=TRUE,J136*V$2,J136*V$1)</f>
        <v>0</v>
      </c>
      <c r="W136" s="1">
        <f>IF($AB136=TRUE,P136*W$2/100,P136*W$1/100)</f>
        <v>0.41</v>
      </c>
      <c r="X136" s="1">
        <f>IF($AB136=TRUE,I136*X$2,I136*X$1)</f>
        <v>1</v>
      </c>
      <c r="Y136" s="1">
        <f>IF($AB136=TRUE,N136*Y$2,N136*Y$1)</f>
        <v>1</v>
      </c>
      <c r="Z136" s="1">
        <f>IF($AB136=TRUE,-H136*Z$2,-H136*Z$1)</f>
        <v>0</v>
      </c>
      <c r="AA136" s="2">
        <f>Q136-R136</f>
        <v>9.0000000000003411E-2</v>
      </c>
      <c r="AB136" s="1" t="b">
        <f>IF(G136=TRUE,IF(LEN(A136)&lt;5,TRUE,FALSE),FALSE)</f>
        <v>0</v>
      </c>
    </row>
    <row r="137" spans="1:28" hidden="1" x14ac:dyDescent="0.3">
      <c r="A137" t="s">
        <v>40</v>
      </c>
      <c r="B137" t="s">
        <v>367</v>
      </c>
      <c r="C137" t="s">
        <v>368</v>
      </c>
      <c r="D137">
        <v>1.8</v>
      </c>
      <c r="E137">
        <v>26.1</v>
      </c>
      <c r="F137">
        <v>12.9</v>
      </c>
      <c r="G137" t="b">
        <v>0</v>
      </c>
      <c r="H137">
        <v>0</v>
      </c>
      <c r="I137">
        <v>0</v>
      </c>
      <c r="J137">
        <v>0</v>
      </c>
      <c r="K137">
        <v>52.9</v>
      </c>
      <c r="N137">
        <v>0</v>
      </c>
      <c r="O137">
        <v>0</v>
      </c>
      <c r="P137">
        <v>0</v>
      </c>
      <c r="Q137">
        <f>K137</f>
        <v>52.9</v>
      </c>
      <c r="R137" s="1">
        <f>SUM(S137:Z137)</f>
        <v>52.74</v>
      </c>
      <c r="S137" s="1">
        <f>IF($AB137=TRUE,D137*S$2,D137*S$1)</f>
        <v>3.6</v>
      </c>
      <c r="T137" s="1">
        <f>IF($AB137=TRUE,E137*T$2,E137*T$1)</f>
        <v>10.440000000000001</v>
      </c>
      <c r="U137" s="1">
        <f>IF($AB137=TRUE,F137*U$2,F137*U$1)</f>
        <v>38.700000000000003</v>
      </c>
      <c r="V137" s="1">
        <f>IF($AB137=TRUE,J137*V$2,J137*V$1)</f>
        <v>0</v>
      </c>
      <c r="W137" s="1">
        <f>IF($AB137=TRUE,P137*W$2/100,P137*W$1/100)</f>
        <v>0</v>
      </c>
      <c r="X137" s="1">
        <f>IF($AB137=TRUE,I137*X$2,I137*X$1)</f>
        <v>0</v>
      </c>
      <c r="Y137" s="1">
        <f>IF($AB137=TRUE,N137*Y$2,N137*Y$1)</f>
        <v>0</v>
      </c>
      <c r="Z137" s="1">
        <f>IF($AB137=TRUE,-H137*Z$2,-H137*Z$1)</f>
        <v>0</v>
      </c>
      <c r="AA137" s="2">
        <f>Q137-R137</f>
        <v>0.15999999999999659</v>
      </c>
      <c r="AB137" s="1" t="b">
        <f>IF(G137=TRUE,IF(LEN(A137)&lt;5,TRUE,FALSE),FALSE)</f>
        <v>0</v>
      </c>
    </row>
    <row r="138" spans="1:28" hidden="1" x14ac:dyDescent="0.3">
      <c r="A138" t="s">
        <v>40</v>
      </c>
      <c r="B138" t="s">
        <v>328</v>
      </c>
      <c r="C138" t="s">
        <v>329</v>
      </c>
      <c r="D138">
        <v>0</v>
      </c>
      <c r="E138">
        <v>42.9</v>
      </c>
      <c r="F138">
        <v>11.9</v>
      </c>
      <c r="G138" t="b">
        <v>0</v>
      </c>
      <c r="H138">
        <v>0</v>
      </c>
      <c r="I138">
        <v>0</v>
      </c>
      <c r="J138">
        <v>0</v>
      </c>
      <c r="K138">
        <v>52.8</v>
      </c>
      <c r="N138">
        <v>0</v>
      </c>
      <c r="O138">
        <v>0</v>
      </c>
      <c r="P138">
        <v>0</v>
      </c>
      <c r="Q138">
        <f>K138</f>
        <v>52.8</v>
      </c>
      <c r="R138" s="1">
        <f>SUM(S138:Z138)</f>
        <v>52.86</v>
      </c>
      <c r="S138" s="1">
        <f>IF($AB138=TRUE,D138*S$2,D138*S$1)</f>
        <v>0</v>
      </c>
      <c r="T138" s="1">
        <f>IF($AB138=TRUE,E138*T$2,E138*T$1)</f>
        <v>17.16</v>
      </c>
      <c r="U138" s="1">
        <f>IF($AB138=TRUE,F138*U$2,F138*U$1)</f>
        <v>35.700000000000003</v>
      </c>
      <c r="V138" s="1">
        <f>IF($AB138=TRUE,J138*V$2,J138*V$1)</f>
        <v>0</v>
      </c>
      <c r="W138" s="1">
        <f>IF($AB138=TRUE,P138*W$2/100,P138*W$1/100)</f>
        <v>0</v>
      </c>
      <c r="X138" s="1">
        <f>IF($AB138=TRUE,I138*X$2,I138*X$1)</f>
        <v>0</v>
      </c>
      <c r="Y138" s="1">
        <f>IF($AB138=TRUE,N138*Y$2,N138*Y$1)</f>
        <v>0</v>
      </c>
      <c r="Z138" s="1">
        <f>IF($AB138=TRUE,-H138*Z$2,-H138*Z$1)</f>
        <v>0</v>
      </c>
      <c r="AA138" s="2">
        <f>Q138-R138</f>
        <v>-6.0000000000002274E-2</v>
      </c>
      <c r="AB138" s="1" t="b">
        <f>IF(G138=TRUE,IF(LEN(A138)&lt;5,TRUE,FALSE),FALSE)</f>
        <v>0</v>
      </c>
    </row>
    <row r="139" spans="1:28" hidden="1" x14ac:dyDescent="0.3">
      <c r="A139" t="s">
        <v>40</v>
      </c>
      <c r="B139" t="s">
        <v>385</v>
      </c>
      <c r="C139" t="s">
        <v>386</v>
      </c>
      <c r="D139">
        <v>0</v>
      </c>
      <c r="E139">
        <v>27.3</v>
      </c>
      <c r="F139">
        <v>12.8</v>
      </c>
      <c r="G139" t="b">
        <v>0</v>
      </c>
      <c r="H139">
        <v>0</v>
      </c>
      <c r="I139">
        <v>0</v>
      </c>
      <c r="J139">
        <v>0</v>
      </c>
      <c r="K139">
        <v>52.4</v>
      </c>
      <c r="L139" t="s">
        <v>387</v>
      </c>
      <c r="N139">
        <v>2</v>
      </c>
      <c r="O139">
        <v>0</v>
      </c>
      <c r="P139">
        <v>44.2</v>
      </c>
      <c r="Q139">
        <f>K139</f>
        <v>52.4</v>
      </c>
      <c r="R139" s="1">
        <f>SUM(S139:Z139)</f>
        <v>52.425000000000004</v>
      </c>
      <c r="S139" s="1">
        <f>IF($AB139=TRUE,D139*S$2,D139*S$1)</f>
        <v>0</v>
      </c>
      <c r="T139" s="1">
        <f>IF($AB139=TRUE,E139*T$2,E139*T$1)</f>
        <v>10.920000000000002</v>
      </c>
      <c r="U139" s="1">
        <f>IF($AB139=TRUE,F139*U$2,F139*U$1)</f>
        <v>38.400000000000006</v>
      </c>
      <c r="V139" s="1">
        <f>IF($AB139=TRUE,J139*V$2,J139*V$1)</f>
        <v>0</v>
      </c>
      <c r="W139" s="1">
        <f>IF($AB139=TRUE,P139*W$2/100,P139*W$1/100)</f>
        <v>1.105</v>
      </c>
      <c r="X139" s="1">
        <f>IF($AB139=TRUE,I139*X$2,I139*X$1)</f>
        <v>0</v>
      </c>
      <c r="Y139" s="1">
        <f>IF($AB139=TRUE,N139*Y$2,N139*Y$1)</f>
        <v>2</v>
      </c>
      <c r="Z139" s="1">
        <f>IF($AB139=TRUE,-H139*Z$2,-H139*Z$1)</f>
        <v>0</v>
      </c>
      <c r="AA139" s="2">
        <f>Q139-R139</f>
        <v>-2.5000000000005684E-2</v>
      </c>
      <c r="AB139" s="1" t="b">
        <f>IF(G139=TRUE,IF(LEN(A139)&lt;5,TRUE,FALSE),FALSE)</f>
        <v>0</v>
      </c>
    </row>
    <row r="140" spans="1:28" hidden="1" x14ac:dyDescent="0.3">
      <c r="A140" t="s">
        <v>18</v>
      </c>
      <c r="B140" t="s">
        <v>388</v>
      </c>
      <c r="C140" t="s">
        <v>389</v>
      </c>
      <c r="D140">
        <v>0</v>
      </c>
      <c r="E140">
        <v>30.8</v>
      </c>
      <c r="F140">
        <v>12.8</v>
      </c>
      <c r="G140" t="b">
        <v>0</v>
      </c>
      <c r="H140">
        <v>0</v>
      </c>
      <c r="I140">
        <v>0</v>
      </c>
      <c r="J140">
        <v>0</v>
      </c>
      <c r="K140">
        <v>52.3</v>
      </c>
      <c r="L140" t="s">
        <v>390</v>
      </c>
      <c r="N140">
        <v>1</v>
      </c>
      <c r="O140">
        <v>0</v>
      </c>
      <c r="P140">
        <v>25</v>
      </c>
      <c r="Q140">
        <f>K140</f>
        <v>52.3</v>
      </c>
      <c r="R140" s="1">
        <f>SUM(S140:Z140)</f>
        <v>52.345000000000006</v>
      </c>
      <c r="S140" s="1">
        <f>IF($AB140=TRUE,D140*S$2,D140*S$1)</f>
        <v>0</v>
      </c>
      <c r="T140" s="1">
        <f>IF($AB140=TRUE,E140*T$2,E140*T$1)</f>
        <v>12.32</v>
      </c>
      <c r="U140" s="1">
        <f>IF($AB140=TRUE,F140*U$2,F140*U$1)</f>
        <v>38.400000000000006</v>
      </c>
      <c r="V140" s="1">
        <f>IF($AB140=TRUE,J140*V$2,J140*V$1)</f>
        <v>0</v>
      </c>
      <c r="W140" s="1">
        <f>IF($AB140=TRUE,P140*W$2/100,P140*W$1/100)</f>
        <v>0.625</v>
      </c>
      <c r="X140" s="1">
        <f>IF($AB140=TRUE,I140*X$2,I140*X$1)</f>
        <v>0</v>
      </c>
      <c r="Y140" s="1">
        <f>IF($AB140=TRUE,N140*Y$2,N140*Y$1)</f>
        <v>1</v>
      </c>
      <c r="Z140" s="1">
        <f>IF($AB140=TRUE,-H140*Z$2,-H140*Z$1)</f>
        <v>0</v>
      </c>
      <c r="AA140" s="2">
        <f>Q140-R140</f>
        <v>-4.5000000000008811E-2</v>
      </c>
      <c r="AB140" s="1" t="b">
        <f>IF(G140=TRUE,IF(LEN(A140)&lt;5,TRUE,FALSE),FALSE)</f>
        <v>0</v>
      </c>
    </row>
    <row r="141" spans="1:28" hidden="1" x14ac:dyDescent="0.3">
      <c r="A141" t="s">
        <v>18</v>
      </c>
      <c r="B141" t="s">
        <v>337</v>
      </c>
      <c r="C141" t="s">
        <v>20</v>
      </c>
      <c r="D141">
        <v>0</v>
      </c>
      <c r="E141">
        <v>90.9</v>
      </c>
      <c r="F141">
        <v>4.4000000000000004</v>
      </c>
      <c r="G141" t="b">
        <v>0</v>
      </c>
      <c r="H141">
        <v>0</v>
      </c>
      <c r="I141">
        <v>1</v>
      </c>
      <c r="J141">
        <v>0</v>
      </c>
      <c r="K141">
        <v>52.1</v>
      </c>
      <c r="L141" t="s">
        <v>338</v>
      </c>
      <c r="N141">
        <v>1</v>
      </c>
      <c r="O141">
        <v>0</v>
      </c>
      <c r="P141">
        <v>18.8</v>
      </c>
      <c r="Q141">
        <f>K141</f>
        <v>52.1</v>
      </c>
      <c r="R141" s="1">
        <f>SUM(S141:Z141)</f>
        <v>52.030000000000008</v>
      </c>
      <c r="S141" s="1">
        <f>IF($AB141=TRUE,D141*S$2,D141*S$1)</f>
        <v>0</v>
      </c>
      <c r="T141" s="1">
        <f>IF($AB141=TRUE,E141*T$2,E141*T$1)</f>
        <v>36.360000000000007</v>
      </c>
      <c r="U141" s="1">
        <f>IF($AB141=TRUE,F141*U$2,F141*U$1)</f>
        <v>13.200000000000001</v>
      </c>
      <c r="V141" s="1">
        <f>IF($AB141=TRUE,J141*V$2,J141*V$1)</f>
        <v>0</v>
      </c>
      <c r="W141" s="1">
        <f>IF($AB141=TRUE,P141*W$2/100,P141*W$1/100)</f>
        <v>0.47</v>
      </c>
      <c r="X141" s="1">
        <f>IF($AB141=TRUE,I141*X$2,I141*X$1)</f>
        <v>1</v>
      </c>
      <c r="Y141" s="1">
        <f>IF($AB141=TRUE,N141*Y$2,N141*Y$1)</f>
        <v>1</v>
      </c>
      <c r="Z141" s="1">
        <f>IF($AB141=TRUE,-H141*Z$2,-H141*Z$1)</f>
        <v>0</v>
      </c>
      <c r="AA141" s="2">
        <f>Q141-R141</f>
        <v>6.9999999999993179E-2</v>
      </c>
      <c r="AB141" s="1" t="b">
        <f>IF(G141=TRUE,IF(LEN(A141)&lt;5,TRUE,FALSE),FALSE)</f>
        <v>0</v>
      </c>
    </row>
    <row r="142" spans="1:28" hidden="1" x14ac:dyDescent="0.3">
      <c r="A142" t="s">
        <v>40</v>
      </c>
      <c r="B142" t="s">
        <v>397</v>
      </c>
      <c r="C142" t="s">
        <v>398</v>
      </c>
      <c r="D142">
        <v>0</v>
      </c>
      <c r="E142">
        <v>30</v>
      </c>
      <c r="F142">
        <v>13.2</v>
      </c>
      <c r="G142" t="b">
        <v>0</v>
      </c>
      <c r="H142">
        <v>0</v>
      </c>
      <c r="I142">
        <v>0</v>
      </c>
      <c r="J142">
        <v>0</v>
      </c>
      <c r="K142">
        <v>51.6</v>
      </c>
      <c r="N142">
        <v>0</v>
      </c>
      <c r="O142">
        <v>0</v>
      </c>
      <c r="P142">
        <v>0</v>
      </c>
      <c r="Q142">
        <f>K142</f>
        <v>51.6</v>
      </c>
      <c r="R142" s="1">
        <f>SUM(S142:Z142)</f>
        <v>51.599999999999994</v>
      </c>
      <c r="S142" s="1">
        <f>IF($AB142=TRUE,D142*S$2,D142*S$1)</f>
        <v>0</v>
      </c>
      <c r="T142" s="1">
        <f>IF($AB142=TRUE,E142*T$2,E142*T$1)</f>
        <v>12</v>
      </c>
      <c r="U142" s="1">
        <f>IF($AB142=TRUE,F142*U$2,F142*U$1)</f>
        <v>39.599999999999994</v>
      </c>
      <c r="V142" s="1">
        <f>IF($AB142=TRUE,J142*V$2,J142*V$1)</f>
        <v>0</v>
      </c>
      <c r="W142" s="1">
        <f>IF($AB142=TRUE,P142*W$2/100,P142*W$1/100)</f>
        <v>0</v>
      </c>
      <c r="X142" s="1">
        <f>IF($AB142=TRUE,I142*X$2,I142*X$1)</f>
        <v>0</v>
      </c>
      <c r="Y142" s="1">
        <f>IF($AB142=TRUE,N142*Y$2,N142*Y$1)</f>
        <v>0</v>
      </c>
      <c r="Z142" s="1">
        <f>IF($AB142=TRUE,-H142*Z$2,-H142*Z$1)</f>
        <v>0</v>
      </c>
      <c r="AA142" s="2">
        <f>Q142-R142</f>
        <v>0</v>
      </c>
      <c r="AB142" s="1" t="b">
        <f>IF(G142=TRUE,IF(LEN(A142)&lt;5,TRUE,FALSE),FALSE)</f>
        <v>0</v>
      </c>
    </row>
    <row r="143" spans="1:28" hidden="1" x14ac:dyDescent="0.3">
      <c r="A143" t="s">
        <v>40</v>
      </c>
      <c r="B143" t="s">
        <v>344</v>
      </c>
      <c r="C143" t="s">
        <v>345</v>
      </c>
      <c r="D143">
        <v>0</v>
      </c>
      <c r="E143">
        <v>26.7</v>
      </c>
      <c r="F143">
        <v>12.9</v>
      </c>
      <c r="G143" t="b">
        <v>0</v>
      </c>
      <c r="H143">
        <v>0</v>
      </c>
      <c r="I143">
        <v>0</v>
      </c>
      <c r="J143">
        <v>0</v>
      </c>
      <c r="K143">
        <v>51.3</v>
      </c>
      <c r="L143" t="s">
        <v>132</v>
      </c>
      <c r="N143">
        <v>1</v>
      </c>
      <c r="O143">
        <v>0</v>
      </c>
      <c r="P143">
        <v>32.1</v>
      </c>
      <c r="Q143">
        <f>K143</f>
        <v>51.3</v>
      </c>
      <c r="R143" s="1">
        <f>SUM(S143:Z143)</f>
        <v>51.182500000000005</v>
      </c>
      <c r="S143" s="1">
        <f>IF($AB143=TRUE,D143*S$2,D143*S$1)</f>
        <v>0</v>
      </c>
      <c r="T143" s="1">
        <f>IF($AB143=TRUE,E143*T$2,E143*T$1)</f>
        <v>10.68</v>
      </c>
      <c r="U143" s="1">
        <f>IF($AB143=TRUE,F143*U$2,F143*U$1)</f>
        <v>38.700000000000003</v>
      </c>
      <c r="V143" s="1">
        <f>IF($AB143=TRUE,J143*V$2,J143*V$1)</f>
        <v>0</v>
      </c>
      <c r="W143" s="1">
        <f>IF($AB143=TRUE,P143*W$2/100,P143*W$1/100)</f>
        <v>0.80249999999999999</v>
      </c>
      <c r="X143" s="1">
        <f>IF($AB143=TRUE,I143*X$2,I143*X$1)</f>
        <v>0</v>
      </c>
      <c r="Y143" s="1">
        <f>IF($AB143=TRUE,N143*Y$2,N143*Y$1)</f>
        <v>1</v>
      </c>
      <c r="Z143" s="1">
        <f>IF($AB143=TRUE,-H143*Z$2,-H143*Z$1)</f>
        <v>0</v>
      </c>
      <c r="AA143" s="2">
        <f>Q143-R143</f>
        <v>0.11749999999999261</v>
      </c>
      <c r="AB143" s="1" t="b">
        <f>IF(G143=TRUE,IF(LEN(A143)&lt;5,TRUE,FALSE),FALSE)</f>
        <v>0</v>
      </c>
    </row>
    <row r="144" spans="1:28" hidden="1" x14ac:dyDescent="0.3">
      <c r="A144" t="s">
        <v>40</v>
      </c>
      <c r="B144" t="s">
        <v>348</v>
      </c>
      <c r="C144" t="s">
        <v>349</v>
      </c>
      <c r="D144">
        <v>0</v>
      </c>
      <c r="E144">
        <v>66.7</v>
      </c>
      <c r="F144">
        <v>7.4</v>
      </c>
      <c r="G144" t="b">
        <v>0</v>
      </c>
      <c r="H144">
        <v>0</v>
      </c>
      <c r="I144">
        <v>0</v>
      </c>
      <c r="J144">
        <v>0</v>
      </c>
      <c r="K144">
        <v>50.9</v>
      </c>
      <c r="L144" t="s">
        <v>350</v>
      </c>
      <c r="N144">
        <v>1</v>
      </c>
      <c r="O144">
        <v>0</v>
      </c>
      <c r="P144">
        <v>38.5</v>
      </c>
      <c r="Q144">
        <f>K144</f>
        <v>50.9</v>
      </c>
      <c r="R144" s="1">
        <f>SUM(S144:Z144)</f>
        <v>50.842500000000008</v>
      </c>
      <c r="S144" s="1">
        <f>IF($AB144=TRUE,D144*S$2,D144*S$1)</f>
        <v>0</v>
      </c>
      <c r="T144" s="1">
        <f>IF($AB144=TRUE,E144*T$2,E144*T$1)</f>
        <v>26.680000000000003</v>
      </c>
      <c r="U144" s="1">
        <f>IF($AB144=TRUE,F144*U$2,F144*U$1)</f>
        <v>22.200000000000003</v>
      </c>
      <c r="V144" s="1">
        <f>IF($AB144=TRUE,J144*V$2,J144*V$1)</f>
        <v>0</v>
      </c>
      <c r="W144" s="1">
        <f>IF($AB144=TRUE,P144*W$2/100,P144*W$1/100)</f>
        <v>0.96250000000000002</v>
      </c>
      <c r="X144" s="1">
        <f>IF($AB144=TRUE,I144*X$2,I144*X$1)</f>
        <v>0</v>
      </c>
      <c r="Y144" s="1">
        <f>IF($AB144=TRUE,N144*Y$2,N144*Y$1)</f>
        <v>1</v>
      </c>
      <c r="Z144" s="1">
        <f>IF($AB144=TRUE,-H144*Z$2,-H144*Z$1)</f>
        <v>0</v>
      </c>
      <c r="AA144" s="2">
        <f>Q144-R144</f>
        <v>5.7499999999990337E-2</v>
      </c>
      <c r="AB144" s="1" t="b">
        <f>IF(G144=TRUE,IF(LEN(A144)&lt;5,TRUE,FALSE),FALSE)</f>
        <v>0</v>
      </c>
    </row>
    <row r="145" spans="1:28" hidden="1" x14ac:dyDescent="0.3">
      <c r="A145" t="s">
        <v>40</v>
      </c>
      <c r="B145" t="s">
        <v>407</v>
      </c>
      <c r="C145" t="s">
        <v>408</v>
      </c>
      <c r="D145">
        <v>0</v>
      </c>
      <c r="E145">
        <v>25</v>
      </c>
      <c r="F145">
        <v>12.6</v>
      </c>
      <c r="G145" t="b">
        <v>0</v>
      </c>
      <c r="H145">
        <v>0</v>
      </c>
      <c r="I145">
        <v>0</v>
      </c>
      <c r="J145">
        <v>0</v>
      </c>
      <c r="K145">
        <v>50.9</v>
      </c>
      <c r="L145" t="s">
        <v>409</v>
      </c>
      <c r="N145">
        <v>2</v>
      </c>
      <c r="O145">
        <v>0</v>
      </c>
      <c r="P145">
        <v>40.6</v>
      </c>
      <c r="Q145">
        <f>K145</f>
        <v>50.9</v>
      </c>
      <c r="R145" s="1">
        <f>SUM(S145:Z145)</f>
        <v>50.814999999999998</v>
      </c>
      <c r="S145" s="1">
        <f>IF($AB145=TRUE,D145*S$2,D145*S$1)</f>
        <v>0</v>
      </c>
      <c r="T145" s="1">
        <f>IF($AB145=TRUE,E145*T$2,E145*T$1)</f>
        <v>10</v>
      </c>
      <c r="U145" s="1">
        <f>IF($AB145=TRUE,F145*U$2,F145*U$1)</f>
        <v>37.799999999999997</v>
      </c>
      <c r="V145" s="1">
        <f>IF($AB145=TRUE,J145*V$2,J145*V$1)</f>
        <v>0</v>
      </c>
      <c r="W145" s="1">
        <f>IF($AB145=TRUE,P145*W$2/100,P145*W$1/100)</f>
        <v>1.0149999999999999</v>
      </c>
      <c r="X145" s="1">
        <f>IF($AB145=TRUE,I145*X$2,I145*X$1)</f>
        <v>0</v>
      </c>
      <c r="Y145" s="1">
        <f>IF($AB145=TRUE,N145*Y$2,N145*Y$1)</f>
        <v>2</v>
      </c>
      <c r="Z145" s="1">
        <f>IF($AB145=TRUE,-H145*Z$2,-H145*Z$1)</f>
        <v>0</v>
      </c>
      <c r="AA145" s="2">
        <f>Q145-R145</f>
        <v>8.5000000000000853E-2</v>
      </c>
      <c r="AB145" s="1" t="b">
        <f>IF(G145=TRUE,IF(LEN(A145)&lt;5,TRUE,FALSE),FALSE)</f>
        <v>0</v>
      </c>
    </row>
    <row r="146" spans="1:28" hidden="1" x14ac:dyDescent="0.3">
      <c r="A146" t="s">
        <v>40</v>
      </c>
      <c r="B146" t="s">
        <v>412</v>
      </c>
      <c r="C146" t="s">
        <v>413</v>
      </c>
      <c r="D146">
        <v>0</v>
      </c>
      <c r="E146">
        <v>30</v>
      </c>
      <c r="F146">
        <v>11.5</v>
      </c>
      <c r="G146" t="b">
        <v>0</v>
      </c>
      <c r="H146">
        <v>0</v>
      </c>
      <c r="I146">
        <v>0</v>
      </c>
      <c r="J146">
        <v>0</v>
      </c>
      <c r="K146">
        <v>50.6</v>
      </c>
      <c r="L146" t="s">
        <v>414</v>
      </c>
      <c r="N146">
        <v>3</v>
      </c>
      <c r="O146">
        <v>0</v>
      </c>
      <c r="P146">
        <v>43.6</v>
      </c>
      <c r="Q146">
        <f>K146</f>
        <v>50.6</v>
      </c>
      <c r="R146" s="1">
        <f>SUM(S146:Z146)</f>
        <v>50.59</v>
      </c>
      <c r="S146" s="1">
        <f>IF($AB146=TRUE,D146*S$2,D146*S$1)</f>
        <v>0</v>
      </c>
      <c r="T146" s="1">
        <f>IF($AB146=TRUE,E146*T$2,E146*T$1)</f>
        <v>12</v>
      </c>
      <c r="U146" s="1">
        <f>IF($AB146=TRUE,F146*U$2,F146*U$1)</f>
        <v>34.5</v>
      </c>
      <c r="V146" s="1">
        <f>IF($AB146=TRUE,J146*V$2,J146*V$1)</f>
        <v>0</v>
      </c>
      <c r="W146" s="1">
        <f>IF($AB146=TRUE,P146*W$2/100,P146*W$1/100)</f>
        <v>1.0900000000000001</v>
      </c>
      <c r="X146" s="1">
        <f>IF($AB146=TRUE,I146*X$2,I146*X$1)</f>
        <v>0</v>
      </c>
      <c r="Y146" s="1">
        <f>IF($AB146=TRUE,N146*Y$2,N146*Y$1)</f>
        <v>3</v>
      </c>
      <c r="Z146" s="1">
        <f>IF($AB146=TRUE,-H146*Z$2,-H146*Z$1)</f>
        <v>0</v>
      </c>
      <c r="AA146" s="2">
        <f>Q146-R146</f>
        <v>9.9999999999980105E-3</v>
      </c>
      <c r="AB146" s="1" t="b">
        <f>IF(G146=TRUE,IF(LEN(A146)&lt;5,TRUE,FALSE),FALSE)</f>
        <v>0</v>
      </c>
    </row>
    <row r="147" spans="1:28" hidden="1" x14ac:dyDescent="0.3">
      <c r="A147" t="s">
        <v>18</v>
      </c>
      <c r="B147" t="s">
        <v>360</v>
      </c>
      <c r="C147" t="s">
        <v>361</v>
      </c>
      <c r="D147">
        <v>0.5</v>
      </c>
      <c r="E147">
        <v>75</v>
      </c>
      <c r="F147">
        <v>5.2</v>
      </c>
      <c r="G147" t="b">
        <v>0</v>
      </c>
      <c r="H147">
        <v>0</v>
      </c>
      <c r="I147">
        <v>0</v>
      </c>
      <c r="J147">
        <v>0</v>
      </c>
      <c r="K147">
        <v>50.4</v>
      </c>
      <c r="L147" t="s">
        <v>362</v>
      </c>
      <c r="N147">
        <v>3</v>
      </c>
      <c r="O147">
        <v>0</v>
      </c>
      <c r="P147">
        <v>29.1</v>
      </c>
      <c r="Q147">
        <f>K147</f>
        <v>50.4</v>
      </c>
      <c r="R147" s="1">
        <f>SUM(S147:Z147)</f>
        <v>50.327500000000001</v>
      </c>
      <c r="S147" s="1">
        <f>IF($AB147=TRUE,D147*S$2,D147*S$1)</f>
        <v>1</v>
      </c>
      <c r="T147" s="1">
        <f>IF($AB147=TRUE,E147*T$2,E147*T$1)</f>
        <v>30</v>
      </c>
      <c r="U147" s="1">
        <f>IF($AB147=TRUE,F147*U$2,F147*U$1)</f>
        <v>15.600000000000001</v>
      </c>
      <c r="V147" s="1">
        <f>IF($AB147=TRUE,J147*V$2,J147*V$1)</f>
        <v>0</v>
      </c>
      <c r="W147" s="1">
        <f>IF($AB147=TRUE,P147*W$2/100,P147*W$1/100)</f>
        <v>0.72750000000000004</v>
      </c>
      <c r="X147" s="1">
        <f>IF($AB147=TRUE,I147*X$2,I147*X$1)</f>
        <v>0</v>
      </c>
      <c r="Y147" s="1">
        <f>IF($AB147=TRUE,N147*Y$2,N147*Y$1)</f>
        <v>3</v>
      </c>
      <c r="Z147" s="1">
        <f>IF($AB147=TRUE,-H147*Z$2,-H147*Z$1)</f>
        <v>0</v>
      </c>
      <c r="AA147" s="2">
        <f>Q147-R147</f>
        <v>7.249999999999801E-2</v>
      </c>
      <c r="AB147" s="1" t="b">
        <f>IF(G147=TRUE,IF(LEN(A147)&lt;5,TRUE,FALSE),FALSE)</f>
        <v>0</v>
      </c>
    </row>
    <row r="148" spans="1:28" hidden="1" x14ac:dyDescent="0.3">
      <c r="A148" t="s">
        <v>40</v>
      </c>
      <c r="B148" t="s">
        <v>415</v>
      </c>
      <c r="C148" t="s">
        <v>416</v>
      </c>
      <c r="D148">
        <v>0</v>
      </c>
      <c r="E148">
        <v>27.3</v>
      </c>
      <c r="F148">
        <v>12.5</v>
      </c>
      <c r="G148" t="b">
        <v>0</v>
      </c>
      <c r="H148">
        <v>0</v>
      </c>
      <c r="I148">
        <v>0</v>
      </c>
      <c r="J148">
        <v>0</v>
      </c>
      <c r="K148">
        <v>50.1</v>
      </c>
      <c r="L148" t="s">
        <v>417</v>
      </c>
      <c r="N148">
        <v>1</v>
      </c>
      <c r="O148">
        <v>0</v>
      </c>
      <c r="P148">
        <v>28.7</v>
      </c>
      <c r="Q148">
        <f>K148</f>
        <v>50.1</v>
      </c>
      <c r="R148" s="1">
        <f>SUM(S148:Z148)</f>
        <v>50.137500000000003</v>
      </c>
      <c r="S148" s="1">
        <f>IF($AB148=TRUE,D148*S$2,D148*S$1)</f>
        <v>0</v>
      </c>
      <c r="T148" s="1">
        <f>IF($AB148=TRUE,E148*T$2,E148*T$1)</f>
        <v>10.920000000000002</v>
      </c>
      <c r="U148" s="1">
        <f>IF($AB148=TRUE,F148*U$2,F148*U$1)</f>
        <v>37.5</v>
      </c>
      <c r="V148" s="1">
        <f>IF($AB148=TRUE,J148*V$2,J148*V$1)</f>
        <v>0</v>
      </c>
      <c r="W148" s="1">
        <f>IF($AB148=TRUE,P148*W$2/100,P148*W$1/100)</f>
        <v>0.71750000000000003</v>
      </c>
      <c r="X148" s="1">
        <f>IF($AB148=TRUE,I148*X$2,I148*X$1)</f>
        <v>0</v>
      </c>
      <c r="Y148" s="1">
        <f>IF($AB148=TRUE,N148*Y$2,N148*Y$1)</f>
        <v>1</v>
      </c>
      <c r="Z148" s="1">
        <f>IF($AB148=TRUE,-H148*Z$2,-H148*Z$1)</f>
        <v>0</v>
      </c>
      <c r="AA148" s="2">
        <f>Q148-R148</f>
        <v>-3.7500000000001421E-2</v>
      </c>
      <c r="AB148" s="1" t="b">
        <f>IF(G148=TRUE,IF(LEN(A148)&lt;5,TRUE,FALSE),FALSE)</f>
        <v>0</v>
      </c>
    </row>
    <row r="149" spans="1:28" hidden="1" x14ac:dyDescent="0.3">
      <c r="A149" t="s">
        <v>18</v>
      </c>
      <c r="B149" t="s">
        <v>322</v>
      </c>
      <c r="C149" t="s">
        <v>18</v>
      </c>
      <c r="D149">
        <v>0.5</v>
      </c>
      <c r="E149">
        <v>100</v>
      </c>
      <c r="F149">
        <v>2.2000000000000002</v>
      </c>
      <c r="G149" t="b">
        <v>0</v>
      </c>
      <c r="H149">
        <v>0</v>
      </c>
      <c r="I149">
        <v>1</v>
      </c>
      <c r="J149">
        <v>0</v>
      </c>
      <c r="K149">
        <v>50</v>
      </c>
      <c r="L149" t="s">
        <v>323</v>
      </c>
      <c r="N149">
        <v>1</v>
      </c>
      <c r="O149">
        <v>0</v>
      </c>
      <c r="P149">
        <v>11.5</v>
      </c>
      <c r="Q149">
        <f>K149</f>
        <v>50</v>
      </c>
      <c r="R149" s="1">
        <f>SUM(S149:Z149)</f>
        <v>49.887500000000003</v>
      </c>
      <c r="S149" s="1">
        <f>IF($AB149=TRUE,D149*S$2,D149*S$1)</f>
        <v>1</v>
      </c>
      <c r="T149" s="1">
        <f>IF($AB149=TRUE,E149*T$2,E149*T$1)</f>
        <v>40</v>
      </c>
      <c r="U149" s="1">
        <f>IF($AB149=TRUE,F149*U$2,F149*U$1)</f>
        <v>6.6000000000000005</v>
      </c>
      <c r="V149" s="1">
        <f>IF($AB149=TRUE,J149*V$2,J149*V$1)</f>
        <v>0</v>
      </c>
      <c r="W149" s="1">
        <f>IF($AB149=TRUE,P149*W$2/100,P149*W$1/100)</f>
        <v>0.28749999999999998</v>
      </c>
      <c r="X149" s="1">
        <f>IF($AB149=TRUE,I149*X$2,I149*X$1)</f>
        <v>1</v>
      </c>
      <c r="Y149" s="1">
        <f>IF($AB149=TRUE,N149*Y$2,N149*Y$1)</f>
        <v>1</v>
      </c>
      <c r="Z149" s="1">
        <f>IF($AB149=TRUE,-H149*Z$2,-H149*Z$1)</f>
        <v>0</v>
      </c>
      <c r="AA149" s="2">
        <f>Q149-R149</f>
        <v>0.11249999999999716</v>
      </c>
      <c r="AB149" s="1" t="b">
        <f>IF(G149=TRUE,IF(LEN(A149)&lt;5,TRUE,FALSE),FALSE)</f>
        <v>0</v>
      </c>
    </row>
    <row r="150" spans="1:28" hidden="1" x14ac:dyDescent="0.3">
      <c r="A150" t="s">
        <v>18</v>
      </c>
      <c r="B150" t="s">
        <v>324</v>
      </c>
      <c r="C150" t="s">
        <v>18</v>
      </c>
      <c r="D150">
        <v>0.5</v>
      </c>
      <c r="E150">
        <v>100</v>
      </c>
      <c r="F150">
        <v>2.2000000000000002</v>
      </c>
      <c r="G150" t="b">
        <v>0</v>
      </c>
      <c r="H150">
        <v>0</v>
      </c>
      <c r="I150">
        <v>1</v>
      </c>
      <c r="J150">
        <v>0</v>
      </c>
      <c r="K150">
        <v>50</v>
      </c>
      <c r="L150" t="s">
        <v>323</v>
      </c>
      <c r="N150">
        <v>1</v>
      </c>
      <c r="O150">
        <v>0</v>
      </c>
      <c r="P150">
        <v>11.5</v>
      </c>
      <c r="Q150">
        <f>K150</f>
        <v>50</v>
      </c>
      <c r="R150" s="1">
        <f>SUM(S150:Z150)</f>
        <v>49.887500000000003</v>
      </c>
      <c r="S150" s="1">
        <f>IF($AB150=TRUE,D150*S$2,D150*S$1)</f>
        <v>1</v>
      </c>
      <c r="T150" s="1">
        <f>IF($AB150=TRUE,E150*T$2,E150*T$1)</f>
        <v>40</v>
      </c>
      <c r="U150" s="1">
        <f>IF($AB150=TRUE,F150*U$2,F150*U$1)</f>
        <v>6.6000000000000005</v>
      </c>
      <c r="V150" s="1">
        <f>IF($AB150=TRUE,J150*V$2,J150*V$1)</f>
        <v>0</v>
      </c>
      <c r="W150" s="1">
        <f>IF($AB150=TRUE,P150*W$2/100,P150*W$1/100)</f>
        <v>0.28749999999999998</v>
      </c>
      <c r="X150" s="1">
        <f>IF($AB150=TRUE,I150*X$2,I150*X$1)</f>
        <v>1</v>
      </c>
      <c r="Y150" s="1">
        <f>IF($AB150=TRUE,N150*Y$2,N150*Y$1)</f>
        <v>1</v>
      </c>
      <c r="Z150" s="1">
        <f>IF($AB150=TRUE,-H150*Z$2,-H150*Z$1)</f>
        <v>0</v>
      </c>
      <c r="AA150" s="2">
        <f>Q150-R150</f>
        <v>0.11249999999999716</v>
      </c>
      <c r="AB150" s="1" t="b">
        <f>IF(G150=TRUE,IF(LEN(A150)&lt;5,TRUE,FALSE),FALSE)</f>
        <v>0</v>
      </c>
    </row>
    <row r="151" spans="1:28" hidden="1" x14ac:dyDescent="0.3">
      <c r="A151" t="s">
        <v>18</v>
      </c>
      <c r="B151" t="s">
        <v>325</v>
      </c>
      <c r="C151" t="s">
        <v>18</v>
      </c>
      <c r="D151">
        <v>0.5</v>
      </c>
      <c r="E151">
        <v>100</v>
      </c>
      <c r="F151">
        <v>2.2000000000000002</v>
      </c>
      <c r="G151" t="b">
        <v>0</v>
      </c>
      <c r="H151">
        <v>0</v>
      </c>
      <c r="I151">
        <v>1</v>
      </c>
      <c r="J151">
        <v>0</v>
      </c>
      <c r="K151">
        <v>50</v>
      </c>
      <c r="L151" t="s">
        <v>323</v>
      </c>
      <c r="N151">
        <v>1</v>
      </c>
      <c r="O151">
        <v>0</v>
      </c>
      <c r="P151">
        <v>11.5</v>
      </c>
      <c r="Q151">
        <f>K151</f>
        <v>50</v>
      </c>
      <c r="R151" s="1">
        <f>SUM(S151:Z151)</f>
        <v>49.887500000000003</v>
      </c>
      <c r="S151" s="1">
        <f>IF($AB151=TRUE,D151*S$2,D151*S$1)</f>
        <v>1</v>
      </c>
      <c r="T151" s="1">
        <f>IF($AB151=TRUE,E151*T$2,E151*T$1)</f>
        <v>40</v>
      </c>
      <c r="U151" s="1">
        <f>IF($AB151=TRUE,F151*U$2,F151*U$1)</f>
        <v>6.6000000000000005</v>
      </c>
      <c r="V151" s="1">
        <f>IF($AB151=TRUE,J151*V$2,J151*V$1)</f>
        <v>0</v>
      </c>
      <c r="W151" s="1">
        <f>IF($AB151=TRUE,P151*W$2/100,P151*W$1/100)</f>
        <v>0.28749999999999998</v>
      </c>
      <c r="X151" s="1">
        <f>IF($AB151=TRUE,I151*X$2,I151*X$1)</f>
        <v>1</v>
      </c>
      <c r="Y151" s="1">
        <f>IF($AB151=TRUE,N151*Y$2,N151*Y$1)</f>
        <v>1</v>
      </c>
      <c r="Z151" s="1">
        <f>IF($AB151=TRUE,-H151*Z$2,-H151*Z$1)</f>
        <v>0</v>
      </c>
      <c r="AA151" s="2">
        <f>Q151-R151</f>
        <v>0.11249999999999716</v>
      </c>
      <c r="AB151" s="1" t="b">
        <f>IF(G151=TRUE,IF(LEN(A151)&lt;5,TRUE,FALSE),FALSE)</f>
        <v>0</v>
      </c>
    </row>
    <row r="152" spans="1:28" hidden="1" x14ac:dyDescent="0.3">
      <c r="A152" t="s">
        <v>18</v>
      </c>
      <c r="B152" t="s">
        <v>418</v>
      </c>
      <c r="C152" t="s">
        <v>419</v>
      </c>
      <c r="D152">
        <v>0</v>
      </c>
      <c r="E152">
        <v>60</v>
      </c>
      <c r="F152">
        <v>8.1999999999999993</v>
      </c>
      <c r="G152" t="b">
        <v>0</v>
      </c>
      <c r="H152">
        <v>0</v>
      </c>
      <c r="I152">
        <v>0</v>
      </c>
      <c r="J152">
        <v>0</v>
      </c>
      <c r="K152">
        <v>50</v>
      </c>
      <c r="L152" t="s">
        <v>51</v>
      </c>
      <c r="N152">
        <v>1</v>
      </c>
      <c r="O152">
        <v>0</v>
      </c>
      <c r="P152">
        <v>16.399999999999999</v>
      </c>
      <c r="Q152">
        <f>K152</f>
        <v>50</v>
      </c>
      <c r="R152" s="1">
        <f>SUM(S152:Z152)</f>
        <v>50.009999999999991</v>
      </c>
      <c r="S152" s="1">
        <f>IF($AB152=TRUE,D152*S$2,D152*S$1)</f>
        <v>0</v>
      </c>
      <c r="T152" s="1">
        <f>IF($AB152=TRUE,E152*T$2,E152*T$1)</f>
        <v>24</v>
      </c>
      <c r="U152" s="1">
        <f>IF($AB152=TRUE,F152*U$2,F152*U$1)</f>
        <v>24.599999999999998</v>
      </c>
      <c r="V152" s="1">
        <f>IF($AB152=TRUE,J152*V$2,J152*V$1)</f>
        <v>0</v>
      </c>
      <c r="W152" s="1">
        <f>IF($AB152=TRUE,P152*W$2/100,P152*W$1/100)</f>
        <v>0.41</v>
      </c>
      <c r="X152" s="1">
        <f>IF($AB152=TRUE,I152*X$2,I152*X$1)</f>
        <v>0</v>
      </c>
      <c r="Y152" s="1">
        <f>IF($AB152=TRUE,N152*Y$2,N152*Y$1)</f>
        <v>1</v>
      </c>
      <c r="Z152" s="1">
        <f>IF($AB152=TRUE,-H152*Z$2,-H152*Z$1)</f>
        <v>0</v>
      </c>
      <c r="AA152" s="2">
        <f>Q152-R152</f>
        <v>-9.9999999999909051E-3</v>
      </c>
      <c r="AB152" s="1" t="b">
        <f>IF(G152=TRUE,IF(LEN(A152)&lt;5,TRUE,FALSE),FALSE)</f>
        <v>0</v>
      </c>
    </row>
    <row r="153" spans="1:28" hidden="1" x14ac:dyDescent="0.3">
      <c r="A153" t="s">
        <v>25</v>
      </c>
      <c r="B153" t="s">
        <v>422</v>
      </c>
      <c r="C153" t="s">
        <v>423</v>
      </c>
      <c r="D153">
        <v>1.8</v>
      </c>
      <c r="E153">
        <v>47.4</v>
      </c>
      <c r="F153">
        <v>9.1</v>
      </c>
      <c r="G153" t="b">
        <v>0</v>
      </c>
      <c r="H153">
        <v>0</v>
      </c>
      <c r="I153">
        <v>0</v>
      </c>
      <c r="J153">
        <v>0</v>
      </c>
      <c r="K153">
        <v>49.8</v>
      </c>
      <c r="N153">
        <v>0</v>
      </c>
      <c r="O153">
        <v>0</v>
      </c>
      <c r="P153">
        <v>0</v>
      </c>
      <c r="Q153">
        <f>K153</f>
        <v>49.8</v>
      </c>
      <c r="R153" s="1">
        <f>SUM(S153:Z153)</f>
        <v>49.86</v>
      </c>
      <c r="S153" s="1">
        <f>IF($AB153=TRUE,D153*S$2,D153*S$1)</f>
        <v>3.6</v>
      </c>
      <c r="T153" s="1">
        <f>IF($AB153=TRUE,E153*T$2,E153*T$1)</f>
        <v>18.96</v>
      </c>
      <c r="U153" s="1">
        <f>IF($AB153=TRUE,F153*U$2,F153*U$1)</f>
        <v>27.299999999999997</v>
      </c>
      <c r="V153" s="1">
        <f>IF($AB153=TRUE,J153*V$2,J153*V$1)</f>
        <v>0</v>
      </c>
      <c r="W153" s="1">
        <f>IF($AB153=TRUE,P153*W$2/100,P153*W$1/100)</f>
        <v>0</v>
      </c>
      <c r="X153" s="1">
        <f>IF($AB153=TRUE,I153*X$2,I153*X$1)</f>
        <v>0</v>
      </c>
      <c r="Y153" s="1">
        <f>IF($AB153=TRUE,N153*Y$2,N153*Y$1)</f>
        <v>0</v>
      </c>
      <c r="Z153" s="1">
        <f>IF($AB153=TRUE,-H153*Z$2,-H153*Z$1)</f>
        <v>0</v>
      </c>
      <c r="AA153" s="2">
        <f>Q153-R153</f>
        <v>-6.0000000000002274E-2</v>
      </c>
      <c r="AB153" s="1" t="b">
        <f>IF(G153=TRUE,IF(LEN(A153)&lt;5,TRUE,FALSE),FALSE)</f>
        <v>0</v>
      </c>
    </row>
    <row r="154" spans="1:28" hidden="1" x14ac:dyDescent="0.3">
      <c r="A154" t="s">
        <v>18</v>
      </c>
      <c r="B154" t="s">
        <v>369</v>
      </c>
      <c r="C154" t="s">
        <v>370</v>
      </c>
      <c r="D154">
        <v>0.5</v>
      </c>
      <c r="E154">
        <v>46.2</v>
      </c>
      <c r="F154">
        <v>9.6</v>
      </c>
      <c r="G154" t="b">
        <v>0</v>
      </c>
      <c r="H154">
        <v>0</v>
      </c>
      <c r="I154">
        <v>0</v>
      </c>
      <c r="J154">
        <v>0</v>
      </c>
      <c r="K154">
        <v>49.8</v>
      </c>
      <c r="L154" t="s">
        <v>170</v>
      </c>
      <c r="N154">
        <v>1</v>
      </c>
      <c r="O154">
        <v>0</v>
      </c>
      <c r="P154">
        <v>15</v>
      </c>
      <c r="Q154">
        <f>K154</f>
        <v>49.8</v>
      </c>
      <c r="R154" s="1">
        <f>SUM(S154:Z154)</f>
        <v>49.655000000000001</v>
      </c>
      <c r="S154" s="1">
        <f>IF($AB154=TRUE,D154*S$2,D154*S$1)</f>
        <v>1</v>
      </c>
      <c r="T154" s="1">
        <f>IF($AB154=TRUE,E154*T$2,E154*T$1)</f>
        <v>18.48</v>
      </c>
      <c r="U154" s="1">
        <f>IF($AB154=TRUE,F154*U$2,F154*U$1)</f>
        <v>28.799999999999997</v>
      </c>
      <c r="V154" s="1">
        <f>IF($AB154=TRUE,J154*V$2,J154*V$1)</f>
        <v>0</v>
      </c>
      <c r="W154" s="1">
        <f>IF($AB154=TRUE,P154*W$2/100,P154*W$1/100)</f>
        <v>0.375</v>
      </c>
      <c r="X154" s="1">
        <f>IF($AB154=TRUE,I154*X$2,I154*X$1)</f>
        <v>0</v>
      </c>
      <c r="Y154" s="1">
        <f>IF($AB154=TRUE,N154*Y$2,N154*Y$1)</f>
        <v>1</v>
      </c>
      <c r="Z154" s="1">
        <f>IF($AB154=TRUE,-H154*Z$2,-H154*Z$1)</f>
        <v>0</v>
      </c>
      <c r="AA154" s="2">
        <f>Q154-R154</f>
        <v>0.14499999999999602</v>
      </c>
      <c r="AB154" s="1" t="b">
        <f>IF(G154=TRUE,IF(LEN(A154)&lt;5,TRUE,FALSE),FALSE)</f>
        <v>0</v>
      </c>
    </row>
    <row r="155" spans="1:28" hidden="1" x14ac:dyDescent="0.3">
      <c r="A155" t="s">
        <v>40</v>
      </c>
      <c r="B155" t="s">
        <v>371</v>
      </c>
      <c r="C155" t="s">
        <v>372</v>
      </c>
      <c r="D155">
        <v>0</v>
      </c>
      <c r="E155">
        <v>60</v>
      </c>
      <c r="F155">
        <v>8</v>
      </c>
      <c r="G155" t="b">
        <v>0</v>
      </c>
      <c r="H155">
        <v>0</v>
      </c>
      <c r="I155">
        <v>0</v>
      </c>
      <c r="J155">
        <v>0</v>
      </c>
      <c r="K155">
        <v>49.7</v>
      </c>
      <c r="L155" t="s">
        <v>164</v>
      </c>
      <c r="N155">
        <v>1</v>
      </c>
      <c r="O155">
        <v>0</v>
      </c>
      <c r="P155">
        <v>33.799999999999997</v>
      </c>
      <c r="Q155">
        <f>K155</f>
        <v>49.7</v>
      </c>
      <c r="R155" s="1">
        <f>SUM(S155:Z155)</f>
        <v>49.844999999999999</v>
      </c>
      <c r="S155" s="1">
        <f>IF($AB155=TRUE,D155*S$2,D155*S$1)</f>
        <v>0</v>
      </c>
      <c r="T155" s="1">
        <f>IF($AB155=TRUE,E155*T$2,E155*T$1)</f>
        <v>24</v>
      </c>
      <c r="U155" s="1">
        <f>IF($AB155=TRUE,F155*U$2,F155*U$1)</f>
        <v>24</v>
      </c>
      <c r="V155" s="1">
        <f>IF($AB155=TRUE,J155*V$2,J155*V$1)</f>
        <v>0</v>
      </c>
      <c r="W155" s="1">
        <f>IF($AB155=TRUE,P155*W$2/100,P155*W$1/100)</f>
        <v>0.84499999999999997</v>
      </c>
      <c r="X155" s="1">
        <f>IF($AB155=TRUE,I155*X$2,I155*X$1)</f>
        <v>0</v>
      </c>
      <c r="Y155" s="1">
        <f>IF($AB155=TRUE,N155*Y$2,N155*Y$1)</f>
        <v>1</v>
      </c>
      <c r="Z155" s="1">
        <f>IF($AB155=TRUE,-H155*Z$2,-H155*Z$1)</f>
        <v>0</v>
      </c>
      <c r="AA155" s="2">
        <f>Q155-R155</f>
        <v>-0.14499999999999602</v>
      </c>
      <c r="AB155" s="1" t="b">
        <f>IF(G155=TRUE,IF(LEN(A155)&lt;5,TRUE,FALSE),FALSE)</f>
        <v>0</v>
      </c>
    </row>
    <row r="156" spans="1:28" hidden="1" x14ac:dyDescent="0.3">
      <c r="A156" t="s">
        <v>25</v>
      </c>
      <c r="B156" t="s">
        <v>373</v>
      </c>
      <c r="C156" t="s">
        <v>374</v>
      </c>
      <c r="D156">
        <v>1.8</v>
      </c>
      <c r="E156">
        <v>78.3</v>
      </c>
      <c r="F156">
        <v>4.2</v>
      </c>
      <c r="G156" t="b">
        <v>0</v>
      </c>
      <c r="H156">
        <v>0</v>
      </c>
      <c r="I156">
        <v>0</v>
      </c>
      <c r="J156">
        <v>0</v>
      </c>
      <c r="K156">
        <v>49.6</v>
      </c>
      <c r="L156" t="s">
        <v>375</v>
      </c>
      <c r="N156">
        <v>1</v>
      </c>
      <c r="O156">
        <v>0</v>
      </c>
      <c r="P156">
        <v>38.799999999999997</v>
      </c>
      <c r="Q156">
        <f>K156</f>
        <v>49.6</v>
      </c>
      <c r="R156" s="1">
        <f>SUM(S156:Z156)</f>
        <v>49.49</v>
      </c>
      <c r="S156" s="1">
        <f>IF($AB156=TRUE,D156*S$2,D156*S$1)</f>
        <v>3.6</v>
      </c>
      <c r="T156" s="1">
        <f>IF($AB156=TRUE,E156*T$2,E156*T$1)</f>
        <v>31.32</v>
      </c>
      <c r="U156" s="1">
        <f>IF($AB156=TRUE,F156*U$2,F156*U$1)</f>
        <v>12.600000000000001</v>
      </c>
      <c r="V156" s="1">
        <f>IF($AB156=TRUE,J156*V$2,J156*V$1)</f>
        <v>0</v>
      </c>
      <c r="W156" s="1">
        <f>IF($AB156=TRUE,P156*W$2/100,P156*W$1/100)</f>
        <v>0.97</v>
      </c>
      <c r="X156" s="1">
        <f>IF($AB156=TRUE,I156*X$2,I156*X$1)</f>
        <v>0</v>
      </c>
      <c r="Y156" s="1">
        <f>IF($AB156=TRUE,N156*Y$2,N156*Y$1)</f>
        <v>1</v>
      </c>
      <c r="Z156" s="1">
        <f>IF($AB156=TRUE,-H156*Z$2,-H156*Z$1)</f>
        <v>0</v>
      </c>
      <c r="AA156" s="2">
        <f>Q156-R156</f>
        <v>0.10999999999999943</v>
      </c>
      <c r="AB156" s="1" t="b">
        <f>IF(G156=TRUE,IF(LEN(A156)&lt;5,TRUE,FALSE),FALSE)</f>
        <v>0</v>
      </c>
    </row>
    <row r="157" spans="1:28" hidden="1" x14ac:dyDescent="0.3">
      <c r="A157" t="s">
        <v>40</v>
      </c>
      <c r="B157" t="s">
        <v>427</v>
      </c>
      <c r="C157" t="s">
        <v>428</v>
      </c>
      <c r="D157">
        <v>0</v>
      </c>
      <c r="E157">
        <v>25</v>
      </c>
      <c r="F157">
        <v>12.7</v>
      </c>
      <c r="G157" t="b">
        <v>0</v>
      </c>
      <c r="H157">
        <v>0</v>
      </c>
      <c r="I157">
        <v>0</v>
      </c>
      <c r="J157">
        <v>0</v>
      </c>
      <c r="K157">
        <v>49.6</v>
      </c>
      <c r="L157" t="s">
        <v>429</v>
      </c>
      <c r="N157">
        <v>1</v>
      </c>
      <c r="O157">
        <v>0</v>
      </c>
      <c r="P157">
        <v>25.7</v>
      </c>
      <c r="Q157">
        <f>K157</f>
        <v>49.6</v>
      </c>
      <c r="R157" s="1">
        <f>SUM(S157:Z157)</f>
        <v>49.742499999999993</v>
      </c>
      <c r="S157" s="1">
        <f>IF($AB157=TRUE,D157*S$2,D157*S$1)</f>
        <v>0</v>
      </c>
      <c r="T157" s="1">
        <f>IF($AB157=TRUE,E157*T$2,E157*T$1)</f>
        <v>10</v>
      </c>
      <c r="U157" s="1">
        <f>IF($AB157=TRUE,F157*U$2,F157*U$1)</f>
        <v>38.099999999999994</v>
      </c>
      <c r="V157" s="1">
        <f>IF($AB157=TRUE,J157*V$2,J157*V$1)</f>
        <v>0</v>
      </c>
      <c r="W157" s="1">
        <f>IF($AB157=TRUE,P157*W$2/100,P157*W$1/100)</f>
        <v>0.64249999999999996</v>
      </c>
      <c r="X157" s="1">
        <f>IF($AB157=TRUE,I157*X$2,I157*X$1)</f>
        <v>0</v>
      </c>
      <c r="Y157" s="1">
        <f>IF($AB157=TRUE,N157*Y$2,N157*Y$1)</f>
        <v>1</v>
      </c>
      <c r="Z157" s="1">
        <f>IF($AB157=TRUE,-H157*Z$2,-H157*Z$1)</f>
        <v>0</v>
      </c>
      <c r="AA157" s="2">
        <f>Q157-R157</f>
        <v>-0.14249999999999119</v>
      </c>
      <c r="AB157" s="1" t="b">
        <f>IF(G157=TRUE,IF(LEN(A157)&lt;5,TRUE,FALSE),FALSE)</f>
        <v>0</v>
      </c>
    </row>
    <row r="158" spans="1:28" hidden="1" x14ac:dyDescent="0.3">
      <c r="A158" t="s">
        <v>40</v>
      </c>
      <c r="B158" t="s">
        <v>376</v>
      </c>
      <c r="C158" t="s">
        <v>377</v>
      </c>
      <c r="D158">
        <v>0</v>
      </c>
      <c r="E158">
        <v>60</v>
      </c>
      <c r="F158">
        <v>8</v>
      </c>
      <c r="G158" t="b">
        <v>0</v>
      </c>
      <c r="H158">
        <v>0</v>
      </c>
      <c r="I158">
        <v>0</v>
      </c>
      <c r="J158">
        <v>0</v>
      </c>
      <c r="K158">
        <v>49.6</v>
      </c>
      <c r="L158" t="s">
        <v>378</v>
      </c>
      <c r="N158">
        <v>1</v>
      </c>
      <c r="O158">
        <v>0</v>
      </c>
      <c r="P158">
        <v>27.9</v>
      </c>
      <c r="Q158">
        <f>K158</f>
        <v>49.6</v>
      </c>
      <c r="R158" s="1">
        <f>SUM(S158:Z158)</f>
        <v>49.697499999999998</v>
      </c>
      <c r="S158" s="1">
        <f>IF($AB158=TRUE,D158*S$2,D158*S$1)</f>
        <v>0</v>
      </c>
      <c r="T158" s="1">
        <f>IF($AB158=TRUE,E158*T$2,E158*T$1)</f>
        <v>24</v>
      </c>
      <c r="U158" s="1">
        <f>IF($AB158=TRUE,F158*U$2,F158*U$1)</f>
        <v>24</v>
      </c>
      <c r="V158" s="1">
        <f>IF($AB158=TRUE,J158*V$2,J158*V$1)</f>
        <v>0</v>
      </c>
      <c r="W158" s="1">
        <f>IF($AB158=TRUE,P158*W$2/100,P158*W$1/100)</f>
        <v>0.69750000000000001</v>
      </c>
      <c r="X158" s="1">
        <f>IF($AB158=TRUE,I158*X$2,I158*X$1)</f>
        <v>0</v>
      </c>
      <c r="Y158" s="1">
        <f>IF($AB158=TRUE,N158*Y$2,N158*Y$1)</f>
        <v>1</v>
      </c>
      <c r="Z158" s="1">
        <f>IF($AB158=TRUE,-H158*Z$2,-H158*Z$1)</f>
        <v>0</v>
      </c>
      <c r="AA158" s="2">
        <f>Q158-R158</f>
        <v>-9.7499999999996589E-2</v>
      </c>
      <c r="AB158" s="1" t="b">
        <f>IF(G158=TRUE,IF(LEN(A158)&lt;5,TRUE,FALSE),FALSE)</f>
        <v>0</v>
      </c>
    </row>
    <row r="159" spans="1:28" hidden="1" x14ac:dyDescent="0.3">
      <c r="A159" t="s">
        <v>18</v>
      </c>
      <c r="B159" t="s">
        <v>379</v>
      </c>
      <c r="C159" t="s">
        <v>380</v>
      </c>
      <c r="D159">
        <v>0</v>
      </c>
      <c r="E159">
        <v>70.599999999999994</v>
      </c>
      <c r="F159">
        <v>6.7</v>
      </c>
      <c r="G159" t="b">
        <v>0</v>
      </c>
      <c r="H159">
        <v>0</v>
      </c>
      <c r="I159">
        <v>0</v>
      </c>
      <c r="J159">
        <v>0</v>
      </c>
      <c r="K159">
        <v>49.6</v>
      </c>
      <c r="L159" t="s">
        <v>381</v>
      </c>
      <c r="N159">
        <v>1</v>
      </c>
      <c r="O159">
        <v>0</v>
      </c>
      <c r="P159">
        <v>13.1</v>
      </c>
      <c r="Q159">
        <f>K159</f>
        <v>49.6</v>
      </c>
      <c r="R159" s="1">
        <f>SUM(S159:Z159)</f>
        <v>49.667500000000004</v>
      </c>
      <c r="S159" s="1">
        <f>IF($AB159=TRUE,D159*S$2,D159*S$1)</f>
        <v>0</v>
      </c>
      <c r="T159" s="1">
        <f>IF($AB159=TRUE,E159*T$2,E159*T$1)</f>
        <v>28.24</v>
      </c>
      <c r="U159" s="1">
        <f>IF($AB159=TRUE,F159*U$2,F159*U$1)</f>
        <v>20.100000000000001</v>
      </c>
      <c r="V159" s="1">
        <f>IF($AB159=TRUE,J159*V$2,J159*V$1)</f>
        <v>0</v>
      </c>
      <c r="W159" s="1">
        <f>IF($AB159=TRUE,P159*W$2/100,P159*W$1/100)</f>
        <v>0.32750000000000001</v>
      </c>
      <c r="X159" s="1">
        <f>IF($AB159=TRUE,I159*X$2,I159*X$1)</f>
        <v>0</v>
      </c>
      <c r="Y159" s="1">
        <f>IF($AB159=TRUE,N159*Y$2,N159*Y$1)</f>
        <v>1</v>
      </c>
      <c r="Z159" s="1">
        <f>IF($AB159=TRUE,-H159*Z$2,-H159*Z$1)</f>
        <v>0</v>
      </c>
      <c r="AA159" s="2">
        <f>Q159-R159</f>
        <v>-6.7500000000002558E-2</v>
      </c>
      <c r="AB159" s="1" t="b">
        <f>IF(G159=TRUE,IF(LEN(A159)&lt;5,TRUE,FALSE),FALSE)</f>
        <v>0</v>
      </c>
    </row>
    <row r="160" spans="1:28" hidden="1" x14ac:dyDescent="0.3">
      <c r="A160" t="s">
        <v>18</v>
      </c>
      <c r="B160" t="s">
        <v>382</v>
      </c>
      <c r="C160" t="s">
        <v>383</v>
      </c>
      <c r="D160">
        <v>0</v>
      </c>
      <c r="E160">
        <v>70.599999999999994</v>
      </c>
      <c r="F160">
        <v>6.7</v>
      </c>
      <c r="G160" t="b">
        <v>0</v>
      </c>
      <c r="H160">
        <v>0</v>
      </c>
      <c r="I160">
        <v>0</v>
      </c>
      <c r="J160">
        <v>0</v>
      </c>
      <c r="K160">
        <v>49.6</v>
      </c>
      <c r="L160" t="s">
        <v>384</v>
      </c>
      <c r="N160">
        <v>1</v>
      </c>
      <c r="O160">
        <v>0</v>
      </c>
      <c r="P160">
        <v>17.3</v>
      </c>
      <c r="Q160">
        <f>K160</f>
        <v>49.6</v>
      </c>
      <c r="R160" s="1">
        <f>SUM(S160:Z160)</f>
        <v>49.772500000000001</v>
      </c>
      <c r="S160" s="1">
        <f>IF($AB160=TRUE,D160*S$2,D160*S$1)</f>
        <v>0</v>
      </c>
      <c r="T160" s="1">
        <f>IF($AB160=TRUE,E160*T$2,E160*T$1)</f>
        <v>28.24</v>
      </c>
      <c r="U160" s="1">
        <f>IF($AB160=TRUE,F160*U$2,F160*U$1)</f>
        <v>20.100000000000001</v>
      </c>
      <c r="V160" s="1">
        <f>IF($AB160=TRUE,J160*V$2,J160*V$1)</f>
        <v>0</v>
      </c>
      <c r="W160" s="1">
        <f>IF($AB160=TRUE,P160*W$2/100,P160*W$1/100)</f>
        <v>0.4325</v>
      </c>
      <c r="X160" s="1">
        <f>IF($AB160=TRUE,I160*X$2,I160*X$1)</f>
        <v>0</v>
      </c>
      <c r="Y160" s="1">
        <f>IF($AB160=TRUE,N160*Y$2,N160*Y$1)</f>
        <v>1</v>
      </c>
      <c r="Z160" s="1">
        <f>IF($AB160=TRUE,-H160*Z$2,-H160*Z$1)</f>
        <v>0</v>
      </c>
      <c r="AA160" s="2">
        <f>Q160-R160</f>
        <v>-0.17249999999999943</v>
      </c>
      <c r="AB160" s="1" t="b">
        <f>IF(G160=TRUE,IF(LEN(A160)&lt;5,TRUE,FALSE),FALSE)</f>
        <v>0</v>
      </c>
    </row>
    <row r="161" spans="1:28" hidden="1" x14ac:dyDescent="0.3">
      <c r="A161" t="s">
        <v>40</v>
      </c>
      <c r="B161" t="s">
        <v>432</v>
      </c>
      <c r="C161" t="s">
        <v>433</v>
      </c>
      <c r="D161">
        <v>0</v>
      </c>
      <c r="E161">
        <v>27.3</v>
      </c>
      <c r="F161">
        <v>12.2</v>
      </c>
      <c r="G161" t="b">
        <v>0</v>
      </c>
      <c r="H161">
        <v>0</v>
      </c>
      <c r="I161">
        <v>0</v>
      </c>
      <c r="J161">
        <v>0</v>
      </c>
      <c r="K161">
        <v>49.4</v>
      </c>
      <c r="L161" t="s">
        <v>156</v>
      </c>
      <c r="N161">
        <v>1</v>
      </c>
      <c r="O161">
        <v>0</v>
      </c>
      <c r="P161">
        <v>38</v>
      </c>
      <c r="Q161">
        <f>K161</f>
        <v>49.4</v>
      </c>
      <c r="R161" s="1">
        <f>SUM(S161:Z161)</f>
        <v>49.47</v>
      </c>
      <c r="S161" s="1">
        <f>IF($AB161=TRUE,D161*S$2,D161*S$1)</f>
        <v>0</v>
      </c>
      <c r="T161" s="1">
        <f>IF($AB161=TRUE,E161*T$2,E161*T$1)</f>
        <v>10.920000000000002</v>
      </c>
      <c r="U161" s="1">
        <f>IF($AB161=TRUE,F161*U$2,F161*U$1)</f>
        <v>36.599999999999994</v>
      </c>
      <c r="V161" s="1">
        <f>IF($AB161=TRUE,J161*V$2,J161*V$1)</f>
        <v>0</v>
      </c>
      <c r="W161" s="1">
        <f>IF($AB161=TRUE,P161*W$2/100,P161*W$1/100)</f>
        <v>0.95</v>
      </c>
      <c r="X161" s="1">
        <f>IF($AB161=TRUE,I161*X$2,I161*X$1)</f>
        <v>0</v>
      </c>
      <c r="Y161" s="1">
        <f>IF($AB161=TRUE,N161*Y$2,N161*Y$1)</f>
        <v>1</v>
      </c>
      <c r="Z161" s="1">
        <f>IF($AB161=TRUE,-H161*Z$2,-H161*Z$1)</f>
        <v>0</v>
      </c>
      <c r="AA161" s="2">
        <f>Q161-R161</f>
        <v>-7.0000000000000284E-2</v>
      </c>
      <c r="AB161" s="1" t="b">
        <f>IF(G161=TRUE,IF(LEN(A161)&lt;5,TRUE,FALSE),FALSE)</f>
        <v>0</v>
      </c>
    </row>
    <row r="162" spans="1:28" hidden="1" x14ac:dyDescent="0.3">
      <c r="A162" t="s">
        <v>18</v>
      </c>
      <c r="B162" t="s">
        <v>434</v>
      </c>
      <c r="C162" t="s">
        <v>435</v>
      </c>
      <c r="D162">
        <v>0</v>
      </c>
      <c r="E162">
        <v>62.5</v>
      </c>
      <c r="F162">
        <v>7.7</v>
      </c>
      <c r="G162" t="b">
        <v>0</v>
      </c>
      <c r="H162">
        <v>0</v>
      </c>
      <c r="I162">
        <v>0</v>
      </c>
      <c r="J162">
        <v>0</v>
      </c>
      <c r="K162">
        <v>49.4</v>
      </c>
      <c r="L162" t="s">
        <v>51</v>
      </c>
      <c r="N162">
        <v>1</v>
      </c>
      <c r="O162">
        <v>0</v>
      </c>
      <c r="P162">
        <v>16.399999999999999</v>
      </c>
      <c r="Q162">
        <f>K162</f>
        <v>49.4</v>
      </c>
      <c r="R162" s="1">
        <f>SUM(S162:Z162)</f>
        <v>49.51</v>
      </c>
      <c r="S162" s="1">
        <f>IF($AB162=TRUE,D162*S$2,D162*S$1)</f>
        <v>0</v>
      </c>
      <c r="T162" s="1">
        <f>IF($AB162=TRUE,E162*T$2,E162*T$1)</f>
        <v>25</v>
      </c>
      <c r="U162" s="1">
        <f>IF($AB162=TRUE,F162*U$2,F162*U$1)</f>
        <v>23.1</v>
      </c>
      <c r="V162" s="1">
        <f>IF($AB162=TRUE,J162*V$2,J162*V$1)</f>
        <v>0</v>
      </c>
      <c r="W162" s="1">
        <f>IF($AB162=TRUE,P162*W$2/100,P162*W$1/100)</f>
        <v>0.41</v>
      </c>
      <c r="X162" s="1">
        <f>IF($AB162=TRUE,I162*X$2,I162*X$1)</f>
        <v>0</v>
      </c>
      <c r="Y162" s="1">
        <f>IF($AB162=TRUE,N162*Y$2,N162*Y$1)</f>
        <v>1</v>
      </c>
      <c r="Z162" s="1">
        <f>IF($AB162=TRUE,-H162*Z$2,-H162*Z$1)</f>
        <v>0</v>
      </c>
      <c r="AA162" s="2">
        <f>Q162-R162</f>
        <v>-0.10999999999999943</v>
      </c>
      <c r="AB162" s="1" t="b">
        <f>IF(G162=TRUE,IF(LEN(A162)&lt;5,TRUE,FALSE),FALSE)</f>
        <v>0</v>
      </c>
    </row>
    <row r="163" spans="1:28" hidden="1" x14ac:dyDescent="0.3">
      <c r="A163" t="s">
        <v>18</v>
      </c>
      <c r="B163" t="s">
        <v>438</v>
      </c>
      <c r="C163" t="s">
        <v>439</v>
      </c>
      <c r="D163">
        <v>0</v>
      </c>
      <c r="E163">
        <v>29.3</v>
      </c>
      <c r="F163">
        <v>12</v>
      </c>
      <c r="G163" t="b">
        <v>0</v>
      </c>
      <c r="H163">
        <v>0</v>
      </c>
      <c r="I163">
        <v>0</v>
      </c>
      <c r="J163">
        <v>0</v>
      </c>
      <c r="K163">
        <v>49.3</v>
      </c>
      <c r="L163" t="s">
        <v>390</v>
      </c>
      <c r="N163">
        <v>1</v>
      </c>
      <c r="O163">
        <v>0</v>
      </c>
      <c r="P163">
        <v>25</v>
      </c>
      <c r="Q163">
        <f>K163</f>
        <v>49.3</v>
      </c>
      <c r="R163" s="1">
        <f>SUM(S163:Z163)</f>
        <v>49.344999999999999</v>
      </c>
      <c r="S163" s="1">
        <f>IF($AB163=TRUE,D163*S$2,D163*S$1)</f>
        <v>0</v>
      </c>
      <c r="T163" s="1">
        <f>IF($AB163=TRUE,E163*T$2,E163*T$1)</f>
        <v>11.72</v>
      </c>
      <c r="U163" s="1">
        <f>IF($AB163=TRUE,F163*U$2,F163*U$1)</f>
        <v>36</v>
      </c>
      <c r="V163" s="1">
        <f>IF($AB163=TRUE,J163*V$2,J163*V$1)</f>
        <v>0</v>
      </c>
      <c r="W163" s="1">
        <f>IF($AB163=TRUE,P163*W$2/100,P163*W$1/100)</f>
        <v>0.625</v>
      </c>
      <c r="X163" s="1">
        <f>IF($AB163=TRUE,I163*X$2,I163*X$1)</f>
        <v>0</v>
      </c>
      <c r="Y163" s="1">
        <f>IF($AB163=TRUE,N163*Y$2,N163*Y$1)</f>
        <v>1</v>
      </c>
      <c r="Z163" s="1">
        <f>IF($AB163=TRUE,-H163*Z$2,-H163*Z$1)</f>
        <v>0</v>
      </c>
      <c r="AA163" s="2">
        <f>Q163-R163</f>
        <v>-4.5000000000001705E-2</v>
      </c>
      <c r="AB163" s="1" t="b">
        <f>IF(G163=TRUE,IF(LEN(A163)&lt;5,TRUE,FALSE),FALSE)</f>
        <v>0</v>
      </c>
    </row>
    <row r="164" spans="1:28" hidden="1" x14ac:dyDescent="0.3">
      <c r="A164" t="s">
        <v>18</v>
      </c>
      <c r="B164" t="s">
        <v>391</v>
      </c>
      <c r="C164" t="s">
        <v>20</v>
      </c>
      <c r="D164">
        <v>0</v>
      </c>
      <c r="E164">
        <v>90.9</v>
      </c>
      <c r="F164">
        <v>3.5</v>
      </c>
      <c r="G164" t="b">
        <v>0</v>
      </c>
      <c r="H164">
        <v>0</v>
      </c>
      <c r="I164">
        <v>1</v>
      </c>
      <c r="J164">
        <v>0</v>
      </c>
      <c r="K164">
        <v>49.2</v>
      </c>
      <c r="L164" t="s">
        <v>392</v>
      </c>
      <c r="N164">
        <v>1</v>
      </c>
      <c r="O164">
        <v>0</v>
      </c>
      <c r="P164">
        <v>11.8</v>
      </c>
      <c r="Q164">
        <f>K164</f>
        <v>49.2</v>
      </c>
      <c r="R164" s="1">
        <f>SUM(S164:Z164)</f>
        <v>49.155000000000008</v>
      </c>
      <c r="S164" s="1">
        <f>IF($AB164=TRUE,D164*S$2,D164*S$1)</f>
        <v>0</v>
      </c>
      <c r="T164" s="1">
        <f>IF($AB164=TRUE,E164*T$2,E164*T$1)</f>
        <v>36.360000000000007</v>
      </c>
      <c r="U164" s="1">
        <f>IF($AB164=TRUE,F164*U$2,F164*U$1)</f>
        <v>10.5</v>
      </c>
      <c r="V164" s="1">
        <f>IF($AB164=TRUE,J164*V$2,J164*V$1)</f>
        <v>0</v>
      </c>
      <c r="W164" s="1">
        <f>IF($AB164=TRUE,P164*W$2/100,P164*W$1/100)</f>
        <v>0.29499999999999998</v>
      </c>
      <c r="X164" s="1">
        <f>IF($AB164=TRUE,I164*X$2,I164*X$1)</f>
        <v>1</v>
      </c>
      <c r="Y164" s="1">
        <f>IF($AB164=TRUE,N164*Y$2,N164*Y$1)</f>
        <v>1</v>
      </c>
      <c r="Z164" s="1">
        <f>IF($AB164=TRUE,-H164*Z$2,-H164*Z$1)</f>
        <v>0</v>
      </c>
      <c r="AA164" s="2">
        <f>Q164-R164</f>
        <v>4.49999999999946E-2</v>
      </c>
      <c r="AB164" s="1" t="b">
        <f>IF(G164=TRUE,IF(LEN(A164)&lt;5,TRUE,FALSE),FALSE)</f>
        <v>0</v>
      </c>
    </row>
    <row r="165" spans="1:28" hidden="1" x14ac:dyDescent="0.3">
      <c r="A165" t="s">
        <v>18</v>
      </c>
      <c r="B165" t="s">
        <v>395</v>
      </c>
      <c r="C165" t="s">
        <v>396</v>
      </c>
      <c r="D165">
        <v>0</v>
      </c>
      <c r="E165">
        <v>66.7</v>
      </c>
      <c r="F165">
        <v>7</v>
      </c>
      <c r="G165" t="b">
        <v>0</v>
      </c>
      <c r="H165">
        <v>0</v>
      </c>
      <c r="I165">
        <v>0</v>
      </c>
      <c r="J165">
        <v>0</v>
      </c>
      <c r="K165">
        <v>49.1</v>
      </c>
      <c r="L165" t="s">
        <v>141</v>
      </c>
      <c r="N165">
        <v>1</v>
      </c>
      <c r="O165">
        <v>0</v>
      </c>
      <c r="P165">
        <v>13</v>
      </c>
      <c r="Q165">
        <f>K165</f>
        <v>49.1</v>
      </c>
      <c r="R165" s="1">
        <f>SUM(S165:Z165)</f>
        <v>49.00500000000001</v>
      </c>
      <c r="S165" s="1">
        <f>IF($AB165=TRUE,D165*S$2,D165*S$1)</f>
        <v>0</v>
      </c>
      <c r="T165" s="1">
        <f>IF($AB165=TRUE,E165*T$2,E165*T$1)</f>
        <v>26.680000000000003</v>
      </c>
      <c r="U165" s="1">
        <f>IF($AB165=TRUE,F165*U$2,F165*U$1)</f>
        <v>21</v>
      </c>
      <c r="V165" s="1">
        <f>IF($AB165=TRUE,J165*V$2,J165*V$1)</f>
        <v>0</v>
      </c>
      <c r="W165" s="1">
        <f>IF($AB165=TRUE,P165*W$2/100,P165*W$1/100)</f>
        <v>0.32500000000000001</v>
      </c>
      <c r="X165" s="1">
        <f>IF($AB165=TRUE,I165*X$2,I165*X$1)</f>
        <v>0</v>
      </c>
      <c r="Y165" s="1">
        <f>IF($AB165=TRUE,N165*Y$2,N165*Y$1)</f>
        <v>1</v>
      </c>
      <c r="Z165" s="1">
        <f>IF($AB165=TRUE,-H165*Z$2,-H165*Z$1)</f>
        <v>0</v>
      </c>
      <c r="AA165" s="2">
        <f>Q165-R165</f>
        <v>9.4999999999991758E-2</v>
      </c>
      <c r="AB165" s="1" t="b">
        <f>IF(G165=TRUE,IF(LEN(A165)&lt;5,TRUE,FALSE),FALSE)</f>
        <v>0</v>
      </c>
    </row>
    <row r="166" spans="1:28" hidden="1" x14ac:dyDescent="0.3">
      <c r="A166" t="s">
        <v>18</v>
      </c>
      <c r="B166" t="s">
        <v>341</v>
      </c>
      <c r="C166" t="s">
        <v>18</v>
      </c>
      <c r="D166">
        <v>0</v>
      </c>
      <c r="E166">
        <v>100</v>
      </c>
      <c r="F166">
        <v>2.2000000000000002</v>
      </c>
      <c r="G166" t="b">
        <v>0</v>
      </c>
      <c r="H166">
        <v>0</v>
      </c>
      <c r="I166">
        <v>1</v>
      </c>
      <c r="J166">
        <v>0</v>
      </c>
      <c r="K166">
        <v>49</v>
      </c>
      <c r="L166" t="s">
        <v>83</v>
      </c>
      <c r="N166">
        <v>1</v>
      </c>
      <c r="O166">
        <v>0</v>
      </c>
      <c r="P166">
        <v>12.3</v>
      </c>
      <c r="Q166">
        <f>K166</f>
        <v>49</v>
      </c>
      <c r="R166" s="1">
        <f>SUM(S166:Z166)</f>
        <v>48.907499999999999</v>
      </c>
      <c r="S166" s="1">
        <f>IF($AB166=TRUE,D166*S$2,D166*S$1)</f>
        <v>0</v>
      </c>
      <c r="T166" s="1">
        <f>IF($AB166=TRUE,E166*T$2,E166*T$1)</f>
        <v>40</v>
      </c>
      <c r="U166" s="1">
        <f>IF($AB166=TRUE,F166*U$2,F166*U$1)</f>
        <v>6.6000000000000005</v>
      </c>
      <c r="V166" s="1">
        <f>IF($AB166=TRUE,J166*V$2,J166*V$1)</f>
        <v>0</v>
      </c>
      <c r="W166" s="1">
        <f>IF($AB166=TRUE,P166*W$2/100,P166*W$1/100)</f>
        <v>0.3075</v>
      </c>
      <c r="X166" s="1">
        <f>IF($AB166=TRUE,I166*X$2,I166*X$1)</f>
        <v>1</v>
      </c>
      <c r="Y166" s="1">
        <f>IF($AB166=TRUE,N166*Y$2,N166*Y$1)</f>
        <v>1</v>
      </c>
      <c r="Z166" s="1">
        <f>IF($AB166=TRUE,-H166*Z$2,-H166*Z$1)</f>
        <v>0</v>
      </c>
      <c r="AA166" s="2">
        <f>Q166-R166</f>
        <v>9.2500000000001137E-2</v>
      </c>
      <c r="AB166" s="1" t="b">
        <f>IF(G166=TRUE,IF(LEN(A166)&lt;5,TRUE,FALSE),FALSE)</f>
        <v>0</v>
      </c>
    </row>
    <row r="167" spans="1:28" hidden="1" x14ac:dyDescent="0.3">
      <c r="A167" t="s">
        <v>18</v>
      </c>
      <c r="B167" t="s">
        <v>443</v>
      </c>
      <c r="C167" t="s">
        <v>444</v>
      </c>
      <c r="D167">
        <v>0</v>
      </c>
      <c r="E167">
        <v>75</v>
      </c>
      <c r="F167">
        <v>5.8</v>
      </c>
      <c r="G167" t="b">
        <v>0</v>
      </c>
      <c r="H167">
        <v>0</v>
      </c>
      <c r="I167">
        <v>0</v>
      </c>
      <c r="J167">
        <v>0</v>
      </c>
      <c r="K167">
        <v>48.8</v>
      </c>
      <c r="L167" t="s">
        <v>116</v>
      </c>
      <c r="N167">
        <v>1</v>
      </c>
      <c r="O167">
        <v>0</v>
      </c>
      <c r="P167">
        <v>21.7</v>
      </c>
      <c r="Q167">
        <f>K167</f>
        <v>48.8</v>
      </c>
      <c r="R167" s="1">
        <f>SUM(S167:Z167)</f>
        <v>48.942499999999995</v>
      </c>
      <c r="S167" s="1">
        <f>IF($AB167=TRUE,D167*S$2,D167*S$1)</f>
        <v>0</v>
      </c>
      <c r="T167" s="1">
        <f>IF($AB167=TRUE,E167*T$2,E167*T$1)</f>
        <v>30</v>
      </c>
      <c r="U167" s="1">
        <f>IF($AB167=TRUE,F167*U$2,F167*U$1)</f>
        <v>17.399999999999999</v>
      </c>
      <c r="V167" s="1">
        <f>IF($AB167=TRUE,J167*V$2,J167*V$1)</f>
        <v>0</v>
      </c>
      <c r="W167" s="1">
        <f>IF($AB167=TRUE,P167*W$2/100,P167*W$1/100)</f>
        <v>0.54249999999999998</v>
      </c>
      <c r="X167" s="1">
        <f>IF($AB167=TRUE,I167*X$2,I167*X$1)</f>
        <v>0</v>
      </c>
      <c r="Y167" s="1">
        <f>IF($AB167=TRUE,N167*Y$2,N167*Y$1)</f>
        <v>1</v>
      </c>
      <c r="Z167" s="1">
        <f>IF($AB167=TRUE,-H167*Z$2,-H167*Z$1)</f>
        <v>0</v>
      </c>
      <c r="AA167" s="2">
        <f>Q167-R167</f>
        <v>-0.14249999999999829</v>
      </c>
      <c r="AB167" s="1" t="b">
        <f>IF(G167=TRUE,IF(LEN(A167)&lt;5,TRUE,FALSE),FALSE)</f>
        <v>0</v>
      </c>
    </row>
    <row r="168" spans="1:28" hidden="1" x14ac:dyDescent="0.3">
      <c r="A168" t="s">
        <v>40</v>
      </c>
      <c r="B168" t="s">
        <v>474</v>
      </c>
      <c r="C168" t="s">
        <v>475</v>
      </c>
      <c r="D168">
        <v>0</v>
      </c>
      <c r="E168">
        <v>26.1</v>
      </c>
      <c r="F168">
        <v>12.1</v>
      </c>
      <c r="G168" t="b">
        <v>0</v>
      </c>
      <c r="H168">
        <v>0</v>
      </c>
      <c r="I168">
        <v>0</v>
      </c>
      <c r="J168">
        <v>0</v>
      </c>
      <c r="K168">
        <v>48.2</v>
      </c>
      <c r="L168" t="s">
        <v>476</v>
      </c>
      <c r="N168">
        <v>1</v>
      </c>
      <c r="O168">
        <v>0</v>
      </c>
      <c r="P168">
        <v>20.8</v>
      </c>
      <c r="Q168">
        <f>K168</f>
        <v>48.2</v>
      </c>
      <c r="R168" s="1">
        <f>SUM(S168:Z168)</f>
        <v>48.26</v>
      </c>
      <c r="S168" s="1">
        <f>IF($AB168=TRUE,D168*S$2,D168*S$1)</f>
        <v>0</v>
      </c>
      <c r="T168" s="1">
        <f>IF($AB168=TRUE,E168*T$2,E168*T$1)</f>
        <v>10.440000000000001</v>
      </c>
      <c r="U168" s="1">
        <f>IF($AB168=TRUE,F168*U$2,F168*U$1)</f>
        <v>36.299999999999997</v>
      </c>
      <c r="V168" s="1">
        <f>IF($AB168=TRUE,J168*V$2,J168*V$1)</f>
        <v>0</v>
      </c>
      <c r="W168" s="1">
        <f>IF($AB168=TRUE,P168*W$2/100,P168*W$1/100)</f>
        <v>0.52</v>
      </c>
      <c r="X168" s="1">
        <f>IF($AB168=TRUE,I168*X$2,I168*X$1)</f>
        <v>0</v>
      </c>
      <c r="Y168" s="1">
        <f>IF($AB168=TRUE,N168*Y$2,N168*Y$1)</f>
        <v>1</v>
      </c>
      <c r="Z168" s="1">
        <f>IF($AB168=TRUE,-H168*Z$2,-H168*Z$1)</f>
        <v>0</v>
      </c>
      <c r="AA168" s="2">
        <f>Q168-R168</f>
        <v>-5.9999999999995168E-2</v>
      </c>
      <c r="AB168" s="1" t="b">
        <f>IF(G168=TRUE,IF(LEN(A168)&lt;5,TRUE,FALSE),FALSE)</f>
        <v>0</v>
      </c>
    </row>
    <row r="169" spans="1:28" hidden="1" x14ac:dyDescent="0.3">
      <c r="A169" t="s">
        <v>40</v>
      </c>
      <c r="B169" t="s">
        <v>482</v>
      </c>
      <c r="C169" t="s">
        <v>483</v>
      </c>
      <c r="D169">
        <v>0</v>
      </c>
      <c r="E169">
        <v>20</v>
      </c>
      <c r="F169">
        <v>12.8</v>
      </c>
      <c r="G169" t="b">
        <v>0</v>
      </c>
      <c r="H169">
        <v>0</v>
      </c>
      <c r="I169">
        <v>0</v>
      </c>
      <c r="J169">
        <v>0</v>
      </c>
      <c r="K169">
        <v>48.1</v>
      </c>
      <c r="L169" t="s">
        <v>484</v>
      </c>
      <c r="N169">
        <v>1</v>
      </c>
      <c r="O169">
        <v>0</v>
      </c>
      <c r="P169">
        <v>26.1</v>
      </c>
      <c r="Q169">
        <f>K169</f>
        <v>48.1</v>
      </c>
      <c r="R169" s="1">
        <f>SUM(S169:Z169)</f>
        <v>48.052500000000009</v>
      </c>
      <c r="S169" s="1">
        <f>IF($AB169=TRUE,D169*S$2,D169*S$1)</f>
        <v>0</v>
      </c>
      <c r="T169" s="1">
        <f>IF($AB169=TRUE,E169*T$2,E169*T$1)</f>
        <v>8</v>
      </c>
      <c r="U169" s="1">
        <f>IF($AB169=TRUE,F169*U$2,F169*U$1)</f>
        <v>38.400000000000006</v>
      </c>
      <c r="V169" s="1">
        <f>IF($AB169=TRUE,J169*V$2,J169*V$1)</f>
        <v>0</v>
      </c>
      <c r="W169" s="1">
        <f>IF($AB169=TRUE,P169*W$2/100,P169*W$1/100)</f>
        <v>0.65249999999999997</v>
      </c>
      <c r="X169" s="1">
        <f>IF($AB169=TRUE,I169*X$2,I169*X$1)</f>
        <v>0</v>
      </c>
      <c r="Y169" s="1">
        <f>IF($AB169=TRUE,N169*Y$2,N169*Y$1)</f>
        <v>1</v>
      </c>
      <c r="Z169" s="1">
        <f>IF($AB169=TRUE,-H169*Z$2,-H169*Z$1)</f>
        <v>0</v>
      </c>
      <c r="AA169" s="2">
        <f>Q169-R169</f>
        <v>4.7499999999992326E-2</v>
      </c>
      <c r="AB169" s="1" t="b">
        <f>IF(G169=TRUE,IF(LEN(A169)&lt;5,TRUE,FALSE),FALSE)</f>
        <v>0</v>
      </c>
    </row>
    <row r="170" spans="1:28" hidden="1" x14ac:dyDescent="0.3">
      <c r="A170" t="s">
        <v>25</v>
      </c>
      <c r="B170" t="s">
        <v>402</v>
      </c>
      <c r="C170" t="s">
        <v>403</v>
      </c>
      <c r="D170">
        <v>1.8</v>
      </c>
      <c r="E170">
        <v>60</v>
      </c>
      <c r="F170">
        <v>6.2</v>
      </c>
      <c r="G170" t="b">
        <v>0</v>
      </c>
      <c r="H170">
        <v>0</v>
      </c>
      <c r="I170">
        <v>0</v>
      </c>
      <c r="J170">
        <v>0</v>
      </c>
      <c r="K170">
        <v>48</v>
      </c>
      <c r="L170" t="s">
        <v>404</v>
      </c>
      <c r="N170">
        <v>1</v>
      </c>
      <c r="O170">
        <v>0</v>
      </c>
      <c r="P170">
        <v>26.2</v>
      </c>
      <c r="Q170">
        <f>K170</f>
        <v>48</v>
      </c>
      <c r="R170" s="1">
        <f>SUM(S170:Z170)</f>
        <v>47.855000000000004</v>
      </c>
      <c r="S170" s="1">
        <f>IF($AB170=TRUE,D170*S$2,D170*S$1)</f>
        <v>3.6</v>
      </c>
      <c r="T170" s="1">
        <f>IF($AB170=TRUE,E170*T$2,E170*T$1)</f>
        <v>24</v>
      </c>
      <c r="U170" s="1">
        <f>IF($AB170=TRUE,F170*U$2,F170*U$1)</f>
        <v>18.600000000000001</v>
      </c>
      <c r="V170" s="1">
        <f>IF($AB170=TRUE,J170*V$2,J170*V$1)</f>
        <v>0</v>
      </c>
      <c r="W170" s="1">
        <f>IF($AB170=TRUE,P170*W$2/100,P170*W$1/100)</f>
        <v>0.65500000000000003</v>
      </c>
      <c r="X170" s="1">
        <f>IF($AB170=TRUE,I170*X$2,I170*X$1)</f>
        <v>0</v>
      </c>
      <c r="Y170" s="1">
        <f>IF($AB170=TRUE,N170*Y$2,N170*Y$1)</f>
        <v>1</v>
      </c>
      <c r="Z170" s="1">
        <f>IF($AB170=TRUE,-H170*Z$2,-H170*Z$1)</f>
        <v>0</v>
      </c>
      <c r="AA170" s="2">
        <f>Q170-R170</f>
        <v>0.14499999999999602</v>
      </c>
      <c r="AB170" s="1" t="b">
        <f>IF(G170=TRUE,IF(LEN(A170)&lt;5,TRUE,FALSE),FALSE)</f>
        <v>0</v>
      </c>
    </row>
    <row r="171" spans="1:28" hidden="1" x14ac:dyDescent="0.3">
      <c r="A171" t="s">
        <v>40</v>
      </c>
      <c r="B171" t="s">
        <v>405</v>
      </c>
      <c r="C171" t="s">
        <v>406</v>
      </c>
      <c r="D171">
        <v>0</v>
      </c>
      <c r="E171">
        <v>33.299999999999997</v>
      </c>
      <c r="F171">
        <v>10.9</v>
      </c>
      <c r="G171" t="b">
        <v>0</v>
      </c>
      <c r="H171">
        <v>0</v>
      </c>
      <c r="I171">
        <v>0</v>
      </c>
      <c r="J171">
        <v>0</v>
      </c>
      <c r="K171">
        <v>47.9</v>
      </c>
      <c r="L171" t="s">
        <v>164</v>
      </c>
      <c r="N171">
        <v>1</v>
      </c>
      <c r="O171">
        <v>0</v>
      </c>
      <c r="P171">
        <v>33.799999999999997</v>
      </c>
      <c r="Q171">
        <f>K171</f>
        <v>47.9</v>
      </c>
      <c r="R171" s="1">
        <f>SUM(S171:Z171)</f>
        <v>47.865000000000002</v>
      </c>
      <c r="S171" s="1">
        <f>IF($AB171=TRUE,D171*S$2,D171*S$1)</f>
        <v>0</v>
      </c>
      <c r="T171" s="1">
        <f>IF($AB171=TRUE,E171*T$2,E171*T$1)</f>
        <v>13.32</v>
      </c>
      <c r="U171" s="1">
        <f>IF($AB171=TRUE,F171*U$2,F171*U$1)</f>
        <v>32.700000000000003</v>
      </c>
      <c r="V171" s="1">
        <f>IF($AB171=TRUE,J171*V$2,J171*V$1)</f>
        <v>0</v>
      </c>
      <c r="W171" s="1">
        <f>IF($AB171=TRUE,P171*W$2/100,P171*W$1/100)</f>
        <v>0.84499999999999997</v>
      </c>
      <c r="X171" s="1">
        <f>IF($AB171=TRUE,I171*X$2,I171*X$1)</f>
        <v>0</v>
      </c>
      <c r="Y171" s="1">
        <f>IF($AB171=TRUE,N171*Y$2,N171*Y$1)</f>
        <v>1</v>
      </c>
      <c r="Z171" s="1">
        <f>IF($AB171=TRUE,-H171*Z$2,-H171*Z$1)</f>
        <v>0</v>
      </c>
      <c r="AA171" s="2">
        <f>Q171-R171</f>
        <v>3.4999999999996589E-2</v>
      </c>
      <c r="AB171" s="1" t="b">
        <f>IF(G171=TRUE,IF(LEN(A171)&lt;5,TRUE,FALSE),FALSE)</f>
        <v>0</v>
      </c>
    </row>
    <row r="172" spans="1:28" hidden="1" x14ac:dyDescent="0.3">
      <c r="A172" t="s">
        <v>18</v>
      </c>
      <c r="B172" t="s">
        <v>485</v>
      </c>
      <c r="C172" t="s">
        <v>486</v>
      </c>
      <c r="D172">
        <v>0.5</v>
      </c>
      <c r="E172">
        <v>63.2</v>
      </c>
      <c r="F172">
        <v>7.2</v>
      </c>
      <c r="G172" t="b">
        <v>0</v>
      </c>
      <c r="H172">
        <v>0</v>
      </c>
      <c r="I172">
        <v>0</v>
      </c>
      <c r="J172">
        <v>0</v>
      </c>
      <c r="K172">
        <v>47.8</v>
      </c>
      <c r="N172">
        <v>0</v>
      </c>
      <c r="O172">
        <v>0</v>
      </c>
      <c r="P172">
        <v>0</v>
      </c>
      <c r="Q172">
        <f>K172</f>
        <v>47.8</v>
      </c>
      <c r="R172" s="1">
        <f>SUM(S172:Z172)</f>
        <v>47.88</v>
      </c>
      <c r="S172" s="1">
        <f>IF($AB172=TRUE,D172*S$2,D172*S$1)</f>
        <v>1</v>
      </c>
      <c r="T172" s="1">
        <f>IF($AB172=TRUE,E172*T$2,E172*T$1)</f>
        <v>25.28</v>
      </c>
      <c r="U172" s="1">
        <f>IF($AB172=TRUE,F172*U$2,F172*U$1)</f>
        <v>21.6</v>
      </c>
      <c r="V172" s="1">
        <f>IF($AB172=TRUE,J172*V$2,J172*V$1)</f>
        <v>0</v>
      </c>
      <c r="W172" s="1">
        <f>IF($AB172=TRUE,P172*W$2/100,P172*W$1/100)</f>
        <v>0</v>
      </c>
      <c r="X172" s="1">
        <f>IF($AB172=TRUE,I172*X$2,I172*X$1)</f>
        <v>0</v>
      </c>
      <c r="Y172" s="1">
        <f>IF($AB172=TRUE,N172*Y$2,N172*Y$1)</f>
        <v>0</v>
      </c>
      <c r="Z172" s="1">
        <f>IF($AB172=TRUE,-H172*Z$2,-H172*Z$1)</f>
        <v>0</v>
      </c>
      <c r="AA172" s="2">
        <f>Q172-R172</f>
        <v>-8.00000000000054E-2</v>
      </c>
      <c r="AB172" s="1" t="b">
        <f>IF(G172=TRUE,IF(LEN(A172)&lt;5,TRUE,FALSE),FALSE)</f>
        <v>0</v>
      </c>
    </row>
    <row r="173" spans="1:28" hidden="1" x14ac:dyDescent="0.3">
      <c r="A173" t="s">
        <v>18</v>
      </c>
      <c r="B173" t="s">
        <v>489</v>
      </c>
      <c r="C173" t="s">
        <v>490</v>
      </c>
      <c r="D173">
        <v>0</v>
      </c>
      <c r="E173">
        <v>54.5</v>
      </c>
      <c r="F173">
        <v>8</v>
      </c>
      <c r="G173" t="b">
        <v>0</v>
      </c>
      <c r="H173">
        <v>0</v>
      </c>
      <c r="I173">
        <v>0</v>
      </c>
      <c r="J173">
        <v>0</v>
      </c>
      <c r="K173">
        <v>47.3</v>
      </c>
      <c r="L173" t="s">
        <v>116</v>
      </c>
      <c r="N173">
        <v>1</v>
      </c>
      <c r="O173">
        <v>0</v>
      </c>
      <c r="P173">
        <v>21.7</v>
      </c>
      <c r="Q173">
        <f>K173</f>
        <v>47.3</v>
      </c>
      <c r="R173" s="1">
        <f>SUM(S173:Z173)</f>
        <v>47.342499999999994</v>
      </c>
      <c r="S173" s="1">
        <f>IF($AB173=TRUE,D173*S$2,D173*S$1)</f>
        <v>0</v>
      </c>
      <c r="T173" s="1">
        <f>IF($AB173=TRUE,E173*T$2,E173*T$1)</f>
        <v>21.8</v>
      </c>
      <c r="U173" s="1">
        <f>IF($AB173=TRUE,F173*U$2,F173*U$1)</f>
        <v>24</v>
      </c>
      <c r="V173" s="1">
        <f>IF($AB173=TRUE,J173*V$2,J173*V$1)</f>
        <v>0</v>
      </c>
      <c r="W173" s="1">
        <f>IF($AB173=TRUE,P173*W$2/100,P173*W$1/100)</f>
        <v>0.54249999999999998</v>
      </c>
      <c r="X173" s="1">
        <f>IF($AB173=TRUE,I173*X$2,I173*X$1)</f>
        <v>0</v>
      </c>
      <c r="Y173" s="1">
        <f>IF($AB173=TRUE,N173*Y$2,N173*Y$1)</f>
        <v>1</v>
      </c>
      <c r="Z173" s="1">
        <f>IF($AB173=TRUE,-H173*Z$2,-H173*Z$1)</f>
        <v>0</v>
      </c>
      <c r="AA173" s="2">
        <f>Q173-R173</f>
        <v>-4.2499999999996874E-2</v>
      </c>
      <c r="AB173" s="1" t="b">
        <f>IF(G173=TRUE,IF(LEN(A173)&lt;5,TRUE,FALSE),FALSE)</f>
        <v>0</v>
      </c>
    </row>
    <row r="174" spans="1:28" hidden="1" x14ac:dyDescent="0.3">
      <c r="A174" t="s">
        <v>18</v>
      </c>
      <c r="B174" t="s">
        <v>491</v>
      </c>
      <c r="C174" t="s">
        <v>492</v>
      </c>
      <c r="D174">
        <v>0</v>
      </c>
      <c r="E174">
        <v>52.2</v>
      </c>
      <c r="F174">
        <v>8.6999999999999993</v>
      </c>
      <c r="G174" t="b">
        <v>0</v>
      </c>
      <c r="H174">
        <v>0</v>
      </c>
      <c r="I174">
        <v>0</v>
      </c>
      <c r="J174">
        <v>0</v>
      </c>
      <c r="K174">
        <v>47</v>
      </c>
      <c r="N174">
        <v>0</v>
      </c>
      <c r="O174">
        <v>0</v>
      </c>
      <c r="P174">
        <v>0</v>
      </c>
      <c r="Q174">
        <f>K174</f>
        <v>47</v>
      </c>
      <c r="R174" s="1">
        <f>SUM(S174:Z174)</f>
        <v>46.980000000000004</v>
      </c>
      <c r="S174" s="1">
        <f>IF($AB174=TRUE,D174*S$2,D174*S$1)</f>
        <v>0</v>
      </c>
      <c r="T174" s="1">
        <f>IF($AB174=TRUE,E174*T$2,E174*T$1)</f>
        <v>20.880000000000003</v>
      </c>
      <c r="U174" s="1">
        <f>IF($AB174=TRUE,F174*U$2,F174*U$1)</f>
        <v>26.099999999999998</v>
      </c>
      <c r="V174" s="1">
        <f>IF($AB174=TRUE,J174*V$2,J174*V$1)</f>
        <v>0</v>
      </c>
      <c r="W174" s="1">
        <f>IF($AB174=TRUE,P174*W$2/100,P174*W$1/100)</f>
        <v>0</v>
      </c>
      <c r="X174" s="1">
        <f>IF($AB174=TRUE,I174*X$2,I174*X$1)</f>
        <v>0</v>
      </c>
      <c r="Y174" s="1">
        <f>IF($AB174=TRUE,N174*Y$2,N174*Y$1)</f>
        <v>0</v>
      </c>
      <c r="Z174" s="1">
        <f>IF($AB174=TRUE,-H174*Z$2,-H174*Z$1)</f>
        <v>0</v>
      </c>
      <c r="AA174" s="2">
        <f>Q174-R174</f>
        <v>1.9999999999996021E-2</v>
      </c>
      <c r="AB174" s="1" t="b">
        <f>IF(G174=TRUE,IF(LEN(A174)&lt;5,TRUE,FALSE),FALSE)</f>
        <v>0</v>
      </c>
    </row>
    <row r="175" spans="1:28" hidden="1" x14ac:dyDescent="0.3">
      <c r="A175" t="s">
        <v>40</v>
      </c>
      <c r="B175" t="s">
        <v>493</v>
      </c>
      <c r="C175" t="s">
        <v>494</v>
      </c>
      <c r="D175">
        <v>0</v>
      </c>
      <c r="E175">
        <v>24</v>
      </c>
      <c r="F175">
        <v>11.4</v>
      </c>
      <c r="G175" t="b">
        <v>0</v>
      </c>
      <c r="H175">
        <v>0</v>
      </c>
      <c r="I175">
        <v>0</v>
      </c>
      <c r="J175">
        <v>0</v>
      </c>
      <c r="K175">
        <v>46.9</v>
      </c>
      <c r="L175" t="s">
        <v>231</v>
      </c>
      <c r="N175">
        <v>2</v>
      </c>
      <c r="O175">
        <v>0</v>
      </c>
      <c r="P175">
        <v>42.1</v>
      </c>
      <c r="Q175">
        <f>K175</f>
        <v>46.9</v>
      </c>
      <c r="R175" s="1">
        <f>SUM(S175:Z175)</f>
        <v>46.852500000000006</v>
      </c>
      <c r="S175" s="1">
        <f>IF($AB175=TRUE,D175*S$2,D175*S$1)</f>
        <v>0</v>
      </c>
      <c r="T175" s="1">
        <f>IF($AB175=TRUE,E175*T$2,E175*T$1)</f>
        <v>9.6000000000000014</v>
      </c>
      <c r="U175" s="1">
        <f>IF($AB175=TRUE,F175*U$2,F175*U$1)</f>
        <v>34.200000000000003</v>
      </c>
      <c r="V175" s="1">
        <f>IF($AB175=TRUE,J175*V$2,J175*V$1)</f>
        <v>0</v>
      </c>
      <c r="W175" s="1">
        <f>IF($AB175=TRUE,P175*W$2/100,P175*W$1/100)</f>
        <v>1.0525</v>
      </c>
      <c r="X175" s="1">
        <f>IF($AB175=TRUE,I175*X$2,I175*X$1)</f>
        <v>0</v>
      </c>
      <c r="Y175" s="1">
        <f>IF($AB175=TRUE,N175*Y$2,N175*Y$1)</f>
        <v>2</v>
      </c>
      <c r="Z175" s="1">
        <f>IF($AB175=TRUE,-H175*Z$2,-H175*Z$1)</f>
        <v>0</v>
      </c>
      <c r="AA175" s="2">
        <f>Q175-R175</f>
        <v>4.7499999999992326E-2</v>
      </c>
      <c r="AB175" s="1" t="b">
        <f>IF(G175=TRUE,IF(LEN(A175)&lt;5,TRUE,FALSE),FALSE)</f>
        <v>0</v>
      </c>
    </row>
    <row r="176" spans="1:28" hidden="1" x14ac:dyDescent="0.3">
      <c r="A176" t="s">
        <v>18</v>
      </c>
      <c r="B176" t="s">
        <v>420</v>
      </c>
      <c r="C176" t="s">
        <v>421</v>
      </c>
      <c r="D176">
        <v>0</v>
      </c>
      <c r="E176">
        <v>75</v>
      </c>
      <c r="F176">
        <v>5.2</v>
      </c>
      <c r="G176" t="b">
        <v>0</v>
      </c>
      <c r="H176">
        <v>0</v>
      </c>
      <c r="I176">
        <v>0</v>
      </c>
      <c r="J176">
        <v>0</v>
      </c>
      <c r="K176">
        <v>46.9</v>
      </c>
      <c r="L176" t="s">
        <v>51</v>
      </c>
      <c r="N176">
        <v>1</v>
      </c>
      <c r="O176">
        <v>0</v>
      </c>
      <c r="P176">
        <v>16.399999999999999</v>
      </c>
      <c r="Q176">
        <f>K176</f>
        <v>46.9</v>
      </c>
      <c r="R176" s="1">
        <f>SUM(S176:Z176)</f>
        <v>47.01</v>
      </c>
      <c r="S176" s="1">
        <f>IF($AB176=TRUE,D176*S$2,D176*S$1)</f>
        <v>0</v>
      </c>
      <c r="T176" s="1">
        <f>IF($AB176=TRUE,E176*T$2,E176*T$1)</f>
        <v>30</v>
      </c>
      <c r="U176" s="1">
        <f>IF($AB176=TRUE,F176*U$2,F176*U$1)</f>
        <v>15.600000000000001</v>
      </c>
      <c r="V176" s="1">
        <f>IF($AB176=TRUE,J176*V$2,J176*V$1)</f>
        <v>0</v>
      </c>
      <c r="W176" s="1">
        <f>IF($AB176=TRUE,P176*W$2/100,P176*W$1/100)</f>
        <v>0.41</v>
      </c>
      <c r="X176" s="1">
        <f>IF($AB176=TRUE,I176*X$2,I176*X$1)</f>
        <v>0</v>
      </c>
      <c r="Y176" s="1">
        <f>IF($AB176=TRUE,N176*Y$2,N176*Y$1)</f>
        <v>1</v>
      </c>
      <c r="Z176" s="1">
        <f>IF($AB176=TRUE,-H176*Z$2,-H176*Z$1)</f>
        <v>0</v>
      </c>
      <c r="AA176" s="2">
        <f>Q176-R176</f>
        <v>-0.10999999999999943</v>
      </c>
      <c r="AB176" s="1" t="b">
        <f>IF(G176=TRUE,IF(LEN(A176)&lt;5,TRUE,FALSE),FALSE)</f>
        <v>0</v>
      </c>
    </row>
    <row r="177" spans="1:28" hidden="1" x14ac:dyDescent="0.3">
      <c r="A177" t="s">
        <v>25</v>
      </c>
      <c r="B177" t="s">
        <v>424</v>
      </c>
      <c r="C177" t="s">
        <v>425</v>
      </c>
      <c r="D177">
        <v>3.6</v>
      </c>
      <c r="E177">
        <v>62.1</v>
      </c>
      <c r="F177">
        <v>4.2</v>
      </c>
      <c r="G177" t="b">
        <v>0</v>
      </c>
      <c r="H177">
        <v>0</v>
      </c>
      <c r="I177">
        <v>0</v>
      </c>
      <c r="J177">
        <v>0</v>
      </c>
      <c r="K177">
        <v>46.7</v>
      </c>
      <c r="L177" t="s">
        <v>426</v>
      </c>
      <c r="N177">
        <v>1</v>
      </c>
      <c r="O177">
        <v>0</v>
      </c>
      <c r="P177">
        <v>37</v>
      </c>
      <c r="Q177">
        <f>K177</f>
        <v>46.7</v>
      </c>
      <c r="R177" s="1">
        <f>SUM(S177:Z177)</f>
        <v>46.565000000000005</v>
      </c>
      <c r="S177" s="1">
        <f>IF($AB177=TRUE,D177*S$2,D177*S$1)</f>
        <v>7.2</v>
      </c>
      <c r="T177" s="1">
        <f>IF($AB177=TRUE,E177*T$2,E177*T$1)</f>
        <v>24.840000000000003</v>
      </c>
      <c r="U177" s="1">
        <f>IF($AB177=TRUE,F177*U$2,F177*U$1)</f>
        <v>12.600000000000001</v>
      </c>
      <c r="V177" s="1">
        <f>IF($AB177=TRUE,J177*V$2,J177*V$1)</f>
        <v>0</v>
      </c>
      <c r="W177" s="1">
        <f>IF($AB177=TRUE,P177*W$2/100,P177*W$1/100)</f>
        <v>0.92500000000000004</v>
      </c>
      <c r="X177" s="1">
        <f>IF($AB177=TRUE,I177*X$2,I177*X$1)</f>
        <v>0</v>
      </c>
      <c r="Y177" s="1">
        <f>IF($AB177=TRUE,N177*Y$2,N177*Y$1)</f>
        <v>1</v>
      </c>
      <c r="Z177" s="1">
        <f>IF($AB177=TRUE,-H177*Z$2,-H177*Z$1)</f>
        <v>0</v>
      </c>
      <c r="AA177" s="2">
        <f>Q177-R177</f>
        <v>0.13499999999999801</v>
      </c>
      <c r="AB177" s="1" t="b">
        <f>IF(G177=TRUE,IF(LEN(A177)&lt;5,TRUE,FALSE),FALSE)</f>
        <v>0</v>
      </c>
    </row>
    <row r="178" spans="1:28" hidden="1" x14ac:dyDescent="0.3">
      <c r="A178" t="s">
        <v>28</v>
      </c>
      <c r="B178" t="s">
        <v>495</v>
      </c>
      <c r="C178" t="s">
        <v>496</v>
      </c>
      <c r="D178">
        <v>0</v>
      </c>
      <c r="E178">
        <v>85.7</v>
      </c>
      <c r="F178">
        <v>3.5</v>
      </c>
      <c r="G178" t="b">
        <v>0</v>
      </c>
      <c r="H178">
        <v>0</v>
      </c>
      <c r="I178">
        <v>0</v>
      </c>
      <c r="J178">
        <v>0</v>
      </c>
      <c r="K178">
        <v>46.5</v>
      </c>
      <c r="L178" t="s">
        <v>497</v>
      </c>
      <c r="N178">
        <v>1</v>
      </c>
      <c r="O178">
        <v>0</v>
      </c>
      <c r="P178">
        <v>24.7</v>
      </c>
      <c r="Q178">
        <f>K178</f>
        <v>46.5</v>
      </c>
      <c r="R178" s="1">
        <f>SUM(S178:Z178)</f>
        <v>46.397500000000001</v>
      </c>
      <c r="S178" s="1">
        <f>IF($AB178=TRUE,D178*S$2,D178*S$1)</f>
        <v>0</v>
      </c>
      <c r="T178" s="1">
        <f>IF($AB178=TRUE,E178*T$2,E178*T$1)</f>
        <v>34.28</v>
      </c>
      <c r="U178" s="1">
        <f>IF($AB178=TRUE,F178*U$2,F178*U$1)</f>
        <v>10.5</v>
      </c>
      <c r="V178" s="1">
        <f>IF($AB178=TRUE,J178*V$2,J178*V$1)</f>
        <v>0</v>
      </c>
      <c r="W178" s="1">
        <f>IF($AB178=TRUE,P178*W$2/100,P178*W$1/100)</f>
        <v>0.61750000000000005</v>
      </c>
      <c r="X178" s="1">
        <f>IF($AB178=TRUE,I178*X$2,I178*X$1)</f>
        <v>0</v>
      </c>
      <c r="Y178" s="1">
        <f>IF($AB178=TRUE,N178*Y$2,N178*Y$1)</f>
        <v>1</v>
      </c>
      <c r="Z178" s="1">
        <f>IF($AB178=TRUE,-H178*Z$2,-H178*Z$1)</f>
        <v>0</v>
      </c>
      <c r="AA178" s="2">
        <f>Q178-R178</f>
        <v>0.10249999999999915</v>
      </c>
      <c r="AB178" s="1" t="b">
        <f>IF(G178=TRUE,IF(LEN(A178)&lt;5,TRUE,FALSE),FALSE)</f>
        <v>0</v>
      </c>
    </row>
    <row r="179" spans="1:28" hidden="1" x14ac:dyDescent="0.3">
      <c r="A179" t="s">
        <v>18</v>
      </c>
      <c r="B179" t="s">
        <v>436</v>
      </c>
      <c r="C179" t="s">
        <v>20</v>
      </c>
      <c r="D179">
        <v>0</v>
      </c>
      <c r="E179">
        <v>90.9</v>
      </c>
      <c r="F179">
        <v>2.2000000000000002</v>
      </c>
      <c r="G179" t="b">
        <v>0</v>
      </c>
      <c r="H179">
        <v>0</v>
      </c>
      <c r="I179">
        <v>1</v>
      </c>
      <c r="J179">
        <v>0</v>
      </c>
      <c r="K179">
        <v>46.4</v>
      </c>
      <c r="L179" t="s">
        <v>437</v>
      </c>
      <c r="N179">
        <v>2</v>
      </c>
      <c r="O179">
        <v>0</v>
      </c>
      <c r="P179">
        <v>15.9</v>
      </c>
      <c r="Q179">
        <f>K179</f>
        <v>46.4</v>
      </c>
      <c r="R179" s="1">
        <f>SUM(S179:Z179)</f>
        <v>46.357500000000009</v>
      </c>
      <c r="S179" s="1">
        <f>IF($AB179=TRUE,D179*S$2,D179*S$1)</f>
        <v>0</v>
      </c>
      <c r="T179" s="1">
        <f>IF($AB179=TRUE,E179*T$2,E179*T$1)</f>
        <v>36.360000000000007</v>
      </c>
      <c r="U179" s="1">
        <f>IF($AB179=TRUE,F179*U$2,F179*U$1)</f>
        <v>6.6000000000000005</v>
      </c>
      <c r="V179" s="1">
        <f>IF($AB179=TRUE,J179*V$2,J179*V$1)</f>
        <v>0</v>
      </c>
      <c r="W179" s="1">
        <f>IF($AB179=TRUE,P179*W$2/100,P179*W$1/100)</f>
        <v>0.39750000000000002</v>
      </c>
      <c r="X179" s="1">
        <f>IF($AB179=TRUE,I179*X$2,I179*X$1)</f>
        <v>1</v>
      </c>
      <c r="Y179" s="1">
        <f>IF($AB179=TRUE,N179*Y$2,N179*Y$1)</f>
        <v>2</v>
      </c>
      <c r="Z179" s="1">
        <f>IF($AB179=TRUE,-H179*Z$2,-H179*Z$1)</f>
        <v>0</v>
      </c>
      <c r="AA179" s="2">
        <f>Q179-R179</f>
        <v>4.2499999999989768E-2</v>
      </c>
      <c r="AB179" s="1" t="b">
        <f>IF(G179=TRUE,IF(LEN(A179)&lt;5,TRUE,FALSE),FALSE)</f>
        <v>0</v>
      </c>
    </row>
    <row r="180" spans="1:28" hidden="1" x14ac:dyDescent="0.3">
      <c r="A180" t="s">
        <v>18</v>
      </c>
      <c r="B180" t="s">
        <v>440</v>
      </c>
      <c r="C180" t="s">
        <v>441</v>
      </c>
      <c r="D180">
        <v>0</v>
      </c>
      <c r="E180">
        <v>85.7</v>
      </c>
      <c r="F180">
        <v>3.5</v>
      </c>
      <c r="G180" t="b">
        <v>0</v>
      </c>
      <c r="H180">
        <v>0</v>
      </c>
      <c r="I180">
        <v>0</v>
      </c>
      <c r="J180">
        <v>0</v>
      </c>
      <c r="K180">
        <v>46.2</v>
      </c>
      <c r="L180" t="s">
        <v>442</v>
      </c>
      <c r="N180">
        <v>1</v>
      </c>
      <c r="O180">
        <v>0</v>
      </c>
      <c r="P180">
        <v>14</v>
      </c>
      <c r="Q180">
        <f>K180</f>
        <v>46.2</v>
      </c>
      <c r="R180" s="1">
        <f>SUM(S180:Z180)</f>
        <v>46.13</v>
      </c>
      <c r="S180" s="1">
        <f>IF($AB180=TRUE,D180*S$2,D180*S$1)</f>
        <v>0</v>
      </c>
      <c r="T180" s="1">
        <f>IF($AB180=TRUE,E180*T$2,E180*T$1)</f>
        <v>34.28</v>
      </c>
      <c r="U180" s="1">
        <f>IF($AB180=TRUE,F180*U$2,F180*U$1)</f>
        <v>10.5</v>
      </c>
      <c r="V180" s="1">
        <f>IF($AB180=TRUE,J180*V$2,J180*V$1)</f>
        <v>0</v>
      </c>
      <c r="W180" s="1">
        <f>IF($AB180=TRUE,P180*W$2/100,P180*W$1/100)</f>
        <v>0.35</v>
      </c>
      <c r="X180" s="1">
        <f>IF($AB180=TRUE,I180*X$2,I180*X$1)</f>
        <v>0</v>
      </c>
      <c r="Y180" s="1">
        <f>IF($AB180=TRUE,N180*Y$2,N180*Y$1)</f>
        <v>1</v>
      </c>
      <c r="Z180" s="1">
        <f>IF($AB180=TRUE,-H180*Z$2,-H180*Z$1)</f>
        <v>0</v>
      </c>
      <c r="AA180" s="2">
        <f>Q180-R180</f>
        <v>7.0000000000000284E-2</v>
      </c>
      <c r="AB180" s="1" t="b">
        <f>IF(G180=TRUE,IF(LEN(A180)&lt;5,TRUE,FALSE),FALSE)</f>
        <v>0</v>
      </c>
    </row>
    <row r="181" spans="1:28" hidden="1" x14ac:dyDescent="0.3">
      <c r="A181" t="s">
        <v>25</v>
      </c>
      <c r="B181" t="s">
        <v>393</v>
      </c>
      <c r="C181" t="s">
        <v>25</v>
      </c>
      <c r="D181">
        <v>1.8</v>
      </c>
      <c r="E181">
        <v>100</v>
      </c>
      <c r="F181">
        <v>0</v>
      </c>
      <c r="G181" t="b">
        <v>0</v>
      </c>
      <c r="H181">
        <v>0</v>
      </c>
      <c r="I181">
        <v>1</v>
      </c>
      <c r="J181">
        <v>0</v>
      </c>
      <c r="K181">
        <v>46.1</v>
      </c>
      <c r="L181" t="s">
        <v>394</v>
      </c>
      <c r="N181">
        <v>1</v>
      </c>
      <c r="O181">
        <v>0</v>
      </c>
      <c r="P181">
        <v>18.7</v>
      </c>
      <c r="Q181">
        <f>K181</f>
        <v>46.1</v>
      </c>
      <c r="R181" s="1">
        <f>SUM(S181:Z181)</f>
        <v>46.067500000000003</v>
      </c>
      <c r="S181" s="1">
        <f>IF($AB181=TRUE,D181*S$2,D181*S$1)</f>
        <v>3.6</v>
      </c>
      <c r="T181" s="1">
        <f>IF($AB181=TRUE,E181*T$2,E181*T$1)</f>
        <v>40</v>
      </c>
      <c r="U181" s="1">
        <f>IF($AB181=TRUE,F181*U$2,F181*U$1)</f>
        <v>0</v>
      </c>
      <c r="V181" s="1">
        <f>IF($AB181=TRUE,J181*V$2,J181*V$1)</f>
        <v>0</v>
      </c>
      <c r="W181" s="1">
        <f>IF($AB181=TRUE,P181*W$2/100,P181*W$1/100)</f>
        <v>0.46750000000000003</v>
      </c>
      <c r="X181" s="1">
        <f>IF($AB181=TRUE,I181*X$2,I181*X$1)</f>
        <v>1</v>
      </c>
      <c r="Y181" s="1">
        <f>IF($AB181=TRUE,N181*Y$2,N181*Y$1)</f>
        <v>1</v>
      </c>
      <c r="Z181" s="1">
        <f>IF($AB181=TRUE,-H181*Z$2,-H181*Z$1)</f>
        <v>0</v>
      </c>
      <c r="AA181" s="2">
        <f>Q181-R181</f>
        <v>3.2499999999998863E-2</v>
      </c>
      <c r="AB181" s="1" t="b">
        <f>IF(G181=TRUE,IF(LEN(A181)&lt;5,TRUE,FALSE),FALSE)</f>
        <v>0</v>
      </c>
    </row>
    <row r="182" spans="1:28" hidden="1" x14ac:dyDescent="0.3">
      <c r="A182" t="s">
        <v>40</v>
      </c>
      <c r="B182" t="s">
        <v>498</v>
      </c>
      <c r="C182" t="s">
        <v>499</v>
      </c>
      <c r="D182">
        <v>0</v>
      </c>
      <c r="E182">
        <v>66.7</v>
      </c>
      <c r="F182">
        <v>6.5</v>
      </c>
      <c r="G182" t="b">
        <v>0</v>
      </c>
      <c r="H182">
        <v>0</v>
      </c>
      <c r="I182">
        <v>0</v>
      </c>
      <c r="J182">
        <v>0</v>
      </c>
      <c r="K182">
        <v>46.1</v>
      </c>
      <c r="N182">
        <v>0</v>
      </c>
      <c r="O182">
        <v>0</v>
      </c>
      <c r="P182">
        <v>0</v>
      </c>
      <c r="Q182">
        <f>K182</f>
        <v>46.1</v>
      </c>
      <c r="R182" s="1">
        <f>SUM(S182:Z182)</f>
        <v>46.180000000000007</v>
      </c>
      <c r="S182" s="1">
        <f>IF($AB182=TRUE,D182*S$2,D182*S$1)</f>
        <v>0</v>
      </c>
      <c r="T182" s="1">
        <f>IF($AB182=TRUE,E182*T$2,E182*T$1)</f>
        <v>26.680000000000003</v>
      </c>
      <c r="U182" s="1">
        <f>IF($AB182=TRUE,F182*U$2,F182*U$1)</f>
        <v>19.5</v>
      </c>
      <c r="V182" s="1">
        <f>IF($AB182=TRUE,J182*V$2,J182*V$1)</f>
        <v>0</v>
      </c>
      <c r="W182" s="1">
        <f>IF($AB182=TRUE,P182*W$2/100,P182*W$1/100)</f>
        <v>0</v>
      </c>
      <c r="X182" s="1">
        <f>IF($AB182=TRUE,I182*X$2,I182*X$1)</f>
        <v>0</v>
      </c>
      <c r="Y182" s="1">
        <f>IF($AB182=TRUE,N182*Y$2,N182*Y$1)</f>
        <v>0</v>
      </c>
      <c r="Z182" s="1">
        <f>IF($AB182=TRUE,-H182*Z$2,-H182*Z$1)</f>
        <v>0</v>
      </c>
      <c r="AA182" s="2">
        <f>Q182-R182</f>
        <v>-8.00000000000054E-2</v>
      </c>
      <c r="AB182" s="1" t="b">
        <f>IF(G182=TRUE,IF(LEN(A182)&lt;5,TRUE,FALSE),FALSE)</f>
        <v>0</v>
      </c>
    </row>
    <row r="183" spans="1:28" hidden="1" x14ac:dyDescent="0.3">
      <c r="A183" t="s">
        <v>25</v>
      </c>
      <c r="B183" t="s">
        <v>500</v>
      </c>
      <c r="C183" t="s">
        <v>501</v>
      </c>
      <c r="D183">
        <v>1.8</v>
      </c>
      <c r="E183">
        <v>64.3</v>
      </c>
      <c r="F183">
        <v>5.5</v>
      </c>
      <c r="G183" t="b">
        <v>0</v>
      </c>
      <c r="H183">
        <v>0</v>
      </c>
      <c r="I183">
        <v>0</v>
      </c>
      <c r="J183">
        <v>0</v>
      </c>
      <c r="K183">
        <v>45.9</v>
      </c>
      <c r="N183">
        <v>0</v>
      </c>
      <c r="O183">
        <v>0</v>
      </c>
      <c r="P183">
        <v>0</v>
      </c>
      <c r="Q183">
        <f>K183</f>
        <v>45.9</v>
      </c>
      <c r="R183" s="1">
        <f>SUM(S183:Z183)</f>
        <v>45.82</v>
      </c>
      <c r="S183" s="1">
        <f>IF($AB183=TRUE,D183*S$2,D183*S$1)</f>
        <v>3.6</v>
      </c>
      <c r="T183" s="1">
        <f>IF($AB183=TRUE,E183*T$2,E183*T$1)</f>
        <v>25.72</v>
      </c>
      <c r="U183" s="1">
        <f>IF($AB183=TRUE,F183*U$2,F183*U$1)</f>
        <v>16.5</v>
      </c>
      <c r="V183" s="1">
        <f>IF($AB183=TRUE,J183*V$2,J183*V$1)</f>
        <v>0</v>
      </c>
      <c r="W183" s="1">
        <f>IF($AB183=TRUE,P183*W$2/100,P183*W$1/100)</f>
        <v>0</v>
      </c>
      <c r="X183" s="1">
        <f>IF($AB183=TRUE,I183*X$2,I183*X$1)</f>
        <v>0</v>
      </c>
      <c r="Y183" s="1">
        <f>IF($AB183=TRUE,N183*Y$2,N183*Y$1)</f>
        <v>0</v>
      </c>
      <c r="Z183" s="1">
        <f>IF($AB183=TRUE,-H183*Z$2,-H183*Z$1)</f>
        <v>0</v>
      </c>
      <c r="AA183" s="2">
        <f>Q183-R183</f>
        <v>7.9999999999998295E-2</v>
      </c>
      <c r="AB183" s="1" t="b">
        <f>IF(G183=TRUE,IF(LEN(A183)&lt;5,TRUE,FALSE),FALSE)</f>
        <v>0</v>
      </c>
    </row>
    <row r="184" spans="1:28" hidden="1" x14ac:dyDescent="0.3">
      <c r="A184" t="s">
        <v>18</v>
      </c>
      <c r="B184" t="s">
        <v>399</v>
      </c>
      <c r="C184" t="s">
        <v>400</v>
      </c>
      <c r="D184">
        <v>0</v>
      </c>
      <c r="E184">
        <v>90.9</v>
      </c>
      <c r="F184">
        <v>2.2000000000000002</v>
      </c>
      <c r="G184" t="b">
        <v>0</v>
      </c>
      <c r="H184">
        <v>0</v>
      </c>
      <c r="I184">
        <v>0</v>
      </c>
      <c r="J184">
        <v>0</v>
      </c>
      <c r="K184">
        <v>45.6</v>
      </c>
      <c r="L184" t="s">
        <v>401</v>
      </c>
      <c r="N184">
        <v>2</v>
      </c>
      <c r="O184">
        <v>0</v>
      </c>
      <c r="P184">
        <v>20.9</v>
      </c>
      <c r="Q184">
        <f>K184</f>
        <v>45.6</v>
      </c>
      <c r="R184" s="1">
        <f>SUM(S184:Z184)</f>
        <v>45.482500000000009</v>
      </c>
      <c r="S184" s="1">
        <f>IF($AB184=TRUE,D184*S$2,D184*S$1)</f>
        <v>0</v>
      </c>
      <c r="T184" s="1">
        <f>IF($AB184=TRUE,E184*T$2,E184*T$1)</f>
        <v>36.360000000000007</v>
      </c>
      <c r="U184" s="1">
        <f>IF($AB184=TRUE,F184*U$2,F184*U$1)</f>
        <v>6.6000000000000005</v>
      </c>
      <c r="V184" s="1">
        <f>IF($AB184=TRUE,J184*V$2,J184*V$1)</f>
        <v>0</v>
      </c>
      <c r="W184" s="1">
        <f>IF($AB184=TRUE,P184*W$2/100,P184*W$1/100)</f>
        <v>0.52249999999999996</v>
      </c>
      <c r="X184" s="1">
        <f>IF($AB184=TRUE,I184*X$2,I184*X$1)</f>
        <v>0</v>
      </c>
      <c r="Y184" s="1">
        <f>IF($AB184=TRUE,N184*Y$2,N184*Y$1)</f>
        <v>2</v>
      </c>
      <c r="Z184" s="1">
        <f>IF($AB184=TRUE,-H184*Z$2,-H184*Z$1)</f>
        <v>0</v>
      </c>
      <c r="AA184" s="2">
        <f>Q184-R184</f>
        <v>0.11749999999999261</v>
      </c>
      <c r="AB184" s="1" t="b">
        <f>IF(G184=TRUE,IF(LEN(A184)&lt;5,TRUE,FALSE),FALSE)</f>
        <v>0</v>
      </c>
    </row>
    <row r="185" spans="1:28" hidden="1" x14ac:dyDescent="0.3">
      <c r="A185" t="s">
        <v>18</v>
      </c>
      <c r="B185" t="s">
        <v>446</v>
      </c>
      <c r="C185" t="s">
        <v>20</v>
      </c>
      <c r="D185">
        <v>0</v>
      </c>
      <c r="E185">
        <v>90.9</v>
      </c>
      <c r="F185">
        <v>2.2000000000000002</v>
      </c>
      <c r="G185" t="b">
        <v>0</v>
      </c>
      <c r="H185">
        <v>0</v>
      </c>
      <c r="I185">
        <v>1</v>
      </c>
      <c r="J185">
        <v>0</v>
      </c>
      <c r="K185">
        <v>45.5</v>
      </c>
      <c r="L185" t="s">
        <v>447</v>
      </c>
      <c r="N185">
        <v>1</v>
      </c>
      <c r="O185">
        <v>0</v>
      </c>
      <c r="P185">
        <v>21.2</v>
      </c>
      <c r="Q185">
        <f>K185</f>
        <v>45.5</v>
      </c>
      <c r="R185" s="1">
        <f>SUM(S185:Z185)</f>
        <v>45.490000000000009</v>
      </c>
      <c r="S185" s="1">
        <f>IF($AB185=TRUE,D185*S$2,D185*S$1)</f>
        <v>0</v>
      </c>
      <c r="T185" s="1">
        <f>IF($AB185=TRUE,E185*T$2,E185*T$1)</f>
        <v>36.360000000000007</v>
      </c>
      <c r="U185" s="1">
        <f>IF($AB185=TRUE,F185*U$2,F185*U$1)</f>
        <v>6.6000000000000005</v>
      </c>
      <c r="V185" s="1">
        <f>IF($AB185=TRUE,J185*V$2,J185*V$1)</f>
        <v>0</v>
      </c>
      <c r="W185" s="1">
        <f>IF($AB185=TRUE,P185*W$2/100,P185*W$1/100)</f>
        <v>0.53</v>
      </c>
      <c r="X185" s="1">
        <f>IF($AB185=TRUE,I185*X$2,I185*X$1)</f>
        <v>1</v>
      </c>
      <c r="Y185" s="1">
        <f>IF($AB185=TRUE,N185*Y$2,N185*Y$1)</f>
        <v>1</v>
      </c>
      <c r="Z185" s="1">
        <f>IF($AB185=TRUE,-H185*Z$2,-H185*Z$1)</f>
        <v>0</v>
      </c>
      <c r="AA185" s="2">
        <f>Q185-R185</f>
        <v>9.9999999999909051E-3</v>
      </c>
      <c r="AB185" s="1" t="b">
        <f>IF(G185=TRUE,IF(LEN(A185)&lt;5,TRUE,FALSE),FALSE)</f>
        <v>0</v>
      </c>
    </row>
    <row r="186" spans="1:28" hidden="1" x14ac:dyDescent="0.3">
      <c r="A186" t="s">
        <v>18</v>
      </c>
      <c r="B186" t="s">
        <v>450</v>
      </c>
      <c r="C186" t="s">
        <v>20</v>
      </c>
      <c r="D186">
        <v>0</v>
      </c>
      <c r="E186">
        <v>90.9</v>
      </c>
      <c r="F186">
        <v>2.2000000000000002</v>
      </c>
      <c r="G186" t="b">
        <v>0</v>
      </c>
      <c r="H186">
        <v>0</v>
      </c>
      <c r="I186">
        <v>1</v>
      </c>
      <c r="J186">
        <v>0</v>
      </c>
      <c r="K186">
        <v>45.4</v>
      </c>
      <c r="L186" t="s">
        <v>51</v>
      </c>
      <c r="N186">
        <v>1</v>
      </c>
      <c r="O186">
        <v>0</v>
      </c>
      <c r="P186">
        <v>16.399999999999999</v>
      </c>
      <c r="Q186">
        <f>K186</f>
        <v>45.4</v>
      </c>
      <c r="R186" s="1">
        <f>SUM(S186:Z186)</f>
        <v>45.370000000000005</v>
      </c>
      <c r="S186" s="1">
        <f>IF($AB186=TRUE,D186*S$2,D186*S$1)</f>
        <v>0</v>
      </c>
      <c r="T186" s="1">
        <f>IF($AB186=TRUE,E186*T$2,E186*T$1)</f>
        <v>36.360000000000007</v>
      </c>
      <c r="U186" s="1">
        <f>IF($AB186=TRUE,F186*U$2,F186*U$1)</f>
        <v>6.6000000000000005</v>
      </c>
      <c r="V186" s="1">
        <f>IF($AB186=TRUE,J186*V$2,J186*V$1)</f>
        <v>0</v>
      </c>
      <c r="W186" s="1">
        <f>IF($AB186=TRUE,P186*W$2/100,P186*W$1/100)</f>
        <v>0.41</v>
      </c>
      <c r="X186" s="1">
        <f>IF($AB186=TRUE,I186*X$2,I186*X$1)</f>
        <v>1</v>
      </c>
      <c r="Y186" s="1">
        <f>IF($AB186=TRUE,N186*Y$2,N186*Y$1)</f>
        <v>1</v>
      </c>
      <c r="Z186" s="1">
        <f>IF($AB186=TRUE,-H186*Z$2,-H186*Z$1)</f>
        <v>0</v>
      </c>
      <c r="AA186" s="2">
        <f>Q186-R186</f>
        <v>2.9999999999994031E-2</v>
      </c>
      <c r="AB186" s="1" t="b">
        <f>IF(G186=TRUE,IF(LEN(A186)&lt;5,TRUE,FALSE),FALSE)</f>
        <v>0</v>
      </c>
    </row>
    <row r="187" spans="1:28" hidden="1" x14ac:dyDescent="0.3">
      <c r="A187" t="s">
        <v>18</v>
      </c>
      <c r="B187" t="s">
        <v>479</v>
      </c>
      <c r="C187" t="s">
        <v>480</v>
      </c>
      <c r="D187">
        <v>0</v>
      </c>
      <c r="E187">
        <v>66.7</v>
      </c>
      <c r="F187">
        <v>5.7</v>
      </c>
      <c r="G187" t="b">
        <v>0</v>
      </c>
      <c r="H187">
        <v>0</v>
      </c>
      <c r="I187">
        <v>0</v>
      </c>
      <c r="J187">
        <v>0</v>
      </c>
      <c r="K187">
        <v>45.2</v>
      </c>
      <c r="L187" t="s">
        <v>481</v>
      </c>
      <c r="N187">
        <v>1</v>
      </c>
      <c r="O187">
        <v>0</v>
      </c>
      <c r="P187">
        <v>11.7</v>
      </c>
      <c r="Q187">
        <f>K187</f>
        <v>45.2</v>
      </c>
      <c r="R187" s="1">
        <f>SUM(S187:Z187)</f>
        <v>45.072499999999998</v>
      </c>
      <c r="S187" s="1">
        <f>IF($AB187=TRUE,D187*S$2,D187*S$1)</f>
        <v>0</v>
      </c>
      <c r="T187" s="1">
        <f>IF($AB187=TRUE,E187*T$2,E187*T$1)</f>
        <v>26.680000000000003</v>
      </c>
      <c r="U187" s="1">
        <f>IF($AB187=TRUE,F187*U$2,F187*U$1)</f>
        <v>17.100000000000001</v>
      </c>
      <c r="V187" s="1">
        <f>IF($AB187=TRUE,J187*V$2,J187*V$1)</f>
        <v>0</v>
      </c>
      <c r="W187" s="1">
        <f>IF($AB187=TRUE,P187*W$2/100,P187*W$1/100)</f>
        <v>0.29249999999999998</v>
      </c>
      <c r="X187" s="1">
        <f>IF($AB187=TRUE,I187*X$2,I187*X$1)</f>
        <v>0</v>
      </c>
      <c r="Y187" s="1">
        <f>IF($AB187=TRUE,N187*Y$2,N187*Y$1)</f>
        <v>1</v>
      </c>
      <c r="Z187" s="1">
        <f>IF($AB187=TRUE,-H187*Z$2,-H187*Z$1)</f>
        <v>0</v>
      </c>
      <c r="AA187" s="2">
        <f>Q187-R187</f>
        <v>0.12750000000000483</v>
      </c>
      <c r="AB187" s="1" t="b">
        <f>IF(G187=TRUE,IF(LEN(A187)&lt;5,TRUE,FALSE),FALSE)</f>
        <v>0</v>
      </c>
    </row>
    <row r="188" spans="1:28" hidden="1" x14ac:dyDescent="0.3">
      <c r="A188" t="s">
        <v>18</v>
      </c>
      <c r="B188" t="s">
        <v>410</v>
      </c>
      <c r="C188" t="s">
        <v>18</v>
      </c>
      <c r="D188">
        <v>0</v>
      </c>
      <c r="E188">
        <v>100</v>
      </c>
      <c r="F188">
        <v>0</v>
      </c>
      <c r="G188" t="b">
        <v>0</v>
      </c>
      <c r="H188">
        <v>0</v>
      </c>
      <c r="I188">
        <v>1</v>
      </c>
      <c r="J188">
        <v>0</v>
      </c>
      <c r="K188">
        <v>44.7</v>
      </c>
      <c r="L188" t="s">
        <v>411</v>
      </c>
      <c r="N188">
        <v>3</v>
      </c>
      <c r="O188">
        <v>0</v>
      </c>
      <c r="P188">
        <v>27.8</v>
      </c>
      <c r="Q188">
        <f>K188</f>
        <v>44.7</v>
      </c>
      <c r="R188" s="1">
        <f>SUM(S188:Z188)</f>
        <v>44.695</v>
      </c>
      <c r="S188" s="1">
        <f>IF($AB188=TRUE,D188*S$2,D188*S$1)</f>
        <v>0</v>
      </c>
      <c r="T188" s="1">
        <f>IF($AB188=TRUE,E188*T$2,E188*T$1)</f>
        <v>40</v>
      </c>
      <c r="U188" s="1">
        <f>IF($AB188=TRUE,F188*U$2,F188*U$1)</f>
        <v>0</v>
      </c>
      <c r="V188" s="1">
        <f>IF($AB188=TRUE,J188*V$2,J188*V$1)</f>
        <v>0</v>
      </c>
      <c r="W188" s="1">
        <f>IF($AB188=TRUE,P188*W$2/100,P188*W$1/100)</f>
        <v>0.69499999999999995</v>
      </c>
      <c r="X188" s="1">
        <f>IF($AB188=TRUE,I188*X$2,I188*X$1)</f>
        <v>1</v>
      </c>
      <c r="Y188" s="1">
        <f>IF($AB188=TRUE,N188*Y$2,N188*Y$1)</f>
        <v>3</v>
      </c>
      <c r="Z188" s="1">
        <f>IF($AB188=TRUE,-H188*Z$2,-H188*Z$1)</f>
        <v>0</v>
      </c>
      <c r="AA188" s="2">
        <f>Q188-R188</f>
        <v>5.000000000002558E-3</v>
      </c>
      <c r="AB188" s="1" t="b">
        <f>IF(G188=TRUE,IF(LEN(A188)&lt;5,TRUE,FALSE),FALSE)</f>
        <v>0</v>
      </c>
    </row>
    <row r="189" spans="1:28" hidden="1" x14ac:dyDescent="0.3">
      <c r="A189" t="s">
        <v>40</v>
      </c>
      <c r="B189" t="s">
        <v>504</v>
      </c>
      <c r="C189" t="s">
        <v>505</v>
      </c>
      <c r="D189">
        <v>1.8</v>
      </c>
      <c r="E189">
        <v>31.6</v>
      </c>
      <c r="F189">
        <v>8.5</v>
      </c>
      <c r="G189" t="b">
        <v>0</v>
      </c>
      <c r="H189">
        <v>0</v>
      </c>
      <c r="I189">
        <v>0</v>
      </c>
      <c r="J189">
        <v>0</v>
      </c>
      <c r="K189">
        <v>44.4</v>
      </c>
      <c r="L189" t="s">
        <v>39</v>
      </c>
      <c r="N189">
        <v>2</v>
      </c>
      <c r="O189">
        <v>0</v>
      </c>
      <c r="P189">
        <v>31.4</v>
      </c>
      <c r="Q189">
        <f>K189</f>
        <v>44.4</v>
      </c>
      <c r="R189" s="1">
        <f>SUM(S189:Z189)</f>
        <v>44.524999999999999</v>
      </c>
      <c r="S189" s="1">
        <f>IF($AB189=TRUE,D189*S$2,D189*S$1)</f>
        <v>3.6</v>
      </c>
      <c r="T189" s="1">
        <f>IF($AB189=TRUE,E189*T$2,E189*T$1)</f>
        <v>12.64</v>
      </c>
      <c r="U189" s="1">
        <f>IF($AB189=TRUE,F189*U$2,F189*U$1)</f>
        <v>25.5</v>
      </c>
      <c r="V189" s="1">
        <f>IF($AB189=TRUE,J189*V$2,J189*V$1)</f>
        <v>0</v>
      </c>
      <c r="W189" s="1">
        <f>IF($AB189=TRUE,P189*W$2/100,P189*W$1/100)</f>
        <v>0.78500000000000003</v>
      </c>
      <c r="X189" s="1">
        <f>IF($AB189=TRUE,I189*X$2,I189*X$1)</f>
        <v>0</v>
      </c>
      <c r="Y189" s="1">
        <f>IF($AB189=TRUE,N189*Y$2,N189*Y$1)</f>
        <v>2</v>
      </c>
      <c r="Z189" s="1">
        <f>IF($AB189=TRUE,-H189*Z$2,-H189*Z$1)</f>
        <v>0</v>
      </c>
      <c r="AA189" s="2">
        <f>Q189-R189</f>
        <v>-0.125</v>
      </c>
      <c r="AB189" s="1" t="b">
        <f>IF(G189=TRUE,IF(LEN(A189)&lt;5,TRUE,FALSE),FALSE)</f>
        <v>0</v>
      </c>
    </row>
    <row r="190" spans="1:28" hidden="1" x14ac:dyDescent="0.3">
      <c r="A190" t="s">
        <v>40</v>
      </c>
      <c r="B190" t="s">
        <v>506</v>
      </c>
      <c r="C190" t="s">
        <v>507</v>
      </c>
      <c r="D190">
        <v>0</v>
      </c>
      <c r="E190">
        <v>20.7</v>
      </c>
      <c r="F190">
        <v>11.5</v>
      </c>
      <c r="G190" t="b">
        <v>0</v>
      </c>
      <c r="H190">
        <v>0</v>
      </c>
      <c r="I190">
        <v>0</v>
      </c>
      <c r="J190">
        <v>0</v>
      </c>
      <c r="K190">
        <v>44.4</v>
      </c>
      <c r="L190" t="s">
        <v>508</v>
      </c>
      <c r="N190">
        <v>1</v>
      </c>
      <c r="O190">
        <v>0</v>
      </c>
      <c r="P190">
        <v>27.9</v>
      </c>
      <c r="Q190">
        <f>K190</f>
        <v>44.4</v>
      </c>
      <c r="R190" s="1">
        <f>SUM(S190:Z190)</f>
        <v>44.477499999999999</v>
      </c>
      <c r="S190" s="1">
        <f>IF($AB190=TRUE,D190*S$2,D190*S$1)</f>
        <v>0</v>
      </c>
      <c r="T190" s="1">
        <f>IF($AB190=TRUE,E190*T$2,E190*T$1)</f>
        <v>8.2799999999999994</v>
      </c>
      <c r="U190" s="1">
        <f>IF($AB190=TRUE,F190*U$2,F190*U$1)</f>
        <v>34.5</v>
      </c>
      <c r="V190" s="1">
        <f>IF($AB190=TRUE,J190*V$2,J190*V$1)</f>
        <v>0</v>
      </c>
      <c r="W190" s="1">
        <f>IF($AB190=TRUE,P190*W$2/100,P190*W$1/100)</f>
        <v>0.69750000000000001</v>
      </c>
      <c r="X190" s="1">
        <f>IF($AB190=TRUE,I190*X$2,I190*X$1)</f>
        <v>0</v>
      </c>
      <c r="Y190" s="1">
        <f>IF($AB190=TRUE,N190*Y$2,N190*Y$1)</f>
        <v>1</v>
      </c>
      <c r="Z190" s="1">
        <f>IF($AB190=TRUE,-H190*Z$2,-H190*Z$1)</f>
        <v>0</v>
      </c>
      <c r="AA190" s="2">
        <f>Q190-R190</f>
        <v>-7.7500000000000568E-2</v>
      </c>
      <c r="AB190" s="1" t="b">
        <f>IF(G190=TRUE,IF(LEN(A190)&lt;5,TRUE,FALSE),FALSE)</f>
        <v>0</v>
      </c>
    </row>
    <row r="191" spans="1:28" hidden="1" x14ac:dyDescent="0.3">
      <c r="A191" t="s">
        <v>40</v>
      </c>
      <c r="B191" t="s">
        <v>487</v>
      </c>
      <c r="C191" t="s">
        <v>488</v>
      </c>
      <c r="D191">
        <v>0</v>
      </c>
      <c r="E191">
        <v>42.9</v>
      </c>
      <c r="F191">
        <v>8.5</v>
      </c>
      <c r="G191" t="b">
        <v>0</v>
      </c>
      <c r="H191">
        <v>0</v>
      </c>
      <c r="I191">
        <v>0</v>
      </c>
      <c r="J191">
        <v>0</v>
      </c>
      <c r="K191">
        <v>44.4</v>
      </c>
      <c r="L191" t="s">
        <v>164</v>
      </c>
      <c r="N191">
        <v>1</v>
      </c>
      <c r="O191">
        <v>0</v>
      </c>
      <c r="P191">
        <v>33.799999999999997</v>
      </c>
      <c r="Q191">
        <f>K191</f>
        <v>44.4</v>
      </c>
      <c r="R191" s="1">
        <f>SUM(S191:Z191)</f>
        <v>44.504999999999995</v>
      </c>
      <c r="S191" s="1">
        <f>IF($AB191=TRUE,D191*S$2,D191*S$1)</f>
        <v>0</v>
      </c>
      <c r="T191" s="1">
        <f>IF($AB191=TRUE,E191*T$2,E191*T$1)</f>
        <v>17.16</v>
      </c>
      <c r="U191" s="1">
        <f>IF($AB191=TRUE,F191*U$2,F191*U$1)</f>
        <v>25.5</v>
      </c>
      <c r="V191" s="1">
        <f>IF($AB191=TRUE,J191*V$2,J191*V$1)</f>
        <v>0</v>
      </c>
      <c r="W191" s="1">
        <f>IF($AB191=TRUE,P191*W$2/100,P191*W$1/100)</f>
        <v>0.84499999999999997</v>
      </c>
      <c r="X191" s="1">
        <f>IF($AB191=TRUE,I191*X$2,I191*X$1)</f>
        <v>0</v>
      </c>
      <c r="Y191" s="1">
        <f>IF($AB191=TRUE,N191*Y$2,N191*Y$1)</f>
        <v>1</v>
      </c>
      <c r="Z191" s="1">
        <f>IF($AB191=TRUE,-H191*Z$2,-H191*Z$1)</f>
        <v>0</v>
      </c>
      <c r="AA191" s="2">
        <f>Q191-R191</f>
        <v>-0.10499999999999687</v>
      </c>
      <c r="AB191" s="1" t="b">
        <f>IF(G191=TRUE,IF(LEN(A191)&lt;5,TRUE,FALSE),FALSE)</f>
        <v>0</v>
      </c>
    </row>
    <row r="192" spans="1:28" hidden="1" x14ac:dyDescent="0.3">
      <c r="A192" t="s">
        <v>25</v>
      </c>
      <c r="B192" t="s">
        <v>509</v>
      </c>
      <c r="C192" t="s">
        <v>510</v>
      </c>
      <c r="D192">
        <v>1.8</v>
      </c>
      <c r="E192">
        <v>41.9</v>
      </c>
      <c r="F192">
        <v>7.4</v>
      </c>
      <c r="G192" t="b">
        <v>0</v>
      </c>
      <c r="H192">
        <v>0</v>
      </c>
      <c r="I192">
        <v>0</v>
      </c>
      <c r="J192">
        <v>0</v>
      </c>
      <c r="K192">
        <v>44.2</v>
      </c>
      <c r="L192" t="s">
        <v>511</v>
      </c>
      <c r="N192">
        <v>1</v>
      </c>
      <c r="O192">
        <v>0</v>
      </c>
      <c r="P192">
        <v>27.1</v>
      </c>
      <c r="Q192">
        <f>K192</f>
        <v>44.2</v>
      </c>
      <c r="R192" s="1">
        <f>SUM(S192:Z192)</f>
        <v>44.237500000000004</v>
      </c>
      <c r="S192" s="1">
        <f>IF($AB192=TRUE,D192*S$2,D192*S$1)</f>
        <v>3.6</v>
      </c>
      <c r="T192" s="1">
        <f>IF($AB192=TRUE,E192*T$2,E192*T$1)</f>
        <v>16.760000000000002</v>
      </c>
      <c r="U192" s="1">
        <f>IF($AB192=TRUE,F192*U$2,F192*U$1)</f>
        <v>22.200000000000003</v>
      </c>
      <c r="V192" s="1">
        <f>IF($AB192=TRUE,J192*V$2,J192*V$1)</f>
        <v>0</v>
      </c>
      <c r="W192" s="1">
        <f>IF($AB192=TRUE,P192*W$2/100,P192*W$1/100)</f>
        <v>0.67749999999999999</v>
      </c>
      <c r="X192" s="1">
        <f>IF($AB192=TRUE,I192*X$2,I192*X$1)</f>
        <v>0</v>
      </c>
      <c r="Y192" s="1">
        <f>IF($AB192=TRUE,N192*Y$2,N192*Y$1)</f>
        <v>1</v>
      </c>
      <c r="Z192" s="1">
        <f>IF($AB192=TRUE,-H192*Z$2,-H192*Z$1)</f>
        <v>0</v>
      </c>
      <c r="AA192" s="2">
        <f>Q192-R192</f>
        <v>-3.7500000000001421E-2</v>
      </c>
      <c r="AB192" s="1" t="b">
        <f>IF(G192=TRUE,IF(LEN(A192)&lt;5,TRUE,FALSE),FALSE)</f>
        <v>0</v>
      </c>
    </row>
    <row r="193" spans="1:28" hidden="1" x14ac:dyDescent="0.3">
      <c r="A193" t="s">
        <v>40</v>
      </c>
      <c r="B193" t="s">
        <v>512</v>
      </c>
      <c r="C193" t="s">
        <v>513</v>
      </c>
      <c r="D193">
        <v>0</v>
      </c>
      <c r="E193">
        <v>30</v>
      </c>
      <c r="F193">
        <v>10.5</v>
      </c>
      <c r="G193" t="b">
        <v>0</v>
      </c>
      <c r="H193">
        <v>0</v>
      </c>
      <c r="I193">
        <v>0</v>
      </c>
      <c r="J193">
        <v>0</v>
      </c>
      <c r="K193">
        <v>43.6</v>
      </c>
      <c r="N193">
        <v>0</v>
      </c>
      <c r="O193">
        <v>0</v>
      </c>
      <c r="P193">
        <v>0</v>
      </c>
      <c r="Q193">
        <f>K193</f>
        <v>43.6</v>
      </c>
      <c r="R193" s="1">
        <f>SUM(S193:Z193)</f>
        <v>43.5</v>
      </c>
      <c r="S193" s="1">
        <f>IF($AB193=TRUE,D193*S$2,D193*S$1)</f>
        <v>0</v>
      </c>
      <c r="T193" s="1">
        <f>IF($AB193=TRUE,E193*T$2,E193*T$1)</f>
        <v>12</v>
      </c>
      <c r="U193" s="1">
        <f>IF($AB193=TRUE,F193*U$2,F193*U$1)</f>
        <v>31.5</v>
      </c>
      <c r="V193" s="1">
        <f>IF($AB193=TRUE,J193*V$2,J193*V$1)</f>
        <v>0</v>
      </c>
      <c r="W193" s="1">
        <f>IF($AB193=TRUE,P193*W$2/100,P193*W$1/100)</f>
        <v>0</v>
      </c>
      <c r="X193" s="1">
        <f>IF($AB193=TRUE,I193*X$2,I193*X$1)</f>
        <v>0</v>
      </c>
      <c r="Y193" s="1">
        <f>IF($AB193=TRUE,N193*Y$2,N193*Y$1)</f>
        <v>0</v>
      </c>
      <c r="Z193" s="1">
        <f>IF($AB193=TRUE,-H193*Z$2,-H193*Z$1)</f>
        <v>0</v>
      </c>
      <c r="AA193" s="2">
        <f>Q193-R193</f>
        <v>0.10000000000000142</v>
      </c>
      <c r="AB193" s="1" t="b">
        <f>IF(G193=TRUE,IF(LEN(A193)&lt;5,TRUE,FALSE),FALSE)</f>
        <v>0</v>
      </c>
    </row>
    <row r="194" spans="1:28" hidden="1" x14ac:dyDescent="0.3">
      <c r="A194" t="s">
        <v>18</v>
      </c>
      <c r="B194" t="s">
        <v>430</v>
      </c>
      <c r="C194" t="s">
        <v>18</v>
      </c>
      <c r="D194">
        <v>0</v>
      </c>
      <c r="E194">
        <v>100</v>
      </c>
      <c r="F194">
        <v>0</v>
      </c>
      <c r="G194" t="b">
        <v>0</v>
      </c>
      <c r="H194">
        <v>0</v>
      </c>
      <c r="I194">
        <v>1</v>
      </c>
      <c r="J194">
        <v>0</v>
      </c>
      <c r="K194">
        <v>43.5</v>
      </c>
      <c r="L194" t="s">
        <v>431</v>
      </c>
      <c r="N194">
        <v>2</v>
      </c>
      <c r="O194">
        <v>0</v>
      </c>
      <c r="P194">
        <v>18.399999999999999</v>
      </c>
      <c r="Q194">
        <f>K194</f>
        <v>43.5</v>
      </c>
      <c r="R194" s="1">
        <f>SUM(S194:Z194)</f>
        <v>43.46</v>
      </c>
      <c r="S194" s="1">
        <f>IF($AB194=TRUE,D194*S$2,D194*S$1)</f>
        <v>0</v>
      </c>
      <c r="T194" s="1">
        <f>IF($AB194=TRUE,E194*T$2,E194*T$1)</f>
        <v>40</v>
      </c>
      <c r="U194" s="1">
        <f>IF($AB194=TRUE,F194*U$2,F194*U$1)</f>
        <v>0</v>
      </c>
      <c r="V194" s="1">
        <f>IF($AB194=TRUE,J194*V$2,J194*V$1)</f>
        <v>0</v>
      </c>
      <c r="W194" s="1">
        <f>IF($AB194=TRUE,P194*W$2/100,P194*W$1/100)</f>
        <v>0.46</v>
      </c>
      <c r="X194" s="1">
        <f>IF($AB194=TRUE,I194*X$2,I194*X$1)</f>
        <v>1</v>
      </c>
      <c r="Y194" s="1">
        <f>IF($AB194=TRUE,N194*Y$2,N194*Y$1)</f>
        <v>2</v>
      </c>
      <c r="Z194" s="1">
        <f>IF($AB194=TRUE,-H194*Z$2,-H194*Z$1)</f>
        <v>0</v>
      </c>
      <c r="AA194" s="2">
        <f>Q194-R194</f>
        <v>3.9999999999999147E-2</v>
      </c>
      <c r="AB194" s="1" t="b">
        <f>IF(G194=TRUE,IF(LEN(A194)&lt;5,TRUE,FALSE),FALSE)</f>
        <v>0</v>
      </c>
    </row>
    <row r="195" spans="1:28" hidden="1" x14ac:dyDescent="0.3">
      <c r="A195" t="s">
        <v>25</v>
      </c>
      <c r="B195" t="s">
        <v>518</v>
      </c>
      <c r="C195" t="s">
        <v>519</v>
      </c>
      <c r="D195">
        <v>1.8</v>
      </c>
      <c r="E195">
        <v>66.7</v>
      </c>
      <c r="F195">
        <v>4.2</v>
      </c>
      <c r="G195" t="b">
        <v>0</v>
      </c>
      <c r="H195">
        <v>0</v>
      </c>
      <c r="I195">
        <v>0</v>
      </c>
      <c r="J195">
        <v>0</v>
      </c>
      <c r="K195">
        <v>43</v>
      </c>
      <c r="N195">
        <v>0</v>
      </c>
      <c r="O195">
        <v>0</v>
      </c>
      <c r="P195">
        <v>0</v>
      </c>
      <c r="Q195">
        <f>K195</f>
        <v>43</v>
      </c>
      <c r="R195" s="1">
        <f>SUM(S195:Z195)</f>
        <v>42.88000000000001</v>
      </c>
      <c r="S195" s="1">
        <f>IF($AB195=TRUE,D195*S$2,D195*S$1)</f>
        <v>3.6</v>
      </c>
      <c r="T195" s="1">
        <f>IF($AB195=TRUE,E195*T$2,E195*T$1)</f>
        <v>26.680000000000003</v>
      </c>
      <c r="U195" s="1">
        <f>IF($AB195=TRUE,F195*U$2,F195*U$1)</f>
        <v>12.600000000000001</v>
      </c>
      <c r="V195" s="1">
        <f>IF($AB195=TRUE,J195*V$2,J195*V$1)</f>
        <v>0</v>
      </c>
      <c r="W195" s="1">
        <f>IF($AB195=TRUE,P195*W$2/100,P195*W$1/100)</f>
        <v>0</v>
      </c>
      <c r="X195" s="1">
        <f>IF($AB195=TRUE,I195*X$2,I195*X$1)</f>
        <v>0</v>
      </c>
      <c r="Y195" s="1">
        <f>IF($AB195=TRUE,N195*Y$2,N195*Y$1)</f>
        <v>0</v>
      </c>
      <c r="Z195" s="1">
        <f>IF($AB195=TRUE,-H195*Z$2,-H195*Z$1)</f>
        <v>0</v>
      </c>
      <c r="AA195" s="2">
        <f>Q195-R195</f>
        <v>0.11999999999999034</v>
      </c>
      <c r="AB195" s="1" t="b">
        <f>IF(G195=TRUE,IF(LEN(A195)&lt;5,TRUE,FALSE),FALSE)</f>
        <v>0</v>
      </c>
    </row>
    <row r="196" spans="1:28" hidden="1" x14ac:dyDescent="0.3">
      <c r="A196" t="s">
        <v>18</v>
      </c>
      <c r="B196" t="s">
        <v>445</v>
      </c>
      <c r="C196" t="s">
        <v>18</v>
      </c>
      <c r="D196">
        <v>0</v>
      </c>
      <c r="E196">
        <v>100</v>
      </c>
      <c r="F196">
        <v>0</v>
      </c>
      <c r="G196" t="b">
        <v>0</v>
      </c>
      <c r="H196">
        <v>0</v>
      </c>
      <c r="I196">
        <v>1</v>
      </c>
      <c r="J196">
        <v>0</v>
      </c>
      <c r="K196">
        <v>42.5</v>
      </c>
      <c r="L196" t="s">
        <v>338</v>
      </c>
      <c r="N196">
        <v>1</v>
      </c>
      <c r="O196">
        <v>0</v>
      </c>
      <c r="P196">
        <v>18.8</v>
      </c>
      <c r="Q196">
        <f>K196</f>
        <v>42.5</v>
      </c>
      <c r="R196" s="1">
        <f>SUM(S196:Z196)</f>
        <v>42.47</v>
      </c>
      <c r="S196" s="1">
        <f>IF($AB196=TRUE,D196*S$2,D196*S$1)</f>
        <v>0</v>
      </c>
      <c r="T196" s="1">
        <f>IF($AB196=TRUE,E196*T$2,E196*T$1)</f>
        <v>40</v>
      </c>
      <c r="U196" s="1">
        <f>IF($AB196=TRUE,F196*U$2,F196*U$1)</f>
        <v>0</v>
      </c>
      <c r="V196" s="1">
        <f>IF($AB196=TRUE,J196*V$2,J196*V$1)</f>
        <v>0</v>
      </c>
      <c r="W196" s="1">
        <f>IF($AB196=TRUE,P196*W$2/100,P196*W$1/100)</f>
        <v>0.47</v>
      </c>
      <c r="X196" s="1">
        <f>IF($AB196=TRUE,I196*X$2,I196*X$1)</f>
        <v>1</v>
      </c>
      <c r="Y196" s="1">
        <f>IF($AB196=TRUE,N196*Y$2,N196*Y$1)</f>
        <v>1</v>
      </c>
      <c r="Z196" s="1">
        <f>IF($AB196=TRUE,-H196*Z$2,-H196*Z$1)</f>
        <v>0</v>
      </c>
      <c r="AA196" s="2">
        <f>Q196-R196</f>
        <v>3.0000000000001137E-2</v>
      </c>
      <c r="AB196" s="1" t="b">
        <f>IF(G196=TRUE,IF(LEN(A196)&lt;5,TRUE,FALSE),FALSE)</f>
        <v>0</v>
      </c>
    </row>
    <row r="197" spans="1:28" hidden="1" x14ac:dyDescent="0.3">
      <c r="A197" t="s">
        <v>18</v>
      </c>
      <c r="B197" t="s">
        <v>448</v>
      </c>
      <c r="C197" t="s">
        <v>18</v>
      </c>
      <c r="D197">
        <v>0</v>
      </c>
      <c r="E197">
        <v>100</v>
      </c>
      <c r="F197">
        <v>0</v>
      </c>
      <c r="G197" t="b">
        <v>0</v>
      </c>
      <c r="H197">
        <v>0</v>
      </c>
      <c r="I197">
        <v>1</v>
      </c>
      <c r="J197">
        <v>0</v>
      </c>
      <c r="K197">
        <v>42.4</v>
      </c>
      <c r="L197" t="s">
        <v>449</v>
      </c>
      <c r="N197">
        <v>1</v>
      </c>
      <c r="O197">
        <v>0</v>
      </c>
      <c r="P197">
        <v>13.6</v>
      </c>
      <c r="Q197">
        <f>K197</f>
        <v>42.4</v>
      </c>
      <c r="R197" s="1">
        <f>SUM(S197:Z197)</f>
        <v>42.34</v>
      </c>
      <c r="S197" s="1">
        <f>IF($AB197=TRUE,D197*S$2,D197*S$1)</f>
        <v>0</v>
      </c>
      <c r="T197" s="1">
        <f>IF($AB197=TRUE,E197*T$2,E197*T$1)</f>
        <v>40</v>
      </c>
      <c r="U197" s="1">
        <f>IF($AB197=TRUE,F197*U$2,F197*U$1)</f>
        <v>0</v>
      </c>
      <c r="V197" s="1">
        <f>IF($AB197=TRUE,J197*V$2,J197*V$1)</f>
        <v>0</v>
      </c>
      <c r="W197" s="1">
        <f>IF($AB197=TRUE,P197*W$2/100,P197*W$1/100)</f>
        <v>0.34</v>
      </c>
      <c r="X197" s="1">
        <f>IF($AB197=TRUE,I197*X$2,I197*X$1)</f>
        <v>1</v>
      </c>
      <c r="Y197" s="1">
        <f>IF($AB197=TRUE,N197*Y$2,N197*Y$1)</f>
        <v>1</v>
      </c>
      <c r="Z197" s="1">
        <f>IF($AB197=TRUE,-H197*Z$2,-H197*Z$1)</f>
        <v>0</v>
      </c>
      <c r="AA197" s="2">
        <f>Q197-R197</f>
        <v>5.9999999999995168E-2</v>
      </c>
      <c r="AB197" s="1" t="b">
        <f>IF(G197=TRUE,IF(LEN(A197)&lt;5,TRUE,FALSE),FALSE)</f>
        <v>0</v>
      </c>
    </row>
    <row r="198" spans="1:28" hidden="1" x14ac:dyDescent="0.3">
      <c r="A198" t="s">
        <v>40</v>
      </c>
      <c r="B198" t="s">
        <v>523</v>
      </c>
      <c r="C198" t="s">
        <v>524</v>
      </c>
      <c r="D198">
        <v>0</v>
      </c>
      <c r="E198">
        <v>35.299999999999997</v>
      </c>
      <c r="F198">
        <v>9.4</v>
      </c>
      <c r="G198" t="b">
        <v>0</v>
      </c>
      <c r="H198">
        <v>0</v>
      </c>
      <c r="I198">
        <v>0</v>
      </c>
      <c r="J198">
        <v>0</v>
      </c>
      <c r="K198">
        <v>42.3</v>
      </c>
      <c r="N198">
        <v>0</v>
      </c>
      <c r="O198">
        <v>0</v>
      </c>
      <c r="P198">
        <v>0</v>
      </c>
      <c r="Q198">
        <f>K198</f>
        <v>42.3</v>
      </c>
      <c r="R198" s="1">
        <f>SUM(S198:Z198)</f>
        <v>42.32</v>
      </c>
      <c r="S198" s="1">
        <f>IF($AB198=TRUE,D198*S$2,D198*S$1)</f>
        <v>0</v>
      </c>
      <c r="T198" s="1">
        <f>IF($AB198=TRUE,E198*T$2,E198*T$1)</f>
        <v>14.12</v>
      </c>
      <c r="U198" s="1">
        <f>IF($AB198=TRUE,F198*U$2,F198*U$1)</f>
        <v>28.200000000000003</v>
      </c>
      <c r="V198" s="1">
        <f>IF($AB198=TRUE,J198*V$2,J198*V$1)</f>
        <v>0</v>
      </c>
      <c r="W198" s="1">
        <f>IF($AB198=TRUE,P198*W$2/100,P198*W$1/100)</f>
        <v>0</v>
      </c>
      <c r="X198" s="1">
        <f>IF($AB198=TRUE,I198*X$2,I198*X$1)</f>
        <v>0</v>
      </c>
      <c r="Y198" s="1">
        <f>IF($AB198=TRUE,N198*Y$2,N198*Y$1)</f>
        <v>0</v>
      </c>
      <c r="Z198" s="1">
        <f>IF($AB198=TRUE,-H198*Z$2,-H198*Z$1)</f>
        <v>0</v>
      </c>
      <c r="AA198" s="2">
        <f>Q198-R198</f>
        <v>-2.0000000000003126E-2</v>
      </c>
      <c r="AB198" s="1" t="b">
        <f>IF(G198=TRUE,IF(LEN(A198)&lt;5,TRUE,FALSE),FALSE)</f>
        <v>0</v>
      </c>
    </row>
    <row r="199" spans="1:28" hidden="1" x14ac:dyDescent="0.3">
      <c r="A199" t="s">
        <v>18</v>
      </c>
      <c r="B199" t="s">
        <v>451</v>
      </c>
      <c r="C199" t="s">
        <v>18</v>
      </c>
      <c r="D199">
        <v>0</v>
      </c>
      <c r="E199">
        <v>100</v>
      </c>
      <c r="F199">
        <v>0</v>
      </c>
      <c r="G199" t="b">
        <v>0</v>
      </c>
      <c r="H199">
        <v>0</v>
      </c>
      <c r="I199">
        <v>1</v>
      </c>
      <c r="J199">
        <v>0</v>
      </c>
      <c r="K199">
        <v>42.3</v>
      </c>
      <c r="L199" t="s">
        <v>83</v>
      </c>
      <c r="N199">
        <v>1</v>
      </c>
      <c r="O199">
        <v>0</v>
      </c>
      <c r="P199">
        <v>12.3</v>
      </c>
      <c r="Q199">
        <f>K199</f>
        <v>42.3</v>
      </c>
      <c r="R199" s="1">
        <f>SUM(S199:Z199)</f>
        <v>42.307499999999997</v>
      </c>
      <c r="S199" s="1">
        <f>IF($AB199=TRUE,D199*S$2,D199*S$1)</f>
        <v>0</v>
      </c>
      <c r="T199" s="1">
        <f>IF($AB199=TRUE,E199*T$2,E199*T$1)</f>
        <v>40</v>
      </c>
      <c r="U199" s="1">
        <f>IF($AB199=TRUE,F199*U$2,F199*U$1)</f>
        <v>0</v>
      </c>
      <c r="V199" s="1">
        <f>IF($AB199=TRUE,J199*V$2,J199*V$1)</f>
        <v>0</v>
      </c>
      <c r="W199" s="1">
        <f>IF($AB199=TRUE,P199*W$2/100,P199*W$1/100)</f>
        <v>0.3075</v>
      </c>
      <c r="X199" s="1">
        <f>IF($AB199=TRUE,I199*X$2,I199*X$1)</f>
        <v>1</v>
      </c>
      <c r="Y199" s="1">
        <f>IF($AB199=TRUE,N199*Y$2,N199*Y$1)</f>
        <v>1</v>
      </c>
      <c r="Z199" s="1">
        <f>IF($AB199=TRUE,-H199*Z$2,-H199*Z$1)</f>
        <v>0</v>
      </c>
      <c r="AA199" s="2">
        <f>Q199-R199</f>
        <v>-7.5000000000002842E-3</v>
      </c>
      <c r="AB199" s="1" t="b">
        <f>IF(G199=TRUE,IF(LEN(A199)&lt;5,TRUE,FALSE),FALSE)</f>
        <v>0</v>
      </c>
    </row>
    <row r="200" spans="1:28" hidden="1" x14ac:dyDescent="0.3">
      <c r="A200" t="s">
        <v>18</v>
      </c>
      <c r="B200" t="s">
        <v>452</v>
      </c>
      <c r="C200" t="s">
        <v>18</v>
      </c>
      <c r="D200">
        <v>0</v>
      </c>
      <c r="E200">
        <v>100</v>
      </c>
      <c r="F200">
        <v>0</v>
      </c>
      <c r="G200" t="b">
        <v>0</v>
      </c>
      <c r="H200">
        <v>0</v>
      </c>
      <c r="I200">
        <v>1</v>
      </c>
      <c r="J200">
        <v>0</v>
      </c>
      <c r="K200">
        <v>42.3</v>
      </c>
      <c r="L200" t="s">
        <v>83</v>
      </c>
      <c r="N200">
        <v>1</v>
      </c>
      <c r="O200">
        <v>0</v>
      </c>
      <c r="P200">
        <v>12.3</v>
      </c>
      <c r="Q200">
        <f>K200</f>
        <v>42.3</v>
      </c>
      <c r="R200" s="1">
        <f>SUM(S200:Z200)</f>
        <v>42.307499999999997</v>
      </c>
      <c r="S200" s="1">
        <f>IF($AB200=TRUE,D200*S$2,D200*S$1)</f>
        <v>0</v>
      </c>
      <c r="T200" s="1">
        <f>IF($AB200=TRUE,E200*T$2,E200*T$1)</f>
        <v>40</v>
      </c>
      <c r="U200" s="1">
        <f>IF($AB200=TRUE,F200*U$2,F200*U$1)</f>
        <v>0</v>
      </c>
      <c r="V200" s="1">
        <f>IF($AB200=TRUE,J200*V$2,J200*V$1)</f>
        <v>0</v>
      </c>
      <c r="W200" s="1">
        <f>IF($AB200=TRUE,P200*W$2/100,P200*W$1/100)</f>
        <v>0.3075</v>
      </c>
      <c r="X200" s="1">
        <f>IF($AB200=TRUE,I200*X$2,I200*X$1)</f>
        <v>1</v>
      </c>
      <c r="Y200" s="1">
        <f>IF($AB200=TRUE,N200*Y$2,N200*Y$1)</f>
        <v>1</v>
      </c>
      <c r="Z200" s="1">
        <f>IF($AB200=TRUE,-H200*Z$2,-H200*Z$1)</f>
        <v>0</v>
      </c>
      <c r="AA200" s="2">
        <f>Q200-R200</f>
        <v>-7.5000000000002842E-3</v>
      </c>
      <c r="AB200" s="1" t="b">
        <f>IF(G200=TRUE,IF(LEN(A200)&lt;5,TRUE,FALSE),FALSE)</f>
        <v>0</v>
      </c>
    </row>
    <row r="201" spans="1:28" hidden="1" x14ac:dyDescent="0.3">
      <c r="A201" t="s">
        <v>18</v>
      </c>
      <c r="B201" t="s">
        <v>453</v>
      </c>
      <c r="C201" t="s">
        <v>18</v>
      </c>
      <c r="D201">
        <v>0</v>
      </c>
      <c r="E201">
        <v>100</v>
      </c>
      <c r="F201">
        <v>0</v>
      </c>
      <c r="G201" t="b">
        <v>0</v>
      </c>
      <c r="H201">
        <v>0</v>
      </c>
      <c r="I201">
        <v>1</v>
      </c>
      <c r="J201">
        <v>0</v>
      </c>
      <c r="K201">
        <v>42.3</v>
      </c>
      <c r="L201" t="s">
        <v>83</v>
      </c>
      <c r="N201">
        <v>1</v>
      </c>
      <c r="O201">
        <v>0</v>
      </c>
      <c r="P201">
        <v>12.3</v>
      </c>
      <c r="Q201">
        <f>K201</f>
        <v>42.3</v>
      </c>
      <c r="R201" s="1">
        <f>SUM(S201:Z201)</f>
        <v>42.307499999999997</v>
      </c>
      <c r="S201" s="1">
        <f>IF($AB201=TRUE,D201*S$2,D201*S$1)</f>
        <v>0</v>
      </c>
      <c r="T201" s="1">
        <f>IF($AB201=TRUE,E201*T$2,E201*T$1)</f>
        <v>40</v>
      </c>
      <c r="U201" s="1">
        <f>IF($AB201=TRUE,F201*U$2,F201*U$1)</f>
        <v>0</v>
      </c>
      <c r="V201" s="1">
        <f>IF($AB201=TRUE,J201*V$2,J201*V$1)</f>
        <v>0</v>
      </c>
      <c r="W201" s="1">
        <f>IF($AB201=TRUE,P201*W$2/100,P201*W$1/100)</f>
        <v>0.3075</v>
      </c>
      <c r="X201" s="1">
        <f>IF($AB201=TRUE,I201*X$2,I201*X$1)</f>
        <v>1</v>
      </c>
      <c r="Y201" s="1">
        <f>IF($AB201=TRUE,N201*Y$2,N201*Y$1)</f>
        <v>1</v>
      </c>
      <c r="Z201" s="1">
        <f>IF($AB201=TRUE,-H201*Z$2,-H201*Z$1)</f>
        <v>0</v>
      </c>
      <c r="AA201" s="2">
        <f>Q201-R201</f>
        <v>-7.5000000000002842E-3</v>
      </c>
      <c r="AB201" s="1" t="b">
        <f>IF(G201=TRUE,IF(LEN(A201)&lt;5,TRUE,FALSE),FALSE)</f>
        <v>0</v>
      </c>
    </row>
    <row r="202" spans="1:28" hidden="1" x14ac:dyDescent="0.3">
      <c r="A202" t="s">
        <v>18</v>
      </c>
      <c r="B202" t="s">
        <v>454</v>
      </c>
      <c r="C202" t="s">
        <v>18</v>
      </c>
      <c r="D202">
        <v>0</v>
      </c>
      <c r="E202">
        <v>100</v>
      </c>
      <c r="F202">
        <v>0</v>
      </c>
      <c r="G202" t="b">
        <v>0</v>
      </c>
      <c r="H202">
        <v>0</v>
      </c>
      <c r="I202">
        <v>1</v>
      </c>
      <c r="J202">
        <v>0</v>
      </c>
      <c r="K202">
        <v>42.3</v>
      </c>
      <c r="L202" t="s">
        <v>83</v>
      </c>
      <c r="N202">
        <v>1</v>
      </c>
      <c r="O202">
        <v>0</v>
      </c>
      <c r="P202">
        <v>12.3</v>
      </c>
      <c r="Q202">
        <f>K202</f>
        <v>42.3</v>
      </c>
      <c r="R202" s="1">
        <f>SUM(S202:Z202)</f>
        <v>42.307499999999997</v>
      </c>
      <c r="S202" s="1">
        <f>IF($AB202=TRUE,D202*S$2,D202*S$1)</f>
        <v>0</v>
      </c>
      <c r="T202" s="1">
        <f>IF($AB202=TRUE,E202*T$2,E202*T$1)</f>
        <v>40</v>
      </c>
      <c r="U202" s="1">
        <f>IF($AB202=TRUE,F202*U$2,F202*U$1)</f>
        <v>0</v>
      </c>
      <c r="V202" s="1">
        <f>IF($AB202=TRUE,J202*V$2,J202*V$1)</f>
        <v>0</v>
      </c>
      <c r="W202" s="1">
        <f>IF($AB202=TRUE,P202*W$2/100,P202*W$1/100)</f>
        <v>0.3075</v>
      </c>
      <c r="X202" s="1">
        <f>IF($AB202=TRUE,I202*X$2,I202*X$1)</f>
        <v>1</v>
      </c>
      <c r="Y202" s="1">
        <f>IF($AB202=TRUE,N202*Y$2,N202*Y$1)</f>
        <v>1</v>
      </c>
      <c r="Z202" s="1">
        <f>IF($AB202=TRUE,-H202*Z$2,-H202*Z$1)</f>
        <v>0</v>
      </c>
      <c r="AA202" s="2">
        <f>Q202-R202</f>
        <v>-7.5000000000002842E-3</v>
      </c>
      <c r="AB202" s="1" t="b">
        <f>IF(G202=TRUE,IF(LEN(A202)&lt;5,TRUE,FALSE),FALSE)</f>
        <v>0</v>
      </c>
    </row>
    <row r="203" spans="1:28" hidden="1" x14ac:dyDescent="0.3">
      <c r="A203" t="s">
        <v>18</v>
      </c>
      <c r="B203" t="s">
        <v>455</v>
      </c>
      <c r="C203" t="s">
        <v>18</v>
      </c>
      <c r="D203">
        <v>0</v>
      </c>
      <c r="E203">
        <v>100</v>
      </c>
      <c r="F203">
        <v>0</v>
      </c>
      <c r="G203" t="b">
        <v>0</v>
      </c>
      <c r="H203">
        <v>0</v>
      </c>
      <c r="I203">
        <v>1</v>
      </c>
      <c r="J203">
        <v>0</v>
      </c>
      <c r="K203">
        <v>42.3</v>
      </c>
      <c r="L203" t="s">
        <v>83</v>
      </c>
      <c r="N203">
        <v>1</v>
      </c>
      <c r="O203">
        <v>0</v>
      </c>
      <c r="P203">
        <v>12.3</v>
      </c>
      <c r="Q203">
        <f>K203</f>
        <v>42.3</v>
      </c>
      <c r="R203" s="1">
        <f>SUM(S203:Z203)</f>
        <v>42.307499999999997</v>
      </c>
      <c r="S203" s="1">
        <f>IF($AB203=TRUE,D203*S$2,D203*S$1)</f>
        <v>0</v>
      </c>
      <c r="T203" s="1">
        <f>IF($AB203=TRUE,E203*T$2,E203*T$1)</f>
        <v>40</v>
      </c>
      <c r="U203" s="1">
        <f>IF($AB203=TRUE,F203*U$2,F203*U$1)</f>
        <v>0</v>
      </c>
      <c r="V203" s="1">
        <f>IF($AB203=TRUE,J203*V$2,J203*V$1)</f>
        <v>0</v>
      </c>
      <c r="W203" s="1">
        <f>IF($AB203=TRUE,P203*W$2/100,P203*W$1/100)</f>
        <v>0.3075</v>
      </c>
      <c r="X203" s="1">
        <f>IF($AB203=TRUE,I203*X$2,I203*X$1)</f>
        <v>1</v>
      </c>
      <c r="Y203" s="1">
        <f>IF($AB203=TRUE,N203*Y$2,N203*Y$1)</f>
        <v>1</v>
      </c>
      <c r="Z203" s="1">
        <f>IF($AB203=TRUE,-H203*Z$2,-H203*Z$1)</f>
        <v>0</v>
      </c>
      <c r="AA203" s="2">
        <f>Q203-R203</f>
        <v>-7.5000000000002842E-3</v>
      </c>
      <c r="AB203" s="1" t="b">
        <f>IF(G203=TRUE,IF(LEN(A203)&lt;5,TRUE,FALSE),FALSE)</f>
        <v>0</v>
      </c>
    </row>
    <row r="204" spans="1:28" hidden="1" x14ac:dyDescent="0.3">
      <c r="A204" t="s">
        <v>18</v>
      </c>
      <c r="B204" t="s">
        <v>456</v>
      </c>
      <c r="C204" t="s">
        <v>18</v>
      </c>
      <c r="D204">
        <v>0</v>
      </c>
      <c r="E204">
        <v>100</v>
      </c>
      <c r="F204">
        <v>0</v>
      </c>
      <c r="G204" t="b">
        <v>0</v>
      </c>
      <c r="H204">
        <v>0</v>
      </c>
      <c r="I204">
        <v>1</v>
      </c>
      <c r="J204">
        <v>0</v>
      </c>
      <c r="K204">
        <v>42.3</v>
      </c>
      <c r="L204" t="s">
        <v>449</v>
      </c>
      <c r="N204">
        <v>1</v>
      </c>
      <c r="O204">
        <v>0</v>
      </c>
      <c r="P204">
        <v>13.6</v>
      </c>
      <c r="Q204">
        <f>K204</f>
        <v>42.3</v>
      </c>
      <c r="R204" s="1">
        <f>SUM(S204:Z204)</f>
        <v>42.34</v>
      </c>
      <c r="S204" s="1">
        <f>IF($AB204=TRUE,D204*S$2,D204*S$1)</f>
        <v>0</v>
      </c>
      <c r="T204" s="1">
        <f>IF($AB204=TRUE,E204*T$2,E204*T$1)</f>
        <v>40</v>
      </c>
      <c r="U204" s="1">
        <f>IF($AB204=TRUE,F204*U$2,F204*U$1)</f>
        <v>0</v>
      </c>
      <c r="V204" s="1">
        <f>IF($AB204=TRUE,J204*V$2,J204*V$1)</f>
        <v>0</v>
      </c>
      <c r="W204" s="1">
        <f>IF($AB204=TRUE,P204*W$2/100,P204*W$1/100)</f>
        <v>0.34</v>
      </c>
      <c r="X204" s="1">
        <f>IF($AB204=TRUE,I204*X$2,I204*X$1)</f>
        <v>1</v>
      </c>
      <c r="Y204" s="1">
        <f>IF($AB204=TRUE,N204*Y$2,N204*Y$1)</f>
        <v>1</v>
      </c>
      <c r="Z204" s="1">
        <f>IF($AB204=TRUE,-H204*Z$2,-H204*Z$1)</f>
        <v>0</v>
      </c>
      <c r="AA204" s="2">
        <f>Q204-R204</f>
        <v>-4.0000000000006253E-2</v>
      </c>
      <c r="AB204" s="1" t="b">
        <f>IF(G204=TRUE,IF(LEN(A204)&lt;5,TRUE,FALSE),FALSE)</f>
        <v>0</v>
      </c>
    </row>
    <row r="205" spans="1:28" hidden="1" x14ac:dyDescent="0.3">
      <c r="A205" t="s">
        <v>18</v>
      </c>
      <c r="B205" t="s">
        <v>457</v>
      </c>
      <c r="C205" t="s">
        <v>18</v>
      </c>
      <c r="D205">
        <v>0</v>
      </c>
      <c r="E205">
        <v>100</v>
      </c>
      <c r="F205">
        <v>0</v>
      </c>
      <c r="G205" t="b">
        <v>0</v>
      </c>
      <c r="H205">
        <v>0</v>
      </c>
      <c r="I205">
        <v>1</v>
      </c>
      <c r="J205">
        <v>0</v>
      </c>
      <c r="K205">
        <v>42.3</v>
      </c>
      <c r="L205" t="s">
        <v>83</v>
      </c>
      <c r="N205">
        <v>1</v>
      </c>
      <c r="O205">
        <v>0</v>
      </c>
      <c r="P205">
        <v>12.3</v>
      </c>
      <c r="Q205">
        <f>K205</f>
        <v>42.3</v>
      </c>
      <c r="R205" s="1">
        <f>SUM(S205:Z205)</f>
        <v>42.307499999999997</v>
      </c>
      <c r="S205" s="1">
        <f>IF($AB205=TRUE,D205*S$2,D205*S$1)</f>
        <v>0</v>
      </c>
      <c r="T205" s="1">
        <f>IF($AB205=TRUE,E205*T$2,E205*T$1)</f>
        <v>40</v>
      </c>
      <c r="U205" s="1">
        <f>IF($AB205=TRUE,F205*U$2,F205*U$1)</f>
        <v>0</v>
      </c>
      <c r="V205" s="1">
        <f>IF($AB205=TRUE,J205*V$2,J205*V$1)</f>
        <v>0</v>
      </c>
      <c r="W205" s="1">
        <f>IF($AB205=TRUE,P205*W$2/100,P205*W$1/100)</f>
        <v>0.3075</v>
      </c>
      <c r="X205" s="1">
        <f>IF($AB205=TRUE,I205*X$2,I205*X$1)</f>
        <v>1</v>
      </c>
      <c r="Y205" s="1">
        <f>IF($AB205=TRUE,N205*Y$2,N205*Y$1)</f>
        <v>1</v>
      </c>
      <c r="Z205" s="1">
        <f>IF($AB205=TRUE,-H205*Z$2,-H205*Z$1)</f>
        <v>0</v>
      </c>
      <c r="AA205" s="2">
        <f>Q205-R205</f>
        <v>-7.5000000000002842E-3</v>
      </c>
      <c r="AB205" s="1" t="b">
        <f>IF(G205=TRUE,IF(LEN(A205)&lt;5,TRUE,FALSE),FALSE)</f>
        <v>0</v>
      </c>
    </row>
    <row r="206" spans="1:28" hidden="1" x14ac:dyDescent="0.3">
      <c r="A206" t="s">
        <v>18</v>
      </c>
      <c r="B206" t="s">
        <v>458</v>
      </c>
      <c r="C206" t="s">
        <v>18</v>
      </c>
      <c r="D206">
        <v>0</v>
      </c>
      <c r="E206">
        <v>100</v>
      </c>
      <c r="F206">
        <v>0</v>
      </c>
      <c r="G206" t="b">
        <v>0</v>
      </c>
      <c r="H206">
        <v>0</v>
      </c>
      <c r="I206">
        <v>1</v>
      </c>
      <c r="J206">
        <v>0</v>
      </c>
      <c r="K206">
        <v>42.3</v>
      </c>
      <c r="L206" t="s">
        <v>83</v>
      </c>
      <c r="N206">
        <v>1</v>
      </c>
      <c r="O206">
        <v>0</v>
      </c>
      <c r="P206">
        <v>12.3</v>
      </c>
      <c r="Q206">
        <f>K206</f>
        <v>42.3</v>
      </c>
      <c r="R206" s="1">
        <f>SUM(S206:Z206)</f>
        <v>42.307499999999997</v>
      </c>
      <c r="S206" s="1">
        <f>IF($AB206=TRUE,D206*S$2,D206*S$1)</f>
        <v>0</v>
      </c>
      <c r="T206" s="1">
        <f>IF($AB206=TRUE,E206*T$2,E206*T$1)</f>
        <v>40</v>
      </c>
      <c r="U206" s="1">
        <f>IF($AB206=TRUE,F206*U$2,F206*U$1)</f>
        <v>0</v>
      </c>
      <c r="V206" s="1">
        <f>IF($AB206=TRUE,J206*V$2,J206*V$1)</f>
        <v>0</v>
      </c>
      <c r="W206" s="1">
        <f>IF($AB206=TRUE,P206*W$2/100,P206*W$1/100)</f>
        <v>0.3075</v>
      </c>
      <c r="X206" s="1">
        <f>IF($AB206=TRUE,I206*X$2,I206*X$1)</f>
        <v>1</v>
      </c>
      <c r="Y206" s="1">
        <f>IF($AB206=TRUE,N206*Y$2,N206*Y$1)</f>
        <v>1</v>
      </c>
      <c r="Z206" s="1">
        <f>IF($AB206=TRUE,-H206*Z$2,-H206*Z$1)</f>
        <v>0</v>
      </c>
      <c r="AA206" s="2">
        <f>Q206-R206</f>
        <v>-7.5000000000002842E-3</v>
      </c>
      <c r="AB206" s="1" t="b">
        <f>IF(G206=TRUE,IF(LEN(A206)&lt;5,TRUE,FALSE),FALSE)</f>
        <v>0</v>
      </c>
    </row>
    <row r="207" spans="1:28" hidden="1" x14ac:dyDescent="0.3">
      <c r="A207" t="s">
        <v>18</v>
      </c>
      <c r="B207" t="s">
        <v>459</v>
      </c>
      <c r="C207" t="s">
        <v>18</v>
      </c>
      <c r="D207">
        <v>0</v>
      </c>
      <c r="E207">
        <v>100</v>
      </c>
      <c r="F207">
        <v>0</v>
      </c>
      <c r="G207" t="b">
        <v>0</v>
      </c>
      <c r="H207">
        <v>0</v>
      </c>
      <c r="I207">
        <v>1</v>
      </c>
      <c r="J207">
        <v>0</v>
      </c>
      <c r="K207">
        <v>42.3</v>
      </c>
      <c r="L207" t="s">
        <v>83</v>
      </c>
      <c r="N207">
        <v>1</v>
      </c>
      <c r="O207">
        <v>0</v>
      </c>
      <c r="P207">
        <v>12.3</v>
      </c>
      <c r="Q207">
        <f>K207</f>
        <v>42.3</v>
      </c>
      <c r="R207" s="1">
        <f>SUM(S207:Z207)</f>
        <v>42.307499999999997</v>
      </c>
      <c r="S207" s="1">
        <f>IF($AB207=TRUE,D207*S$2,D207*S$1)</f>
        <v>0</v>
      </c>
      <c r="T207" s="1">
        <f>IF($AB207=TRUE,E207*T$2,E207*T$1)</f>
        <v>40</v>
      </c>
      <c r="U207" s="1">
        <f>IF($AB207=TRUE,F207*U$2,F207*U$1)</f>
        <v>0</v>
      </c>
      <c r="V207" s="1">
        <f>IF($AB207=TRUE,J207*V$2,J207*V$1)</f>
        <v>0</v>
      </c>
      <c r="W207" s="1">
        <f>IF($AB207=TRUE,P207*W$2/100,P207*W$1/100)</f>
        <v>0.3075</v>
      </c>
      <c r="X207" s="1">
        <f>IF($AB207=TRUE,I207*X$2,I207*X$1)</f>
        <v>1</v>
      </c>
      <c r="Y207" s="1">
        <f>IF($AB207=TRUE,N207*Y$2,N207*Y$1)</f>
        <v>1</v>
      </c>
      <c r="Z207" s="1">
        <f>IF($AB207=TRUE,-H207*Z$2,-H207*Z$1)</f>
        <v>0</v>
      </c>
      <c r="AA207" s="2">
        <f>Q207-R207</f>
        <v>-7.5000000000002842E-3</v>
      </c>
      <c r="AB207" s="1" t="b">
        <f>IF(G207=TRUE,IF(LEN(A207)&lt;5,TRUE,FALSE),FALSE)</f>
        <v>0</v>
      </c>
    </row>
    <row r="208" spans="1:28" hidden="1" x14ac:dyDescent="0.3">
      <c r="A208" t="s">
        <v>18</v>
      </c>
      <c r="B208" t="s">
        <v>460</v>
      </c>
      <c r="C208" t="s">
        <v>18</v>
      </c>
      <c r="D208">
        <v>0</v>
      </c>
      <c r="E208">
        <v>100</v>
      </c>
      <c r="F208">
        <v>0</v>
      </c>
      <c r="G208" t="b">
        <v>0</v>
      </c>
      <c r="H208">
        <v>0</v>
      </c>
      <c r="I208">
        <v>1</v>
      </c>
      <c r="J208">
        <v>0</v>
      </c>
      <c r="K208">
        <v>42.3</v>
      </c>
      <c r="L208" t="s">
        <v>83</v>
      </c>
      <c r="N208">
        <v>1</v>
      </c>
      <c r="O208">
        <v>0</v>
      </c>
      <c r="P208">
        <v>12.3</v>
      </c>
      <c r="Q208">
        <f>K208</f>
        <v>42.3</v>
      </c>
      <c r="R208" s="1">
        <f>SUM(S208:Z208)</f>
        <v>42.307499999999997</v>
      </c>
      <c r="S208" s="1">
        <f>IF($AB208=TRUE,D208*S$2,D208*S$1)</f>
        <v>0</v>
      </c>
      <c r="T208" s="1">
        <f>IF($AB208=TRUE,E208*T$2,E208*T$1)</f>
        <v>40</v>
      </c>
      <c r="U208" s="1">
        <f>IF($AB208=TRUE,F208*U$2,F208*U$1)</f>
        <v>0</v>
      </c>
      <c r="V208" s="1">
        <f>IF($AB208=TRUE,J208*V$2,J208*V$1)</f>
        <v>0</v>
      </c>
      <c r="W208" s="1">
        <f>IF($AB208=TRUE,P208*W$2/100,P208*W$1/100)</f>
        <v>0.3075</v>
      </c>
      <c r="X208" s="1">
        <f>IF($AB208=TRUE,I208*X$2,I208*X$1)</f>
        <v>1</v>
      </c>
      <c r="Y208" s="1">
        <f>IF($AB208=TRUE,N208*Y$2,N208*Y$1)</f>
        <v>1</v>
      </c>
      <c r="Z208" s="1">
        <f>IF($AB208=TRUE,-H208*Z$2,-H208*Z$1)</f>
        <v>0</v>
      </c>
      <c r="AA208" s="2">
        <f>Q208-R208</f>
        <v>-7.5000000000002842E-3</v>
      </c>
      <c r="AB208" s="1" t="b">
        <f>IF(G208=TRUE,IF(LEN(A208)&lt;5,TRUE,FALSE),FALSE)</f>
        <v>0</v>
      </c>
    </row>
    <row r="209" spans="1:28" hidden="1" x14ac:dyDescent="0.3">
      <c r="A209" t="s">
        <v>18</v>
      </c>
      <c r="B209" t="s">
        <v>461</v>
      </c>
      <c r="C209" t="s">
        <v>18</v>
      </c>
      <c r="D209">
        <v>0</v>
      </c>
      <c r="E209">
        <v>100</v>
      </c>
      <c r="F209">
        <v>0</v>
      </c>
      <c r="G209" t="b">
        <v>0</v>
      </c>
      <c r="H209">
        <v>0</v>
      </c>
      <c r="I209">
        <v>1</v>
      </c>
      <c r="J209">
        <v>0</v>
      </c>
      <c r="K209">
        <v>42.3</v>
      </c>
      <c r="L209" t="s">
        <v>83</v>
      </c>
      <c r="N209">
        <v>1</v>
      </c>
      <c r="O209">
        <v>0</v>
      </c>
      <c r="P209">
        <v>12.3</v>
      </c>
      <c r="Q209">
        <f>K209</f>
        <v>42.3</v>
      </c>
      <c r="R209" s="1">
        <f>SUM(S209:Z209)</f>
        <v>42.307499999999997</v>
      </c>
      <c r="S209" s="1">
        <f>IF($AB209=TRUE,D209*S$2,D209*S$1)</f>
        <v>0</v>
      </c>
      <c r="T209" s="1">
        <f>IF($AB209=TRUE,E209*T$2,E209*T$1)</f>
        <v>40</v>
      </c>
      <c r="U209" s="1">
        <f>IF($AB209=TRUE,F209*U$2,F209*U$1)</f>
        <v>0</v>
      </c>
      <c r="V209" s="1">
        <f>IF($AB209=TRUE,J209*V$2,J209*V$1)</f>
        <v>0</v>
      </c>
      <c r="W209" s="1">
        <f>IF($AB209=TRUE,P209*W$2/100,P209*W$1/100)</f>
        <v>0.3075</v>
      </c>
      <c r="X209" s="1">
        <f>IF($AB209=TRUE,I209*X$2,I209*X$1)</f>
        <v>1</v>
      </c>
      <c r="Y209" s="1">
        <f>IF($AB209=TRUE,N209*Y$2,N209*Y$1)</f>
        <v>1</v>
      </c>
      <c r="Z209" s="1">
        <f>IF($AB209=TRUE,-H209*Z$2,-H209*Z$1)</f>
        <v>0</v>
      </c>
      <c r="AA209" s="2">
        <f>Q209-R209</f>
        <v>-7.5000000000002842E-3</v>
      </c>
      <c r="AB209" s="1" t="b">
        <f>IF(G209=TRUE,IF(LEN(A209)&lt;5,TRUE,FALSE),FALSE)</f>
        <v>0</v>
      </c>
    </row>
    <row r="210" spans="1:28" hidden="1" x14ac:dyDescent="0.3">
      <c r="A210" t="s">
        <v>18</v>
      </c>
      <c r="B210" t="s">
        <v>462</v>
      </c>
      <c r="C210" t="s">
        <v>18</v>
      </c>
      <c r="D210">
        <v>0</v>
      </c>
      <c r="E210">
        <v>100</v>
      </c>
      <c r="F210">
        <v>0</v>
      </c>
      <c r="G210" t="b">
        <v>0</v>
      </c>
      <c r="H210">
        <v>0</v>
      </c>
      <c r="I210">
        <v>1</v>
      </c>
      <c r="J210">
        <v>0</v>
      </c>
      <c r="K210">
        <v>42.3</v>
      </c>
      <c r="L210" t="s">
        <v>83</v>
      </c>
      <c r="N210">
        <v>1</v>
      </c>
      <c r="O210">
        <v>0</v>
      </c>
      <c r="P210">
        <v>12.3</v>
      </c>
      <c r="Q210">
        <f>K210</f>
        <v>42.3</v>
      </c>
      <c r="R210" s="1">
        <f>SUM(S210:Z210)</f>
        <v>42.307499999999997</v>
      </c>
      <c r="S210" s="1">
        <f>IF($AB210=TRUE,D210*S$2,D210*S$1)</f>
        <v>0</v>
      </c>
      <c r="T210" s="1">
        <f>IF($AB210=TRUE,E210*T$2,E210*T$1)</f>
        <v>40</v>
      </c>
      <c r="U210" s="1">
        <f>IF($AB210=TRUE,F210*U$2,F210*U$1)</f>
        <v>0</v>
      </c>
      <c r="V210" s="1">
        <f>IF($AB210=TRUE,J210*V$2,J210*V$1)</f>
        <v>0</v>
      </c>
      <c r="W210" s="1">
        <f>IF($AB210=TRUE,P210*W$2/100,P210*W$1/100)</f>
        <v>0.3075</v>
      </c>
      <c r="X210" s="1">
        <f>IF($AB210=TRUE,I210*X$2,I210*X$1)</f>
        <v>1</v>
      </c>
      <c r="Y210" s="1">
        <f>IF($AB210=TRUE,N210*Y$2,N210*Y$1)</f>
        <v>1</v>
      </c>
      <c r="Z210" s="1">
        <f>IF($AB210=TRUE,-H210*Z$2,-H210*Z$1)</f>
        <v>0</v>
      </c>
      <c r="AA210" s="2">
        <f>Q210-R210</f>
        <v>-7.5000000000002842E-3</v>
      </c>
      <c r="AB210" s="1" t="b">
        <f>IF(G210=TRUE,IF(LEN(A210)&lt;5,TRUE,FALSE),FALSE)</f>
        <v>0</v>
      </c>
    </row>
    <row r="211" spans="1:28" hidden="1" x14ac:dyDescent="0.3">
      <c r="A211" t="s">
        <v>18</v>
      </c>
      <c r="B211" t="s">
        <v>463</v>
      </c>
      <c r="C211" t="s">
        <v>18</v>
      </c>
      <c r="D211">
        <v>0</v>
      </c>
      <c r="E211">
        <v>100</v>
      </c>
      <c r="F211">
        <v>0</v>
      </c>
      <c r="G211" t="b">
        <v>0</v>
      </c>
      <c r="H211">
        <v>0</v>
      </c>
      <c r="I211">
        <v>1</v>
      </c>
      <c r="J211">
        <v>0</v>
      </c>
      <c r="K211">
        <v>42.3</v>
      </c>
      <c r="L211" t="s">
        <v>83</v>
      </c>
      <c r="N211">
        <v>1</v>
      </c>
      <c r="O211">
        <v>0</v>
      </c>
      <c r="P211">
        <v>12.3</v>
      </c>
      <c r="Q211">
        <f>K211</f>
        <v>42.3</v>
      </c>
      <c r="R211" s="1">
        <f>SUM(S211:Z211)</f>
        <v>42.307499999999997</v>
      </c>
      <c r="S211" s="1">
        <f>IF($AB211=TRUE,D211*S$2,D211*S$1)</f>
        <v>0</v>
      </c>
      <c r="T211" s="1">
        <f>IF($AB211=TRUE,E211*T$2,E211*T$1)</f>
        <v>40</v>
      </c>
      <c r="U211" s="1">
        <f>IF($AB211=TRUE,F211*U$2,F211*U$1)</f>
        <v>0</v>
      </c>
      <c r="V211" s="1">
        <f>IF($AB211=TRUE,J211*V$2,J211*V$1)</f>
        <v>0</v>
      </c>
      <c r="W211" s="1">
        <f>IF($AB211=TRUE,P211*W$2/100,P211*W$1/100)</f>
        <v>0.3075</v>
      </c>
      <c r="X211" s="1">
        <f>IF($AB211=TRUE,I211*X$2,I211*X$1)</f>
        <v>1</v>
      </c>
      <c r="Y211" s="1">
        <f>IF($AB211=TRUE,N211*Y$2,N211*Y$1)</f>
        <v>1</v>
      </c>
      <c r="Z211" s="1">
        <f>IF($AB211=TRUE,-H211*Z$2,-H211*Z$1)</f>
        <v>0</v>
      </c>
      <c r="AA211" s="2">
        <f>Q211-R211</f>
        <v>-7.5000000000002842E-3</v>
      </c>
      <c r="AB211" s="1" t="b">
        <f>IF(G211=TRUE,IF(LEN(A211)&lt;5,TRUE,FALSE),FALSE)</f>
        <v>0</v>
      </c>
    </row>
    <row r="212" spans="1:28" hidden="1" x14ac:dyDescent="0.3">
      <c r="A212" t="s">
        <v>18</v>
      </c>
      <c r="B212" t="s">
        <v>464</v>
      </c>
      <c r="C212" t="s">
        <v>18</v>
      </c>
      <c r="D212">
        <v>0</v>
      </c>
      <c r="E212">
        <v>100</v>
      </c>
      <c r="F212">
        <v>0</v>
      </c>
      <c r="G212" t="b">
        <v>0</v>
      </c>
      <c r="H212">
        <v>0</v>
      </c>
      <c r="I212">
        <v>1</v>
      </c>
      <c r="J212">
        <v>0</v>
      </c>
      <c r="K212">
        <v>42.3</v>
      </c>
      <c r="L212" t="s">
        <v>83</v>
      </c>
      <c r="N212">
        <v>1</v>
      </c>
      <c r="O212">
        <v>0</v>
      </c>
      <c r="P212">
        <v>12.3</v>
      </c>
      <c r="Q212">
        <f>K212</f>
        <v>42.3</v>
      </c>
      <c r="R212" s="1">
        <f>SUM(S212:Z212)</f>
        <v>42.307499999999997</v>
      </c>
      <c r="S212" s="1">
        <f>IF($AB212=TRUE,D212*S$2,D212*S$1)</f>
        <v>0</v>
      </c>
      <c r="T212" s="1">
        <f>IF($AB212=TRUE,E212*T$2,E212*T$1)</f>
        <v>40</v>
      </c>
      <c r="U212" s="1">
        <f>IF($AB212=TRUE,F212*U$2,F212*U$1)</f>
        <v>0</v>
      </c>
      <c r="V212" s="1">
        <f>IF($AB212=TRUE,J212*V$2,J212*V$1)</f>
        <v>0</v>
      </c>
      <c r="W212" s="1">
        <f>IF($AB212=TRUE,P212*W$2/100,P212*W$1/100)</f>
        <v>0.3075</v>
      </c>
      <c r="X212" s="1">
        <f>IF($AB212=TRUE,I212*X$2,I212*X$1)</f>
        <v>1</v>
      </c>
      <c r="Y212" s="1">
        <f>IF($AB212=TRUE,N212*Y$2,N212*Y$1)</f>
        <v>1</v>
      </c>
      <c r="Z212" s="1">
        <f>IF($AB212=TRUE,-H212*Z$2,-H212*Z$1)</f>
        <v>0</v>
      </c>
      <c r="AA212" s="2">
        <f>Q212-R212</f>
        <v>-7.5000000000002842E-3</v>
      </c>
      <c r="AB212" s="1" t="b">
        <f>IF(G212=TRUE,IF(LEN(A212)&lt;5,TRUE,FALSE),FALSE)</f>
        <v>0</v>
      </c>
    </row>
    <row r="213" spans="1:28" hidden="1" x14ac:dyDescent="0.3">
      <c r="A213" t="s">
        <v>18</v>
      </c>
      <c r="B213" t="s">
        <v>465</v>
      </c>
      <c r="C213" t="s">
        <v>18</v>
      </c>
      <c r="D213">
        <v>0</v>
      </c>
      <c r="E213">
        <v>100</v>
      </c>
      <c r="F213">
        <v>0</v>
      </c>
      <c r="G213" t="b">
        <v>0</v>
      </c>
      <c r="H213">
        <v>0</v>
      </c>
      <c r="I213">
        <v>1</v>
      </c>
      <c r="J213">
        <v>0</v>
      </c>
      <c r="K213">
        <v>42.3</v>
      </c>
      <c r="L213" t="s">
        <v>466</v>
      </c>
      <c r="N213">
        <v>1</v>
      </c>
      <c r="O213">
        <v>0</v>
      </c>
      <c r="P213">
        <v>11.1</v>
      </c>
      <c r="Q213">
        <f>K213</f>
        <v>42.3</v>
      </c>
      <c r="R213" s="1">
        <f>SUM(S213:Z213)</f>
        <v>42.277500000000003</v>
      </c>
      <c r="S213" s="1">
        <f>IF($AB213=TRUE,D213*S$2,D213*S$1)</f>
        <v>0</v>
      </c>
      <c r="T213" s="1">
        <f>IF($AB213=TRUE,E213*T$2,E213*T$1)</f>
        <v>40</v>
      </c>
      <c r="U213" s="1">
        <f>IF($AB213=TRUE,F213*U$2,F213*U$1)</f>
        <v>0</v>
      </c>
      <c r="V213" s="1">
        <f>IF($AB213=TRUE,J213*V$2,J213*V$1)</f>
        <v>0</v>
      </c>
      <c r="W213" s="1">
        <f>IF($AB213=TRUE,P213*W$2/100,P213*W$1/100)</f>
        <v>0.27750000000000002</v>
      </c>
      <c r="X213" s="1">
        <f>IF($AB213=TRUE,I213*X$2,I213*X$1)</f>
        <v>1</v>
      </c>
      <c r="Y213" s="1">
        <f>IF($AB213=TRUE,N213*Y$2,N213*Y$1)</f>
        <v>1</v>
      </c>
      <c r="Z213" s="1">
        <f>IF($AB213=TRUE,-H213*Z$2,-H213*Z$1)</f>
        <v>0</v>
      </c>
      <c r="AA213" s="2">
        <f>Q213-R213</f>
        <v>2.2499999999993747E-2</v>
      </c>
      <c r="AB213" s="1" t="b">
        <f>IF(G213=TRUE,IF(LEN(A213)&lt;5,TRUE,FALSE),FALSE)</f>
        <v>0</v>
      </c>
    </row>
    <row r="214" spans="1:28" hidden="1" x14ac:dyDescent="0.3">
      <c r="A214" t="s">
        <v>18</v>
      </c>
      <c r="B214" t="s">
        <v>467</v>
      </c>
      <c r="C214" t="s">
        <v>18</v>
      </c>
      <c r="D214">
        <v>0</v>
      </c>
      <c r="E214">
        <v>100</v>
      </c>
      <c r="F214">
        <v>0</v>
      </c>
      <c r="G214" t="b">
        <v>0</v>
      </c>
      <c r="H214">
        <v>0</v>
      </c>
      <c r="I214">
        <v>1</v>
      </c>
      <c r="J214">
        <v>0</v>
      </c>
      <c r="K214">
        <v>42.3</v>
      </c>
      <c r="L214" t="s">
        <v>83</v>
      </c>
      <c r="N214">
        <v>1</v>
      </c>
      <c r="O214">
        <v>0</v>
      </c>
      <c r="P214">
        <v>12.3</v>
      </c>
      <c r="Q214">
        <f>K214</f>
        <v>42.3</v>
      </c>
      <c r="R214" s="1">
        <f>SUM(S214:Z214)</f>
        <v>42.307499999999997</v>
      </c>
      <c r="S214" s="1">
        <f>IF($AB214=TRUE,D214*S$2,D214*S$1)</f>
        <v>0</v>
      </c>
      <c r="T214" s="1">
        <f>IF($AB214=TRUE,E214*T$2,E214*T$1)</f>
        <v>40</v>
      </c>
      <c r="U214" s="1">
        <f>IF($AB214=TRUE,F214*U$2,F214*U$1)</f>
        <v>0</v>
      </c>
      <c r="V214" s="1">
        <f>IF($AB214=TRUE,J214*V$2,J214*V$1)</f>
        <v>0</v>
      </c>
      <c r="W214" s="1">
        <f>IF($AB214=TRUE,P214*W$2/100,P214*W$1/100)</f>
        <v>0.3075</v>
      </c>
      <c r="X214" s="1">
        <f>IF($AB214=TRUE,I214*X$2,I214*X$1)</f>
        <v>1</v>
      </c>
      <c r="Y214" s="1">
        <f>IF($AB214=TRUE,N214*Y$2,N214*Y$1)</f>
        <v>1</v>
      </c>
      <c r="Z214" s="1">
        <f>IF($AB214=TRUE,-H214*Z$2,-H214*Z$1)</f>
        <v>0</v>
      </c>
      <c r="AA214" s="2">
        <f>Q214-R214</f>
        <v>-7.5000000000002842E-3</v>
      </c>
      <c r="AB214" s="1" t="b">
        <f>IF(G214=TRUE,IF(LEN(A214)&lt;5,TRUE,FALSE),FALSE)</f>
        <v>0</v>
      </c>
    </row>
    <row r="215" spans="1:28" hidden="1" x14ac:dyDescent="0.3">
      <c r="A215" t="s">
        <v>18</v>
      </c>
      <c r="B215" t="s">
        <v>468</v>
      </c>
      <c r="C215" t="s">
        <v>18</v>
      </c>
      <c r="D215">
        <v>0</v>
      </c>
      <c r="E215">
        <v>100</v>
      </c>
      <c r="F215">
        <v>0</v>
      </c>
      <c r="G215" t="b">
        <v>0</v>
      </c>
      <c r="H215">
        <v>0</v>
      </c>
      <c r="I215">
        <v>1</v>
      </c>
      <c r="J215">
        <v>0</v>
      </c>
      <c r="K215">
        <v>42.3</v>
      </c>
      <c r="L215" t="s">
        <v>83</v>
      </c>
      <c r="N215">
        <v>1</v>
      </c>
      <c r="O215">
        <v>0</v>
      </c>
      <c r="P215">
        <v>12.3</v>
      </c>
      <c r="Q215">
        <f>K215</f>
        <v>42.3</v>
      </c>
      <c r="R215" s="1">
        <f>SUM(S215:Z215)</f>
        <v>42.307499999999997</v>
      </c>
      <c r="S215" s="1">
        <f>IF($AB215=TRUE,D215*S$2,D215*S$1)</f>
        <v>0</v>
      </c>
      <c r="T215" s="1">
        <f>IF($AB215=TRUE,E215*T$2,E215*T$1)</f>
        <v>40</v>
      </c>
      <c r="U215" s="1">
        <f>IF($AB215=TRUE,F215*U$2,F215*U$1)</f>
        <v>0</v>
      </c>
      <c r="V215" s="1">
        <f>IF($AB215=TRUE,J215*V$2,J215*V$1)</f>
        <v>0</v>
      </c>
      <c r="W215" s="1">
        <f>IF($AB215=TRUE,P215*W$2/100,P215*W$1/100)</f>
        <v>0.3075</v>
      </c>
      <c r="X215" s="1">
        <f>IF($AB215=TRUE,I215*X$2,I215*X$1)</f>
        <v>1</v>
      </c>
      <c r="Y215" s="1">
        <f>IF($AB215=TRUE,N215*Y$2,N215*Y$1)</f>
        <v>1</v>
      </c>
      <c r="Z215" s="1">
        <f>IF($AB215=TRUE,-H215*Z$2,-H215*Z$1)</f>
        <v>0</v>
      </c>
      <c r="AA215" s="2">
        <f>Q215-R215</f>
        <v>-7.5000000000002842E-3</v>
      </c>
      <c r="AB215" s="1" t="b">
        <f>IF(G215=TRUE,IF(LEN(A215)&lt;5,TRUE,FALSE),FALSE)</f>
        <v>0</v>
      </c>
    </row>
    <row r="216" spans="1:28" hidden="1" x14ac:dyDescent="0.3">
      <c r="A216" t="s">
        <v>18</v>
      </c>
      <c r="B216" t="s">
        <v>469</v>
      </c>
      <c r="C216" t="s">
        <v>18</v>
      </c>
      <c r="D216">
        <v>0</v>
      </c>
      <c r="E216">
        <v>100</v>
      </c>
      <c r="F216">
        <v>0</v>
      </c>
      <c r="G216" t="b">
        <v>0</v>
      </c>
      <c r="H216">
        <v>0</v>
      </c>
      <c r="I216">
        <v>1</v>
      </c>
      <c r="J216">
        <v>0</v>
      </c>
      <c r="K216">
        <v>42.3</v>
      </c>
      <c r="L216" t="s">
        <v>470</v>
      </c>
      <c r="N216">
        <v>1</v>
      </c>
      <c r="O216">
        <v>0</v>
      </c>
      <c r="P216">
        <v>12.5</v>
      </c>
      <c r="Q216">
        <f>K216</f>
        <v>42.3</v>
      </c>
      <c r="R216" s="1">
        <f>SUM(S216:Z216)</f>
        <v>42.3125</v>
      </c>
      <c r="S216" s="1">
        <f>IF($AB216=TRUE,D216*S$2,D216*S$1)</f>
        <v>0</v>
      </c>
      <c r="T216" s="1">
        <f>IF($AB216=TRUE,E216*T$2,E216*T$1)</f>
        <v>40</v>
      </c>
      <c r="U216" s="1">
        <f>IF($AB216=TRUE,F216*U$2,F216*U$1)</f>
        <v>0</v>
      </c>
      <c r="V216" s="1">
        <f>IF($AB216=TRUE,J216*V$2,J216*V$1)</f>
        <v>0</v>
      </c>
      <c r="W216" s="1">
        <f>IF($AB216=TRUE,P216*W$2/100,P216*W$1/100)</f>
        <v>0.3125</v>
      </c>
      <c r="X216" s="1">
        <f>IF($AB216=TRUE,I216*X$2,I216*X$1)</f>
        <v>1</v>
      </c>
      <c r="Y216" s="1">
        <f>IF($AB216=TRUE,N216*Y$2,N216*Y$1)</f>
        <v>1</v>
      </c>
      <c r="Z216" s="1">
        <f>IF($AB216=TRUE,-H216*Z$2,-H216*Z$1)</f>
        <v>0</v>
      </c>
      <c r="AA216" s="2">
        <f>Q216-R216</f>
        <v>-1.2500000000002842E-2</v>
      </c>
      <c r="AB216" s="1" t="b">
        <f>IF(G216=TRUE,IF(LEN(A216)&lt;5,TRUE,FALSE),FALSE)</f>
        <v>0</v>
      </c>
    </row>
    <row r="217" spans="1:28" hidden="1" x14ac:dyDescent="0.3">
      <c r="A217" t="s">
        <v>18</v>
      </c>
      <c r="B217" t="s">
        <v>471</v>
      </c>
      <c r="C217" t="s">
        <v>18</v>
      </c>
      <c r="D217">
        <v>0</v>
      </c>
      <c r="E217">
        <v>100</v>
      </c>
      <c r="F217">
        <v>0</v>
      </c>
      <c r="G217" t="b">
        <v>0</v>
      </c>
      <c r="H217">
        <v>0</v>
      </c>
      <c r="I217">
        <v>1</v>
      </c>
      <c r="J217">
        <v>0</v>
      </c>
      <c r="K217">
        <v>42.3</v>
      </c>
      <c r="L217" t="s">
        <v>83</v>
      </c>
      <c r="N217">
        <v>1</v>
      </c>
      <c r="O217">
        <v>0</v>
      </c>
      <c r="P217">
        <v>12.3</v>
      </c>
      <c r="Q217">
        <f>K217</f>
        <v>42.3</v>
      </c>
      <c r="R217" s="1">
        <f>SUM(S217:Z217)</f>
        <v>42.307499999999997</v>
      </c>
      <c r="S217" s="1">
        <f>IF($AB217=TRUE,D217*S$2,D217*S$1)</f>
        <v>0</v>
      </c>
      <c r="T217" s="1">
        <f>IF($AB217=TRUE,E217*T$2,E217*T$1)</f>
        <v>40</v>
      </c>
      <c r="U217" s="1">
        <f>IF($AB217=TRUE,F217*U$2,F217*U$1)</f>
        <v>0</v>
      </c>
      <c r="V217" s="1">
        <f>IF($AB217=TRUE,J217*V$2,J217*V$1)</f>
        <v>0</v>
      </c>
      <c r="W217" s="1">
        <f>IF($AB217=TRUE,P217*W$2/100,P217*W$1/100)</f>
        <v>0.3075</v>
      </c>
      <c r="X217" s="1">
        <f>IF($AB217=TRUE,I217*X$2,I217*X$1)</f>
        <v>1</v>
      </c>
      <c r="Y217" s="1">
        <f>IF($AB217=TRUE,N217*Y$2,N217*Y$1)</f>
        <v>1</v>
      </c>
      <c r="Z217" s="1">
        <f>IF($AB217=TRUE,-H217*Z$2,-H217*Z$1)</f>
        <v>0</v>
      </c>
      <c r="AA217" s="2">
        <f>Q217-R217</f>
        <v>-7.5000000000002842E-3</v>
      </c>
      <c r="AB217" s="1" t="b">
        <f>IF(G217=TRUE,IF(LEN(A217)&lt;5,TRUE,FALSE),FALSE)</f>
        <v>0</v>
      </c>
    </row>
    <row r="218" spans="1:28" hidden="1" x14ac:dyDescent="0.3">
      <c r="A218" t="s">
        <v>18</v>
      </c>
      <c r="B218" t="s">
        <v>472</v>
      </c>
      <c r="C218" t="s">
        <v>18</v>
      </c>
      <c r="D218">
        <v>0</v>
      </c>
      <c r="E218">
        <v>100</v>
      </c>
      <c r="F218">
        <v>0</v>
      </c>
      <c r="G218" t="b">
        <v>0</v>
      </c>
      <c r="H218">
        <v>0</v>
      </c>
      <c r="I218">
        <v>1</v>
      </c>
      <c r="J218">
        <v>0</v>
      </c>
      <c r="K218">
        <v>42.3</v>
      </c>
      <c r="L218" t="s">
        <v>83</v>
      </c>
      <c r="N218">
        <v>1</v>
      </c>
      <c r="O218">
        <v>0</v>
      </c>
      <c r="P218">
        <v>12.3</v>
      </c>
      <c r="Q218">
        <f>K218</f>
        <v>42.3</v>
      </c>
      <c r="R218" s="1">
        <f>SUM(S218:Z218)</f>
        <v>42.307499999999997</v>
      </c>
      <c r="S218" s="1">
        <f>IF($AB218=TRUE,D218*S$2,D218*S$1)</f>
        <v>0</v>
      </c>
      <c r="T218" s="1">
        <f>IF($AB218=TRUE,E218*T$2,E218*T$1)</f>
        <v>40</v>
      </c>
      <c r="U218" s="1">
        <f>IF($AB218=TRUE,F218*U$2,F218*U$1)</f>
        <v>0</v>
      </c>
      <c r="V218" s="1">
        <f>IF($AB218=TRUE,J218*V$2,J218*V$1)</f>
        <v>0</v>
      </c>
      <c r="W218" s="1">
        <f>IF($AB218=TRUE,P218*W$2/100,P218*W$1/100)</f>
        <v>0.3075</v>
      </c>
      <c r="X218" s="1">
        <f>IF($AB218=TRUE,I218*X$2,I218*X$1)</f>
        <v>1</v>
      </c>
      <c r="Y218" s="1">
        <f>IF($AB218=TRUE,N218*Y$2,N218*Y$1)</f>
        <v>1</v>
      </c>
      <c r="Z218" s="1">
        <f>IF($AB218=TRUE,-H218*Z$2,-H218*Z$1)</f>
        <v>0</v>
      </c>
      <c r="AA218" s="2">
        <f>Q218-R218</f>
        <v>-7.5000000000002842E-3</v>
      </c>
      <c r="AB218" s="1" t="b">
        <f>IF(G218=TRUE,IF(LEN(A218)&lt;5,TRUE,FALSE),FALSE)</f>
        <v>0</v>
      </c>
    </row>
    <row r="219" spans="1:28" hidden="1" x14ac:dyDescent="0.3">
      <c r="A219" t="s">
        <v>18</v>
      </c>
      <c r="B219" t="s">
        <v>473</v>
      </c>
      <c r="C219" t="s">
        <v>18</v>
      </c>
      <c r="D219">
        <v>0</v>
      </c>
      <c r="E219">
        <v>100</v>
      </c>
      <c r="F219">
        <v>0</v>
      </c>
      <c r="G219" t="b">
        <v>0</v>
      </c>
      <c r="H219">
        <v>0</v>
      </c>
      <c r="I219">
        <v>1</v>
      </c>
      <c r="J219">
        <v>0</v>
      </c>
      <c r="K219">
        <v>42.3</v>
      </c>
      <c r="L219" t="s">
        <v>83</v>
      </c>
      <c r="N219">
        <v>1</v>
      </c>
      <c r="O219">
        <v>0</v>
      </c>
      <c r="P219">
        <v>12.3</v>
      </c>
      <c r="Q219">
        <f>K219</f>
        <v>42.3</v>
      </c>
      <c r="R219" s="1">
        <f>SUM(S219:Z219)</f>
        <v>42.307499999999997</v>
      </c>
      <c r="S219" s="1">
        <f>IF($AB219=TRUE,D219*S$2,D219*S$1)</f>
        <v>0</v>
      </c>
      <c r="T219" s="1">
        <f>IF($AB219=TRUE,E219*T$2,E219*T$1)</f>
        <v>40</v>
      </c>
      <c r="U219" s="1">
        <f>IF($AB219=TRUE,F219*U$2,F219*U$1)</f>
        <v>0</v>
      </c>
      <c r="V219" s="1">
        <f>IF($AB219=TRUE,J219*V$2,J219*V$1)</f>
        <v>0</v>
      </c>
      <c r="W219" s="1">
        <f>IF($AB219=TRUE,P219*W$2/100,P219*W$1/100)</f>
        <v>0.3075</v>
      </c>
      <c r="X219" s="1">
        <f>IF($AB219=TRUE,I219*X$2,I219*X$1)</f>
        <v>1</v>
      </c>
      <c r="Y219" s="1">
        <f>IF($AB219=TRUE,N219*Y$2,N219*Y$1)</f>
        <v>1</v>
      </c>
      <c r="Z219" s="1">
        <f>IF($AB219=TRUE,-H219*Z$2,-H219*Z$1)</f>
        <v>0</v>
      </c>
      <c r="AA219" s="2">
        <f>Q219-R219</f>
        <v>-7.5000000000002842E-3</v>
      </c>
      <c r="AB219" s="1" t="b">
        <f>IF(G219=TRUE,IF(LEN(A219)&lt;5,TRUE,FALSE),FALSE)</f>
        <v>0</v>
      </c>
    </row>
    <row r="220" spans="1:28" hidden="1" x14ac:dyDescent="0.3">
      <c r="A220" t="s">
        <v>18</v>
      </c>
      <c r="B220" t="s">
        <v>477</v>
      </c>
      <c r="C220" t="s">
        <v>18</v>
      </c>
      <c r="D220">
        <v>0</v>
      </c>
      <c r="E220">
        <v>100</v>
      </c>
      <c r="F220">
        <v>0</v>
      </c>
      <c r="G220" t="b">
        <v>0</v>
      </c>
      <c r="H220">
        <v>0</v>
      </c>
      <c r="I220">
        <v>1</v>
      </c>
      <c r="J220">
        <v>0</v>
      </c>
      <c r="K220">
        <v>42.2</v>
      </c>
      <c r="L220" t="s">
        <v>478</v>
      </c>
      <c r="N220">
        <v>1</v>
      </c>
      <c r="O220">
        <v>0</v>
      </c>
      <c r="P220">
        <v>9.6999999999999993</v>
      </c>
      <c r="Q220">
        <f>K220</f>
        <v>42.2</v>
      </c>
      <c r="R220" s="1">
        <f>SUM(S220:Z220)</f>
        <v>42.2425</v>
      </c>
      <c r="S220" s="1">
        <f>IF($AB220=TRUE,D220*S$2,D220*S$1)</f>
        <v>0</v>
      </c>
      <c r="T220" s="1">
        <f>IF($AB220=TRUE,E220*T$2,E220*T$1)</f>
        <v>40</v>
      </c>
      <c r="U220" s="1">
        <f>IF($AB220=TRUE,F220*U$2,F220*U$1)</f>
        <v>0</v>
      </c>
      <c r="V220" s="1">
        <f>IF($AB220=TRUE,J220*V$2,J220*V$1)</f>
        <v>0</v>
      </c>
      <c r="W220" s="1">
        <f>IF($AB220=TRUE,P220*W$2/100,P220*W$1/100)</f>
        <v>0.24249999999999999</v>
      </c>
      <c r="X220" s="1">
        <f>IF($AB220=TRUE,I220*X$2,I220*X$1)</f>
        <v>1</v>
      </c>
      <c r="Y220" s="1">
        <f>IF($AB220=TRUE,N220*Y$2,N220*Y$1)</f>
        <v>1</v>
      </c>
      <c r="Z220" s="1">
        <f>IF($AB220=TRUE,-H220*Z$2,-H220*Z$1)</f>
        <v>0</v>
      </c>
      <c r="AA220" s="2">
        <f>Q220-R220</f>
        <v>-4.2499999999996874E-2</v>
      </c>
      <c r="AB220" s="1" t="b">
        <f>IF(G220=TRUE,IF(LEN(A220)&lt;5,TRUE,FALSE),FALSE)</f>
        <v>0</v>
      </c>
    </row>
    <row r="221" spans="1:28" hidden="1" x14ac:dyDescent="0.3">
      <c r="A221" t="s">
        <v>40</v>
      </c>
      <c r="B221" t="s">
        <v>502</v>
      </c>
      <c r="C221" t="s">
        <v>503</v>
      </c>
      <c r="D221">
        <v>0</v>
      </c>
      <c r="E221">
        <v>50</v>
      </c>
      <c r="F221">
        <v>6.7</v>
      </c>
      <c r="G221" t="b">
        <v>0</v>
      </c>
      <c r="H221">
        <v>0</v>
      </c>
      <c r="I221">
        <v>0</v>
      </c>
      <c r="J221">
        <v>0</v>
      </c>
      <c r="K221">
        <v>41.8</v>
      </c>
      <c r="L221" t="s">
        <v>164</v>
      </c>
      <c r="N221">
        <v>1</v>
      </c>
      <c r="O221">
        <v>0</v>
      </c>
      <c r="P221">
        <v>33.799999999999997</v>
      </c>
      <c r="Q221">
        <f>K221</f>
        <v>41.8</v>
      </c>
      <c r="R221" s="1">
        <f>SUM(S221:Z221)</f>
        <v>41.945</v>
      </c>
      <c r="S221" s="1">
        <f>IF($AB221=TRUE,D221*S$2,D221*S$1)</f>
        <v>0</v>
      </c>
      <c r="T221" s="1">
        <f>IF($AB221=TRUE,E221*T$2,E221*T$1)</f>
        <v>20</v>
      </c>
      <c r="U221" s="1">
        <f>IF($AB221=TRUE,F221*U$2,F221*U$1)</f>
        <v>20.100000000000001</v>
      </c>
      <c r="V221" s="1">
        <f>IF($AB221=TRUE,J221*V$2,J221*V$1)</f>
        <v>0</v>
      </c>
      <c r="W221" s="1">
        <f>IF($AB221=TRUE,P221*W$2/100,P221*W$1/100)</f>
        <v>0.84499999999999997</v>
      </c>
      <c r="X221" s="1">
        <f>IF($AB221=TRUE,I221*X$2,I221*X$1)</f>
        <v>0</v>
      </c>
      <c r="Y221" s="1">
        <f>IF($AB221=TRUE,N221*Y$2,N221*Y$1)</f>
        <v>1</v>
      </c>
      <c r="Z221" s="1">
        <f>IF($AB221=TRUE,-H221*Z$2,-H221*Z$1)</f>
        <v>0</v>
      </c>
      <c r="AA221" s="2">
        <f>Q221-R221</f>
        <v>-0.14500000000000313</v>
      </c>
      <c r="AB221" s="1" t="b">
        <f>IF(G221=TRUE,IF(LEN(A221)&lt;5,TRUE,FALSE),FALSE)</f>
        <v>0</v>
      </c>
    </row>
    <row r="222" spans="1:28" hidden="1" x14ac:dyDescent="0.3">
      <c r="A222" t="s">
        <v>40</v>
      </c>
      <c r="B222" t="s">
        <v>529</v>
      </c>
      <c r="C222" t="s">
        <v>530</v>
      </c>
      <c r="D222">
        <v>0</v>
      </c>
      <c r="E222">
        <v>17.600000000000001</v>
      </c>
      <c r="F222">
        <v>10.8</v>
      </c>
      <c r="G222" t="b">
        <v>0</v>
      </c>
      <c r="H222">
        <v>0</v>
      </c>
      <c r="I222">
        <v>0</v>
      </c>
      <c r="J222">
        <v>0</v>
      </c>
      <c r="K222">
        <v>41.1</v>
      </c>
      <c r="L222" t="s">
        <v>531</v>
      </c>
      <c r="N222">
        <v>1</v>
      </c>
      <c r="O222">
        <v>0</v>
      </c>
      <c r="P222">
        <v>25.3</v>
      </c>
      <c r="Q222">
        <f>K222</f>
        <v>41.1</v>
      </c>
      <c r="R222" s="1">
        <f>SUM(S222:Z222)</f>
        <v>41.072500000000005</v>
      </c>
      <c r="S222" s="1">
        <f>IF($AB222=TRUE,D222*S$2,D222*S$1)</f>
        <v>0</v>
      </c>
      <c r="T222" s="1">
        <f>IF($AB222=TRUE,E222*T$2,E222*T$1)</f>
        <v>7.0400000000000009</v>
      </c>
      <c r="U222" s="1">
        <f>IF($AB222=TRUE,F222*U$2,F222*U$1)</f>
        <v>32.400000000000006</v>
      </c>
      <c r="V222" s="1">
        <f>IF($AB222=TRUE,J222*V$2,J222*V$1)</f>
        <v>0</v>
      </c>
      <c r="W222" s="1">
        <f>IF($AB222=TRUE,P222*W$2/100,P222*W$1/100)</f>
        <v>0.63249999999999995</v>
      </c>
      <c r="X222" s="1">
        <f>IF($AB222=TRUE,I222*X$2,I222*X$1)</f>
        <v>0</v>
      </c>
      <c r="Y222" s="1">
        <f>IF($AB222=TRUE,N222*Y$2,N222*Y$1)</f>
        <v>1</v>
      </c>
      <c r="Z222" s="1">
        <f>IF($AB222=TRUE,-H222*Z$2,-H222*Z$1)</f>
        <v>0</v>
      </c>
      <c r="AA222" s="2">
        <f>Q222-R222</f>
        <v>2.7499999999996305E-2</v>
      </c>
      <c r="AB222" s="1" t="b">
        <f>IF(G222=TRUE,IF(LEN(A222)&lt;5,TRUE,FALSE),FALSE)</f>
        <v>0</v>
      </c>
    </row>
    <row r="223" spans="1:28" hidden="1" x14ac:dyDescent="0.3">
      <c r="A223" t="s">
        <v>18</v>
      </c>
      <c r="B223" t="s">
        <v>532</v>
      </c>
      <c r="C223" t="s">
        <v>533</v>
      </c>
      <c r="D223">
        <v>0</v>
      </c>
      <c r="E223">
        <v>52.2</v>
      </c>
      <c r="F223">
        <v>6.2</v>
      </c>
      <c r="G223" t="b">
        <v>0</v>
      </c>
      <c r="H223">
        <v>0</v>
      </c>
      <c r="I223">
        <v>0</v>
      </c>
      <c r="J223">
        <v>0</v>
      </c>
      <c r="K223">
        <v>40.9</v>
      </c>
      <c r="L223" t="s">
        <v>69</v>
      </c>
      <c r="N223">
        <v>1</v>
      </c>
      <c r="O223">
        <v>0</v>
      </c>
      <c r="P223">
        <v>15.6</v>
      </c>
      <c r="Q223">
        <f>K223</f>
        <v>40.9</v>
      </c>
      <c r="R223" s="1">
        <f>SUM(S223:Z223)</f>
        <v>40.870000000000005</v>
      </c>
      <c r="S223" s="1">
        <f>IF($AB223=TRUE,D223*S$2,D223*S$1)</f>
        <v>0</v>
      </c>
      <c r="T223" s="1">
        <f>IF($AB223=TRUE,E223*T$2,E223*T$1)</f>
        <v>20.880000000000003</v>
      </c>
      <c r="U223" s="1">
        <f>IF($AB223=TRUE,F223*U$2,F223*U$1)</f>
        <v>18.600000000000001</v>
      </c>
      <c r="V223" s="1">
        <f>IF($AB223=TRUE,J223*V$2,J223*V$1)</f>
        <v>0</v>
      </c>
      <c r="W223" s="1">
        <f>IF($AB223=TRUE,P223*W$2/100,P223*W$1/100)</f>
        <v>0.39</v>
      </c>
      <c r="X223" s="1">
        <f>IF($AB223=TRUE,I223*X$2,I223*X$1)</f>
        <v>0</v>
      </c>
      <c r="Y223" s="1">
        <f>IF($AB223=TRUE,N223*Y$2,N223*Y$1)</f>
        <v>1</v>
      </c>
      <c r="Z223" s="1">
        <f>IF($AB223=TRUE,-H223*Z$2,-H223*Z$1)</f>
        <v>0</v>
      </c>
      <c r="AA223" s="2">
        <f>Q223-R223</f>
        <v>2.9999999999994031E-2</v>
      </c>
      <c r="AB223" s="1" t="b">
        <f>IF(G223=TRUE,IF(LEN(A223)&lt;5,TRUE,FALSE),FALSE)</f>
        <v>0</v>
      </c>
    </row>
    <row r="224" spans="1:28" hidden="1" x14ac:dyDescent="0.3">
      <c r="A224" t="s">
        <v>18</v>
      </c>
      <c r="B224" t="s">
        <v>514</v>
      </c>
      <c r="C224" t="s">
        <v>515</v>
      </c>
      <c r="D224">
        <v>0</v>
      </c>
      <c r="E224">
        <v>58.8</v>
      </c>
      <c r="F224">
        <v>5.2</v>
      </c>
      <c r="G224" t="b">
        <v>0</v>
      </c>
      <c r="H224">
        <v>0</v>
      </c>
      <c r="I224">
        <v>0</v>
      </c>
      <c r="J224">
        <v>0</v>
      </c>
      <c r="K224">
        <v>40.4</v>
      </c>
      <c r="L224" t="s">
        <v>51</v>
      </c>
      <c r="N224">
        <v>1</v>
      </c>
      <c r="O224">
        <v>0</v>
      </c>
      <c r="P224">
        <v>16.399999999999999</v>
      </c>
      <c r="Q224">
        <f>K224</f>
        <v>40.4</v>
      </c>
      <c r="R224" s="1">
        <f>SUM(S224:Z224)</f>
        <v>40.53</v>
      </c>
      <c r="S224" s="1">
        <f>IF($AB224=TRUE,D224*S$2,D224*S$1)</f>
        <v>0</v>
      </c>
      <c r="T224" s="1">
        <f>IF($AB224=TRUE,E224*T$2,E224*T$1)</f>
        <v>23.52</v>
      </c>
      <c r="U224" s="1">
        <f>IF($AB224=TRUE,F224*U$2,F224*U$1)</f>
        <v>15.600000000000001</v>
      </c>
      <c r="V224" s="1">
        <f>IF($AB224=TRUE,J224*V$2,J224*V$1)</f>
        <v>0</v>
      </c>
      <c r="W224" s="1">
        <f>IF($AB224=TRUE,P224*W$2/100,P224*W$1/100)</f>
        <v>0.41</v>
      </c>
      <c r="X224" s="1">
        <f>IF($AB224=TRUE,I224*X$2,I224*X$1)</f>
        <v>0</v>
      </c>
      <c r="Y224" s="1">
        <f>IF($AB224=TRUE,N224*Y$2,N224*Y$1)</f>
        <v>1</v>
      </c>
      <c r="Z224" s="1">
        <f>IF($AB224=TRUE,-H224*Z$2,-H224*Z$1)</f>
        <v>0</v>
      </c>
      <c r="AA224" s="2">
        <f>Q224-R224</f>
        <v>-0.13000000000000256</v>
      </c>
      <c r="AB224" s="1" t="b">
        <f>IF(G224=TRUE,IF(LEN(A224)&lt;5,TRUE,FALSE),FALSE)</f>
        <v>0</v>
      </c>
    </row>
    <row r="225" spans="1:28" hidden="1" x14ac:dyDescent="0.3">
      <c r="A225" t="s">
        <v>28</v>
      </c>
      <c r="B225" t="s">
        <v>534</v>
      </c>
      <c r="C225" t="s">
        <v>535</v>
      </c>
      <c r="D225">
        <v>0</v>
      </c>
      <c r="E225">
        <v>85.7</v>
      </c>
      <c r="F225">
        <v>2</v>
      </c>
      <c r="G225" t="b">
        <v>0</v>
      </c>
      <c r="H225">
        <v>0</v>
      </c>
      <c r="I225">
        <v>0</v>
      </c>
      <c r="J225">
        <v>0</v>
      </c>
      <c r="K225">
        <v>40.299999999999997</v>
      </c>
      <c r="N225">
        <v>0</v>
      </c>
      <c r="O225">
        <v>0</v>
      </c>
      <c r="P225">
        <v>0</v>
      </c>
      <c r="Q225">
        <f>K225</f>
        <v>40.299999999999997</v>
      </c>
      <c r="R225" s="1">
        <f>SUM(S225:Z225)</f>
        <v>40.28</v>
      </c>
      <c r="S225" s="1">
        <f>IF($AB225=TRUE,D225*S$2,D225*S$1)</f>
        <v>0</v>
      </c>
      <c r="T225" s="1">
        <f>IF($AB225=TRUE,E225*T$2,E225*T$1)</f>
        <v>34.28</v>
      </c>
      <c r="U225" s="1">
        <f>IF($AB225=TRUE,F225*U$2,F225*U$1)</f>
        <v>6</v>
      </c>
      <c r="V225" s="1">
        <f>IF($AB225=TRUE,J225*V$2,J225*V$1)</f>
        <v>0</v>
      </c>
      <c r="W225" s="1">
        <f>IF($AB225=TRUE,P225*W$2/100,P225*W$1/100)</f>
        <v>0</v>
      </c>
      <c r="X225" s="1">
        <f>IF($AB225=TRUE,I225*X$2,I225*X$1)</f>
        <v>0</v>
      </c>
      <c r="Y225" s="1">
        <f>IF($AB225=TRUE,N225*Y$2,N225*Y$1)</f>
        <v>0</v>
      </c>
      <c r="Z225" s="1">
        <f>IF($AB225=TRUE,-H225*Z$2,-H225*Z$1)</f>
        <v>0</v>
      </c>
      <c r="AA225" s="2">
        <f>Q225-R225</f>
        <v>1.9999999999996021E-2</v>
      </c>
      <c r="AB225" s="1" t="b">
        <f>IF(G225=TRUE,IF(LEN(A225)&lt;5,TRUE,FALSE),FALSE)</f>
        <v>0</v>
      </c>
    </row>
    <row r="226" spans="1:28" hidden="1" x14ac:dyDescent="0.3">
      <c r="A226" t="s">
        <v>18</v>
      </c>
      <c r="B226" t="s">
        <v>516</v>
      </c>
      <c r="C226" t="s">
        <v>517</v>
      </c>
      <c r="D226">
        <v>0</v>
      </c>
      <c r="E226">
        <v>70.599999999999994</v>
      </c>
      <c r="F226">
        <v>3.5</v>
      </c>
      <c r="G226" t="b">
        <v>0</v>
      </c>
      <c r="H226">
        <v>0</v>
      </c>
      <c r="I226">
        <v>0</v>
      </c>
      <c r="J226">
        <v>0</v>
      </c>
      <c r="K226">
        <v>40.200000000000003</v>
      </c>
      <c r="L226" t="s">
        <v>69</v>
      </c>
      <c r="N226">
        <v>1</v>
      </c>
      <c r="O226">
        <v>0</v>
      </c>
      <c r="P226">
        <v>15.6</v>
      </c>
      <c r="Q226">
        <f>K226</f>
        <v>40.200000000000003</v>
      </c>
      <c r="R226" s="1">
        <f>SUM(S226:Z226)</f>
        <v>40.129999999999995</v>
      </c>
      <c r="S226" s="1">
        <f>IF($AB226=TRUE,D226*S$2,D226*S$1)</f>
        <v>0</v>
      </c>
      <c r="T226" s="1">
        <f>IF($AB226=TRUE,E226*T$2,E226*T$1)</f>
        <v>28.24</v>
      </c>
      <c r="U226" s="1">
        <f>IF($AB226=TRUE,F226*U$2,F226*U$1)</f>
        <v>10.5</v>
      </c>
      <c r="V226" s="1">
        <f>IF($AB226=TRUE,J226*V$2,J226*V$1)</f>
        <v>0</v>
      </c>
      <c r="W226" s="1">
        <f>IF($AB226=TRUE,P226*W$2/100,P226*W$1/100)</f>
        <v>0.39</v>
      </c>
      <c r="X226" s="1">
        <f>IF($AB226=TRUE,I226*X$2,I226*X$1)</f>
        <v>0</v>
      </c>
      <c r="Y226" s="1">
        <f>IF($AB226=TRUE,N226*Y$2,N226*Y$1)</f>
        <v>1</v>
      </c>
      <c r="Z226" s="1">
        <f>IF($AB226=TRUE,-H226*Z$2,-H226*Z$1)</f>
        <v>0</v>
      </c>
      <c r="AA226" s="2">
        <f>Q226-R226</f>
        <v>7.000000000000739E-2</v>
      </c>
      <c r="AB226" s="1" t="b">
        <f>IF(G226=TRUE,IF(LEN(A226)&lt;5,TRUE,FALSE),FALSE)</f>
        <v>0</v>
      </c>
    </row>
    <row r="227" spans="1:28" hidden="1" x14ac:dyDescent="0.3">
      <c r="A227" t="s">
        <v>25</v>
      </c>
      <c r="B227" t="s">
        <v>520</v>
      </c>
      <c r="C227" t="s">
        <v>521</v>
      </c>
      <c r="D227">
        <v>1.8</v>
      </c>
      <c r="E227">
        <v>66.7</v>
      </c>
      <c r="F227">
        <v>2</v>
      </c>
      <c r="G227" t="b">
        <v>0</v>
      </c>
      <c r="H227">
        <v>0</v>
      </c>
      <c r="I227">
        <v>0</v>
      </c>
      <c r="J227">
        <v>0</v>
      </c>
      <c r="K227">
        <v>39.299999999999997</v>
      </c>
      <c r="L227" t="s">
        <v>522</v>
      </c>
      <c r="N227">
        <v>2</v>
      </c>
      <c r="O227">
        <v>0</v>
      </c>
      <c r="P227">
        <v>39.6</v>
      </c>
      <c r="Q227">
        <f>K227</f>
        <v>39.299999999999997</v>
      </c>
      <c r="R227" s="1">
        <f>SUM(S227:Z227)</f>
        <v>39.270000000000003</v>
      </c>
      <c r="S227" s="1">
        <f>IF($AB227=TRUE,D227*S$2,D227*S$1)</f>
        <v>3.6</v>
      </c>
      <c r="T227" s="1">
        <f>IF($AB227=TRUE,E227*T$2,E227*T$1)</f>
        <v>26.680000000000003</v>
      </c>
      <c r="U227" s="1">
        <f>IF($AB227=TRUE,F227*U$2,F227*U$1)</f>
        <v>6</v>
      </c>
      <c r="V227" s="1">
        <f>IF($AB227=TRUE,J227*V$2,J227*V$1)</f>
        <v>0</v>
      </c>
      <c r="W227" s="1">
        <f>IF($AB227=TRUE,P227*W$2/100,P227*W$1/100)</f>
        <v>0.99</v>
      </c>
      <c r="X227" s="1">
        <f>IF($AB227=TRUE,I227*X$2,I227*X$1)</f>
        <v>0</v>
      </c>
      <c r="Y227" s="1">
        <f>IF($AB227=TRUE,N227*Y$2,N227*Y$1)</f>
        <v>2</v>
      </c>
      <c r="Z227" s="1">
        <f>IF($AB227=TRUE,-H227*Z$2,-H227*Z$1)</f>
        <v>0</v>
      </c>
      <c r="AA227" s="2">
        <f>Q227-R227</f>
        <v>2.9999999999994031E-2</v>
      </c>
      <c r="AB227" s="1" t="b">
        <f>IF(G227=TRUE,IF(LEN(A227)&lt;5,TRUE,FALSE),FALSE)</f>
        <v>0</v>
      </c>
    </row>
    <row r="228" spans="1:28" hidden="1" x14ac:dyDescent="0.3">
      <c r="A228" t="s">
        <v>25</v>
      </c>
      <c r="B228" t="s">
        <v>540</v>
      </c>
      <c r="C228" t="s">
        <v>541</v>
      </c>
      <c r="D228">
        <v>5.5</v>
      </c>
      <c r="E228">
        <v>50</v>
      </c>
      <c r="F228">
        <v>2</v>
      </c>
      <c r="G228" t="b">
        <v>0</v>
      </c>
      <c r="H228">
        <v>0</v>
      </c>
      <c r="I228">
        <v>0</v>
      </c>
      <c r="J228">
        <v>0</v>
      </c>
      <c r="K228">
        <v>38.799999999999997</v>
      </c>
      <c r="L228" t="s">
        <v>542</v>
      </c>
      <c r="N228">
        <v>1</v>
      </c>
      <c r="O228">
        <v>0</v>
      </c>
      <c r="P228">
        <v>35.299999999999997</v>
      </c>
      <c r="Q228">
        <f>K228</f>
        <v>38.799999999999997</v>
      </c>
      <c r="R228" s="1">
        <f>SUM(S228:Z228)</f>
        <v>38.8825</v>
      </c>
      <c r="S228" s="1">
        <f>IF($AB228=TRUE,D228*S$2,D228*S$1)</f>
        <v>11</v>
      </c>
      <c r="T228" s="1">
        <f>IF($AB228=TRUE,E228*T$2,E228*T$1)</f>
        <v>20</v>
      </c>
      <c r="U228" s="1">
        <f>IF($AB228=TRUE,F228*U$2,F228*U$1)</f>
        <v>6</v>
      </c>
      <c r="V228" s="1">
        <f>IF($AB228=TRUE,J228*V$2,J228*V$1)</f>
        <v>0</v>
      </c>
      <c r="W228" s="1">
        <f>IF($AB228=TRUE,P228*W$2/100,P228*W$1/100)</f>
        <v>0.88249999999999995</v>
      </c>
      <c r="X228" s="1">
        <f>IF($AB228=TRUE,I228*X$2,I228*X$1)</f>
        <v>0</v>
      </c>
      <c r="Y228" s="1">
        <f>IF($AB228=TRUE,N228*Y$2,N228*Y$1)</f>
        <v>1</v>
      </c>
      <c r="Z228" s="1">
        <f>IF($AB228=TRUE,-H228*Z$2,-H228*Z$1)</f>
        <v>0</v>
      </c>
      <c r="AA228" s="2">
        <f>Q228-R228</f>
        <v>-8.2500000000003126E-2</v>
      </c>
      <c r="AB228" s="1" t="b">
        <f>IF(G228=TRUE,IF(LEN(A228)&lt;5,TRUE,FALSE),FALSE)</f>
        <v>0</v>
      </c>
    </row>
    <row r="229" spans="1:28" hidden="1" x14ac:dyDescent="0.3">
      <c r="A229" t="s">
        <v>18</v>
      </c>
      <c r="B229" t="s">
        <v>525</v>
      </c>
      <c r="C229" t="s">
        <v>20</v>
      </c>
      <c r="D229">
        <v>0</v>
      </c>
      <c r="E229">
        <v>90.9</v>
      </c>
      <c r="F229">
        <v>0</v>
      </c>
      <c r="G229" t="b">
        <v>0</v>
      </c>
      <c r="H229">
        <v>0</v>
      </c>
      <c r="I229">
        <v>1</v>
      </c>
      <c r="J229">
        <v>0</v>
      </c>
      <c r="K229">
        <v>38.700000000000003</v>
      </c>
      <c r="L229" t="s">
        <v>83</v>
      </c>
      <c r="N229">
        <v>1</v>
      </c>
      <c r="O229">
        <v>0</v>
      </c>
      <c r="P229">
        <v>12.3</v>
      </c>
      <c r="Q229">
        <f>K229</f>
        <v>38.700000000000003</v>
      </c>
      <c r="R229" s="1">
        <f>SUM(S229:Z229)</f>
        <v>38.667500000000004</v>
      </c>
      <c r="S229" s="1">
        <f>IF($AB229=TRUE,D229*S$2,D229*S$1)</f>
        <v>0</v>
      </c>
      <c r="T229" s="1">
        <f>IF($AB229=TRUE,E229*T$2,E229*T$1)</f>
        <v>36.360000000000007</v>
      </c>
      <c r="U229" s="1">
        <f>IF($AB229=TRUE,F229*U$2,F229*U$1)</f>
        <v>0</v>
      </c>
      <c r="V229" s="1">
        <f>IF($AB229=TRUE,J229*V$2,J229*V$1)</f>
        <v>0</v>
      </c>
      <c r="W229" s="1">
        <f>IF($AB229=TRUE,P229*W$2/100,P229*W$1/100)</f>
        <v>0.3075</v>
      </c>
      <c r="X229" s="1">
        <f>IF($AB229=TRUE,I229*X$2,I229*X$1)</f>
        <v>1</v>
      </c>
      <c r="Y229" s="1">
        <f>IF($AB229=TRUE,N229*Y$2,N229*Y$1)</f>
        <v>1</v>
      </c>
      <c r="Z229" s="1">
        <f>IF($AB229=TRUE,-H229*Z$2,-H229*Z$1)</f>
        <v>0</v>
      </c>
      <c r="AA229" s="2">
        <f>Q229-R229</f>
        <v>3.2499999999998863E-2</v>
      </c>
      <c r="AB229" s="1" t="b">
        <f>IF(G229=TRUE,IF(LEN(A229)&lt;5,TRUE,FALSE),FALSE)</f>
        <v>0</v>
      </c>
    </row>
    <row r="230" spans="1:28" hidden="1" x14ac:dyDescent="0.3">
      <c r="A230" t="s">
        <v>18</v>
      </c>
      <c r="B230" t="s">
        <v>526</v>
      </c>
      <c r="C230" t="s">
        <v>20</v>
      </c>
      <c r="D230">
        <v>0</v>
      </c>
      <c r="E230">
        <v>90.9</v>
      </c>
      <c r="F230">
        <v>0</v>
      </c>
      <c r="G230" t="b">
        <v>0</v>
      </c>
      <c r="H230">
        <v>0</v>
      </c>
      <c r="I230">
        <v>1</v>
      </c>
      <c r="J230">
        <v>0</v>
      </c>
      <c r="K230">
        <v>38.700000000000003</v>
      </c>
      <c r="L230" t="s">
        <v>83</v>
      </c>
      <c r="N230">
        <v>1</v>
      </c>
      <c r="O230">
        <v>0</v>
      </c>
      <c r="P230">
        <v>12.3</v>
      </c>
      <c r="Q230">
        <f>K230</f>
        <v>38.700000000000003</v>
      </c>
      <c r="R230" s="1">
        <f>SUM(S230:Z230)</f>
        <v>38.667500000000004</v>
      </c>
      <c r="S230" s="1">
        <f>IF($AB230=TRUE,D230*S$2,D230*S$1)</f>
        <v>0</v>
      </c>
      <c r="T230" s="1">
        <f>IF($AB230=TRUE,E230*T$2,E230*T$1)</f>
        <v>36.360000000000007</v>
      </c>
      <c r="U230" s="1">
        <f>IF($AB230=TRUE,F230*U$2,F230*U$1)</f>
        <v>0</v>
      </c>
      <c r="V230" s="1">
        <f>IF($AB230=TRUE,J230*V$2,J230*V$1)</f>
        <v>0</v>
      </c>
      <c r="W230" s="1">
        <f>IF($AB230=TRUE,P230*W$2/100,P230*W$1/100)</f>
        <v>0.3075</v>
      </c>
      <c r="X230" s="1">
        <f>IF($AB230=TRUE,I230*X$2,I230*X$1)</f>
        <v>1</v>
      </c>
      <c r="Y230" s="1">
        <f>IF($AB230=TRUE,N230*Y$2,N230*Y$1)</f>
        <v>1</v>
      </c>
      <c r="Z230" s="1">
        <f>IF($AB230=TRUE,-H230*Z$2,-H230*Z$1)</f>
        <v>0</v>
      </c>
      <c r="AA230" s="2">
        <f>Q230-R230</f>
        <v>3.2499999999998863E-2</v>
      </c>
      <c r="AB230" s="1" t="b">
        <f>IF(G230=TRUE,IF(LEN(A230)&lt;5,TRUE,FALSE),FALSE)</f>
        <v>0</v>
      </c>
    </row>
    <row r="231" spans="1:28" hidden="1" x14ac:dyDescent="0.3">
      <c r="A231" t="s">
        <v>18</v>
      </c>
      <c r="B231" t="s">
        <v>527</v>
      </c>
      <c r="C231" t="s">
        <v>20</v>
      </c>
      <c r="D231">
        <v>0</v>
      </c>
      <c r="E231">
        <v>90.9</v>
      </c>
      <c r="F231">
        <v>0</v>
      </c>
      <c r="G231" t="b">
        <v>0</v>
      </c>
      <c r="H231">
        <v>0</v>
      </c>
      <c r="I231">
        <v>1</v>
      </c>
      <c r="J231">
        <v>0</v>
      </c>
      <c r="K231">
        <v>38.700000000000003</v>
      </c>
      <c r="L231" t="s">
        <v>528</v>
      </c>
      <c r="N231">
        <v>1</v>
      </c>
      <c r="O231">
        <v>0</v>
      </c>
      <c r="P231">
        <v>9.4</v>
      </c>
      <c r="Q231">
        <f>K231</f>
        <v>38.700000000000003</v>
      </c>
      <c r="R231" s="1">
        <f>SUM(S231:Z231)</f>
        <v>38.595000000000006</v>
      </c>
      <c r="S231" s="1">
        <f>IF($AB231=TRUE,D231*S$2,D231*S$1)</f>
        <v>0</v>
      </c>
      <c r="T231" s="1">
        <f>IF($AB231=TRUE,E231*T$2,E231*T$1)</f>
        <v>36.360000000000007</v>
      </c>
      <c r="U231" s="1">
        <f>IF($AB231=TRUE,F231*U$2,F231*U$1)</f>
        <v>0</v>
      </c>
      <c r="V231" s="1">
        <f>IF($AB231=TRUE,J231*V$2,J231*V$1)</f>
        <v>0</v>
      </c>
      <c r="W231" s="1">
        <f>IF($AB231=TRUE,P231*W$2/100,P231*W$1/100)</f>
        <v>0.23499999999999999</v>
      </c>
      <c r="X231" s="1">
        <f>IF($AB231=TRUE,I231*X$2,I231*X$1)</f>
        <v>1</v>
      </c>
      <c r="Y231" s="1">
        <f>IF($AB231=TRUE,N231*Y$2,N231*Y$1)</f>
        <v>1</v>
      </c>
      <c r="Z231" s="1">
        <f>IF($AB231=TRUE,-H231*Z$2,-H231*Z$1)</f>
        <v>0</v>
      </c>
      <c r="AA231" s="2">
        <f>Q231-R231</f>
        <v>0.10499999999999687</v>
      </c>
      <c r="AB231" s="1" t="b">
        <f>IF(G231=TRUE,IF(LEN(A231)&lt;5,TRUE,FALSE),FALSE)</f>
        <v>0</v>
      </c>
    </row>
    <row r="232" spans="1:28" hidden="1" x14ac:dyDescent="0.3">
      <c r="A232" t="s">
        <v>40</v>
      </c>
      <c r="B232" t="s">
        <v>543</v>
      </c>
      <c r="C232" t="s">
        <v>544</v>
      </c>
      <c r="D232">
        <v>0</v>
      </c>
      <c r="E232">
        <v>20.7</v>
      </c>
      <c r="F232">
        <v>9.6</v>
      </c>
      <c r="G232" t="b">
        <v>0</v>
      </c>
      <c r="H232">
        <v>0</v>
      </c>
      <c r="I232">
        <v>0</v>
      </c>
      <c r="J232">
        <v>0</v>
      </c>
      <c r="K232">
        <v>38.6</v>
      </c>
      <c r="L232" t="s">
        <v>545</v>
      </c>
      <c r="N232">
        <v>1</v>
      </c>
      <c r="O232">
        <v>0</v>
      </c>
      <c r="P232">
        <v>15.7</v>
      </c>
      <c r="Q232">
        <f>K232</f>
        <v>38.6</v>
      </c>
      <c r="R232" s="1">
        <f>SUM(S232:Z232)</f>
        <v>38.472499999999997</v>
      </c>
      <c r="S232" s="1">
        <f>IF($AB232=TRUE,D232*S$2,D232*S$1)</f>
        <v>0</v>
      </c>
      <c r="T232" s="1">
        <f>IF($AB232=TRUE,E232*T$2,E232*T$1)</f>
        <v>8.2799999999999994</v>
      </c>
      <c r="U232" s="1">
        <f>IF($AB232=TRUE,F232*U$2,F232*U$1)</f>
        <v>28.799999999999997</v>
      </c>
      <c r="V232" s="1">
        <f>IF($AB232=TRUE,J232*V$2,J232*V$1)</f>
        <v>0</v>
      </c>
      <c r="W232" s="1">
        <f>IF($AB232=TRUE,P232*W$2/100,P232*W$1/100)</f>
        <v>0.39250000000000002</v>
      </c>
      <c r="X232" s="1">
        <f>IF($AB232=TRUE,I232*X$2,I232*X$1)</f>
        <v>0</v>
      </c>
      <c r="Y232" s="1">
        <f>IF($AB232=TRUE,N232*Y$2,N232*Y$1)</f>
        <v>1</v>
      </c>
      <c r="Z232" s="1">
        <f>IF($AB232=TRUE,-H232*Z$2,-H232*Z$1)</f>
        <v>0</v>
      </c>
      <c r="AA232" s="2">
        <f>Q232-R232</f>
        <v>0.12750000000000483</v>
      </c>
      <c r="AB232" s="1" t="b">
        <f>IF(G232=TRUE,IF(LEN(A232)&lt;5,TRUE,FALSE),FALSE)</f>
        <v>0</v>
      </c>
    </row>
    <row r="233" spans="1:28" hidden="1" x14ac:dyDescent="0.3">
      <c r="A233" t="s">
        <v>18</v>
      </c>
      <c r="B233" t="s">
        <v>546</v>
      </c>
      <c r="C233" t="s">
        <v>547</v>
      </c>
      <c r="D233">
        <v>0.5</v>
      </c>
      <c r="E233">
        <v>62.5</v>
      </c>
      <c r="F233">
        <v>3.5</v>
      </c>
      <c r="G233" t="b">
        <v>0</v>
      </c>
      <c r="H233">
        <v>0</v>
      </c>
      <c r="I233">
        <v>0</v>
      </c>
      <c r="J233">
        <v>0</v>
      </c>
      <c r="K233">
        <v>38.299999999999997</v>
      </c>
      <c r="L233" t="s">
        <v>36</v>
      </c>
      <c r="N233">
        <v>1</v>
      </c>
      <c r="O233">
        <v>0</v>
      </c>
      <c r="P233">
        <v>25.7</v>
      </c>
      <c r="Q233">
        <f>K233</f>
        <v>38.299999999999997</v>
      </c>
      <c r="R233" s="1">
        <f>SUM(S233:Z233)</f>
        <v>38.142499999999998</v>
      </c>
      <c r="S233" s="1">
        <f>IF($AB233=TRUE,D233*S$2,D233*S$1)</f>
        <v>1</v>
      </c>
      <c r="T233" s="1">
        <f>IF($AB233=TRUE,E233*T$2,E233*T$1)</f>
        <v>25</v>
      </c>
      <c r="U233" s="1">
        <f>IF($AB233=TRUE,F233*U$2,F233*U$1)</f>
        <v>10.5</v>
      </c>
      <c r="V233" s="1">
        <f>IF($AB233=TRUE,J233*V$2,J233*V$1)</f>
        <v>0</v>
      </c>
      <c r="W233" s="1">
        <f>IF($AB233=TRUE,P233*W$2/100,P233*W$1/100)</f>
        <v>0.64249999999999996</v>
      </c>
      <c r="X233" s="1">
        <f>IF($AB233=TRUE,I233*X$2,I233*X$1)</f>
        <v>0</v>
      </c>
      <c r="Y233" s="1">
        <f>IF($AB233=TRUE,N233*Y$2,N233*Y$1)</f>
        <v>1</v>
      </c>
      <c r="Z233" s="1">
        <f>IF($AB233=TRUE,-H233*Z$2,-H233*Z$1)</f>
        <v>0</v>
      </c>
      <c r="AA233" s="2">
        <f>Q233-R233</f>
        <v>0.15749999999999886</v>
      </c>
      <c r="AB233" s="1" t="b">
        <f>IF(G233=TRUE,IF(LEN(A233)&lt;5,TRUE,FALSE),FALSE)</f>
        <v>0</v>
      </c>
    </row>
    <row r="234" spans="1:28" hidden="1" x14ac:dyDescent="0.3">
      <c r="A234" t="s">
        <v>40</v>
      </c>
      <c r="B234" t="s">
        <v>552</v>
      </c>
      <c r="C234" t="s">
        <v>553</v>
      </c>
      <c r="D234">
        <v>0</v>
      </c>
      <c r="E234">
        <v>30</v>
      </c>
      <c r="F234">
        <v>8.6999999999999993</v>
      </c>
      <c r="G234" t="b">
        <v>0</v>
      </c>
      <c r="H234">
        <v>0</v>
      </c>
      <c r="I234">
        <v>0</v>
      </c>
      <c r="J234">
        <v>0</v>
      </c>
      <c r="K234">
        <v>38</v>
      </c>
      <c r="N234">
        <v>0</v>
      </c>
      <c r="O234">
        <v>0</v>
      </c>
      <c r="P234">
        <v>0</v>
      </c>
      <c r="Q234">
        <f>K234</f>
        <v>38</v>
      </c>
      <c r="R234" s="1">
        <f>SUM(S234:Z234)</f>
        <v>38.099999999999994</v>
      </c>
      <c r="S234" s="1">
        <f>IF($AB234=TRUE,D234*S$2,D234*S$1)</f>
        <v>0</v>
      </c>
      <c r="T234" s="1">
        <f>IF($AB234=TRUE,E234*T$2,E234*T$1)</f>
        <v>12</v>
      </c>
      <c r="U234" s="1">
        <f>IF($AB234=TRUE,F234*U$2,F234*U$1)</f>
        <v>26.099999999999998</v>
      </c>
      <c r="V234" s="1">
        <f>IF($AB234=TRUE,J234*V$2,J234*V$1)</f>
        <v>0</v>
      </c>
      <c r="W234" s="1">
        <f>IF($AB234=TRUE,P234*W$2/100,P234*W$1/100)</f>
        <v>0</v>
      </c>
      <c r="X234" s="1">
        <f>IF($AB234=TRUE,I234*X$2,I234*X$1)</f>
        <v>0</v>
      </c>
      <c r="Y234" s="1">
        <f>IF($AB234=TRUE,N234*Y$2,N234*Y$1)</f>
        <v>0</v>
      </c>
      <c r="Z234" s="1">
        <f>IF($AB234=TRUE,-H234*Z$2,-H234*Z$1)</f>
        <v>0</v>
      </c>
      <c r="AA234" s="2">
        <f>Q234-R234</f>
        <v>-9.9999999999994316E-2</v>
      </c>
      <c r="AB234" s="1" t="b">
        <f>IF(G234=TRUE,IF(LEN(A234)&lt;5,TRUE,FALSE),FALSE)</f>
        <v>0</v>
      </c>
    </row>
    <row r="235" spans="1:28" hidden="1" x14ac:dyDescent="0.3">
      <c r="A235" t="s">
        <v>18</v>
      </c>
      <c r="B235" t="s">
        <v>554</v>
      </c>
      <c r="C235" t="s">
        <v>555</v>
      </c>
      <c r="D235">
        <v>0</v>
      </c>
      <c r="E235">
        <v>90.9</v>
      </c>
      <c r="F235">
        <v>0</v>
      </c>
      <c r="G235" t="b">
        <v>0</v>
      </c>
      <c r="H235">
        <v>0</v>
      </c>
      <c r="I235">
        <v>0</v>
      </c>
      <c r="J235">
        <v>0</v>
      </c>
      <c r="K235">
        <v>37.799999999999997</v>
      </c>
      <c r="L235" t="s">
        <v>556</v>
      </c>
      <c r="N235">
        <v>1</v>
      </c>
      <c r="O235">
        <v>0</v>
      </c>
      <c r="P235">
        <v>17</v>
      </c>
      <c r="Q235">
        <f>K235</f>
        <v>37.799999999999997</v>
      </c>
      <c r="R235" s="1">
        <f>SUM(S235:Z235)</f>
        <v>37.785000000000004</v>
      </c>
      <c r="S235" s="1">
        <f>IF($AB235=TRUE,D235*S$2,D235*S$1)</f>
        <v>0</v>
      </c>
      <c r="T235" s="1">
        <f>IF($AB235=TRUE,E235*T$2,E235*T$1)</f>
        <v>36.360000000000007</v>
      </c>
      <c r="U235" s="1">
        <f>IF($AB235=TRUE,F235*U$2,F235*U$1)</f>
        <v>0</v>
      </c>
      <c r="V235" s="1">
        <f>IF($AB235=TRUE,J235*V$2,J235*V$1)</f>
        <v>0</v>
      </c>
      <c r="W235" s="1">
        <f>IF($AB235=TRUE,P235*W$2/100,P235*W$1/100)</f>
        <v>0.42499999999999999</v>
      </c>
      <c r="X235" s="1">
        <f>IF($AB235=TRUE,I235*X$2,I235*X$1)</f>
        <v>0</v>
      </c>
      <c r="Y235" s="1">
        <f>IF($AB235=TRUE,N235*Y$2,N235*Y$1)</f>
        <v>1</v>
      </c>
      <c r="Z235" s="1">
        <f>IF($AB235=TRUE,-H235*Z$2,-H235*Z$1)</f>
        <v>0</v>
      </c>
      <c r="AA235" s="2">
        <f>Q235-R235</f>
        <v>1.4999999999993463E-2</v>
      </c>
      <c r="AB235" s="1" t="b">
        <f>IF(G235=TRUE,IF(LEN(A235)&lt;5,TRUE,FALSE),FALSE)</f>
        <v>0</v>
      </c>
    </row>
    <row r="236" spans="1:28" hidden="1" x14ac:dyDescent="0.3">
      <c r="A236" t="s">
        <v>18</v>
      </c>
      <c r="B236" t="s">
        <v>559</v>
      </c>
      <c r="C236" t="s">
        <v>560</v>
      </c>
      <c r="D236">
        <v>0</v>
      </c>
      <c r="E236">
        <v>25.6</v>
      </c>
      <c r="F236">
        <v>8.1999999999999993</v>
      </c>
      <c r="G236" t="b">
        <v>0</v>
      </c>
      <c r="H236">
        <v>0</v>
      </c>
      <c r="I236">
        <v>0</v>
      </c>
      <c r="J236">
        <v>0</v>
      </c>
      <c r="K236">
        <v>37.700000000000003</v>
      </c>
      <c r="L236" t="s">
        <v>561</v>
      </c>
      <c r="N236">
        <v>2</v>
      </c>
      <c r="O236">
        <v>0</v>
      </c>
      <c r="P236">
        <v>29.9</v>
      </c>
      <c r="Q236">
        <f>K236</f>
        <v>37.700000000000003</v>
      </c>
      <c r="R236" s="1">
        <f>SUM(S236:Z236)</f>
        <v>37.587500000000006</v>
      </c>
      <c r="S236" s="1">
        <f>IF($AB236=TRUE,D236*S$2,D236*S$1)</f>
        <v>0</v>
      </c>
      <c r="T236" s="1">
        <f>IF($AB236=TRUE,E236*T$2,E236*T$1)</f>
        <v>10.240000000000002</v>
      </c>
      <c r="U236" s="1">
        <f>IF($AB236=TRUE,F236*U$2,F236*U$1)</f>
        <v>24.599999999999998</v>
      </c>
      <c r="V236" s="1">
        <f>IF($AB236=TRUE,J236*V$2,J236*V$1)</f>
        <v>0</v>
      </c>
      <c r="W236" s="1">
        <f>IF($AB236=TRUE,P236*W$2/100,P236*W$1/100)</f>
        <v>0.74750000000000005</v>
      </c>
      <c r="X236" s="1">
        <f>IF($AB236=TRUE,I236*X$2,I236*X$1)</f>
        <v>0</v>
      </c>
      <c r="Y236" s="1">
        <f>IF($AB236=TRUE,N236*Y$2,N236*Y$1)</f>
        <v>2</v>
      </c>
      <c r="Z236" s="1">
        <f>IF($AB236=TRUE,-H236*Z$2,-H236*Z$1)</f>
        <v>0</v>
      </c>
      <c r="AA236" s="2">
        <f>Q236-R236</f>
        <v>0.11249999999999716</v>
      </c>
      <c r="AB236" s="1" t="b">
        <f>IF(G236=TRUE,IF(LEN(A236)&lt;5,TRUE,FALSE),FALSE)</f>
        <v>0</v>
      </c>
    </row>
    <row r="237" spans="1:28" hidden="1" x14ac:dyDescent="0.3">
      <c r="A237" t="s">
        <v>25</v>
      </c>
      <c r="B237" t="s">
        <v>562</v>
      </c>
      <c r="C237" t="s">
        <v>563</v>
      </c>
      <c r="D237">
        <v>1.8</v>
      </c>
      <c r="E237">
        <v>51.4</v>
      </c>
      <c r="F237">
        <v>4.2</v>
      </c>
      <c r="G237" t="b">
        <v>0</v>
      </c>
      <c r="H237">
        <v>0</v>
      </c>
      <c r="I237">
        <v>0</v>
      </c>
      <c r="J237">
        <v>0</v>
      </c>
      <c r="K237">
        <v>36.9</v>
      </c>
      <c r="N237">
        <v>0</v>
      </c>
      <c r="O237">
        <v>0</v>
      </c>
      <c r="P237">
        <v>0</v>
      </c>
      <c r="Q237">
        <f>K237</f>
        <v>36.9</v>
      </c>
      <c r="R237" s="1">
        <f>SUM(S237:Z237)</f>
        <v>36.760000000000005</v>
      </c>
      <c r="S237" s="1">
        <f>IF($AB237=TRUE,D237*S$2,D237*S$1)</f>
        <v>3.6</v>
      </c>
      <c r="T237" s="1">
        <f>IF($AB237=TRUE,E237*T$2,E237*T$1)</f>
        <v>20.560000000000002</v>
      </c>
      <c r="U237" s="1">
        <f>IF($AB237=TRUE,F237*U$2,F237*U$1)</f>
        <v>12.600000000000001</v>
      </c>
      <c r="V237" s="1">
        <f>IF($AB237=TRUE,J237*V$2,J237*V$1)</f>
        <v>0</v>
      </c>
      <c r="W237" s="1">
        <f>IF($AB237=TRUE,P237*W$2/100,P237*W$1/100)</f>
        <v>0</v>
      </c>
      <c r="X237" s="1">
        <f>IF($AB237=TRUE,I237*X$2,I237*X$1)</f>
        <v>0</v>
      </c>
      <c r="Y237" s="1">
        <f>IF($AB237=TRUE,N237*Y$2,N237*Y$1)</f>
        <v>0</v>
      </c>
      <c r="Z237" s="1">
        <f>IF($AB237=TRUE,-H237*Z$2,-H237*Z$1)</f>
        <v>0</v>
      </c>
      <c r="AA237" s="2">
        <f>Q237-R237</f>
        <v>0.13999999999999346</v>
      </c>
      <c r="AB237" s="1" t="b">
        <f>IF(G237=TRUE,IF(LEN(A237)&lt;5,TRUE,FALSE),FALSE)</f>
        <v>0</v>
      </c>
    </row>
    <row r="238" spans="1:28" hidden="1" x14ac:dyDescent="0.3">
      <c r="A238" t="s">
        <v>40</v>
      </c>
      <c r="B238" t="s">
        <v>536</v>
      </c>
      <c r="C238" t="s">
        <v>537</v>
      </c>
      <c r="D238">
        <v>0</v>
      </c>
      <c r="E238">
        <v>28.6</v>
      </c>
      <c r="F238">
        <v>7.7</v>
      </c>
      <c r="G238" t="b">
        <v>0</v>
      </c>
      <c r="H238">
        <v>0</v>
      </c>
      <c r="I238">
        <v>0</v>
      </c>
      <c r="J238">
        <v>0</v>
      </c>
      <c r="K238">
        <v>36.299999999999997</v>
      </c>
      <c r="L238" t="s">
        <v>538</v>
      </c>
      <c r="N238">
        <v>1</v>
      </c>
      <c r="O238">
        <v>0</v>
      </c>
      <c r="P238">
        <v>29.4</v>
      </c>
      <c r="Q238">
        <f>K238</f>
        <v>36.299999999999997</v>
      </c>
      <c r="R238" s="1">
        <f>SUM(S238:Z238)</f>
        <v>36.275000000000006</v>
      </c>
      <c r="S238" s="1">
        <f>IF($AB238=TRUE,D238*S$2,D238*S$1)</f>
        <v>0</v>
      </c>
      <c r="T238" s="1">
        <f>IF($AB238=TRUE,E238*T$2,E238*T$1)</f>
        <v>11.440000000000001</v>
      </c>
      <c r="U238" s="1">
        <f>IF($AB238=TRUE,F238*U$2,F238*U$1)</f>
        <v>23.1</v>
      </c>
      <c r="V238" s="1">
        <f>IF($AB238=TRUE,J238*V$2,J238*V$1)</f>
        <v>0</v>
      </c>
      <c r="W238" s="1">
        <f>IF($AB238=TRUE,P238*W$2/100,P238*W$1/100)</f>
        <v>0.73499999999999999</v>
      </c>
      <c r="X238" s="1">
        <f>IF($AB238=TRUE,I238*X$2,I238*X$1)</f>
        <v>0</v>
      </c>
      <c r="Y238" s="1">
        <f>IF($AB238=TRUE,N238*Y$2,N238*Y$1)</f>
        <v>1</v>
      </c>
      <c r="Z238" s="1">
        <f>IF($AB238=TRUE,-H238*Z$2,-H238*Z$1)</f>
        <v>0</v>
      </c>
      <c r="AA238" s="2">
        <f>Q238-R238</f>
        <v>2.4999999999991473E-2</v>
      </c>
      <c r="AB238" s="1" t="b">
        <f>IF(G238=TRUE,IF(LEN(A238)&lt;5,TRUE,FALSE),FALSE)</f>
        <v>0</v>
      </c>
    </row>
    <row r="239" spans="1:28" hidden="1" x14ac:dyDescent="0.3">
      <c r="A239" t="s">
        <v>18</v>
      </c>
      <c r="B239" t="s">
        <v>539</v>
      </c>
      <c r="C239" t="s">
        <v>383</v>
      </c>
      <c r="D239">
        <v>0</v>
      </c>
      <c r="E239">
        <v>70.599999999999994</v>
      </c>
      <c r="F239">
        <v>2.2000000000000002</v>
      </c>
      <c r="G239" t="b">
        <v>0</v>
      </c>
      <c r="H239">
        <v>0</v>
      </c>
      <c r="I239">
        <v>0</v>
      </c>
      <c r="J239">
        <v>0</v>
      </c>
      <c r="K239">
        <v>36.200000000000003</v>
      </c>
      <c r="L239" t="s">
        <v>481</v>
      </c>
      <c r="N239">
        <v>1</v>
      </c>
      <c r="O239">
        <v>0</v>
      </c>
      <c r="P239">
        <v>11.7</v>
      </c>
      <c r="Q239">
        <f>K239</f>
        <v>36.200000000000003</v>
      </c>
      <c r="R239" s="1">
        <f>SUM(S239:Z239)</f>
        <v>36.132499999999993</v>
      </c>
      <c r="S239" s="1">
        <f>IF($AB239=TRUE,D239*S$2,D239*S$1)</f>
        <v>0</v>
      </c>
      <c r="T239" s="1">
        <f>IF($AB239=TRUE,E239*T$2,E239*T$1)</f>
        <v>28.24</v>
      </c>
      <c r="U239" s="1">
        <f>IF($AB239=TRUE,F239*U$2,F239*U$1)</f>
        <v>6.6000000000000005</v>
      </c>
      <c r="V239" s="1">
        <f>IF($AB239=TRUE,J239*V$2,J239*V$1)</f>
        <v>0</v>
      </c>
      <c r="W239" s="1">
        <f>IF($AB239=TRUE,P239*W$2/100,P239*W$1/100)</f>
        <v>0.29249999999999998</v>
      </c>
      <c r="X239" s="1">
        <f>IF($AB239=TRUE,I239*X$2,I239*X$1)</f>
        <v>0</v>
      </c>
      <c r="Y239" s="1">
        <f>IF($AB239=TRUE,N239*Y$2,N239*Y$1)</f>
        <v>1</v>
      </c>
      <c r="Z239" s="1">
        <f>IF($AB239=TRUE,-H239*Z$2,-H239*Z$1)</f>
        <v>0</v>
      </c>
      <c r="AA239" s="2">
        <f>Q239-R239</f>
        <v>6.7500000000009663E-2</v>
      </c>
      <c r="AB239" s="1" t="b">
        <f>IF(G239=TRUE,IF(LEN(A239)&lt;5,TRUE,FALSE),FALSE)</f>
        <v>0</v>
      </c>
    </row>
    <row r="240" spans="1:28" hidden="1" x14ac:dyDescent="0.3">
      <c r="A240" t="s">
        <v>28</v>
      </c>
      <c r="B240" t="s">
        <v>568</v>
      </c>
      <c r="C240" t="s">
        <v>569</v>
      </c>
      <c r="D240">
        <v>0</v>
      </c>
      <c r="E240">
        <v>85.7</v>
      </c>
      <c r="F240">
        <v>0</v>
      </c>
      <c r="G240" t="b">
        <v>0</v>
      </c>
      <c r="H240">
        <v>0</v>
      </c>
      <c r="I240">
        <v>0</v>
      </c>
      <c r="J240">
        <v>0</v>
      </c>
      <c r="K240">
        <v>35.9</v>
      </c>
      <c r="L240" t="s">
        <v>570</v>
      </c>
      <c r="N240">
        <v>1</v>
      </c>
      <c r="O240">
        <v>0</v>
      </c>
      <c r="P240">
        <v>22.6</v>
      </c>
      <c r="Q240">
        <f>K240</f>
        <v>35.9</v>
      </c>
      <c r="R240" s="1">
        <f>SUM(S240:Z240)</f>
        <v>35.844999999999999</v>
      </c>
      <c r="S240" s="1">
        <f>IF($AB240=TRUE,D240*S$2,D240*S$1)</f>
        <v>0</v>
      </c>
      <c r="T240" s="1">
        <f>IF($AB240=TRUE,E240*T$2,E240*T$1)</f>
        <v>34.28</v>
      </c>
      <c r="U240" s="1">
        <f>IF($AB240=TRUE,F240*U$2,F240*U$1)</f>
        <v>0</v>
      </c>
      <c r="V240" s="1">
        <f>IF($AB240=TRUE,J240*V$2,J240*V$1)</f>
        <v>0</v>
      </c>
      <c r="W240" s="1">
        <f>IF($AB240=TRUE,P240*W$2/100,P240*W$1/100)</f>
        <v>0.56499999999999995</v>
      </c>
      <c r="X240" s="1">
        <f>IF($AB240=TRUE,I240*X$2,I240*X$1)</f>
        <v>0</v>
      </c>
      <c r="Y240" s="1">
        <f>IF($AB240=TRUE,N240*Y$2,N240*Y$1)</f>
        <v>1</v>
      </c>
      <c r="Z240" s="1">
        <f>IF($AB240=TRUE,-H240*Z$2,-H240*Z$1)</f>
        <v>0</v>
      </c>
      <c r="AA240" s="2">
        <f>Q240-R240</f>
        <v>5.4999999999999716E-2</v>
      </c>
      <c r="AB240" s="1" t="b">
        <f>IF(G240=TRUE,IF(LEN(A240)&lt;5,TRUE,FALSE),FALSE)</f>
        <v>0</v>
      </c>
    </row>
    <row r="241" spans="1:28" hidden="1" x14ac:dyDescent="0.3">
      <c r="A241" t="s">
        <v>28</v>
      </c>
      <c r="B241" t="s">
        <v>571</v>
      </c>
      <c r="C241" t="s">
        <v>572</v>
      </c>
      <c r="D241">
        <v>0</v>
      </c>
      <c r="E241">
        <v>85.7</v>
      </c>
      <c r="F241">
        <v>0</v>
      </c>
      <c r="G241" t="b">
        <v>0</v>
      </c>
      <c r="H241">
        <v>0</v>
      </c>
      <c r="I241">
        <v>0</v>
      </c>
      <c r="J241">
        <v>0</v>
      </c>
      <c r="K241">
        <v>35.9</v>
      </c>
      <c r="L241" t="s">
        <v>556</v>
      </c>
      <c r="N241">
        <v>1</v>
      </c>
      <c r="O241">
        <v>0</v>
      </c>
      <c r="P241">
        <v>21.6</v>
      </c>
      <c r="Q241">
        <f>K241</f>
        <v>35.9</v>
      </c>
      <c r="R241" s="1">
        <f>SUM(S241:Z241)</f>
        <v>35.82</v>
      </c>
      <c r="S241" s="1">
        <f>IF($AB241=TRUE,D241*S$2,D241*S$1)</f>
        <v>0</v>
      </c>
      <c r="T241" s="1">
        <f>IF($AB241=TRUE,E241*T$2,E241*T$1)</f>
        <v>34.28</v>
      </c>
      <c r="U241" s="1">
        <f>IF($AB241=TRUE,F241*U$2,F241*U$1)</f>
        <v>0</v>
      </c>
      <c r="V241" s="1">
        <f>IF($AB241=TRUE,J241*V$2,J241*V$1)</f>
        <v>0</v>
      </c>
      <c r="W241" s="1">
        <f>IF($AB241=TRUE,P241*W$2/100,P241*W$1/100)</f>
        <v>0.54</v>
      </c>
      <c r="X241" s="1">
        <f>IF($AB241=TRUE,I241*X$2,I241*X$1)</f>
        <v>0</v>
      </c>
      <c r="Y241" s="1">
        <f>IF($AB241=TRUE,N241*Y$2,N241*Y$1)</f>
        <v>1</v>
      </c>
      <c r="Z241" s="1">
        <f>IF($AB241=TRUE,-H241*Z$2,-H241*Z$1)</f>
        <v>0</v>
      </c>
      <c r="AA241" s="2">
        <f>Q241-R241</f>
        <v>7.9999999999998295E-2</v>
      </c>
      <c r="AB241" s="1" t="b">
        <f>IF(G241=TRUE,IF(LEN(A241)&lt;5,TRUE,FALSE),FALSE)</f>
        <v>0</v>
      </c>
    </row>
    <row r="242" spans="1:28" hidden="1" x14ac:dyDescent="0.3">
      <c r="A242" t="s">
        <v>28</v>
      </c>
      <c r="B242" t="s">
        <v>573</v>
      </c>
      <c r="C242" t="s">
        <v>574</v>
      </c>
      <c r="D242">
        <v>0</v>
      </c>
      <c r="E242">
        <v>85.7</v>
      </c>
      <c r="F242">
        <v>0</v>
      </c>
      <c r="G242" t="b">
        <v>0</v>
      </c>
      <c r="H242">
        <v>0</v>
      </c>
      <c r="I242">
        <v>0</v>
      </c>
      <c r="J242">
        <v>0</v>
      </c>
      <c r="K242">
        <v>35.9</v>
      </c>
      <c r="L242" t="s">
        <v>575</v>
      </c>
      <c r="N242">
        <v>1</v>
      </c>
      <c r="O242">
        <v>0</v>
      </c>
      <c r="P242">
        <v>23.2</v>
      </c>
      <c r="Q242">
        <f>K242</f>
        <v>35.9</v>
      </c>
      <c r="R242" s="1">
        <f>SUM(S242:Z242)</f>
        <v>35.86</v>
      </c>
      <c r="S242" s="1">
        <f>IF($AB242=TRUE,D242*S$2,D242*S$1)</f>
        <v>0</v>
      </c>
      <c r="T242" s="1">
        <f>IF($AB242=TRUE,E242*T$2,E242*T$1)</f>
        <v>34.28</v>
      </c>
      <c r="U242" s="1">
        <f>IF($AB242=TRUE,F242*U$2,F242*U$1)</f>
        <v>0</v>
      </c>
      <c r="V242" s="1">
        <f>IF($AB242=TRUE,J242*V$2,J242*V$1)</f>
        <v>0</v>
      </c>
      <c r="W242" s="1">
        <f>IF($AB242=TRUE,P242*W$2/100,P242*W$1/100)</f>
        <v>0.57999999999999996</v>
      </c>
      <c r="X242" s="1">
        <f>IF($AB242=TRUE,I242*X$2,I242*X$1)</f>
        <v>0</v>
      </c>
      <c r="Y242" s="1">
        <f>IF($AB242=TRUE,N242*Y$2,N242*Y$1)</f>
        <v>1</v>
      </c>
      <c r="Z242" s="1">
        <f>IF($AB242=TRUE,-H242*Z$2,-H242*Z$1)</f>
        <v>0</v>
      </c>
      <c r="AA242" s="2">
        <f>Q242-R242</f>
        <v>3.9999999999999147E-2</v>
      </c>
      <c r="AB242" s="1" t="b">
        <f>IF(G242=TRUE,IF(LEN(A242)&lt;5,TRUE,FALSE),FALSE)</f>
        <v>0</v>
      </c>
    </row>
    <row r="243" spans="1:28" hidden="1" x14ac:dyDescent="0.3">
      <c r="A243" t="s">
        <v>44</v>
      </c>
      <c r="B243" t="s">
        <v>576</v>
      </c>
      <c r="C243" t="s">
        <v>577</v>
      </c>
      <c r="D243">
        <v>0</v>
      </c>
      <c r="E243">
        <v>53.3</v>
      </c>
      <c r="F243">
        <v>4.2</v>
      </c>
      <c r="G243" t="b">
        <v>0</v>
      </c>
      <c r="H243">
        <v>0</v>
      </c>
      <c r="I243">
        <v>0</v>
      </c>
      <c r="J243">
        <v>0</v>
      </c>
      <c r="K243">
        <v>35.700000000000003</v>
      </c>
      <c r="L243" t="s">
        <v>578</v>
      </c>
      <c r="N243">
        <v>1</v>
      </c>
      <c r="O243">
        <v>0</v>
      </c>
      <c r="P243">
        <v>28.2</v>
      </c>
      <c r="Q243">
        <f>K243</f>
        <v>35.700000000000003</v>
      </c>
      <c r="R243" s="1">
        <f>SUM(S243:Z243)</f>
        <v>35.625</v>
      </c>
      <c r="S243" s="1">
        <f>IF($AB243=TRUE,D243*S$2,D243*S$1)</f>
        <v>0</v>
      </c>
      <c r="T243" s="1">
        <f>IF($AB243=TRUE,E243*T$2,E243*T$1)</f>
        <v>21.32</v>
      </c>
      <c r="U243" s="1">
        <f>IF($AB243=TRUE,F243*U$2,F243*U$1)</f>
        <v>12.600000000000001</v>
      </c>
      <c r="V243" s="1">
        <f>IF($AB243=TRUE,J243*V$2,J243*V$1)</f>
        <v>0</v>
      </c>
      <c r="W243" s="1">
        <f>IF($AB243=TRUE,P243*W$2/100,P243*W$1/100)</f>
        <v>0.70499999999999996</v>
      </c>
      <c r="X243" s="1">
        <f>IF($AB243=TRUE,I243*X$2,I243*X$1)</f>
        <v>0</v>
      </c>
      <c r="Y243" s="1">
        <f>IF($AB243=TRUE,N243*Y$2,N243*Y$1)</f>
        <v>1</v>
      </c>
      <c r="Z243" s="1">
        <f>IF($AB243=TRUE,-H243*Z$2,-H243*Z$1)</f>
        <v>0</v>
      </c>
      <c r="AA243" s="2">
        <f>Q243-R243</f>
        <v>7.5000000000002842E-2</v>
      </c>
      <c r="AB243" s="1" t="b">
        <f>IF(G243=TRUE,IF(LEN(A243)&lt;5,TRUE,FALSE),FALSE)</f>
        <v>0</v>
      </c>
    </row>
    <row r="244" spans="1:28" hidden="1" x14ac:dyDescent="0.3">
      <c r="A244" t="s">
        <v>40</v>
      </c>
      <c r="B244" t="s">
        <v>579</v>
      </c>
      <c r="C244" t="s">
        <v>580</v>
      </c>
      <c r="D244">
        <v>0</v>
      </c>
      <c r="E244">
        <v>27.3</v>
      </c>
      <c r="F244">
        <v>8.1999999999999993</v>
      </c>
      <c r="G244" t="b">
        <v>0</v>
      </c>
      <c r="H244">
        <v>0</v>
      </c>
      <c r="I244">
        <v>0</v>
      </c>
      <c r="J244">
        <v>0</v>
      </c>
      <c r="K244">
        <v>35.6</v>
      </c>
      <c r="N244">
        <v>0</v>
      </c>
      <c r="O244">
        <v>0</v>
      </c>
      <c r="P244">
        <v>0</v>
      </c>
      <c r="Q244">
        <f>K244</f>
        <v>35.6</v>
      </c>
      <c r="R244" s="1">
        <f>SUM(S244:Z244)</f>
        <v>35.519999999999996</v>
      </c>
      <c r="S244" s="1">
        <f>IF($AB244=TRUE,D244*S$2,D244*S$1)</f>
        <v>0</v>
      </c>
      <c r="T244" s="1">
        <f>IF($AB244=TRUE,E244*T$2,E244*T$1)</f>
        <v>10.920000000000002</v>
      </c>
      <c r="U244" s="1">
        <f>IF($AB244=TRUE,F244*U$2,F244*U$1)</f>
        <v>24.599999999999998</v>
      </c>
      <c r="V244" s="1">
        <f>IF($AB244=TRUE,J244*V$2,J244*V$1)</f>
        <v>0</v>
      </c>
      <c r="W244" s="1">
        <f>IF($AB244=TRUE,P244*W$2/100,P244*W$1/100)</f>
        <v>0</v>
      </c>
      <c r="X244" s="1">
        <f>IF($AB244=TRUE,I244*X$2,I244*X$1)</f>
        <v>0</v>
      </c>
      <c r="Y244" s="1">
        <f>IF($AB244=TRUE,N244*Y$2,N244*Y$1)</f>
        <v>0</v>
      </c>
      <c r="Z244" s="1">
        <f>IF($AB244=TRUE,-H244*Z$2,-H244*Z$1)</f>
        <v>0</v>
      </c>
      <c r="AA244" s="2">
        <f>Q244-R244</f>
        <v>8.00000000000054E-2</v>
      </c>
      <c r="AB244" s="1" t="b">
        <f>IF(G244=TRUE,IF(LEN(A244)&lt;5,TRUE,FALSE),FALSE)</f>
        <v>0</v>
      </c>
    </row>
    <row r="245" spans="1:28" hidden="1" x14ac:dyDescent="0.3">
      <c r="A245" t="s">
        <v>18</v>
      </c>
      <c r="B245" t="s">
        <v>581</v>
      </c>
      <c r="C245" t="s">
        <v>582</v>
      </c>
      <c r="D245">
        <v>0</v>
      </c>
      <c r="E245">
        <v>46.2</v>
      </c>
      <c r="F245">
        <v>5.2</v>
      </c>
      <c r="G245" t="b">
        <v>0</v>
      </c>
      <c r="H245">
        <v>0</v>
      </c>
      <c r="I245">
        <v>0</v>
      </c>
      <c r="J245">
        <v>0</v>
      </c>
      <c r="K245">
        <v>35.4</v>
      </c>
      <c r="L245" t="s">
        <v>583</v>
      </c>
      <c r="N245">
        <v>1</v>
      </c>
      <c r="O245">
        <v>0</v>
      </c>
      <c r="P245">
        <v>17</v>
      </c>
      <c r="Q245">
        <f>K245</f>
        <v>35.4</v>
      </c>
      <c r="R245" s="1">
        <f>SUM(S245:Z245)</f>
        <v>35.504999999999995</v>
      </c>
      <c r="S245" s="1">
        <f>IF($AB245=TRUE,D245*S$2,D245*S$1)</f>
        <v>0</v>
      </c>
      <c r="T245" s="1">
        <f>IF($AB245=TRUE,E245*T$2,E245*T$1)</f>
        <v>18.48</v>
      </c>
      <c r="U245" s="1">
        <f>IF($AB245=TRUE,F245*U$2,F245*U$1)</f>
        <v>15.600000000000001</v>
      </c>
      <c r="V245" s="1">
        <f>IF($AB245=TRUE,J245*V$2,J245*V$1)</f>
        <v>0</v>
      </c>
      <c r="W245" s="1">
        <f>IF($AB245=TRUE,P245*W$2/100,P245*W$1/100)</f>
        <v>0.42499999999999999</v>
      </c>
      <c r="X245" s="1">
        <f>IF($AB245=TRUE,I245*X$2,I245*X$1)</f>
        <v>0</v>
      </c>
      <c r="Y245" s="1">
        <f>IF($AB245=TRUE,N245*Y$2,N245*Y$1)</f>
        <v>1</v>
      </c>
      <c r="Z245" s="1">
        <f>IF($AB245=TRUE,-H245*Z$2,-H245*Z$1)</f>
        <v>0</v>
      </c>
      <c r="AA245" s="2">
        <f>Q245-R245</f>
        <v>-0.10499999999999687</v>
      </c>
      <c r="AB245" s="1" t="b">
        <f>IF(G245=TRUE,IF(LEN(A245)&lt;5,TRUE,FALSE),FALSE)</f>
        <v>0</v>
      </c>
    </row>
    <row r="246" spans="1:28" hidden="1" x14ac:dyDescent="0.3">
      <c r="A246" t="s">
        <v>40</v>
      </c>
      <c r="B246" t="s">
        <v>548</v>
      </c>
      <c r="C246" t="s">
        <v>99</v>
      </c>
      <c r="D246">
        <v>0</v>
      </c>
      <c r="E246">
        <v>66.7</v>
      </c>
      <c r="F246">
        <v>2.2000000000000002</v>
      </c>
      <c r="G246" t="b">
        <v>0</v>
      </c>
      <c r="H246">
        <v>0</v>
      </c>
      <c r="I246">
        <v>0</v>
      </c>
      <c r="J246">
        <v>0</v>
      </c>
      <c r="K246">
        <v>35.1</v>
      </c>
      <c r="L246" t="s">
        <v>549</v>
      </c>
      <c r="N246">
        <v>1</v>
      </c>
      <c r="O246">
        <v>0</v>
      </c>
      <c r="P246">
        <v>29.2</v>
      </c>
      <c r="Q246">
        <f>K246</f>
        <v>35.1</v>
      </c>
      <c r="R246" s="1">
        <f>SUM(S246:Z246)</f>
        <v>35.01</v>
      </c>
      <c r="S246" s="1">
        <f>IF($AB246=TRUE,D246*S$2,D246*S$1)</f>
        <v>0</v>
      </c>
      <c r="T246" s="1">
        <f>IF($AB246=TRUE,E246*T$2,E246*T$1)</f>
        <v>26.680000000000003</v>
      </c>
      <c r="U246" s="1">
        <f>IF($AB246=TRUE,F246*U$2,F246*U$1)</f>
        <v>6.6000000000000005</v>
      </c>
      <c r="V246" s="1">
        <f>IF($AB246=TRUE,J246*V$2,J246*V$1)</f>
        <v>0</v>
      </c>
      <c r="W246" s="1">
        <f>IF($AB246=TRUE,P246*W$2/100,P246*W$1/100)</f>
        <v>0.73</v>
      </c>
      <c r="X246" s="1">
        <f>IF($AB246=TRUE,I246*X$2,I246*X$1)</f>
        <v>0</v>
      </c>
      <c r="Y246" s="1">
        <f>IF($AB246=TRUE,N246*Y$2,N246*Y$1)</f>
        <v>1</v>
      </c>
      <c r="Z246" s="1">
        <f>IF($AB246=TRUE,-H246*Z$2,-H246*Z$1)</f>
        <v>0</v>
      </c>
      <c r="AA246" s="2">
        <f>Q246-R246</f>
        <v>9.0000000000003411E-2</v>
      </c>
      <c r="AB246" s="1" t="b">
        <f>IF(G246=TRUE,IF(LEN(A246)&lt;5,TRUE,FALSE),FALSE)</f>
        <v>0</v>
      </c>
    </row>
    <row r="247" spans="1:28" hidden="1" x14ac:dyDescent="0.3">
      <c r="A247" t="s">
        <v>40</v>
      </c>
      <c r="B247" t="s">
        <v>550</v>
      </c>
      <c r="C247" t="s">
        <v>551</v>
      </c>
      <c r="D247">
        <v>0</v>
      </c>
      <c r="E247">
        <v>50</v>
      </c>
      <c r="F247">
        <v>4.4000000000000004</v>
      </c>
      <c r="G247" t="b">
        <v>0</v>
      </c>
      <c r="H247">
        <v>0</v>
      </c>
      <c r="I247">
        <v>0</v>
      </c>
      <c r="J247">
        <v>0</v>
      </c>
      <c r="K247">
        <v>35.1</v>
      </c>
      <c r="L247" t="s">
        <v>338</v>
      </c>
      <c r="N247">
        <v>1</v>
      </c>
      <c r="O247">
        <v>0</v>
      </c>
      <c r="P247">
        <v>33.299999999999997</v>
      </c>
      <c r="Q247">
        <f>K247</f>
        <v>35.1</v>
      </c>
      <c r="R247" s="1">
        <f>SUM(S247:Z247)</f>
        <v>35.032500000000006</v>
      </c>
      <c r="S247" s="1">
        <f>IF($AB247=TRUE,D247*S$2,D247*S$1)</f>
        <v>0</v>
      </c>
      <c r="T247" s="1">
        <f>IF($AB247=TRUE,E247*T$2,E247*T$1)</f>
        <v>20</v>
      </c>
      <c r="U247" s="1">
        <f>IF($AB247=TRUE,F247*U$2,F247*U$1)</f>
        <v>13.200000000000001</v>
      </c>
      <c r="V247" s="1">
        <f>IF($AB247=TRUE,J247*V$2,J247*V$1)</f>
        <v>0</v>
      </c>
      <c r="W247" s="1">
        <f>IF($AB247=TRUE,P247*W$2/100,P247*W$1/100)</f>
        <v>0.83250000000000002</v>
      </c>
      <c r="X247" s="1">
        <f>IF($AB247=TRUE,I247*X$2,I247*X$1)</f>
        <v>0</v>
      </c>
      <c r="Y247" s="1">
        <f>IF($AB247=TRUE,N247*Y$2,N247*Y$1)</f>
        <v>1</v>
      </c>
      <c r="Z247" s="1">
        <f>IF($AB247=TRUE,-H247*Z$2,-H247*Z$1)</f>
        <v>0</v>
      </c>
      <c r="AA247" s="2">
        <f>Q247-R247</f>
        <v>6.7499999999995453E-2</v>
      </c>
      <c r="AB247" s="1" t="b">
        <f>IF(G247=TRUE,IF(LEN(A247)&lt;5,TRUE,FALSE),FALSE)</f>
        <v>0</v>
      </c>
    </row>
    <row r="248" spans="1:28" hidden="1" x14ac:dyDescent="0.3">
      <c r="A248" t="s">
        <v>18</v>
      </c>
      <c r="B248" t="s">
        <v>584</v>
      </c>
      <c r="C248" t="s">
        <v>585</v>
      </c>
      <c r="D248">
        <v>0.5</v>
      </c>
      <c r="E248">
        <v>42.9</v>
      </c>
      <c r="F248">
        <v>5.2</v>
      </c>
      <c r="G248" t="b">
        <v>0</v>
      </c>
      <c r="H248">
        <v>0</v>
      </c>
      <c r="I248">
        <v>0</v>
      </c>
      <c r="J248">
        <v>0</v>
      </c>
      <c r="K248">
        <v>35</v>
      </c>
      <c r="L248" t="s">
        <v>323</v>
      </c>
      <c r="N248">
        <v>1</v>
      </c>
      <c r="O248">
        <v>0</v>
      </c>
      <c r="P248">
        <v>11.5</v>
      </c>
      <c r="Q248">
        <f>K248</f>
        <v>35</v>
      </c>
      <c r="R248" s="1">
        <f>SUM(S248:Z248)</f>
        <v>35.047500000000007</v>
      </c>
      <c r="S248" s="1">
        <f>IF($AB248=TRUE,D248*S$2,D248*S$1)</f>
        <v>1</v>
      </c>
      <c r="T248" s="1">
        <f>IF($AB248=TRUE,E248*T$2,E248*T$1)</f>
        <v>17.16</v>
      </c>
      <c r="U248" s="1">
        <f>IF($AB248=TRUE,F248*U$2,F248*U$1)</f>
        <v>15.600000000000001</v>
      </c>
      <c r="V248" s="1">
        <f>IF($AB248=TRUE,J248*V$2,J248*V$1)</f>
        <v>0</v>
      </c>
      <c r="W248" s="1">
        <f>IF($AB248=TRUE,P248*W$2/100,P248*W$1/100)</f>
        <v>0.28749999999999998</v>
      </c>
      <c r="X248" s="1">
        <f>IF($AB248=TRUE,I248*X$2,I248*X$1)</f>
        <v>0</v>
      </c>
      <c r="Y248" s="1">
        <f>IF($AB248=TRUE,N248*Y$2,N248*Y$1)</f>
        <v>1</v>
      </c>
      <c r="Z248" s="1">
        <f>IF($AB248=TRUE,-H248*Z$2,-H248*Z$1)</f>
        <v>0</v>
      </c>
      <c r="AA248" s="2">
        <f>Q248-R248</f>
        <v>-4.7500000000006537E-2</v>
      </c>
      <c r="AB248" s="1" t="b">
        <f>IF(G248=TRUE,IF(LEN(A248)&lt;5,TRUE,FALSE),FALSE)</f>
        <v>0</v>
      </c>
    </row>
    <row r="249" spans="1:28" hidden="1" x14ac:dyDescent="0.3">
      <c r="A249" t="s">
        <v>18</v>
      </c>
      <c r="B249" t="s">
        <v>557</v>
      </c>
      <c r="C249" t="s">
        <v>558</v>
      </c>
      <c r="D249">
        <v>0</v>
      </c>
      <c r="E249">
        <v>66.7</v>
      </c>
      <c r="F249">
        <v>2.2000000000000002</v>
      </c>
      <c r="G249" t="b">
        <v>0</v>
      </c>
      <c r="H249">
        <v>0</v>
      </c>
      <c r="I249">
        <v>0</v>
      </c>
      <c r="J249">
        <v>0</v>
      </c>
      <c r="K249">
        <v>34.700000000000003</v>
      </c>
      <c r="L249" t="s">
        <v>51</v>
      </c>
      <c r="N249">
        <v>1</v>
      </c>
      <c r="O249">
        <v>0</v>
      </c>
      <c r="P249">
        <v>16.399999999999999</v>
      </c>
      <c r="Q249">
        <f>K249</f>
        <v>34.700000000000003</v>
      </c>
      <c r="R249" s="1">
        <f>SUM(S249:Z249)</f>
        <v>34.69</v>
      </c>
      <c r="S249" s="1">
        <f>IF($AB249=TRUE,D249*S$2,D249*S$1)</f>
        <v>0</v>
      </c>
      <c r="T249" s="1">
        <f>IF($AB249=TRUE,E249*T$2,E249*T$1)</f>
        <v>26.680000000000003</v>
      </c>
      <c r="U249" s="1">
        <f>IF($AB249=TRUE,F249*U$2,F249*U$1)</f>
        <v>6.6000000000000005</v>
      </c>
      <c r="V249" s="1">
        <f>IF($AB249=TRUE,J249*V$2,J249*V$1)</f>
        <v>0</v>
      </c>
      <c r="W249" s="1">
        <f>IF($AB249=TRUE,P249*W$2/100,P249*W$1/100)</f>
        <v>0.41</v>
      </c>
      <c r="X249" s="1">
        <f>IF($AB249=TRUE,I249*X$2,I249*X$1)</f>
        <v>0</v>
      </c>
      <c r="Y249" s="1">
        <f>IF($AB249=TRUE,N249*Y$2,N249*Y$1)</f>
        <v>1</v>
      </c>
      <c r="Z249" s="1">
        <f>IF($AB249=TRUE,-H249*Z$2,-H249*Z$1)</f>
        <v>0</v>
      </c>
      <c r="AA249" s="2">
        <f>Q249-R249</f>
        <v>1.0000000000005116E-2</v>
      </c>
      <c r="AB249" s="1" t="b">
        <f>IF(G249=TRUE,IF(LEN(A249)&lt;5,TRUE,FALSE),FALSE)</f>
        <v>0</v>
      </c>
    </row>
    <row r="250" spans="1:28" hidden="1" x14ac:dyDescent="0.3">
      <c r="A250" t="s">
        <v>53</v>
      </c>
      <c r="B250" t="s">
        <v>586</v>
      </c>
      <c r="C250" t="s">
        <v>587</v>
      </c>
      <c r="D250">
        <v>0</v>
      </c>
      <c r="E250">
        <v>82.2</v>
      </c>
      <c r="F250">
        <v>0</v>
      </c>
      <c r="G250" t="b">
        <v>0</v>
      </c>
      <c r="H250">
        <v>0</v>
      </c>
      <c r="I250">
        <v>0</v>
      </c>
      <c r="J250">
        <v>0</v>
      </c>
      <c r="K250">
        <v>34.5</v>
      </c>
      <c r="L250" t="s">
        <v>588</v>
      </c>
      <c r="N250">
        <v>1</v>
      </c>
      <c r="O250">
        <v>0</v>
      </c>
      <c r="P250">
        <v>24.6</v>
      </c>
      <c r="Q250">
        <f>K250</f>
        <v>34.5</v>
      </c>
      <c r="R250" s="1">
        <f>SUM(S250:Z250)</f>
        <v>34.495000000000005</v>
      </c>
      <c r="S250" s="1">
        <f>IF($AB250=TRUE,D250*S$2,D250*S$1)</f>
        <v>0</v>
      </c>
      <c r="T250" s="1">
        <f>IF($AB250=TRUE,E250*T$2,E250*T$1)</f>
        <v>32.880000000000003</v>
      </c>
      <c r="U250" s="1">
        <f>IF($AB250=TRUE,F250*U$2,F250*U$1)</f>
        <v>0</v>
      </c>
      <c r="V250" s="1">
        <f>IF($AB250=TRUE,J250*V$2,J250*V$1)</f>
        <v>0</v>
      </c>
      <c r="W250" s="1">
        <f>IF($AB250=TRUE,P250*W$2/100,P250*W$1/100)</f>
        <v>0.61499999999999999</v>
      </c>
      <c r="X250" s="1">
        <f>IF($AB250=TRUE,I250*X$2,I250*X$1)</f>
        <v>0</v>
      </c>
      <c r="Y250" s="1">
        <f>IF($AB250=TRUE,N250*Y$2,N250*Y$1)</f>
        <v>1</v>
      </c>
      <c r="Z250" s="1">
        <f>IF($AB250=TRUE,-H250*Z$2,-H250*Z$1)</f>
        <v>0</v>
      </c>
      <c r="AA250" s="2">
        <f>Q250-R250</f>
        <v>4.9999999999954525E-3</v>
      </c>
      <c r="AB250" s="1" t="b">
        <f>IF(G250=TRUE,IF(LEN(A250)&lt;5,TRUE,FALSE),FALSE)</f>
        <v>0</v>
      </c>
    </row>
    <row r="251" spans="1:28" hidden="1" x14ac:dyDescent="0.3">
      <c r="A251" t="s">
        <v>18</v>
      </c>
      <c r="B251" t="s">
        <v>589</v>
      </c>
      <c r="C251" t="s">
        <v>590</v>
      </c>
      <c r="D251">
        <v>0</v>
      </c>
      <c r="E251">
        <v>48</v>
      </c>
      <c r="F251">
        <v>4.5</v>
      </c>
      <c r="G251" t="b">
        <v>0</v>
      </c>
      <c r="H251">
        <v>0</v>
      </c>
      <c r="I251">
        <v>0</v>
      </c>
      <c r="J251">
        <v>0</v>
      </c>
      <c r="K251">
        <v>34.1</v>
      </c>
      <c r="L251" t="s">
        <v>116</v>
      </c>
      <c r="N251">
        <v>1</v>
      </c>
      <c r="O251">
        <v>0</v>
      </c>
      <c r="P251">
        <v>21.7</v>
      </c>
      <c r="Q251">
        <f>K251</f>
        <v>34.1</v>
      </c>
      <c r="R251" s="1">
        <f>SUM(S251:Z251)</f>
        <v>34.2425</v>
      </c>
      <c r="S251" s="1">
        <f>IF($AB251=TRUE,D251*S$2,D251*S$1)</f>
        <v>0</v>
      </c>
      <c r="T251" s="1">
        <f>IF($AB251=TRUE,E251*T$2,E251*T$1)</f>
        <v>19.200000000000003</v>
      </c>
      <c r="U251" s="1">
        <f>IF($AB251=TRUE,F251*U$2,F251*U$1)</f>
        <v>13.5</v>
      </c>
      <c r="V251" s="1">
        <f>IF($AB251=TRUE,J251*V$2,J251*V$1)</f>
        <v>0</v>
      </c>
      <c r="W251" s="1">
        <f>IF($AB251=TRUE,P251*W$2/100,P251*W$1/100)</f>
        <v>0.54249999999999998</v>
      </c>
      <c r="X251" s="1">
        <f>IF($AB251=TRUE,I251*X$2,I251*X$1)</f>
        <v>0</v>
      </c>
      <c r="Y251" s="1">
        <f>IF($AB251=TRUE,N251*Y$2,N251*Y$1)</f>
        <v>1</v>
      </c>
      <c r="Z251" s="1">
        <f>IF($AB251=TRUE,-H251*Z$2,-H251*Z$1)</f>
        <v>0</v>
      </c>
      <c r="AA251" s="2">
        <f>Q251-R251</f>
        <v>-0.14249999999999829</v>
      </c>
      <c r="AB251" s="1" t="b">
        <f>IF(G251=TRUE,IF(LEN(A251)&lt;5,TRUE,FALSE),FALSE)</f>
        <v>0</v>
      </c>
    </row>
    <row r="252" spans="1:28" hidden="1" x14ac:dyDescent="0.3">
      <c r="A252" t="s">
        <v>18</v>
      </c>
      <c r="B252" t="s">
        <v>564</v>
      </c>
      <c r="C252" t="s">
        <v>565</v>
      </c>
      <c r="D252">
        <v>0</v>
      </c>
      <c r="E252">
        <v>80</v>
      </c>
      <c r="F252">
        <v>0</v>
      </c>
      <c r="G252" t="b">
        <v>0</v>
      </c>
      <c r="H252">
        <v>0</v>
      </c>
      <c r="I252">
        <v>0</v>
      </c>
      <c r="J252">
        <v>0</v>
      </c>
      <c r="K252">
        <v>33.5</v>
      </c>
      <c r="L252" t="s">
        <v>334</v>
      </c>
      <c r="N252">
        <v>1</v>
      </c>
      <c r="O252">
        <v>0</v>
      </c>
      <c r="P252">
        <v>18.8</v>
      </c>
      <c r="Q252">
        <f>K252</f>
        <v>33.5</v>
      </c>
      <c r="R252" s="1">
        <f>SUM(S252:Z252)</f>
        <v>33.47</v>
      </c>
      <c r="S252" s="1">
        <f>IF($AB252=TRUE,D252*S$2,D252*S$1)</f>
        <v>0</v>
      </c>
      <c r="T252" s="1">
        <f>IF($AB252=TRUE,E252*T$2,E252*T$1)</f>
        <v>32</v>
      </c>
      <c r="U252" s="1">
        <f>IF($AB252=TRUE,F252*U$2,F252*U$1)</f>
        <v>0</v>
      </c>
      <c r="V252" s="1">
        <f>IF($AB252=TRUE,J252*V$2,J252*V$1)</f>
        <v>0</v>
      </c>
      <c r="W252" s="1">
        <f>IF($AB252=TRUE,P252*W$2/100,P252*W$1/100)</f>
        <v>0.47</v>
      </c>
      <c r="X252" s="1">
        <f>IF($AB252=TRUE,I252*X$2,I252*X$1)</f>
        <v>0</v>
      </c>
      <c r="Y252" s="1">
        <f>IF($AB252=TRUE,N252*Y$2,N252*Y$1)</f>
        <v>1</v>
      </c>
      <c r="Z252" s="1">
        <f>IF($AB252=TRUE,-H252*Z$2,-H252*Z$1)</f>
        <v>0</v>
      </c>
      <c r="AA252" s="2">
        <f>Q252-R252</f>
        <v>3.0000000000001137E-2</v>
      </c>
      <c r="AB252" s="1" t="b">
        <f>IF(G252=TRUE,IF(LEN(A252)&lt;5,TRUE,FALSE),FALSE)</f>
        <v>0</v>
      </c>
    </row>
    <row r="253" spans="1:28" hidden="1" x14ac:dyDescent="0.3">
      <c r="A253" t="s">
        <v>18</v>
      </c>
      <c r="B253" t="s">
        <v>591</v>
      </c>
      <c r="C253" t="s">
        <v>592</v>
      </c>
      <c r="D253">
        <v>0</v>
      </c>
      <c r="E253">
        <v>41.7</v>
      </c>
      <c r="F253">
        <v>5.2</v>
      </c>
      <c r="G253" t="b">
        <v>0</v>
      </c>
      <c r="H253">
        <v>0</v>
      </c>
      <c r="I253">
        <v>0</v>
      </c>
      <c r="J253">
        <v>0</v>
      </c>
      <c r="K253">
        <v>33.4</v>
      </c>
      <c r="L253" t="s">
        <v>141</v>
      </c>
      <c r="N253">
        <v>1</v>
      </c>
      <c r="O253">
        <v>0</v>
      </c>
      <c r="P253">
        <v>13</v>
      </c>
      <c r="Q253">
        <f>K253</f>
        <v>33.4</v>
      </c>
      <c r="R253" s="1">
        <f>SUM(S253:Z253)</f>
        <v>33.605000000000004</v>
      </c>
      <c r="S253" s="1">
        <f>IF($AB253=TRUE,D253*S$2,D253*S$1)</f>
        <v>0</v>
      </c>
      <c r="T253" s="1">
        <f>IF($AB253=TRUE,E253*T$2,E253*T$1)</f>
        <v>16.680000000000003</v>
      </c>
      <c r="U253" s="1">
        <f>IF($AB253=TRUE,F253*U$2,F253*U$1)</f>
        <v>15.600000000000001</v>
      </c>
      <c r="V253" s="1">
        <f>IF($AB253=TRUE,J253*V$2,J253*V$1)</f>
        <v>0</v>
      </c>
      <c r="W253" s="1">
        <f>IF($AB253=TRUE,P253*W$2/100,P253*W$1/100)</f>
        <v>0.32500000000000001</v>
      </c>
      <c r="X253" s="1">
        <f>IF($AB253=TRUE,I253*X$2,I253*X$1)</f>
        <v>0</v>
      </c>
      <c r="Y253" s="1">
        <f>IF($AB253=TRUE,N253*Y$2,N253*Y$1)</f>
        <v>1</v>
      </c>
      <c r="Z253" s="1">
        <f>IF($AB253=TRUE,-H253*Z$2,-H253*Z$1)</f>
        <v>0</v>
      </c>
      <c r="AA253" s="2">
        <f>Q253-R253</f>
        <v>-0.2050000000000054</v>
      </c>
      <c r="AB253" s="1" t="b">
        <f>IF(G253=TRUE,IF(LEN(A253)&lt;5,TRUE,FALSE),FALSE)</f>
        <v>0</v>
      </c>
    </row>
    <row r="254" spans="1:28" hidden="1" x14ac:dyDescent="0.3">
      <c r="A254" t="s">
        <v>18</v>
      </c>
      <c r="B254" t="s">
        <v>566</v>
      </c>
      <c r="C254" t="s">
        <v>567</v>
      </c>
      <c r="D254">
        <v>0</v>
      </c>
      <c r="E254">
        <v>62.5</v>
      </c>
      <c r="F254">
        <v>2.2000000000000002</v>
      </c>
      <c r="G254" t="b">
        <v>0</v>
      </c>
      <c r="H254">
        <v>0</v>
      </c>
      <c r="I254">
        <v>0</v>
      </c>
      <c r="J254">
        <v>0</v>
      </c>
      <c r="K254">
        <v>33</v>
      </c>
      <c r="L254" t="s">
        <v>442</v>
      </c>
      <c r="N254">
        <v>1</v>
      </c>
      <c r="O254">
        <v>0</v>
      </c>
      <c r="P254">
        <v>14</v>
      </c>
      <c r="Q254">
        <f>K254</f>
        <v>33</v>
      </c>
      <c r="R254" s="1">
        <f>SUM(S254:Z254)</f>
        <v>32.950000000000003</v>
      </c>
      <c r="S254" s="1">
        <f>IF($AB254=TRUE,D254*S$2,D254*S$1)</f>
        <v>0</v>
      </c>
      <c r="T254" s="1">
        <f>IF($AB254=TRUE,E254*T$2,E254*T$1)</f>
        <v>25</v>
      </c>
      <c r="U254" s="1">
        <f>IF($AB254=TRUE,F254*U$2,F254*U$1)</f>
        <v>6.6000000000000005</v>
      </c>
      <c r="V254" s="1">
        <f>IF($AB254=TRUE,J254*V$2,J254*V$1)</f>
        <v>0</v>
      </c>
      <c r="W254" s="1">
        <f>IF($AB254=TRUE,P254*W$2/100,P254*W$1/100)</f>
        <v>0.35</v>
      </c>
      <c r="X254" s="1">
        <f>IF($AB254=TRUE,I254*X$2,I254*X$1)</f>
        <v>0</v>
      </c>
      <c r="Y254" s="1">
        <f>IF($AB254=TRUE,N254*Y$2,N254*Y$1)</f>
        <v>1</v>
      </c>
      <c r="Z254" s="1">
        <f>IF($AB254=TRUE,-H254*Z$2,-H254*Z$1)</f>
        <v>0</v>
      </c>
      <c r="AA254" s="2">
        <f>Q254-R254</f>
        <v>4.9999999999997158E-2</v>
      </c>
      <c r="AB254" s="1" t="b">
        <f>IF(G254=TRUE,IF(LEN(A254)&lt;5,TRUE,FALSE),FALSE)</f>
        <v>0</v>
      </c>
    </row>
    <row r="255" spans="1:28" hidden="1" x14ac:dyDescent="0.3">
      <c r="A255" t="s">
        <v>28</v>
      </c>
      <c r="B255" t="s">
        <v>597</v>
      </c>
      <c r="C255" t="s">
        <v>598</v>
      </c>
      <c r="D255">
        <v>0</v>
      </c>
      <c r="E255">
        <v>75</v>
      </c>
      <c r="F255">
        <v>0</v>
      </c>
      <c r="G255" t="b">
        <v>0</v>
      </c>
      <c r="H255">
        <v>0</v>
      </c>
      <c r="I255">
        <v>0</v>
      </c>
      <c r="J255">
        <v>0</v>
      </c>
      <c r="K255">
        <v>31.5</v>
      </c>
      <c r="L255" t="s">
        <v>599</v>
      </c>
      <c r="N255">
        <v>1</v>
      </c>
      <c r="O255">
        <v>0</v>
      </c>
      <c r="P255">
        <v>19.2</v>
      </c>
      <c r="Q255">
        <f>K255</f>
        <v>31.5</v>
      </c>
      <c r="R255" s="1">
        <f>SUM(S255:Z255)</f>
        <v>31.48</v>
      </c>
      <c r="S255" s="1">
        <f>IF($AB255=TRUE,D255*S$2,D255*S$1)</f>
        <v>0</v>
      </c>
      <c r="T255" s="1">
        <f>IF($AB255=TRUE,E255*T$2,E255*T$1)</f>
        <v>30</v>
      </c>
      <c r="U255" s="1">
        <f>IF($AB255=TRUE,F255*U$2,F255*U$1)</f>
        <v>0</v>
      </c>
      <c r="V255" s="1">
        <f>IF($AB255=TRUE,J255*V$2,J255*V$1)</f>
        <v>0</v>
      </c>
      <c r="W255" s="1">
        <f>IF($AB255=TRUE,P255*W$2/100,P255*W$1/100)</f>
        <v>0.48</v>
      </c>
      <c r="X255" s="1">
        <f>IF($AB255=TRUE,I255*X$2,I255*X$1)</f>
        <v>0</v>
      </c>
      <c r="Y255" s="1">
        <f>IF($AB255=TRUE,N255*Y$2,N255*Y$1)</f>
        <v>1</v>
      </c>
      <c r="Z255" s="1">
        <f>IF($AB255=TRUE,-H255*Z$2,-H255*Z$1)</f>
        <v>0</v>
      </c>
      <c r="AA255" s="2">
        <f>Q255-R255</f>
        <v>1.9999999999999574E-2</v>
      </c>
      <c r="AB255" s="1" t="b">
        <f>IF(G255=TRUE,IF(LEN(A255)&lt;5,TRUE,FALSE),FALSE)</f>
        <v>0</v>
      </c>
    </row>
    <row r="256" spans="1:28" hidden="1" x14ac:dyDescent="0.3">
      <c r="A256" t="s">
        <v>18</v>
      </c>
      <c r="B256" t="s">
        <v>603</v>
      </c>
      <c r="C256" t="s">
        <v>389</v>
      </c>
      <c r="D256">
        <v>0</v>
      </c>
      <c r="E256">
        <v>30.8</v>
      </c>
      <c r="F256">
        <v>5.7</v>
      </c>
      <c r="G256" t="b">
        <v>0</v>
      </c>
      <c r="H256">
        <v>0</v>
      </c>
      <c r="I256">
        <v>0</v>
      </c>
      <c r="J256">
        <v>0</v>
      </c>
      <c r="K256">
        <v>30.8</v>
      </c>
      <c r="L256" t="s">
        <v>141</v>
      </c>
      <c r="N256">
        <v>1</v>
      </c>
      <c r="O256">
        <v>0</v>
      </c>
      <c r="P256">
        <v>13</v>
      </c>
      <c r="Q256">
        <f>K256</f>
        <v>30.8</v>
      </c>
      <c r="R256" s="1">
        <f>SUM(S256:Z256)</f>
        <v>30.745000000000001</v>
      </c>
      <c r="S256" s="1">
        <f>IF($AB256=TRUE,D256*S$2,D256*S$1)</f>
        <v>0</v>
      </c>
      <c r="T256" s="1">
        <f>IF($AB256=TRUE,E256*T$2,E256*T$1)</f>
        <v>12.32</v>
      </c>
      <c r="U256" s="1">
        <f>IF($AB256=TRUE,F256*U$2,F256*U$1)</f>
        <v>17.100000000000001</v>
      </c>
      <c r="V256" s="1">
        <f>IF($AB256=TRUE,J256*V$2,J256*V$1)</f>
        <v>0</v>
      </c>
      <c r="W256" s="1">
        <f>IF($AB256=TRUE,P256*W$2/100,P256*W$1/100)</f>
        <v>0.32500000000000001</v>
      </c>
      <c r="X256" s="1">
        <f>IF($AB256=TRUE,I256*X$2,I256*X$1)</f>
        <v>0</v>
      </c>
      <c r="Y256" s="1">
        <f>IF($AB256=TRUE,N256*Y$2,N256*Y$1)</f>
        <v>1</v>
      </c>
      <c r="Z256" s="1">
        <f>IF($AB256=TRUE,-H256*Z$2,-H256*Z$1)</f>
        <v>0</v>
      </c>
      <c r="AA256" s="2">
        <f>Q256-R256</f>
        <v>5.4999999999999716E-2</v>
      </c>
      <c r="AB256" s="1" t="b">
        <f>IF(G256=TRUE,IF(LEN(A256)&lt;5,TRUE,FALSE),FALSE)</f>
        <v>0</v>
      </c>
    </row>
    <row r="257" spans="1:28" hidden="1" x14ac:dyDescent="0.3">
      <c r="A257" t="s">
        <v>25</v>
      </c>
      <c r="B257" t="s">
        <v>593</v>
      </c>
      <c r="C257" t="s">
        <v>594</v>
      </c>
      <c r="D257">
        <v>1.8</v>
      </c>
      <c r="E257">
        <v>62.1</v>
      </c>
      <c r="F257">
        <v>0</v>
      </c>
      <c r="G257" t="b">
        <v>0</v>
      </c>
      <c r="H257">
        <v>0</v>
      </c>
      <c r="I257">
        <v>0</v>
      </c>
      <c r="J257">
        <v>0</v>
      </c>
      <c r="K257">
        <v>30.3</v>
      </c>
      <c r="L257" t="s">
        <v>595</v>
      </c>
      <c r="N257">
        <v>1</v>
      </c>
      <c r="O257">
        <v>0</v>
      </c>
      <c r="P257">
        <v>32.299999999999997</v>
      </c>
      <c r="Q257">
        <f>K257</f>
        <v>30.3</v>
      </c>
      <c r="R257" s="1">
        <f>SUM(S257:Z257)</f>
        <v>30.247500000000006</v>
      </c>
      <c r="S257" s="1">
        <f>IF($AB257=TRUE,D257*S$2,D257*S$1)</f>
        <v>3.6</v>
      </c>
      <c r="T257" s="1">
        <f>IF($AB257=TRUE,E257*T$2,E257*T$1)</f>
        <v>24.840000000000003</v>
      </c>
      <c r="U257" s="1">
        <f>IF($AB257=TRUE,F257*U$2,F257*U$1)</f>
        <v>0</v>
      </c>
      <c r="V257" s="1">
        <f>IF($AB257=TRUE,J257*V$2,J257*V$1)</f>
        <v>0</v>
      </c>
      <c r="W257" s="1">
        <f>IF($AB257=TRUE,P257*W$2/100,P257*W$1/100)</f>
        <v>0.8075</v>
      </c>
      <c r="X257" s="1">
        <f>IF($AB257=TRUE,I257*X$2,I257*X$1)</f>
        <v>0</v>
      </c>
      <c r="Y257" s="1">
        <f>IF($AB257=TRUE,N257*Y$2,N257*Y$1)</f>
        <v>1</v>
      </c>
      <c r="Z257" s="1">
        <f>IF($AB257=TRUE,-H257*Z$2,-H257*Z$1)</f>
        <v>0</v>
      </c>
      <c r="AA257" s="2">
        <f>Q257-R257</f>
        <v>5.2499999999994884E-2</v>
      </c>
      <c r="AB257" s="1" t="b">
        <f>IF(G257=TRUE,IF(LEN(A257)&lt;5,TRUE,FALSE),FALSE)</f>
        <v>0</v>
      </c>
    </row>
    <row r="258" spans="1:28" hidden="1" x14ac:dyDescent="0.3">
      <c r="A258" t="s">
        <v>18</v>
      </c>
      <c r="B258" t="s">
        <v>604</v>
      </c>
      <c r="C258" t="s">
        <v>605</v>
      </c>
      <c r="D258">
        <v>0</v>
      </c>
      <c r="E258">
        <v>71.400000000000006</v>
      </c>
      <c r="F258">
        <v>0</v>
      </c>
      <c r="G258" t="b">
        <v>0</v>
      </c>
      <c r="H258">
        <v>0</v>
      </c>
      <c r="I258">
        <v>0</v>
      </c>
      <c r="J258">
        <v>0</v>
      </c>
      <c r="K258">
        <v>30.1</v>
      </c>
      <c r="L258" t="s">
        <v>583</v>
      </c>
      <c r="N258">
        <v>1</v>
      </c>
      <c r="O258">
        <v>0</v>
      </c>
      <c r="P258">
        <v>17</v>
      </c>
      <c r="Q258">
        <f>K258</f>
        <v>30.1</v>
      </c>
      <c r="R258" s="1">
        <f>SUM(S258:Z258)</f>
        <v>29.985000000000003</v>
      </c>
      <c r="S258" s="1">
        <f>IF($AB258=TRUE,D258*S$2,D258*S$1)</f>
        <v>0</v>
      </c>
      <c r="T258" s="1">
        <f>IF($AB258=TRUE,E258*T$2,E258*T$1)</f>
        <v>28.560000000000002</v>
      </c>
      <c r="U258" s="1">
        <f>IF($AB258=TRUE,F258*U$2,F258*U$1)</f>
        <v>0</v>
      </c>
      <c r="V258" s="1">
        <f>IF($AB258=TRUE,J258*V$2,J258*V$1)</f>
        <v>0</v>
      </c>
      <c r="W258" s="1">
        <f>IF($AB258=TRUE,P258*W$2/100,P258*W$1/100)</f>
        <v>0.42499999999999999</v>
      </c>
      <c r="X258" s="1">
        <f>IF($AB258=TRUE,I258*X$2,I258*X$1)</f>
        <v>0</v>
      </c>
      <c r="Y258" s="1">
        <f>IF($AB258=TRUE,N258*Y$2,N258*Y$1)</f>
        <v>1</v>
      </c>
      <c r="Z258" s="1">
        <f>IF($AB258=TRUE,-H258*Z$2,-H258*Z$1)</f>
        <v>0</v>
      </c>
      <c r="AA258" s="2">
        <f>Q258-R258</f>
        <v>0.11499999999999844</v>
      </c>
      <c r="AB258" s="1" t="b">
        <f>IF(G258=TRUE,IF(LEN(A258)&lt;5,TRUE,FALSE),FALSE)</f>
        <v>0</v>
      </c>
    </row>
    <row r="259" spans="1:28" hidden="1" x14ac:dyDescent="0.3">
      <c r="A259" t="s">
        <v>40</v>
      </c>
      <c r="B259" t="s">
        <v>606</v>
      </c>
      <c r="C259" t="s">
        <v>607</v>
      </c>
      <c r="D259">
        <v>0</v>
      </c>
      <c r="E259">
        <v>26.1</v>
      </c>
      <c r="F259">
        <v>6.5</v>
      </c>
      <c r="G259" t="b">
        <v>0</v>
      </c>
      <c r="H259">
        <v>0</v>
      </c>
      <c r="I259">
        <v>0</v>
      </c>
      <c r="J259">
        <v>0</v>
      </c>
      <c r="K259">
        <v>29.9</v>
      </c>
      <c r="N259">
        <v>0</v>
      </c>
      <c r="O259">
        <v>0</v>
      </c>
      <c r="P259">
        <v>0</v>
      </c>
      <c r="Q259">
        <f>K259</f>
        <v>29.9</v>
      </c>
      <c r="R259" s="1">
        <f>SUM(S259:Z259)</f>
        <v>29.94</v>
      </c>
      <c r="S259" s="1">
        <f>IF($AB259=TRUE,D259*S$2,D259*S$1)</f>
        <v>0</v>
      </c>
      <c r="T259" s="1">
        <f>IF($AB259=TRUE,E259*T$2,E259*T$1)</f>
        <v>10.440000000000001</v>
      </c>
      <c r="U259" s="1">
        <f>IF($AB259=TRUE,F259*U$2,F259*U$1)</f>
        <v>19.5</v>
      </c>
      <c r="V259" s="1">
        <f>IF($AB259=TRUE,J259*V$2,J259*V$1)</f>
        <v>0</v>
      </c>
      <c r="W259" s="1">
        <f>IF($AB259=TRUE,P259*W$2/100,P259*W$1/100)</f>
        <v>0</v>
      </c>
      <c r="X259" s="1">
        <f>IF($AB259=TRUE,I259*X$2,I259*X$1)</f>
        <v>0</v>
      </c>
      <c r="Y259" s="1">
        <f>IF($AB259=TRUE,N259*Y$2,N259*Y$1)</f>
        <v>0</v>
      </c>
      <c r="Z259" s="1">
        <f>IF($AB259=TRUE,-H259*Z$2,-H259*Z$1)</f>
        <v>0</v>
      </c>
      <c r="AA259" s="2">
        <f>Q259-R259</f>
        <v>-4.00000000000027E-2</v>
      </c>
      <c r="AB259" s="1" t="b">
        <f>IF(G259=TRUE,IF(LEN(A259)&lt;5,TRUE,FALSE),FALSE)</f>
        <v>0</v>
      </c>
    </row>
    <row r="260" spans="1:28" hidden="1" x14ac:dyDescent="0.3">
      <c r="A260" t="s">
        <v>18</v>
      </c>
      <c r="B260" t="s">
        <v>608</v>
      </c>
      <c r="C260" t="s">
        <v>609</v>
      </c>
      <c r="D260">
        <v>0</v>
      </c>
      <c r="E260">
        <v>42.9</v>
      </c>
      <c r="F260">
        <v>3.6</v>
      </c>
      <c r="G260" t="b">
        <v>0</v>
      </c>
      <c r="H260">
        <v>0</v>
      </c>
      <c r="I260">
        <v>0</v>
      </c>
      <c r="J260">
        <v>0</v>
      </c>
      <c r="K260">
        <v>29.4</v>
      </c>
      <c r="L260" t="s">
        <v>116</v>
      </c>
      <c r="N260">
        <v>1</v>
      </c>
      <c r="O260">
        <v>0</v>
      </c>
      <c r="P260">
        <v>21.7</v>
      </c>
      <c r="Q260">
        <f>K260</f>
        <v>29.4</v>
      </c>
      <c r="R260" s="1">
        <f>SUM(S260:Z260)</f>
        <v>29.502500000000001</v>
      </c>
      <c r="S260" s="1">
        <f>IF($AB260=TRUE,D260*S$2,D260*S$1)</f>
        <v>0</v>
      </c>
      <c r="T260" s="1">
        <f>IF($AB260=TRUE,E260*T$2,E260*T$1)</f>
        <v>17.16</v>
      </c>
      <c r="U260" s="1">
        <f>IF($AB260=TRUE,F260*U$2,F260*U$1)</f>
        <v>10.8</v>
      </c>
      <c r="V260" s="1">
        <f>IF($AB260=TRUE,J260*V$2,J260*V$1)</f>
        <v>0</v>
      </c>
      <c r="W260" s="1">
        <f>IF($AB260=TRUE,P260*W$2/100,P260*W$1/100)</f>
        <v>0.54249999999999998</v>
      </c>
      <c r="X260" s="1">
        <f>IF($AB260=TRUE,I260*X$2,I260*X$1)</f>
        <v>0</v>
      </c>
      <c r="Y260" s="1">
        <f>IF($AB260=TRUE,N260*Y$2,N260*Y$1)</f>
        <v>1</v>
      </c>
      <c r="Z260" s="1">
        <f>IF($AB260=TRUE,-H260*Z$2,-H260*Z$1)</f>
        <v>0</v>
      </c>
      <c r="AA260" s="2">
        <f>Q260-R260</f>
        <v>-0.1025000000000027</v>
      </c>
      <c r="AB260" s="1" t="b">
        <f>IF(G260=TRUE,IF(LEN(A260)&lt;5,TRUE,FALSE),FALSE)</f>
        <v>0</v>
      </c>
    </row>
    <row r="261" spans="1:28" hidden="1" x14ac:dyDescent="0.3">
      <c r="A261" t="s">
        <v>25</v>
      </c>
      <c r="B261" t="s">
        <v>596</v>
      </c>
      <c r="C261" t="s">
        <v>403</v>
      </c>
      <c r="D261">
        <v>1.8</v>
      </c>
      <c r="E261">
        <v>60</v>
      </c>
      <c r="F261">
        <v>0</v>
      </c>
      <c r="G261" t="b">
        <v>0</v>
      </c>
      <c r="H261">
        <v>0</v>
      </c>
      <c r="I261">
        <v>0</v>
      </c>
      <c r="J261">
        <v>0</v>
      </c>
      <c r="K261">
        <v>29.3</v>
      </c>
      <c r="L261" t="s">
        <v>69</v>
      </c>
      <c r="N261">
        <v>1</v>
      </c>
      <c r="O261">
        <v>0</v>
      </c>
      <c r="P261">
        <v>26</v>
      </c>
      <c r="Q261">
        <f>K261</f>
        <v>29.3</v>
      </c>
      <c r="R261" s="1">
        <f>SUM(S261:Z261)</f>
        <v>29.25</v>
      </c>
      <c r="S261" s="1">
        <f>IF($AB261=TRUE,D261*S$2,D261*S$1)</f>
        <v>3.6</v>
      </c>
      <c r="T261" s="1">
        <f>IF($AB261=TRUE,E261*T$2,E261*T$1)</f>
        <v>24</v>
      </c>
      <c r="U261" s="1">
        <f>IF($AB261=TRUE,F261*U$2,F261*U$1)</f>
        <v>0</v>
      </c>
      <c r="V261" s="1">
        <f>IF($AB261=TRUE,J261*V$2,J261*V$1)</f>
        <v>0</v>
      </c>
      <c r="W261" s="1">
        <f>IF($AB261=TRUE,P261*W$2/100,P261*W$1/100)</f>
        <v>0.65</v>
      </c>
      <c r="X261" s="1">
        <f>IF($AB261=TRUE,I261*X$2,I261*X$1)</f>
        <v>0</v>
      </c>
      <c r="Y261" s="1">
        <f>IF($AB261=TRUE,N261*Y$2,N261*Y$1)</f>
        <v>1</v>
      </c>
      <c r="Z261" s="1">
        <f>IF($AB261=TRUE,-H261*Z$2,-H261*Z$1)</f>
        <v>0</v>
      </c>
      <c r="AA261" s="2">
        <f>Q261-R261</f>
        <v>5.0000000000000711E-2</v>
      </c>
      <c r="AB261" s="1" t="b">
        <f>IF(G261=TRUE,IF(LEN(A261)&lt;5,TRUE,FALSE),FALSE)</f>
        <v>0</v>
      </c>
    </row>
    <row r="262" spans="1:28" hidden="1" x14ac:dyDescent="0.3">
      <c r="A262" t="s">
        <v>612</v>
      </c>
      <c r="B262" t="s">
        <v>613</v>
      </c>
      <c r="C262" t="s">
        <v>614</v>
      </c>
      <c r="D262">
        <v>1.5</v>
      </c>
      <c r="E262">
        <v>60.9</v>
      </c>
      <c r="F262">
        <v>0</v>
      </c>
      <c r="G262" t="b">
        <v>0</v>
      </c>
      <c r="H262">
        <v>0</v>
      </c>
      <c r="I262">
        <v>0</v>
      </c>
      <c r="J262">
        <v>0</v>
      </c>
      <c r="K262">
        <v>29.1</v>
      </c>
      <c r="L262" t="s">
        <v>615</v>
      </c>
      <c r="N262">
        <v>1</v>
      </c>
      <c r="O262">
        <v>0</v>
      </c>
      <c r="P262">
        <v>28.7</v>
      </c>
      <c r="Q262">
        <f>K262</f>
        <v>29.1</v>
      </c>
      <c r="R262" s="1">
        <f>SUM(S262:Z262)</f>
        <v>29.077500000000001</v>
      </c>
      <c r="S262" s="1">
        <f>IF($AB262=TRUE,D262*S$2,D262*S$1)</f>
        <v>3</v>
      </c>
      <c r="T262" s="1">
        <f>IF($AB262=TRUE,E262*T$2,E262*T$1)</f>
        <v>24.36</v>
      </c>
      <c r="U262" s="1">
        <f>IF($AB262=TRUE,F262*U$2,F262*U$1)</f>
        <v>0</v>
      </c>
      <c r="V262" s="1">
        <f>IF($AB262=TRUE,J262*V$2,J262*V$1)</f>
        <v>0</v>
      </c>
      <c r="W262" s="1">
        <f>IF($AB262=TRUE,P262*W$2/100,P262*W$1/100)</f>
        <v>0.71750000000000003</v>
      </c>
      <c r="X262" s="1">
        <f>IF($AB262=TRUE,I262*X$2,I262*X$1)</f>
        <v>0</v>
      </c>
      <c r="Y262" s="1">
        <f>IF($AB262=TRUE,N262*Y$2,N262*Y$1)</f>
        <v>1</v>
      </c>
      <c r="Z262" s="1">
        <f>IF($AB262=TRUE,-H262*Z$2,-H262*Z$1)</f>
        <v>0</v>
      </c>
      <c r="AA262" s="2">
        <f>Q262-R262</f>
        <v>2.2500000000000853E-2</v>
      </c>
      <c r="AB262" s="1" t="b">
        <f>IF(G262=TRUE,IF(LEN(A262)&lt;5,TRUE,FALSE),FALSE)</f>
        <v>0</v>
      </c>
    </row>
    <row r="263" spans="1:28" hidden="1" x14ac:dyDescent="0.3">
      <c r="A263" t="s">
        <v>87</v>
      </c>
      <c r="B263" t="s">
        <v>616</v>
      </c>
      <c r="C263" t="s">
        <v>617</v>
      </c>
      <c r="D263">
        <v>1.5</v>
      </c>
      <c r="E263">
        <v>60</v>
      </c>
      <c r="F263">
        <v>0</v>
      </c>
      <c r="G263" t="b">
        <v>0</v>
      </c>
      <c r="H263">
        <v>0</v>
      </c>
      <c r="I263">
        <v>0</v>
      </c>
      <c r="J263">
        <v>0</v>
      </c>
      <c r="K263">
        <v>28.8</v>
      </c>
      <c r="L263" t="s">
        <v>59</v>
      </c>
      <c r="N263">
        <v>1</v>
      </c>
      <c r="O263">
        <v>0</v>
      </c>
      <c r="P263">
        <v>29.2</v>
      </c>
      <c r="Q263">
        <f>K263</f>
        <v>28.8</v>
      </c>
      <c r="R263" s="1">
        <f>SUM(S263:Z263)</f>
        <v>28.73</v>
      </c>
      <c r="S263" s="1">
        <f>IF($AB263=TRUE,D263*S$2,D263*S$1)</f>
        <v>3</v>
      </c>
      <c r="T263" s="1">
        <f>IF($AB263=TRUE,E263*T$2,E263*T$1)</f>
        <v>24</v>
      </c>
      <c r="U263" s="1">
        <f>IF($AB263=TRUE,F263*U$2,F263*U$1)</f>
        <v>0</v>
      </c>
      <c r="V263" s="1">
        <f>IF($AB263=TRUE,J263*V$2,J263*V$1)</f>
        <v>0</v>
      </c>
      <c r="W263" s="1">
        <f>IF($AB263=TRUE,P263*W$2/100,P263*W$1/100)</f>
        <v>0.73</v>
      </c>
      <c r="X263" s="1">
        <f>IF($AB263=TRUE,I263*X$2,I263*X$1)</f>
        <v>0</v>
      </c>
      <c r="Y263" s="1">
        <f>IF($AB263=TRUE,N263*Y$2,N263*Y$1)</f>
        <v>1</v>
      </c>
      <c r="Z263" s="1">
        <f>IF($AB263=TRUE,-H263*Z$2,-H263*Z$1)</f>
        <v>0</v>
      </c>
      <c r="AA263" s="2">
        <f>Q263-R263</f>
        <v>7.0000000000000284E-2</v>
      </c>
      <c r="AB263" s="1" t="b">
        <f>IF(G263=TRUE,IF(LEN(A263)&lt;5,TRUE,FALSE),FALSE)</f>
        <v>0</v>
      </c>
    </row>
    <row r="264" spans="1:28" hidden="1" x14ac:dyDescent="0.3">
      <c r="A264" t="s">
        <v>25</v>
      </c>
      <c r="B264" t="s">
        <v>618</v>
      </c>
      <c r="C264" t="s">
        <v>619</v>
      </c>
      <c r="D264">
        <v>1.8</v>
      </c>
      <c r="E264">
        <v>41.9</v>
      </c>
      <c r="F264">
        <v>2.2000000000000002</v>
      </c>
      <c r="G264" t="b">
        <v>0</v>
      </c>
      <c r="H264">
        <v>0</v>
      </c>
      <c r="I264">
        <v>0</v>
      </c>
      <c r="J264">
        <v>0</v>
      </c>
      <c r="K264">
        <v>28.8</v>
      </c>
      <c r="L264" t="s">
        <v>620</v>
      </c>
      <c r="N264">
        <v>1</v>
      </c>
      <c r="O264">
        <v>0</v>
      </c>
      <c r="P264">
        <v>30.3</v>
      </c>
      <c r="Q264">
        <f>K264</f>
        <v>28.8</v>
      </c>
      <c r="R264" s="1">
        <f>SUM(S264:Z264)</f>
        <v>28.717500000000005</v>
      </c>
      <c r="S264" s="1">
        <f>IF($AB264=TRUE,D264*S$2,D264*S$1)</f>
        <v>3.6</v>
      </c>
      <c r="T264" s="1">
        <f>IF($AB264=TRUE,E264*T$2,E264*T$1)</f>
        <v>16.760000000000002</v>
      </c>
      <c r="U264" s="1">
        <f>IF($AB264=TRUE,F264*U$2,F264*U$1)</f>
        <v>6.6000000000000005</v>
      </c>
      <c r="V264" s="1">
        <f>IF($AB264=TRUE,J264*V$2,J264*V$1)</f>
        <v>0</v>
      </c>
      <c r="W264" s="1">
        <f>IF($AB264=TRUE,P264*W$2/100,P264*W$1/100)</f>
        <v>0.75749999999999995</v>
      </c>
      <c r="X264" s="1">
        <f>IF($AB264=TRUE,I264*X$2,I264*X$1)</f>
        <v>0</v>
      </c>
      <c r="Y264" s="1">
        <f>IF($AB264=TRUE,N264*Y$2,N264*Y$1)</f>
        <v>1</v>
      </c>
      <c r="Z264" s="1">
        <f>IF($AB264=TRUE,-H264*Z$2,-H264*Z$1)</f>
        <v>0</v>
      </c>
      <c r="AA264" s="2">
        <f>Q264-R264</f>
        <v>8.2499999999996021E-2</v>
      </c>
      <c r="AB264" s="1" t="b">
        <f>IF(G264=TRUE,IF(LEN(A264)&lt;5,TRUE,FALSE),FALSE)</f>
        <v>0</v>
      </c>
    </row>
    <row r="265" spans="1:28" hidden="1" x14ac:dyDescent="0.3">
      <c r="A265" t="s">
        <v>18</v>
      </c>
      <c r="B265" t="s">
        <v>621</v>
      </c>
      <c r="C265" t="s">
        <v>622</v>
      </c>
      <c r="D265">
        <v>0</v>
      </c>
      <c r="E265">
        <v>55.6</v>
      </c>
      <c r="F265">
        <v>2</v>
      </c>
      <c r="G265" t="b">
        <v>0</v>
      </c>
      <c r="H265">
        <v>0</v>
      </c>
      <c r="I265">
        <v>0</v>
      </c>
      <c r="J265">
        <v>0</v>
      </c>
      <c r="K265">
        <v>28.2</v>
      </c>
      <c r="N265">
        <v>0</v>
      </c>
      <c r="O265">
        <v>0</v>
      </c>
      <c r="P265">
        <v>0</v>
      </c>
      <c r="Q265">
        <f>K265</f>
        <v>28.2</v>
      </c>
      <c r="R265" s="1">
        <f>SUM(S265:Z265)</f>
        <v>28.240000000000002</v>
      </c>
      <c r="S265" s="1">
        <f>IF($AB265=TRUE,D265*S$2,D265*S$1)</f>
        <v>0</v>
      </c>
      <c r="T265" s="1">
        <f>IF($AB265=TRUE,E265*T$2,E265*T$1)</f>
        <v>22.240000000000002</v>
      </c>
      <c r="U265" s="1">
        <f>IF($AB265=TRUE,F265*U$2,F265*U$1)</f>
        <v>6</v>
      </c>
      <c r="V265" s="1">
        <f>IF($AB265=TRUE,J265*V$2,J265*V$1)</f>
        <v>0</v>
      </c>
      <c r="W265" s="1">
        <f>IF($AB265=TRUE,P265*W$2/100,P265*W$1/100)</f>
        <v>0</v>
      </c>
      <c r="X265" s="1">
        <f>IF($AB265=TRUE,I265*X$2,I265*X$1)</f>
        <v>0</v>
      </c>
      <c r="Y265" s="1">
        <f>IF($AB265=TRUE,N265*Y$2,N265*Y$1)</f>
        <v>0</v>
      </c>
      <c r="Z265" s="1">
        <f>IF($AB265=TRUE,-H265*Z$2,-H265*Z$1)</f>
        <v>0</v>
      </c>
      <c r="AA265" s="2">
        <f>Q265-R265</f>
        <v>-4.00000000000027E-2</v>
      </c>
      <c r="AB265" s="1" t="b">
        <f>IF(G265=TRUE,IF(LEN(A265)&lt;5,TRUE,FALSE),FALSE)</f>
        <v>0</v>
      </c>
    </row>
    <row r="266" spans="1:28" hidden="1" x14ac:dyDescent="0.3">
      <c r="A266" t="s">
        <v>18</v>
      </c>
      <c r="B266" t="s">
        <v>600</v>
      </c>
      <c r="C266" t="s">
        <v>601</v>
      </c>
      <c r="D266">
        <v>0</v>
      </c>
      <c r="E266">
        <v>66.7</v>
      </c>
      <c r="F266">
        <v>0</v>
      </c>
      <c r="G266" t="b">
        <v>0</v>
      </c>
      <c r="H266">
        <v>0</v>
      </c>
      <c r="I266">
        <v>0</v>
      </c>
      <c r="J266">
        <v>0</v>
      </c>
      <c r="K266">
        <v>28</v>
      </c>
      <c r="L266" t="s">
        <v>602</v>
      </c>
      <c r="N266">
        <v>1</v>
      </c>
      <c r="O266">
        <v>0</v>
      </c>
      <c r="P266">
        <v>13.3</v>
      </c>
      <c r="Q266">
        <f>K266</f>
        <v>28</v>
      </c>
      <c r="R266" s="1">
        <f>SUM(S266:Z266)</f>
        <v>28.012500000000003</v>
      </c>
      <c r="S266" s="1">
        <f>IF($AB266=TRUE,D266*S$2,D266*S$1)</f>
        <v>0</v>
      </c>
      <c r="T266" s="1">
        <f>IF($AB266=TRUE,E266*T$2,E266*T$1)</f>
        <v>26.680000000000003</v>
      </c>
      <c r="U266" s="1">
        <f>IF($AB266=TRUE,F266*U$2,F266*U$1)</f>
        <v>0</v>
      </c>
      <c r="V266" s="1">
        <f>IF($AB266=TRUE,J266*V$2,J266*V$1)</f>
        <v>0</v>
      </c>
      <c r="W266" s="1">
        <f>IF($AB266=TRUE,P266*W$2/100,P266*W$1/100)</f>
        <v>0.33250000000000002</v>
      </c>
      <c r="X266" s="1">
        <f>IF($AB266=TRUE,I266*X$2,I266*X$1)</f>
        <v>0</v>
      </c>
      <c r="Y266" s="1">
        <f>IF($AB266=TRUE,N266*Y$2,N266*Y$1)</f>
        <v>1</v>
      </c>
      <c r="Z266" s="1">
        <f>IF($AB266=TRUE,-H266*Z$2,-H266*Z$1)</f>
        <v>0</v>
      </c>
      <c r="AA266" s="2">
        <f>Q266-R266</f>
        <v>-1.2500000000002842E-2</v>
      </c>
      <c r="AB266" s="1" t="b">
        <f>IF(G266=TRUE,IF(LEN(A266)&lt;5,TRUE,FALSE),FALSE)</f>
        <v>0</v>
      </c>
    </row>
    <row r="267" spans="1:28" hidden="1" x14ac:dyDescent="0.3">
      <c r="A267" t="s">
        <v>18</v>
      </c>
      <c r="B267" t="s">
        <v>623</v>
      </c>
      <c r="C267" t="s">
        <v>624</v>
      </c>
      <c r="D267">
        <v>1.1000000000000001</v>
      </c>
      <c r="E267">
        <v>46.2</v>
      </c>
      <c r="F267">
        <v>2</v>
      </c>
      <c r="G267" t="b">
        <v>0</v>
      </c>
      <c r="H267">
        <v>0</v>
      </c>
      <c r="I267">
        <v>0</v>
      </c>
      <c r="J267">
        <v>0</v>
      </c>
      <c r="K267">
        <v>26.7</v>
      </c>
      <c r="N267">
        <v>0</v>
      </c>
      <c r="O267">
        <v>0</v>
      </c>
      <c r="P267">
        <v>0</v>
      </c>
      <c r="Q267">
        <f>K267</f>
        <v>26.7</v>
      </c>
      <c r="R267" s="1">
        <f>SUM(S267:Z267)</f>
        <v>26.68</v>
      </c>
      <c r="S267" s="1">
        <f>IF($AB267=TRUE,D267*S$2,D267*S$1)</f>
        <v>2.2000000000000002</v>
      </c>
      <c r="T267" s="1">
        <f>IF($AB267=TRUE,E267*T$2,E267*T$1)</f>
        <v>18.48</v>
      </c>
      <c r="U267" s="1">
        <f>IF($AB267=TRUE,F267*U$2,F267*U$1)</f>
        <v>6</v>
      </c>
      <c r="V267" s="1">
        <f>IF($AB267=TRUE,J267*V$2,J267*V$1)</f>
        <v>0</v>
      </c>
      <c r="W267" s="1">
        <f>IF($AB267=TRUE,P267*W$2/100,P267*W$1/100)</f>
        <v>0</v>
      </c>
      <c r="X267" s="1">
        <f>IF($AB267=TRUE,I267*X$2,I267*X$1)</f>
        <v>0</v>
      </c>
      <c r="Y267" s="1">
        <f>IF($AB267=TRUE,N267*Y$2,N267*Y$1)</f>
        <v>0</v>
      </c>
      <c r="Z267" s="1">
        <f>IF($AB267=TRUE,-H267*Z$2,-H267*Z$1)</f>
        <v>0</v>
      </c>
      <c r="AA267" s="2">
        <f>Q267-R267</f>
        <v>1.9999999999999574E-2</v>
      </c>
      <c r="AB267" s="1" t="b">
        <f>IF(G267=TRUE,IF(LEN(A267)&lt;5,TRUE,FALSE),FALSE)</f>
        <v>0</v>
      </c>
    </row>
    <row r="268" spans="1:28" hidden="1" x14ac:dyDescent="0.3">
      <c r="A268" t="s">
        <v>28</v>
      </c>
      <c r="B268" t="s">
        <v>610</v>
      </c>
      <c r="C268" t="s">
        <v>611</v>
      </c>
      <c r="D268">
        <v>0.8</v>
      </c>
      <c r="E268">
        <v>42.9</v>
      </c>
      <c r="F268">
        <v>2</v>
      </c>
      <c r="G268" t="b">
        <v>0</v>
      </c>
      <c r="H268">
        <v>0</v>
      </c>
      <c r="I268">
        <v>0</v>
      </c>
      <c r="J268">
        <v>0</v>
      </c>
      <c r="K268">
        <v>26.3</v>
      </c>
      <c r="L268" t="s">
        <v>132</v>
      </c>
      <c r="N268">
        <v>1</v>
      </c>
      <c r="O268">
        <v>0</v>
      </c>
      <c r="P268">
        <v>25.5</v>
      </c>
      <c r="Q268">
        <f>K268</f>
        <v>26.3</v>
      </c>
      <c r="R268" s="1">
        <f>SUM(S268:Z268)</f>
        <v>26.397500000000001</v>
      </c>
      <c r="S268" s="1">
        <f>IF($AB268=TRUE,D268*S$2,D268*S$1)</f>
        <v>1.6</v>
      </c>
      <c r="T268" s="1">
        <f>IF($AB268=TRUE,E268*T$2,E268*T$1)</f>
        <v>17.16</v>
      </c>
      <c r="U268" s="1">
        <f>IF($AB268=TRUE,F268*U$2,F268*U$1)</f>
        <v>6</v>
      </c>
      <c r="V268" s="1">
        <f>IF($AB268=TRUE,J268*V$2,J268*V$1)</f>
        <v>0</v>
      </c>
      <c r="W268" s="1">
        <f>IF($AB268=TRUE,P268*W$2/100,P268*W$1/100)</f>
        <v>0.63749999999999996</v>
      </c>
      <c r="X268" s="1">
        <f>IF($AB268=TRUE,I268*X$2,I268*X$1)</f>
        <v>0</v>
      </c>
      <c r="Y268" s="1">
        <f>IF($AB268=TRUE,N268*Y$2,N268*Y$1)</f>
        <v>1</v>
      </c>
      <c r="Z268" s="1">
        <f>IF($AB268=TRUE,-H268*Z$2,-H268*Z$1)</f>
        <v>0</v>
      </c>
      <c r="AA268" s="2">
        <f>Q268-R268</f>
        <v>-9.7500000000000142E-2</v>
      </c>
      <c r="AB268" s="1" t="b">
        <f>IF(G268=TRUE,IF(LEN(A268)&lt;5,TRUE,FALSE),FALSE)</f>
        <v>0</v>
      </c>
    </row>
    <row r="269" spans="1:28" hidden="1" x14ac:dyDescent="0.3">
      <c r="A269" t="s">
        <v>18</v>
      </c>
      <c r="B269" t="s">
        <v>625</v>
      </c>
      <c r="C269" t="s">
        <v>626</v>
      </c>
      <c r="D269">
        <v>0</v>
      </c>
      <c r="E269">
        <v>27.8</v>
      </c>
      <c r="F269">
        <v>3.5</v>
      </c>
      <c r="G269" t="b">
        <v>0</v>
      </c>
      <c r="H269">
        <v>0</v>
      </c>
      <c r="I269">
        <v>0</v>
      </c>
      <c r="J269">
        <v>0</v>
      </c>
      <c r="K269">
        <v>24</v>
      </c>
      <c r="L269" t="s">
        <v>627</v>
      </c>
      <c r="N269">
        <v>2</v>
      </c>
      <c r="O269">
        <v>0</v>
      </c>
      <c r="P269">
        <v>12.9</v>
      </c>
      <c r="Q269">
        <f>K269</f>
        <v>24</v>
      </c>
      <c r="R269" s="1">
        <f>SUM(S269:Z269)</f>
        <v>23.942500000000003</v>
      </c>
      <c r="S269" s="1">
        <f>IF($AB269=TRUE,D269*S$2,D269*S$1)</f>
        <v>0</v>
      </c>
      <c r="T269" s="1">
        <f>IF($AB269=TRUE,E269*T$2,E269*T$1)</f>
        <v>11.120000000000001</v>
      </c>
      <c r="U269" s="1">
        <f>IF($AB269=TRUE,F269*U$2,F269*U$1)</f>
        <v>10.5</v>
      </c>
      <c r="V269" s="1">
        <f>IF($AB269=TRUE,J269*V$2,J269*V$1)</f>
        <v>0</v>
      </c>
      <c r="W269" s="1">
        <f>IF($AB269=TRUE,P269*W$2/100,P269*W$1/100)</f>
        <v>0.32250000000000001</v>
      </c>
      <c r="X269" s="1">
        <f>IF($AB269=TRUE,I269*X$2,I269*X$1)</f>
        <v>0</v>
      </c>
      <c r="Y269" s="1">
        <f>IF($AB269=TRUE,N269*Y$2,N269*Y$1)</f>
        <v>2</v>
      </c>
      <c r="Z269" s="1">
        <f>IF($AB269=TRUE,-H269*Z$2,-H269*Z$1)</f>
        <v>0</v>
      </c>
      <c r="AA269" s="2">
        <f>Q269-R269</f>
        <v>5.7499999999997442E-2</v>
      </c>
      <c r="AB269" s="1" t="b">
        <f>IF(G269=TRUE,IF(LEN(A269)&lt;5,TRUE,FALSE),FALSE)</f>
        <v>0</v>
      </c>
    </row>
    <row r="270" spans="1:28" hidden="1" x14ac:dyDescent="0.3">
      <c r="A270" t="s">
        <v>628</v>
      </c>
      <c r="B270" t="s">
        <v>629</v>
      </c>
      <c r="C270" t="s">
        <v>630</v>
      </c>
      <c r="D270">
        <v>3.8</v>
      </c>
      <c r="E270">
        <v>35.700000000000003</v>
      </c>
      <c r="F270">
        <v>0</v>
      </c>
      <c r="G270" t="b">
        <v>0</v>
      </c>
      <c r="H270">
        <v>0</v>
      </c>
      <c r="I270">
        <v>0</v>
      </c>
      <c r="J270">
        <v>0</v>
      </c>
      <c r="K270">
        <v>23.5</v>
      </c>
      <c r="L270" t="s">
        <v>615</v>
      </c>
      <c r="N270">
        <v>1</v>
      </c>
      <c r="O270">
        <v>0</v>
      </c>
      <c r="P270">
        <v>19.7</v>
      </c>
      <c r="Q270">
        <f>K270</f>
        <v>23.5</v>
      </c>
      <c r="R270" s="1">
        <f>SUM(S270:Z270)</f>
        <v>23.372500000000002</v>
      </c>
      <c r="S270" s="1">
        <f>IF($AB270=TRUE,D270*S$2,D270*S$1)</f>
        <v>7.6</v>
      </c>
      <c r="T270" s="1">
        <f>IF($AB270=TRUE,E270*T$2,E270*T$1)</f>
        <v>14.280000000000001</v>
      </c>
      <c r="U270" s="1">
        <f>IF($AB270=TRUE,F270*U$2,F270*U$1)</f>
        <v>0</v>
      </c>
      <c r="V270" s="1">
        <f>IF($AB270=TRUE,J270*V$2,J270*V$1)</f>
        <v>0</v>
      </c>
      <c r="W270" s="1">
        <f>IF($AB270=TRUE,P270*W$2/100,P270*W$1/100)</f>
        <v>0.49249999999999999</v>
      </c>
      <c r="X270" s="1">
        <f>IF($AB270=TRUE,I270*X$2,I270*X$1)</f>
        <v>0</v>
      </c>
      <c r="Y270" s="1">
        <f>IF($AB270=TRUE,N270*Y$2,N270*Y$1)</f>
        <v>1</v>
      </c>
      <c r="Z270" s="1">
        <f>IF($AB270=TRUE,-H270*Z$2,-H270*Z$1)</f>
        <v>0</v>
      </c>
      <c r="AA270" s="2">
        <f>Q270-R270</f>
        <v>0.12749999999999773</v>
      </c>
      <c r="AB270" s="1" t="b">
        <f>IF(G270=TRUE,IF(LEN(A270)&lt;5,TRUE,FALSE),FALSE)</f>
        <v>0</v>
      </c>
    </row>
    <row r="271" spans="1:28" hidden="1" x14ac:dyDescent="0.3">
      <c r="A271" t="s">
        <v>40</v>
      </c>
      <c r="B271" t="s">
        <v>631</v>
      </c>
      <c r="C271" t="s">
        <v>632</v>
      </c>
      <c r="D271">
        <v>0</v>
      </c>
      <c r="E271">
        <v>14.3</v>
      </c>
      <c r="F271">
        <v>5.2</v>
      </c>
      <c r="G271" t="b">
        <v>0</v>
      </c>
      <c r="H271">
        <v>0</v>
      </c>
      <c r="I271">
        <v>0</v>
      </c>
      <c r="J271">
        <v>0</v>
      </c>
      <c r="K271">
        <v>22.7</v>
      </c>
      <c r="L271" t="s">
        <v>633</v>
      </c>
      <c r="N271">
        <v>1</v>
      </c>
      <c r="O271">
        <v>0</v>
      </c>
      <c r="P271">
        <v>19.600000000000001</v>
      </c>
      <c r="Q271">
        <f>K271</f>
        <v>22.7</v>
      </c>
      <c r="R271" s="1">
        <f>SUM(S271:Z271)</f>
        <v>22.81</v>
      </c>
      <c r="S271" s="1">
        <f>IF($AB271=TRUE,D271*S$2,D271*S$1)</f>
        <v>0</v>
      </c>
      <c r="T271" s="1">
        <f>IF($AB271=TRUE,E271*T$2,E271*T$1)</f>
        <v>5.7200000000000006</v>
      </c>
      <c r="U271" s="1">
        <f>IF($AB271=TRUE,F271*U$2,F271*U$1)</f>
        <v>15.600000000000001</v>
      </c>
      <c r="V271" s="1">
        <f>IF($AB271=TRUE,J271*V$2,J271*V$1)</f>
        <v>0</v>
      </c>
      <c r="W271" s="1">
        <f>IF($AB271=TRUE,P271*W$2/100,P271*W$1/100)</f>
        <v>0.49</v>
      </c>
      <c r="X271" s="1">
        <f>IF($AB271=TRUE,I271*X$2,I271*X$1)</f>
        <v>0</v>
      </c>
      <c r="Y271" s="1">
        <f>IF($AB271=TRUE,N271*Y$2,N271*Y$1)</f>
        <v>1</v>
      </c>
      <c r="Z271" s="1">
        <f>IF($AB271=TRUE,-H271*Z$2,-H271*Z$1)</f>
        <v>0</v>
      </c>
      <c r="AA271" s="2">
        <f>Q271-R271</f>
        <v>-0.10999999999999943</v>
      </c>
      <c r="AB271" s="1" t="b">
        <f>IF(G271=TRUE,IF(LEN(A271)&lt;5,TRUE,FALSE),FALSE)</f>
        <v>0</v>
      </c>
    </row>
    <row r="272" spans="1:28" hidden="1" x14ac:dyDescent="0.3">
      <c r="A272" t="s">
        <v>18</v>
      </c>
      <c r="B272" t="s">
        <v>634</v>
      </c>
      <c r="C272" t="s">
        <v>635</v>
      </c>
      <c r="D272">
        <v>0</v>
      </c>
      <c r="E272">
        <v>52.2</v>
      </c>
      <c r="F272">
        <v>0</v>
      </c>
      <c r="G272" t="b">
        <v>0</v>
      </c>
      <c r="H272">
        <v>0</v>
      </c>
      <c r="I272">
        <v>0</v>
      </c>
      <c r="J272">
        <v>0</v>
      </c>
      <c r="K272">
        <v>22.3</v>
      </c>
      <c r="L272" t="s">
        <v>83</v>
      </c>
      <c r="N272">
        <v>1</v>
      </c>
      <c r="O272">
        <v>0</v>
      </c>
      <c r="P272">
        <v>12.3</v>
      </c>
      <c r="Q272">
        <f>K272</f>
        <v>22.3</v>
      </c>
      <c r="R272" s="1">
        <f>SUM(S272:Z272)</f>
        <v>22.187500000000004</v>
      </c>
      <c r="S272" s="1">
        <f>IF($AB272=TRUE,D272*S$2,D272*S$1)</f>
        <v>0</v>
      </c>
      <c r="T272" s="1">
        <f>IF($AB272=TRUE,E272*T$2,E272*T$1)</f>
        <v>20.880000000000003</v>
      </c>
      <c r="U272" s="1">
        <f>IF($AB272=TRUE,F272*U$2,F272*U$1)</f>
        <v>0</v>
      </c>
      <c r="V272" s="1">
        <f>IF($AB272=TRUE,J272*V$2,J272*V$1)</f>
        <v>0</v>
      </c>
      <c r="W272" s="1">
        <f>IF($AB272=TRUE,P272*W$2/100,P272*W$1/100)</f>
        <v>0.3075</v>
      </c>
      <c r="X272" s="1">
        <f>IF($AB272=TRUE,I272*X$2,I272*X$1)</f>
        <v>0</v>
      </c>
      <c r="Y272" s="1">
        <f>IF($AB272=TRUE,N272*Y$2,N272*Y$1)</f>
        <v>1</v>
      </c>
      <c r="Z272" s="1">
        <f>IF($AB272=TRUE,-H272*Z$2,-H272*Z$1)</f>
        <v>0</v>
      </c>
      <c r="AA272" s="2">
        <f>Q272-R272</f>
        <v>0.11249999999999716</v>
      </c>
      <c r="AB272" s="1" t="b">
        <f>IF(G272=TRUE,IF(LEN(A272)&lt;5,TRUE,FALSE),FALSE)</f>
        <v>0</v>
      </c>
    </row>
    <row r="273" spans="1:28" hidden="1" x14ac:dyDescent="0.3">
      <c r="A273" t="s">
        <v>25</v>
      </c>
      <c r="B273" t="s">
        <v>636</v>
      </c>
      <c r="C273" t="s">
        <v>637</v>
      </c>
      <c r="D273">
        <v>1.8</v>
      </c>
      <c r="E273">
        <v>40.9</v>
      </c>
      <c r="F273">
        <v>0</v>
      </c>
      <c r="G273" t="b">
        <v>0</v>
      </c>
      <c r="H273">
        <v>0</v>
      </c>
      <c r="I273">
        <v>0</v>
      </c>
      <c r="J273">
        <v>0</v>
      </c>
      <c r="K273">
        <v>21.8</v>
      </c>
      <c r="L273" t="s">
        <v>638</v>
      </c>
      <c r="N273">
        <v>1</v>
      </c>
      <c r="O273">
        <v>0</v>
      </c>
      <c r="P273">
        <v>30.4</v>
      </c>
      <c r="Q273">
        <f>K273</f>
        <v>21.8</v>
      </c>
      <c r="R273" s="1">
        <f>SUM(S273:Z273)</f>
        <v>21.720000000000002</v>
      </c>
      <c r="S273" s="1">
        <f>IF($AB273=TRUE,D273*S$2,D273*S$1)</f>
        <v>3.6</v>
      </c>
      <c r="T273" s="1">
        <f>IF($AB273=TRUE,E273*T$2,E273*T$1)</f>
        <v>16.36</v>
      </c>
      <c r="U273" s="1">
        <f>IF($AB273=TRUE,F273*U$2,F273*U$1)</f>
        <v>0</v>
      </c>
      <c r="V273" s="1">
        <f>IF($AB273=TRUE,J273*V$2,J273*V$1)</f>
        <v>0</v>
      </c>
      <c r="W273" s="1">
        <f>IF($AB273=TRUE,P273*W$2/100,P273*W$1/100)</f>
        <v>0.76</v>
      </c>
      <c r="X273" s="1">
        <f>IF($AB273=TRUE,I273*X$2,I273*X$1)</f>
        <v>0</v>
      </c>
      <c r="Y273" s="1">
        <f>IF($AB273=TRUE,N273*Y$2,N273*Y$1)</f>
        <v>1</v>
      </c>
      <c r="Z273" s="1">
        <f>IF($AB273=TRUE,-H273*Z$2,-H273*Z$1)</f>
        <v>0</v>
      </c>
      <c r="AA273" s="2">
        <f>Q273-R273</f>
        <v>7.9999999999998295E-2</v>
      </c>
      <c r="AB273" s="1" t="b">
        <f>IF(G273=TRUE,IF(LEN(A273)&lt;5,TRUE,FALSE),FALSE)</f>
        <v>0</v>
      </c>
    </row>
    <row r="274" spans="1:28" hidden="1" x14ac:dyDescent="0.3">
      <c r="A274" t="s">
        <v>25</v>
      </c>
      <c r="B274" t="s">
        <v>639</v>
      </c>
      <c r="C274" t="s">
        <v>640</v>
      </c>
      <c r="D274">
        <v>3.6</v>
      </c>
      <c r="E274">
        <v>31</v>
      </c>
      <c r="F274">
        <v>0</v>
      </c>
      <c r="G274" t="b">
        <v>0</v>
      </c>
      <c r="H274">
        <v>0</v>
      </c>
      <c r="I274">
        <v>0</v>
      </c>
      <c r="J274">
        <v>0</v>
      </c>
      <c r="K274">
        <v>21.5</v>
      </c>
      <c r="L274" t="s">
        <v>615</v>
      </c>
      <c r="N274">
        <v>1</v>
      </c>
      <c r="O274">
        <v>0</v>
      </c>
      <c r="P274">
        <v>31.5</v>
      </c>
      <c r="Q274">
        <f>K274</f>
        <v>21.5</v>
      </c>
      <c r="R274" s="1">
        <f>SUM(S274:Z274)</f>
        <v>21.387500000000003</v>
      </c>
      <c r="S274" s="1">
        <f>IF($AB274=TRUE,D274*S$2,D274*S$1)</f>
        <v>7.2</v>
      </c>
      <c r="T274" s="1">
        <f>IF($AB274=TRUE,E274*T$2,E274*T$1)</f>
        <v>12.4</v>
      </c>
      <c r="U274" s="1">
        <f>IF($AB274=TRUE,F274*U$2,F274*U$1)</f>
        <v>0</v>
      </c>
      <c r="V274" s="1">
        <f>IF($AB274=TRUE,J274*V$2,J274*V$1)</f>
        <v>0</v>
      </c>
      <c r="W274" s="1">
        <f>IF($AB274=TRUE,P274*W$2/100,P274*W$1/100)</f>
        <v>0.78749999999999998</v>
      </c>
      <c r="X274" s="1">
        <f>IF($AB274=TRUE,I274*X$2,I274*X$1)</f>
        <v>0</v>
      </c>
      <c r="Y274" s="1">
        <f>IF($AB274=TRUE,N274*Y$2,N274*Y$1)</f>
        <v>1</v>
      </c>
      <c r="Z274" s="1">
        <f>IF($AB274=TRUE,-H274*Z$2,-H274*Z$1)</f>
        <v>0</v>
      </c>
      <c r="AA274" s="2">
        <f>Q274-R274</f>
        <v>0.11249999999999716</v>
      </c>
      <c r="AB274" s="1" t="b">
        <f>IF(G274=TRUE,IF(LEN(A274)&lt;5,TRUE,FALSE),FALSE)</f>
        <v>0</v>
      </c>
    </row>
    <row r="275" spans="1:28" hidden="1" x14ac:dyDescent="0.3">
      <c r="A275" t="s">
        <v>641</v>
      </c>
      <c r="B275" t="s">
        <v>642</v>
      </c>
      <c r="C275" t="s">
        <v>643</v>
      </c>
      <c r="D275">
        <v>1.5</v>
      </c>
      <c r="E275">
        <v>39.299999999999997</v>
      </c>
      <c r="F275">
        <v>0</v>
      </c>
      <c r="G275" t="b">
        <v>0</v>
      </c>
      <c r="H275">
        <v>0</v>
      </c>
      <c r="I275">
        <v>0</v>
      </c>
      <c r="J275">
        <v>0</v>
      </c>
      <c r="K275">
        <v>20.5</v>
      </c>
      <c r="L275" t="s">
        <v>615</v>
      </c>
      <c r="N275">
        <v>1</v>
      </c>
      <c r="O275">
        <v>0</v>
      </c>
      <c r="P275">
        <v>28.7</v>
      </c>
      <c r="Q275">
        <f>K275</f>
        <v>20.5</v>
      </c>
      <c r="R275" s="1">
        <f>SUM(S275:Z275)</f>
        <v>20.4375</v>
      </c>
      <c r="S275" s="1">
        <f>IF($AB275=TRUE,D275*S$2,D275*S$1)</f>
        <v>3</v>
      </c>
      <c r="T275" s="1">
        <f>IF($AB275=TRUE,E275*T$2,E275*T$1)</f>
        <v>15.719999999999999</v>
      </c>
      <c r="U275" s="1">
        <f>IF($AB275=TRUE,F275*U$2,F275*U$1)</f>
        <v>0</v>
      </c>
      <c r="V275" s="1">
        <f>IF($AB275=TRUE,J275*V$2,J275*V$1)</f>
        <v>0</v>
      </c>
      <c r="W275" s="1">
        <f>IF($AB275=TRUE,P275*W$2/100,P275*W$1/100)</f>
        <v>0.71750000000000003</v>
      </c>
      <c r="X275" s="1">
        <f>IF($AB275=TRUE,I275*X$2,I275*X$1)</f>
        <v>0</v>
      </c>
      <c r="Y275" s="1">
        <f>IF($AB275=TRUE,N275*Y$2,N275*Y$1)</f>
        <v>1</v>
      </c>
      <c r="Z275" s="1">
        <f>IF($AB275=TRUE,-H275*Z$2,-H275*Z$1)</f>
        <v>0</v>
      </c>
      <c r="AA275" s="2">
        <f>Q275-R275</f>
        <v>6.25E-2</v>
      </c>
      <c r="AB275" s="1" t="b">
        <f>IF(G275=TRUE,IF(LEN(A275)&lt;5,TRUE,FALSE),FALSE)</f>
        <v>0</v>
      </c>
    </row>
    <row r="276" spans="1:28" hidden="1" x14ac:dyDescent="0.3">
      <c r="A276" t="s">
        <v>28</v>
      </c>
      <c r="B276" t="s">
        <v>644</v>
      </c>
      <c r="C276" t="s">
        <v>645</v>
      </c>
      <c r="D276">
        <v>0</v>
      </c>
      <c r="E276">
        <v>31.6</v>
      </c>
      <c r="F276">
        <v>2</v>
      </c>
      <c r="G276" t="b">
        <v>0</v>
      </c>
      <c r="H276">
        <v>0</v>
      </c>
      <c r="I276">
        <v>0</v>
      </c>
      <c r="J276">
        <v>0</v>
      </c>
      <c r="K276">
        <v>20.3</v>
      </c>
      <c r="L276" t="s">
        <v>646</v>
      </c>
      <c r="N276">
        <v>1</v>
      </c>
      <c r="O276">
        <v>0</v>
      </c>
      <c r="P276">
        <v>24.7</v>
      </c>
      <c r="Q276">
        <f>K276</f>
        <v>20.3</v>
      </c>
      <c r="R276" s="1">
        <f>SUM(S276:Z276)</f>
        <v>20.2575</v>
      </c>
      <c r="S276" s="1">
        <f>IF($AB276=TRUE,D276*S$2,D276*S$1)</f>
        <v>0</v>
      </c>
      <c r="T276" s="1">
        <f>IF($AB276=TRUE,E276*T$2,E276*T$1)</f>
        <v>12.64</v>
      </c>
      <c r="U276" s="1">
        <f>IF($AB276=TRUE,F276*U$2,F276*U$1)</f>
        <v>6</v>
      </c>
      <c r="V276" s="1">
        <f>IF($AB276=TRUE,J276*V$2,J276*V$1)</f>
        <v>0</v>
      </c>
      <c r="W276" s="1">
        <f>IF($AB276=TRUE,P276*W$2/100,P276*W$1/100)</f>
        <v>0.61750000000000005</v>
      </c>
      <c r="X276" s="1">
        <f>IF($AB276=TRUE,I276*X$2,I276*X$1)</f>
        <v>0</v>
      </c>
      <c r="Y276" s="1">
        <f>IF($AB276=TRUE,N276*Y$2,N276*Y$1)</f>
        <v>1</v>
      </c>
      <c r="Z276" s="1">
        <f>IF($AB276=TRUE,-H276*Z$2,-H276*Z$1)</f>
        <v>0</v>
      </c>
      <c r="AA276" s="2">
        <f>Q276-R276</f>
        <v>4.2500000000000426E-2</v>
      </c>
      <c r="AB276" s="1" t="b">
        <f>IF(G276=TRUE,IF(LEN(A276)&lt;5,TRUE,FALSE),FALSE)</f>
        <v>0</v>
      </c>
    </row>
    <row r="277" spans="1:28" hidden="1" x14ac:dyDescent="0.3">
      <c r="A277" t="s">
        <v>28</v>
      </c>
      <c r="B277" t="s">
        <v>647</v>
      </c>
      <c r="C277" t="s">
        <v>648</v>
      </c>
      <c r="D277">
        <v>0</v>
      </c>
      <c r="E277">
        <v>31.6</v>
      </c>
      <c r="F277">
        <v>2</v>
      </c>
      <c r="G277" t="b">
        <v>0</v>
      </c>
      <c r="H277">
        <v>0</v>
      </c>
      <c r="I277">
        <v>0</v>
      </c>
      <c r="J277">
        <v>0</v>
      </c>
      <c r="K277">
        <v>20.3</v>
      </c>
      <c r="L277" t="s">
        <v>646</v>
      </c>
      <c r="N277">
        <v>1</v>
      </c>
      <c r="O277">
        <v>0</v>
      </c>
      <c r="P277">
        <v>24.7</v>
      </c>
      <c r="Q277">
        <f>K277</f>
        <v>20.3</v>
      </c>
      <c r="R277" s="1">
        <f>SUM(S277:Z277)</f>
        <v>20.2575</v>
      </c>
      <c r="S277" s="1">
        <f>IF($AB277=TRUE,D277*S$2,D277*S$1)</f>
        <v>0</v>
      </c>
      <c r="T277" s="1">
        <f>IF($AB277=TRUE,E277*T$2,E277*T$1)</f>
        <v>12.64</v>
      </c>
      <c r="U277" s="1">
        <f>IF($AB277=TRUE,F277*U$2,F277*U$1)</f>
        <v>6</v>
      </c>
      <c r="V277" s="1">
        <f>IF($AB277=TRUE,J277*V$2,J277*V$1)</f>
        <v>0</v>
      </c>
      <c r="W277" s="1">
        <f>IF($AB277=TRUE,P277*W$2/100,P277*W$1/100)</f>
        <v>0.61750000000000005</v>
      </c>
      <c r="X277" s="1">
        <f>IF($AB277=TRUE,I277*X$2,I277*X$1)</f>
        <v>0</v>
      </c>
      <c r="Y277" s="1">
        <f>IF($AB277=TRUE,N277*Y$2,N277*Y$1)</f>
        <v>1</v>
      </c>
      <c r="Z277" s="1">
        <f>IF($AB277=TRUE,-H277*Z$2,-H277*Z$1)</f>
        <v>0</v>
      </c>
      <c r="AA277" s="2">
        <f>Q277-R277</f>
        <v>4.2500000000000426E-2</v>
      </c>
      <c r="AB277" s="1" t="b">
        <f>IF(G277=TRUE,IF(LEN(A277)&lt;5,TRUE,FALSE),FALSE)</f>
        <v>0</v>
      </c>
    </row>
    <row r="278" spans="1:28" hidden="1" x14ac:dyDescent="0.3">
      <c r="A278" t="s">
        <v>28</v>
      </c>
      <c r="B278" t="s">
        <v>649</v>
      </c>
      <c r="C278" t="s">
        <v>650</v>
      </c>
      <c r="D278">
        <v>0</v>
      </c>
      <c r="E278">
        <v>31.6</v>
      </c>
      <c r="F278">
        <v>2</v>
      </c>
      <c r="G278" t="b">
        <v>0</v>
      </c>
      <c r="H278">
        <v>0</v>
      </c>
      <c r="I278">
        <v>0</v>
      </c>
      <c r="J278">
        <v>0</v>
      </c>
      <c r="K278">
        <v>20.3</v>
      </c>
      <c r="L278" t="s">
        <v>646</v>
      </c>
      <c r="N278">
        <v>1</v>
      </c>
      <c r="O278">
        <v>0</v>
      </c>
      <c r="P278">
        <v>24.7</v>
      </c>
      <c r="Q278">
        <f>K278</f>
        <v>20.3</v>
      </c>
      <c r="R278" s="1">
        <f>SUM(S278:Z278)</f>
        <v>20.2575</v>
      </c>
      <c r="S278" s="1">
        <f>IF($AB278=TRUE,D278*S$2,D278*S$1)</f>
        <v>0</v>
      </c>
      <c r="T278" s="1">
        <f>IF($AB278=TRUE,E278*T$2,E278*T$1)</f>
        <v>12.64</v>
      </c>
      <c r="U278" s="1">
        <f>IF($AB278=TRUE,F278*U$2,F278*U$1)</f>
        <v>6</v>
      </c>
      <c r="V278" s="1">
        <f>IF($AB278=TRUE,J278*V$2,J278*V$1)</f>
        <v>0</v>
      </c>
      <c r="W278" s="1">
        <f>IF($AB278=TRUE,P278*W$2/100,P278*W$1/100)</f>
        <v>0.61750000000000005</v>
      </c>
      <c r="X278" s="1">
        <f>IF($AB278=TRUE,I278*X$2,I278*X$1)</f>
        <v>0</v>
      </c>
      <c r="Y278" s="1">
        <f>IF($AB278=TRUE,N278*Y$2,N278*Y$1)</f>
        <v>1</v>
      </c>
      <c r="Z278" s="1">
        <f>IF($AB278=TRUE,-H278*Z$2,-H278*Z$1)</f>
        <v>0</v>
      </c>
      <c r="AA278" s="2">
        <f>Q278-R278</f>
        <v>4.2500000000000426E-2</v>
      </c>
      <c r="AB278" s="1" t="b">
        <f>IF(G278=TRUE,IF(LEN(A278)&lt;5,TRUE,FALSE),FALSE)</f>
        <v>0</v>
      </c>
    </row>
    <row r="279" spans="1:28" hidden="1" x14ac:dyDescent="0.3">
      <c r="A279" t="s">
        <v>28</v>
      </c>
      <c r="B279" t="s">
        <v>651</v>
      </c>
      <c r="C279" t="s">
        <v>652</v>
      </c>
      <c r="D279">
        <v>0</v>
      </c>
      <c r="E279">
        <v>31.6</v>
      </c>
      <c r="F279">
        <v>2</v>
      </c>
      <c r="G279" t="b">
        <v>0</v>
      </c>
      <c r="H279">
        <v>0</v>
      </c>
      <c r="I279">
        <v>0</v>
      </c>
      <c r="J279">
        <v>0</v>
      </c>
      <c r="K279">
        <v>20.3</v>
      </c>
      <c r="L279" t="s">
        <v>646</v>
      </c>
      <c r="N279">
        <v>1</v>
      </c>
      <c r="O279">
        <v>0</v>
      </c>
      <c r="P279">
        <v>24.7</v>
      </c>
      <c r="Q279">
        <f>K279</f>
        <v>20.3</v>
      </c>
      <c r="R279" s="1">
        <f>SUM(S279:Z279)</f>
        <v>20.2575</v>
      </c>
      <c r="S279" s="1">
        <f>IF($AB279=TRUE,D279*S$2,D279*S$1)</f>
        <v>0</v>
      </c>
      <c r="T279" s="1">
        <f>IF($AB279=TRUE,E279*T$2,E279*T$1)</f>
        <v>12.64</v>
      </c>
      <c r="U279" s="1">
        <f>IF($AB279=TRUE,F279*U$2,F279*U$1)</f>
        <v>6</v>
      </c>
      <c r="V279" s="1">
        <f>IF($AB279=TRUE,J279*V$2,J279*V$1)</f>
        <v>0</v>
      </c>
      <c r="W279" s="1">
        <f>IF($AB279=TRUE,P279*W$2/100,P279*W$1/100)</f>
        <v>0.61750000000000005</v>
      </c>
      <c r="X279" s="1">
        <f>IF($AB279=TRUE,I279*X$2,I279*X$1)</f>
        <v>0</v>
      </c>
      <c r="Y279" s="1">
        <f>IF($AB279=TRUE,N279*Y$2,N279*Y$1)</f>
        <v>1</v>
      </c>
      <c r="Z279" s="1">
        <f>IF($AB279=TRUE,-H279*Z$2,-H279*Z$1)</f>
        <v>0</v>
      </c>
      <c r="AA279" s="2">
        <f>Q279-R279</f>
        <v>4.2500000000000426E-2</v>
      </c>
      <c r="AB279" s="1" t="b">
        <f>IF(G279=TRUE,IF(LEN(A279)&lt;5,TRUE,FALSE),FALSE)</f>
        <v>0</v>
      </c>
    </row>
    <row r="280" spans="1:28" hidden="1" x14ac:dyDescent="0.3">
      <c r="A280" t="s">
        <v>612</v>
      </c>
      <c r="B280" t="s">
        <v>653</v>
      </c>
      <c r="C280" t="s">
        <v>654</v>
      </c>
      <c r="D280">
        <v>1.5</v>
      </c>
      <c r="E280">
        <v>38.5</v>
      </c>
      <c r="F280">
        <v>0</v>
      </c>
      <c r="G280" t="b">
        <v>0</v>
      </c>
      <c r="H280">
        <v>0</v>
      </c>
      <c r="I280">
        <v>0</v>
      </c>
      <c r="J280">
        <v>0</v>
      </c>
      <c r="K280">
        <v>20.2</v>
      </c>
      <c r="L280" t="s">
        <v>615</v>
      </c>
      <c r="N280">
        <v>1</v>
      </c>
      <c r="O280">
        <v>0</v>
      </c>
      <c r="P280">
        <v>28.7</v>
      </c>
      <c r="Q280">
        <f>K280</f>
        <v>20.2</v>
      </c>
      <c r="R280" s="1">
        <f>SUM(S280:Z280)</f>
        <v>20.1175</v>
      </c>
      <c r="S280" s="1">
        <f>IF($AB280=TRUE,D280*S$2,D280*S$1)</f>
        <v>3</v>
      </c>
      <c r="T280" s="1">
        <f>IF($AB280=TRUE,E280*T$2,E280*T$1)</f>
        <v>15.4</v>
      </c>
      <c r="U280" s="1">
        <f>IF($AB280=TRUE,F280*U$2,F280*U$1)</f>
        <v>0</v>
      </c>
      <c r="V280" s="1">
        <f>IF($AB280=TRUE,J280*V$2,J280*V$1)</f>
        <v>0</v>
      </c>
      <c r="W280" s="1">
        <f>IF($AB280=TRUE,P280*W$2/100,P280*W$1/100)</f>
        <v>0.71750000000000003</v>
      </c>
      <c r="X280" s="1">
        <f>IF($AB280=TRUE,I280*X$2,I280*X$1)</f>
        <v>0</v>
      </c>
      <c r="Y280" s="1">
        <f>IF($AB280=TRUE,N280*Y$2,N280*Y$1)</f>
        <v>1</v>
      </c>
      <c r="Z280" s="1">
        <f>IF($AB280=TRUE,-H280*Z$2,-H280*Z$1)</f>
        <v>0</v>
      </c>
      <c r="AA280" s="2">
        <f>Q280-R280</f>
        <v>8.2499999999999574E-2</v>
      </c>
      <c r="AB280" s="1" t="b">
        <f>IF(G280=TRUE,IF(LEN(A280)&lt;5,TRUE,FALSE),FALSE)</f>
        <v>0</v>
      </c>
    </row>
    <row r="281" spans="1:28" hidden="1" x14ac:dyDescent="0.3">
      <c r="A281" t="s">
        <v>25</v>
      </c>
      <c r="B281" t="s">
        <v>660</v>
      </c>
      <c r="C281" t="s">
        <v>661</v>
      </c>
      <c r="D281">
        <v>1.8</v>
      </c>
      <c r="E281">
        <v>35.299999999999997</v>
      </c>
      <c r="F281">
        <v>0</v>
      </c>
      <c r="G281" t="b">
        <v>0</v>
      </c>
      <c r="H281">
        <v>0</v>
      </c>
      <c r="I281">
        <v>0</v>
      </c>
      <c r="J281">
        <v>0</v>
      </c>
      <c r="K281">
        <v>19.399999999999999</v>
      </c>
      <c r="L281" t="s">
        <v>69</v>
      </c>
      <c r="N281">
        <v>1</v>
      </c>
      <c r="O281">
        <v>0</v>
      </c>
      <c r="P281">
        <v>26</v>
      </c>
      <c r="Q281">
        <f>K281</f>
        <v>19.399999999999999</v>
      </c>
      <c r="R281" s="1">
        <f>SUM(S281:Z281)</f>
        <v>19.369999999999997</v>
      </c>
      <c r="S281" s="1">
        <f>IF($AB281=TRUE,D281*S$2,D281*S$1)</f>
        <v>3.6</v>
      </c>
      <c r="T281" s="1">
        <f>IF($AB281=TRUE,E281*T$2,E281*T$1)</f>
        <v>14.12</v>
      </c>
      <c r="U281" s="1">
        <f>IF($AB281=TRUE,F281*U$2,F281*U$1)</f>
        <v>0</v>
      </c>
      <c r="V281" s="1">
        <f>IF($AB281=TRUE,J281*V$2,J281*V$1)</f>
        <v>0</v>
      </c>
      <c r="W281" s="1">
        <f>IF($AB281=TRUE,P281*W$2/100,P281*W$1/100)</f>
        <v>0.65</v>
      </c>
      <c r="X281" s="1">
        <f>IF($AB281=TRUE,I281*X$2,I281*X$1)</f>
        <v>0</v>
      </c>
      <c r="Y281" s="1">
        <f>IF($AB281=TRUE,N281*Y$2,N281*Y$1)</f>
        <v>1</v>
      </c>
      <c r="Z281" s="1">
        <f>IF($AB281=TRUE,-H281*Z$2,-H281*Z$1)</f>
        <v>0</v>
      </c>
      <c r="AA281" s="2">
        <f>Q281-R281</f>
        <v>3.0000000000001137E-2</v>
      </c>
      <c r="AB281" s="1" t="b">
        <f>IF(G281=TRUE,IF(LEN(A281)&lt;5,TRUE,FALSE),FALSE)</f>
        <v>0</v>
      </c>
    </row>
    <row r="282" spans="1:28" hidden="1" x14ac:dyDescent="0.3">
      <c r="A282" t="s">
        <v>28</v>
      </c>
      <c r="B282" t="s">
        <v>662</v>
      </c>
      <c r="C282" t="s">
        <v>663</v>
      </c>
      <c r="D282">
        <v>0</v>
      </c>
      <c r="E282">
        <v>28.6</v>
      </c>
      <c r="F282">
        <v>2</v>
      </c>
      <c r="G282" t="b">
        <v>0</v>
      </c>
      <c r="H282">
        <v>0</v>
      </c>
      <c r="I282">
        <v>0</v>
      </c>
      <c r="J282">
        <v>0</v>
      </c>
      <c r="K282">
        <v>19.100000000000001</v>
      </c>
      <c r="L282" t="s">
        <v>646</v>
      </c>
      <c r="N282">
        <v>1</v>
      </c>
      <c r="O282">
        <v>0</v>
      </c>
      <c r="P282">
        <v>24.7</v>
      </c>
      <c r="Q282">
        <f>K282</f>
        <v>19.100000000000001</v>
      </c>
      <c r="R282" s="1">
        <f>SUM(S282:Z282)</f>
        <v>19.057500000000001</v>
      </c>
      <c r="S282" s="1">
        <f>IF($AB282=TRUE,D282*S$2,D282*S$1)</f>
        <v>0</v>
      </c>
      <c r="T282" s="1">
        <f>IF($AB282=TRUE,E282*T$2,E282*T$1)</f>
        <v>11.440000000000001</v>
      </c>
      <c r="U282" s="1">
        <f>IF($AB282=TRUE,F282*U$2,F282*U$1)</f>
        <v>6</v>
      </c>
      <c r="V282" s="1">
        <f>IF($AB282=TRUE,J282*V$2,J282*V$1)</f>
        <v>0</v>
      </c>
      <c r="W282" s="1">
        <f>IF($AB282=TRUE,P282*W$2/100,P282*W$1/100)</f>
        <v>0.61750000000000005</v>
      </c>
      <c r="X282" s="1">
        <f>IF($AB282=TRUE,I282*X$2,I282*X$1)</f>
        <v>0</v>
      </c>
      <c r="Y282" s="1">
        <f>IF($AB282=TRUE,N282*Y$2,N282*Y$1)</f>
        <v>1</v>
      </c>
      <c r="Z282" s="1">
        <f>IF($AB282=TRUE,-H282*Z$2,-H282*Z$1)</f>
        <v>0</v>
      </c>
      <c r="AA282" s="2">
        <f>Q282-R282</f>
        <v>4.2500000000000426E-2</v>
      </c>
      <c r="AB282" s="1" t="b">
        <f>IF(G282=TRUE,IF(LEN(A282)&lt;5,TRUE,FALSE),FALSE)</f>
        <v>0</v>
      </c>
    </row>
    <row r="283" spans="1:28" hidden="1" x14ac:dyDescent="0.3">
      <c r="A283" t="s">
        <v>28</v>
      </c>
      <c r="B283" t="s">
        <v>664</v>
      </c>
      <c r="C283" t="s">
        <v>665</v>
      </c>
      <c r="D283">
        <v>0</v>
      </c>
      <c r="E283">
        <v>28.6</v>
      </c>
      <c r="F283">
        <v>2</v>
      </c>
      <c r="G283" t="b">
        <v>0</v>
      </c>
      <c r="H283">
        <v>0</v>
      </c>
      <c r="I283">
        <v>0</v>
      </c>
      <c r="J283">
        <v>0</v>
      </c>
      <c r="K283">
        <v>19.100000000000001</v>
      </c>
      <c r="L283" t="s">
        <v>646</v>
      </c>
      <c r="N283">
        <v>1</v>
      </c>
      <c r="O283">
        <v>0</v>
      </c>
      <c r="P283">
        <v>24.7</v>
      </c>
      <c r="Q283">
        <f>K283</f>
        <v>19.100000000000001</v>
      </c>
      <c r="R283" s="1">
        <f>SUM(S283:Z283)</f>
        <v>19.057500000000001</v>
      </c>
      <c r="S283" s="1">
        <f>IF($AB283=TRUE,D283*S$2,D283*S$1)</f>
        <v>0</v>
      </c>
      <c r="T283" s="1">
        <f>IF($AB283=TRUE,E283*T$2,E283*T$1)</f>
        <v>11.440000000000001</v>
      </c>
      <c r="U283" s="1">
        <f>IF($AB283=TRUE,F283*U$2,F283*U$1)</f>
        <v>6</v>
      </c>
      <c r="V283" s="1">
        <f>IF($AB283=TRUE,J283*V$2,J283*V$1)</f>
        <v>0</v>
      </c>
      <c r="W283" s="1">
        <f>IF($AB283=TRUE,P283*W$2/100,P283*W$1/100)</f>
        <v>0.61750000000000005</v>
      </c>
      <c r="X283" s="1">
        <f>IF($AB283=TRUE,I283*X$2,I283*X$1)</f>
        <v>0</v>
      </c>
      <c r="Y283" s="1">
        <f>IF($AB283=TRUE,N283*Y$2,N283*Y$1)</f>
        <v>1</v>
      </c>
      <c r="Z283" s="1">
        <f>IF($AB283=TRUE,-H283*Z$2,-H283*Z$1)</f>
        <v>0</v>
      </c>
      <c r="AA283" s="2">
        <f>Q283-R283</f>
        <v>4.2500000000000426E-2</v>
      </c>
      <c r="AB283" s="1" t="b">
        <f>IF(G283=TRUE,IF(LEN(A283)&lt;5,TRUE,FALSE),FALSE)</f>
        <v>0</v>
      </c>
    </row>
    <row r="284" spans="1:28" hidden="1" x14ac:dyDescent="0.3">
      <c r="A284" t="s">
        <v>28</v>
      </c>
      <c r="B284" t="s">
        <v>666</v>
      </c>
      <c r="C284" t="s">
        <v>667</v>
      </c>
      <c r="D284">
        <v>0</v>
      </c>
      <c r="E284">
        <v>28.6</v>
      </c>
      <c r="F284">
        <v>2</v>
      </c>
      <c r="G284" t="b">
        <v>0</v>
      </c>
      <c r="H284">
        <v>0</v>
      </c>
      <c r="I284">
        <v>0</v>
      </c>
      <c r="J284">
        <v>0</v>
      </c>
      <c r="K284">
        <v>19.100000000000001</v>
      </c>
      <c r="L284" t="s">
        <v>646</v>
      </c>
      <c r="N284">
        <v>1</v>
      </c>
      <c r="O284">
        <v>0</v>
      </c>
      <c r="P284">
        <v>24.7</v>
      </c>
      <c r="Q284">
        <f>K284</f>
        <v>19.100000000000001</v>
      </c>
      <c r="R284" s="1">
        <f>SUM(S284:Z284)</f>
        <v>19.057500000000001</v>
      </c>
      <c r="S284" s="1">
        <f>IF($AB284=TRUE,D284*S$2,D284*S$1)</f>
        <v>0</v>
      </c>
      <c r="T284" s="1">
        <f>IF($AB284=TRUE,E284*T$2,E284*T$1)</f>
        <v>11.440000000000001</v>
      </c>
      <c r="U284" s="1">
        <f>IF($AB284=TRUE,F284*U$2,F284*U$1)</f>
        <v>6</v>
      </c>
      <c r="V284" s="1">
        <f>IF($AB284=TRUE,J284*V$2,J284*V$1)</f>
        <v>0</v>
      </c>
      <c r="W284" s="1">
        <f>IF($AB284=TRUE,P284*W$2/100,P284*W$1/100)</f>
        <v>0.61750000000000005</v>
      </c>
      <c r="X284" s="1">
        <f>IF($AB284=TRUE,I284*X$2,I284*X$1)</f>
        <v>0</v>
      </c>
      <c r="Y284" s="1">
        <f>IF($AB284=TRUE,N284*Y$2,N284*Y$1)</f>
        <v>1</v>
      </c>
      <c r="Z284" s="1">
        <f>IF($AB284=TRUE,-H284*Z$2,-H284*Z$1)</f>
        <v>0</v>
      </c>
      <c r="AA284" s="2">
        <f>Q284-R284</f>
        <v>4.2500000000000426E-2</v>
      </c>
      <c r="AB284" s="1" t="b">
        <f>IF(G284=TRUE,IF(LEN(A284)&lt;5,TRUE,FALSE),FALSE)</f>
        <v>0</v>
      </c>
    </row>
    <row r="285" spans="1:28" hidden="1" x14ac:dyDescent="0.3">
      <c r="A285" t="s">
        <v>40</v>
      </c>
      <c r="B285" t="s">
        <v>484</v>
      </c>
      <c r="C285" t="s">
        <v>668</v>
      </c>
      <c r="D285">
        <v>0</v>
      </c>
      <c r="E285">
        <v>31.6</v>
      </c>
      <c r="F285">
        <v>2</v>
      </c>
      <c r="G285" t="b">
        <v>0</v>
      </c>
      <c r="H285">
        <v>0</v>
      </c>
      <c r="I285">
        <v>0</v>
      </c>
      <c r="J285">
        <v>0</v>
      </c>
      <c r="K285">
        <v>18.7</v>
      </c>
      <c r="N285">
        <v>0</v>
      </c>
      <c r="O285">
        <v>0</v>
      </c>
      <c r="P285">
        <v>0</v>
      </c>
      <c r="Q285">
        <f>K285</f>
        <v>18.7</v>
      </c>
      <c r="R285" s="1">
        <f>SUM(S285:Z285)</f>
        <v>18.64</v>
      </c>
      <c r="S285" s="1">
        <f>IF($AB285=TRUE,D285*S$2,D285*S$1)</f>
        <v>0</v>
      </c>
      <c r="T285" s="1">
        <f>IF($AB285=TRUE,E285*T$2,E285*T$1)</f>
        <v>12.64</v>
      </c>
      <c r="U285" s="1">
        <f>IF($AB285=TRUE,F285*U$2,F285*U$1)</f>
        <v>6</v>
      </c>
      <c r="V285" s="1">
        <f>IF($AB285=TRUE,J285*V$2,J285*V$1)</f>
        <v>0</v>
      </c>
      <c r="W285" s="1">
        <f>IF($AB285=TRUE,P285*W$2/100,P285*W$1/100)</f>
        <v>0</v>
      </c>
      <c r="X285" s="1">
        <f>IF($AB285=TRUE,I285*X$2,I285*X$1)</f>
        <v>0</v>
      </c>
      <c r="Y285" s="1">
        <f>IF($AB285=TRUE,N285*Y$2,N285*Y$1)</f>
        <v>0</v>
      </c>
      <c r="Z285" s="1">
        <f>IF($AB285=TRUE,-H285*Z$2,-H285*Z$1)</f>
        <v>0</v>
      </c>
      <c r="AA285" s="2">
        <f>Q285-R285</f>
        <v>5.9999999999998721E-2</v>
      </c>
      <c r="AB285" s="1" t="b">
        <f>IF(G285=TRUE,IF(LEN(A285)&lt;5,TRUE,FALSE),FALSE)</f>
        <v>0</v>
      </c>
    </row>
    <row r="286" spans="1:28" hidden="1" x14ac:dyDescent="0.3">
      <c r="A286" t="s">
        <v>28</v>
      </c>
      <c r="B286" t="s">
        <v>669</v>
      </c>
      <c r="C286" t="s">
        <v>670</v>
      </c>
      <c r="D286">
        <v>0</v>
      </c>
      <c r="E286">
        <v>27.3</v>
      </c>
      <c r="F286">
        <v>2</v>
      </c>
      <c r="G286" t="b">
        <v>0</v>
      </c>
      <c r="H286">
        <v>0</v>
      </c>
      <c r="I286">
        <v>0</v>
      </c>
      <c r="J286">
        <v>0</v>
      </c>
      <c r="K286">
        <v>18.600000000000001</v>
      </c>
      <c r="L286" t="s">
        <v>646</v>
      </c>
      <c r="N286">
        <v>1</v>
      </c>
      <c r="O286">
        <v>0</v>
      </c>
      <c r="P286">
        <v>24.7</v>
      </c>
      <c r="Q286">
        <f>K286</f>
        <v>18.600000000000001</v>
      </c>
      <c r="R286" s="1">
        <f>SUM(S286:Z286)</f>
        <v>18.537500000000001</v>
      </c>
      <c r="S286" s="1">
        <f>IF($AB286=TRUE,D286*S$2,D286*S$1)</f>
        <v>0</v>
      </c>
      <c r="T286" s="1">
        <f>IF($AB286=TRUE,E286*T$2,E286*T$1)</f>
        <v>10.920000000000002</v>
      </c>
      <c r="U286" s="1">
        <f>IF($AB286=TRUE,F286*U$2,F286*U$1)</f>
        <v>6</v>
      </c>
      <c r="V286" s="1">
        <f>IF($AB286=TRUE,J286*V$2,J286*V$1)</f>
        <v>0</v>
      </c>
      <c r="W286" s="1">
        <f>IF($AB286=TRUE,P286*W$2/100,P286*W$1/100)</f>
        <v>0.61750000000000005</v>
      </c>
      <c r="X286" s="1">
        <f>IF($AB286=TRUE,I286*X$2,I286*X$1)</f>
        <v>0</v>
      </c>
      <c r="Y286" s="1">
        <f>IF($AB286=TRUE,N286*Y$2,N286*Y$1)</f>
        <v>1</v>
      </c>
      <c r="Z286" s="1">
        <f>IF($AB286=TRUE,-H286*Z$2,-H286*Z$1)</f>
        <v>0</v>
      </c>
      <c r="AA286" s="2">
        <f>Q286-R286</f>
        <v>6.25E-2</v>
      </c>
      <c r="AB286" s="1" t="b">
        <f>IF(G286=TRUE,IF(LEN(A286)&lt;5,TRUE,FALSE),FALSE)</f>
        <v>0</v>
      </c>
    </row>
    <row r="287" spans="1:28" hidden="1" x14ac:dyDescent="0.3">
      <c r="A287" t="s">
        <v>28</v>
      </c>
      <c r="B287" t="s">
        <v>671</v>
      </c>
      <c r="C287" t="s">
        <v>672</v>
      </c>
      <c r="D287">
        <v>0</v>
      </c>
      <c r="E287">
        <v>27.3</v>
      </c>
      <c r="F287">
        <v>2</v>
      </c>
      <c r="G287" t="b">
        <v>0</v>
      </c>
      <c r="H287">
        <v>0</v>
      </c>
      <c r="I287">
        <v>0</v>
      </c>
      <c r="J287">
        <v>0</v>
      </c>
      <c r="K287">
        <v>18.600000000000001</v>
      </c>
      <c r="L287" t="s">
        <v>646</v>
      </c>
      <c r="N287">
        <v>1</v>
      </c>
      <c r="O287">
        <v>0</v>
      </c>
      <c r="P287">
        <v>24.7</v>
      </c>
      <c r="Q287">
        <f>K287</f>
        <v>18.600000000000001</v>
      </c>
      <c r="R287" s="1">
        <f>SUM(S287:Z287)</f>
        <v>18.537500000000001</v>
      </c>
      <c r="S287" s="1">
        <f>IF($AB287=TRUE,D287*S$2,D287*S$1)</f>
        <v>0</v>
      </c>
      <c r="T287" s="1">
        <f>IF($AB287=TRUE,E287*T$2,E287*T$1)</f>
        <v>10.920000000000002</v>
      </c>
      <c r="U287" s="1">
        <f>IF($AB287=TRUE,F287*U$2,F287*U$1)</f>
        <v>6</v>
      </c>
      <c r="V287" s="1">
        <f>IF($AB287=TRUE,J287*V$2,J287*V$1)</f>
        <v>0</v>
      </c>
      <c r="W287" s="1">
        <f>IF($AB287=TRUE,P287*W$2/100,P287*W$1/100)</f>
        <v>0.61750000000000005</v>
      </c>
      <c r="X287" s="1">
        <f>IF($AB287=TRUE,I287*X$2,I287*X$1)</f>
        <v>0</v>
      </c>
      <c r="Y287" s="1">
        <f>IF($AB287=TRUE,N287*Y$2,N287*Y$1)</f>
        <v>1</v>
      </c>
      <c r="Z287" s="1">
        <f>IF($AB287=TRUE,-H287*Z$2,-H287*Z$1)</f>
        <v>0</v>
      </c>
      <c r="AA287" s="2">
        <f>Q287-R287</f>
        <v>6.25E-2</v>
      </c>
      <c r="AB287" s="1" t="b">
        <f>IF(G287=TRUE,IF(LEN(A287)&lt;5,TRUE,FALSE),FALSE)</f>
        <v>0</v>
      </c>
    </row>
    <row r="288" spans="1:28" hidden="1" x14ac:dyDescent="0.3">
      <c r="A288" t="s">
        <v>18</v>
      </c>
      <c r="B288" t="s">
        <v>677</v>
      </c>
      <c r="C288" t="s">
        <v>678</v>
      </c>
      <c r="D288">
        <v>0</v>
      </c>
      <c r="E288">
        <v>42.9</v>
      </c>
      <c r="F288">
        <v>0</v>
      </c>
      <c r="G288" t="b">
        <v>0</v>
      </c>
      <c r="H288">
        <v>0</v>
      </c>
      <c r="I288">
        <v>0</v>
      </c>
      <c r="J288">
        <v>0</v>
      </c>
      <c r="K288">
        <v>18.5</v>
      </c>
      <c r="L288" t="s">
        <v>83</v>
      </c>
      <c r="N288">
        <v>1</v>
      </c>
      <c r="O288">
        <v>0</v>
      </c>
      <c r="P288">
        <v>12.3</v>
      </c>
      <c r="Q288">
        <f>K288</f>
        <v>18.5</v>
      </c>
      <c r="R288" s="1">
        <f>SUM(S288:Z288)</f>
        <v>18.467500000000001</v>
      </c>
      <c r="S288" s="1">
        <f>IF($AB288=TRUE,D288*S$2,D288*S$1)</f>
        <v>0</v>
      </c>
      <c r="T288" s="1">
        <f>IF($AB288=TRUE,E288*T$2,E288*T$1)</f>
        <v>17.16</v>
      </c>
      <c r="U288" s="1">
        <f>IF($AB288=TRUE,F288*U$2,F288*U$1)</f>
        <v>0</v>
      </c>
      <c r="V288" s="1">
        <f>IF($AB288=TRUE,J288*V$2,J288*V$1)</f>
        <v>0</v>
      </c>
      <c r="W288" s="1">
        <f>IF($AB288=TRUE,P288*W$2/100,P288*W$1/100)</f>
        <v>0.3075</v>
      </c>
      <c r="X288" s="1">
        <f>IF($AB288=TRUE,I288*X$2,I288*X$1)</f>
        <v>0</v>
      </c>
      <c r="Y288" s="1">
        <f>IF($AB288=TRUE,N288*Y$2,N288*Y$1)</f>
        <v>1</v>
      </c>
      <c r="Z288" s="1">
        <f>IF($AB288=TRUE,-H288*Z$2,-H288*Z$1)</f>
        <v>0</v>
      </c>
      <c r="AA288" s="2">
        <f>Q288-R288</f>
        <v>3.2499999999998863E-2</v>
      </c>
      <c r="AB288" s="1" t="b">
        <f>IF(G288=TRUE,IF(LEN(A288)&lt;5,TRUE,FALSE),FALSE)</f>
        <v>0</v>
      </c>
    </row>
    <row r="289" spans="1:28" hidden="1" x14ac:dyDescent="0.3">
      <c r="A289" t="s">
        <v>28</v>
      </c>
      <c r="B289" t="s">
        <v>679</v>
      </c>
      <c r="C289" t="s">
        <v>680</v>
      </c>
      <c r="D289">
        <v>0</v>
      </c>
      <c r="E289">
        <v>40</v>
      </c>
      <c r="F289">
        <v>0</v>
      </c>
      <c r="G289" t="b">
        <v>0</v>
      </c>
      <c r="H289">
        <v>0</v>
      </c>
      <c r="I289">
        <v>0</v>
      </c>
      <c r="J289">
        <v>0</v>
      </c>
      <c r="K289">
        <v>17.600000000000001</v>
      </c>
      <c r="L289" t="s">
        <v>681</v>
      </c>
      <c r="N289">
        <v>1</v>
      </c>
      <c r="O289">
        <v>0</v>
      </c>
      <c r="P289">
        <v>21.7</v>
      </c>
      <c r="Q289">
        <f>K289</f>
        <v>17.600000000000001</v>
      </c>
      <c r="R289" s="1">
        <f>SUM(S289:Z289)</f>
        <v>17.5425</v>
      </c>
      <c r="S289" s="1">
        <f>IF($AB289=TRUE,D289*S$2,D289*S$1)</f>
        <v>0</v>
      </c>
      <c r="T289" s="1">
        <f>IF($AB289=TRUE,E289*T$2,E289*T$1)</f>
        <v>16</v>
      </c>
      <c r="U289" s="1">
        <f>IF($AB289=TRUE,F289*U$2,F289*U$1)</f>
        <v>0</v>
      </c>
      <c r="V289" s="1">
        <f>IF($AB289=TRUE,J289*V$2,J289*V$1)</f>
        <v>0</v>
      </c>
      <c r="W289" s="1">
        <f>IF($AB289=TRUE,P289*W$2/100,P289*W$1/100)</f>
        <v>0.54249999999999998</v>
      </c>
      <c r="X289" s="1">
        <f>IF($AB289=TRUE,I289*X$2,I289*X$1)</f>
        <v>0</v>
      </c>
      <c r="Y289" s="1">
        <f>IF($AB289=TRUE,N289*Y$2,N289*Y$1)</f>
        <v>1</v>
      </c>
      <c r="Z289" s="1">
        <f>IF($AB289=TRUE,-H289*Z$2,-H289*Z$1)</f>
        <v>0</v>
      </c>
      <c r="AA289" s="2">
        <f>Q289-R289</f>
        <v>5.7500000000000995E-2</v>
      </c>
      <c r="AB289" s="1" t="b">
        <f>IF(G289=TRUE,IF(LEN(A289)&lt;5,TRUE,FALSE),FALSE)</f>
        <v>0</v>
      </c>
    </row>
    <row r="290" spans="1:28" hidden="1" x14ac:dyDescent="0.3">
      <c r="A290" t="s">
        <v>28</v>
      </c>
      <c r="B290" t="s">
        <v>682</v>
      </c>
      <c r="C290" t="s">
        <v>683</v>
      </c>
      <c r="D290">
        <v>0</v>
      </c>
      <c r="E290">
        <v>25</v>
      </c>
      <c r="F290">
        <v>2</v>
      </c>
      <c r="G290" t="b">
        <v>0</v>
      </c>
      <c r="H290">
        <v>0</v>
      </c>
      <c r="I290">
        <v>0</v>
      </c>
      <c r="J290">
        <v>0</v>
      </c>
      <c r="K290">
        <v>17.600000000000001</v>
      </c>
      <c r="L290" t="s">
        <v>646</v>
      </c>
      <c r="N290">
        <v>1</v>
      </c>
      <c r="O290">
        <v>0</v>
      </c>
      <c r="P290">
        <v>24.7</v>
      </c>
      <c r="Q290">
        <f>K290</f>
        <v>17.600000000000001</v>
      </c>
      <c r="R290" s="1">
        <f>SUM(S290:Z290)</f>
        <v>17.6175</v>
      </c>
      <c r="S290" s="1">
        <f>IF($AB290=TRUE,D290*S$2,D290*S$1)</f>
        <v>0</v>
      </c>
      <c r="T290" s="1">
        <f>IF($AB290=TRUE,E290*T$2,E290*T$1)</f>
        <v>10</v>
      </c>
      <c r="U290" s="1">
        <f>IF($AB290=TRUE,F290*U$2,F290*U$1)</f>
        <v>6</v>
      </c>
      <c r="V290" s="1">
        <f>IF($AB290=TRUE,J290*V$2,J290*V$1)</f>
        <v>0</v>
      </c>
      <c r="W290" s="1">
        <f>IF($AB290=TRUE,P290*W$2/100,P290*W$1/100)</f>
        <v>0.61750000000000005</v>
      </c>
      <c r="X290" s="1">
        <f>IF($AB290=TRUE,I290*X$2,I290*X$1)</f>
        <v>0</v>
      </c>
      <c r="Y290" s="1">
        <f>IF($AB290=TRUE,N290*Y$2,N290*Y$1)</f>
        <v>1</v>
      </c>
      <c r="Z290" s="1">
        <f>IF($AB290=TRUE,-H290*Z$2,-H290*Z$1)</f>
        <v>0</v>
      </c>
      <c r="AA290" s="2">
        <f>Q290-R290</f>
        <v>-1.7499999999998295E-2</v>
      </c>
      <c r="AB290" s="1" t="b">
        <f>IF(G290=TRUE,IF(LEN(A290)&lt;5,TRUE,FALSE),FALSE)</f>
        <v>0</v>
      </c>
    </row>
    <row r="291" spans="1:28" hidden="1" x14ac:dyDescent="0.3">
      <c r="A291" t="s">
        <v>40</v>
      </c>
      <c r="B291" t="s">
        <v>684</v>
      </c>
      <c r="C291" t="s">
        <v>685</v>
      </c>
      <c r="D291">
        <v>0</v>
      </c>
      <c r="E291">
        <v>23.1</v>
      </c>
      <c r="F291">
        <v>2</v>
      </c>
      <c r="G291" t="b">
        <v>0</v>
      </c>
      <c r="H291">
        <v>0</v>
      </c>
      <c r="I291">
        <v>0</v>
      </c>
      <c r="J291">
        <v>0</v>
      </c>
      <c r="K291">
        <v>17.3</v>
      </c>
      <c r="L291" t="s">
        <v>686</v>
      </c>
      <c r="N291">
        <v>1</v>
      </c>
      <c r="O291">
        <v>0</v>
      </c>
      <c r="P291">
        <v>40</v>
      </c>
      <c r="Q291">
        <f>K291</f>
        <v>17.3</v>
      </c>
      <c r="R291" s="1">
        <f>SUM(S291:Z291)</f>
        <v>17.240000000000002</v>
      </c>
      <c r="S291" s="1">
        <f>IF($AB291=TRUE,D291*S$2,D291*S$1)</f>
        <v>0</v>
      </c>
      <c r="T291" s="1">
        <f>IF($AB291=TRUE,E291*T$2,E291*T$1)</f>
        <v>9.24</v>
      </c>
      <c r="U291" s="1">
        <f>IF($AB291=TRUE,F291*U$2,F291*U$1)</f>
        <v>6</v>
      </c>
      <c r="V291" s="1">
        <f>IF($AB291=TRUE,J291*V$2,J291*V$1)</f>
        <v>0</v>
      </c>
      <c r="W291" s="1">
        <f>IF($AB291=TRUE,P291*W$2/100,P291*W$1/100)</f>
        <v>1</v>
      </c>
      <c r="X291" s="1">
        <f>IF($AB291=TRUE,I291*X$2,I291*X$1)</f>
        <v>0</v>
      </c>
      <c r="Y291" s="1">
        <f>IF($AB291=TRUE,N291*Y$2,N291*Y$1)</f>
        <v>1</v>
      </c>
      <c r="Z291" s="1">
        <f>IF($AB291=TRUE,-H291*Z$2,-H291*Z$1)</f>
        <v>0</v>
      </c>
      <c r="AA291" s="2">
        <f>Q291-R291</f>
        <v>5.9999999999998721E-2</v>
      </c>
      <c r="AB291" s="1" t="b">
        <f>IF(G291=TRUE,IF(LEN(A291)&lt;5,TRUE,FALSE),FALSE)</f>
        <v>0</v>
      </c>
    </row>
    <row r="292" spans="1:28" hidden="1" x14ac:dyDescent="0.3">
      <c r="A292" t="s">
        <v>28</v>
      </c>
      <c r="B292" t="s">
        <v>687</v>
      </c>
      <c r="C292" t="s">
        <v>688</v>
      </c>
      <c r="D292">
        <v>0</v>
      </c>
      <c r="E292">
        <v>24</v>
      </c>
      <c r="F292">
        <v>2</v>
      </c>
      <c r="G292" t="b">
        <v>0</v>
      </c>
      <c r="H292">
        <v>0</v>
      </c>
      <c r="I292">
        <v>0</v>
      </c>
      <c r="J292">
        <v>0</v>
      </c>
      <c r="K292">
        <v>17.2</v>
      </c>
      <c r="L292" t="s">
        <v>646</v>
      </c>
      <c r="N292">
        <v>1</v>
      </c>
      <c r="O292">
        <v>0</v>
      </c>
      <c r="P292">
        <v>24.7</v>
      </c>
      <c r="Q292">
        <f>K292</f>
        <v>17.2</v>
      </c>
      <c r="R292" s="1">
        <f>SUM(S292:Z292)</f>
        <v>17.217500000000001</v>
      </c>
      <c r="S292" s="1">
        <f>IF($AB292=TRUE,D292*S$2,D292*S$1)</f>
        <v>0</v>
      </c>
      <c r="T292" s="1">
        <f>IF($AB292=TRUE,E292*T$2,E292*T$1)</f>
        <v>9.6000000000000014</v>
      </c>
      <c r="U292" s="1">
        <f>IF($AB292=TRUE,F292*U$2,F292*U$1)</f>
        <v>6</v>
      </c>
      <c r="V292" s="1">
        <f>IF($AB292=TRUE,J292*V$2,J292*V$1)</f>
        <v>0</v>
      </c>
      <c r="W292" s="1">
        <f>IF($AB292=TRUE,P292*W$2/100,P292*W$1/100)</f>
        <v>0.61750000000000005</v>
      </c>
      <c r="X292" s="1">
        <f>IF($AB292=TRUE,I292*X$2,I292*X$1)</f>
        <v>0</v>
      </c>
      <c r="Y292" s="1">
        <f>IF($AB292=TRUE,N292*Y$2,N292*Y$1)</f>
        <v>1</v>
      </c>
      <c r="Z292" s="1">
        <f>IF($AB292=TRUE,-H292*Z$2,-H292*Z$1)</f>
        <v>0</v>
      </c>
      <c r="AA292" s="2">
        <f>Q292-R292</f>
        <v>-1.7500000000001847E-2</v>
      </c>
      <c r="AB292" s="1" t="b">
        <f>IF(G292=TRUE,IF(LEN(A292)&lt;5,TRUE,FALSE),FALSE)</f>
        <v>0</v>
      </c>
    </row>
    <row r="293" spans="1:28" hidden="1" x14ac:dyDescent="0.3">
      <c r="A293" t="s">
        <v>28</v>
      </c>
      <c r="B293" t="s">
        <v>689</v>
      </c>
      <c r="C293" t="s">
        <v>690</v>
      </c>
      <c r="D293">
        <v>0</v>
      </c>
      <c r="E293">
        <v>24</v>
      </c>
      <c r="F293">
        <v>2</v>
      </c>
      <c r="G293" t="b">
        <v>0</v>
      </c>
      <c r="H293">
        <v>0</v>
      </c>
      <c r="I293">
        <v>0</v>
      </c>
      <c r="J293">
        <v>0</v>
      </c>
      <c r="K293">
        <v>17.2</v>
      </c>
      <c r="L293" t="s">
        <v>646</v>
      </c>
      <c r="N293">
        <v>1</v>
      </c>
      <c r="O293">
        <v>0</v>
      </c>
      <c r="P293">
        <v>24.7</v>
      </c>
      <c r="Q293">
        <f>K293</f>
        <v>17.2</v>
      </c>
      <c r="R293" s="1">
        <f>SUM(S293:Z293)</f>
        <v>17.217500000000001</v>
      </c>
      <c r="S293" s="1">
        <f>IF($AB293=TRUE,D293*S$2,D293*S$1)</f>
        <v>0</v>
      </c>
      <c r="T293" s="1">
        <f>IF($AB293=TRUE,E293*T$2,E293*T$1)</f>
        <v>9.6000000000000014</v>
      </c>
      <c r="U293" s="1">
        <f>IF($AB293=TRUE,F293*U$2,F293*U$1)</f>
        <v>6</v>
      </c>
      <c r="V293" s="1">
        <f>IF($AB293=TRUE,J293*V$2,J293*V$1)</f>
        <v>0</v>
      </c>
      <c r="W293" s="1">
        <f>IF($AB293=TRUE,P293*W$2/100,P293*W$1/100)</f>
        <v>0.61750000000000005</v>
      </c>
      <c r="X293" s="1">
        <f>IF($AB293=TRUE,I293*X$2,I293*X$1)</f>
        <v>0</v>
      </c>
      <c r="Y293" s="1">
        <f>IF($AB293=TRUE,N293*Y$2,N293*Y$1)</f>
        <v>1</v>
      </c>
      <c r="Z293" s="1">
        <f>IF($AB293=TRUE,-H293*Z$2,-H293*Z$1)</f>
        <v>0</v>
      </c>
      <c r="AA293" s="2">
        <f>Q293-R293</f>
        <v>-1.7500000000001847E-2</v>
      </c>
      <c r="AB293" s="1" t="b">
        <f>IF(G293=TRUE,IF(LEN(A293)&lt;5,TRUE,FALSE),FALSE)</f>
        <v>0</v>
      </c>
    </row>
    <row r="294" spans="1:28" hidden="1" x14ac:dyDescent="0.3">
      <c r="A294" t="s">
        <v>25</v>
      </c>
      <c r="B294" t="s">
        <v>691</v>
      </c>
      <c r="C294" t="s">
        <v>692</v>
      </c>
      <c r="D294">
        <v>3.6</v>
      </c>
      <c r="E294">
        <v>20.5</v>
      </c>
      <c r="F294">
        <v>0</v>
      </c>
      <c r="G294" t="b">
        <v>0</v>
      </c>
      <c r="H294">
        <v>0</v>
      </c>
      <c r="I294">
        <v>0</v>
      </c>
      <c r="J294">
        <v>0</v>
      </c>
      <c r="K294">
        <v>17.2</v>
      </c>
      <c r="L294" t="s">
        <v>615</v>
      </c>
      <c r="N294">
        <v>1</v>
      </c>
      <c r="O294">
        <v>0</v>
      </c>
      <c r="P294">
        <v>31.5</v>
      </c>
      <c r="Q294">
        <f>K294</f>
        <v>17.2</v>
      </c>
      <c r="R294" s="1">
        <f>SUM(S294:Z294)</f>
        <v>17.187500000000004</v>
      </c>
      <c r="S294" s="1">
        <f>IF($AB294=TRUE,D294*S$2,D294*S$1)</f>
        <v>7.2</v>
      </c>
      <c r="T294" s="1">
        <f>IF($AB294=TRUE,E294*T$2,E294*T$1)</f>
        <v>8.2000000000000011</v>
      </c>
      <c r="U294" s="1">
        <f>IF($AB294=TRUE,F294*U$2,F294*U$1)</f>
        <v>0</v>
      </c>
      <c r="V294" s="1">
        <f>IF($AB294=TRUE,J294*V$2,J294*V$1)</f>
        <v>0</v>
      </c>
      <c r="W294" s="1">
        <f>IF($AB294=TRUE,P294*W$2/100,P294*W$1/100)</f>
        <v>0.78749999999999998</v>
      </c>
      <c r="X294" s="1">
        <f>IF($AB294=TRUE,I294*X$2,I294*X$1)</f>
        <v>0</v>
      </c>
      <c r="Y294" s="1">
        <f>IF($AB294=TRUE,N294*Y$2,N294*Y$1)</f>
        <v>1</v>
      </c>
      <c r="Z294" s="1">
        <f>IF($AB294=TRUE,-H294*Z$2,-H294*Z$1)</f>
        <v>0</v>
      </c>
      <c r="AA294" s="2">
        <f>Q294-R294</f>
        <v>1.2499999999995737E-2</v>
      </c>
      <c r="AB294" s="1" t="b">
        <f>IF(G294=TRUE,IF(LEN(A294)&lt;5,TRUE,FALSE),FALSE)</f>
        <v>0</v>
      </c>
    </row>
    <row r="295" spans="1:28" hidden="1" x14ac:dyDescent="0.3">
      <c r="A295" t="s">
        <v>28</v>
      </c>
      <c r="B295" t="s">
        <v>655</v>
      </c>
      <c r="C295" t="s">
        <v>656</v>
      </c>
      <c r="D295">
        <v>0.8</v>
      </c>
      <c r="E295">
        <v>20</v>
      </c>
      <c r="F295">
        <v>2</v>
      </c>
      <c r="G295" t="b">
        <v>0</v>
      </c>
      <c r="H295">
        <v>0</v>
      </c>
      <c r="I295">
        <v>0</v>
      </c>
      <c r="J295">
        <v>0</v>
      </c>
      <c r="K295">
        <v>17.100000000000001</v>
      </c>
      <c r="L295" t="s">
        <v>657</v>
      </c>
      <c r="N295">
        <v>1</v>
      </c>
      <c r="O295">
        <v>0</v>
      </c>
      <c r="P295">
        <v>24.1</v>
      </c>
      <c r="Q295">
        <f>K295</f>
        <v>17.100000000000001</v>
      </c>
      <c r="R295" s="1">
        <f>SUM(S295:Z295)</f>
        <v>17.202500000000001</v>
      </c>
      <c r="S295" s="1">
        <f>IF($AB295=TRUE,D295*S$2,D295*S$1)</f>
        <v>1.6</v>
      </c>
      <c r="T295" s="1">
        <f>IF($AB295=TRUE,E295*T$2,E295*T$1)</f>
        <v>8</v>
      </c>
      <c r="U295" s="1">
        <f>IF($AB295=TRUE,F295*U$2,F295*U$1)</f>
        <v>6</v>
      </c>
      <c r="V295" s="1">
        <f>IF($AB295=TRUE,J295*V$2,J295*V$1)</f>
        <v>0</v>
      </c>
      <c r="W295" s="1">
        <f>IF($AB295=TRUE,P295*W$2/100,P295*W$1/100)</f>
        <v>0.60250000000000004</v>
      </c>
      <c r="X295" s="1">
        <f>IF($AB295=TRUE,I295*X$2,I295*X$1)</f>
        <v>0</v>
      </c>
      <c r="Y295" s="1">
        <f>IF($AB295=TRUE,N295*Y$2,N295*Y$1)</f>
        <v>1</v>
      </c>
      <c r="Z295" s="1">
        <f>IF($AB295=TRUE,-H295*Z$2,-H295*Z$1)</f>
        <v>0</v>
      </c>
      <c r="AA295" s="2">
        <f>Q295-R295</f>
        <v>-0.10249999999999915</v>
      </c>
      <c r="AB295" s="1" t="b">
        <f>IF(G295=TRUE,IF(LEN(A295)&lt;5,TRUE,FALSE),FALSE)</f>
        <v>0</v>
      </c>
    </row>
    <row r="296" spans="1:28" hidden="1" x14ac:dyDescent="0.3">
      <c r="A296" t="s">
        <v>28</v>
      </c>
      <c r="B296" t="s">
        <v>658</v>
      </c>
      <c r="C296" t="s">
        <v>659</v>
      </c>
      <c r="D296">
        <v>0.8</v>
      </c>
      <c r="E296">
        <v>20</v>
      </c>
      <c r="F296">
        <v>2</v>
      </c>
      <c r="G296" t="b">
        <v>0</v>
      </c>
      <c r="H296">
        <v>0</v>
      </c>
      <c r="I296">
        <v>0</v>
      </c>
      <c r="J296">
        <v>0</v>
      </c>
      <c r="K296">
        <v>17.100000000000001</v>
      </c>
      <c r="L296" t="s">
        <v>657</v>
      </c>
      <c r="N296">
        <v>1</v>
      </c>
      <c r="O296">
        <v>0</v>
      </c>
      <c r="P296">
        <v>24.1</v>
      </c>
      <c r="Q296">
        <f>K296</f>
        <v>17.100000000000001</v>
      </c>
      <c r="R296" s="1">
        <f>SUM(S296:Z296)</f>
        <v>17.202500000000001</v>
      </c>
      <c r="S296" s="1">
        <f>IF($AB296=TRUE,D296*S$2,D296*S$1)</f>
        <v>1.6</v>
      </c>
      <c r="T296" s="1">
        <f>IF($AB296=TRUE,E296*T$2,E296*T$1)</f>
        <v>8</v>
      </c>
      <c r="U296" s="1">
        <f>IF($AB296=TRUE,F296*U$2,F296*U$1)</f>
        <v>6</v>
      </c>
      <c r="V296" s="1">
        <f>IF($AB296=TRUE,J296*V$2,J296*V$1)</f>
        <v>0</v>
      </c>
      <c r="W296" s="1">
        <f>IF($AB296=TRUE,P296*W$2/100,P296*W$1/100)</f>
        <v>0.60250000000000004</v>
      </c>
      <c r="X296" s="1">
        <f>IF($AB296=TRUE,I296*X$2,I296*X$1)</f>
        <v>0</v>
      </c>
      <c r="Y296" s="1">
        <f>IF($AB296=TRUE,N296*Y$2,N296*Y$1)</f>
        <v>1</v>
      </c>
      <c r="Z296" s="1">
        <f>IF($AB296=TRUE,-H296*Z$2,-H296*Z$1)</f>
        <v>0</v>
      </c>
      <c r="AA296" s="2">
        <f>Q296-R296</f>
        <v>-0.10249999999999915</v>
      </c>
      <c r="AB296" s="1" t="b">
        <f>IF(G296=TRUE,IF(LEN(A296)&lt;5,TRUE,FALSE),FALSE)</f>
        <v>0</v>
      </c>
    </row>
    <row r="297" spans="1:28" hidden="1" x14ac:dyDescent="0.3">
      <c r="A297" t="s">
        <v>25</v>
      </c>
      <c r="B297" t="s">
        <v>693</v>
      </c>
      <c r="C297" t="s">
        <v>694</v>
      </c>
      <c r="D297">
        <v>3.6</v>
      </c>
      <c r="E297">
        <v>19.600000000000001</v>
      </c>
      <c r="F297">
        <v>0</v>
      </c>
      <c r="G297" t="b">
        <v>0</v>
      </c>
      <c r="H297">
        <v>0</v>
      </c>
      <c r="I297">
        <v>0</v>
      </c>
      <c r="J297">
        <v>0</v>
      </c>
      <c r="K297">
        <v>16.7</v>
      </c>
      <c r="L297" t="s">
        <v>695</v>
      </c>
      <c r="N297">
        <v>1</v>
      </c>
      <c r="O297">
        <v>0</v>
      </c>
      <c r="P297">
        <v>26</v>
      </c>
      <c r="Q297">
        <f>K297</f>
        <v>16.7</v>
      </c>
      <c r="R297" s="1">
        <f>SUM(S297:Z297)</f>
        <v>16.690000000000001</v>
      </c>
      <c r="S297" s="1">
        <f>IF($AB297=TRUE,D297*S$2,D297*S$1)</f>
        <v>7.2</v>
      </c>
      <c r="T297" s="1">
        <f>IF($AB297=TRUE,E297*T$2,E297*T$1)</f>
        <v>7.8400000000000007</v>
      </c>
      <c r="U297" s="1">
        <f>IF($AB297=TRUE,F297*U$2,F297*U$1)</f>
        <v>0</v>
      </c>
      <c r="V297" s="1">
        <f>IF($AB297=TRUE,J297*V$2,J297*V$1)</f>
        <v>0</v>
      </c>
      <c r="W297" s="1">
        <f>IF($AB297=TRUE,P297*W$2/100,P297*W$1/100)</f>
        <v>0.65</v>
      </c>
      <c r="X297" s="1">
        <f>IF($AB297=TRUE,I297*X$2,I297*X$1)</f>
        <v>0</v>
      </c>
      <c r="Y297" s="1">
        <f>IF($AB297=TRUE,N297*Y$2,N297*Y$1)</f>
        <v>1</v>
      </c>
      <c r="Z297" s="1">
        <f>IF($AB297=TRUE,-H297*Z$2,-H297*Z$1)</f>
        <v>0</v>
      </c>
      <c r="AA297" s="2">
        <f>Q297-R297</f>
        <v>9.9999999999980105E-3</v>
      </c>
      <c r="AB297" s="1" t="b">
        <f>IF(G297=TRUE,IF(LEN(A297)&lt;5,TRUE,FALSE),FALSE)</f>
        <v>0</v>
      </c>
    </row>
    <row r="298" spans="1:28" hidden="1" x14ac:dyDescent="0.3">
      <c r="A298" t="s">
        <v>25</v>
      </c>
      <c r="B298" t="s">
        <v>696</v>
      </c>
      <c r="C298" t="s">
        <v>697</v>
      </c>
      <c r="D298">
        <v>1.8</v>
      </c>
      <c r="E298">
        <v>28.1</v>
      </c>
      <c r="F298">
        <v>0</v>
      </c>
      <c r="G298" t="b">
        <v>0</v>
      </c>
      <c r="H298">
        <v>0</v>
      </c>
      <c r="I298">
        <v>0</v>
      </c>
      <c r="J298">
        <v>0</v>
      </c>
      <c r="K298">
        <v>16.399999999999999</v>
      </c>
      <c r="L298" t="s">
        <v>698</v>
      </c>
      <c r="N298">
        <v>1</v>
      </c>
      <c r="O298">
        <v>0</v>
      </c>
      <c r="P298">
        <v>19.399999999999999</v>
      </c>
      <c r="Q298">
        <f>K298</f>
        <v>16.399999999999999</v>
      </c>
      <c r="R298" s="1">
        <f>SUM(S298:Z298)</f>
        <v>16.325000000000003</v>
      </c>
      <c r="S298" s="1">
        <f>IF($AB298=TRUE,D298*S$2,D298*S$1)</f>
        <v>3.6</v>
      </c>
      <c r="T298" s="1">
        <f>IF($AB298=TRUE,E298*T$2,E298*T$1)</f>
        <v>11.240000000000002</v>
      </c>
      <c r="U298" s="1">
        <f>IF($AB298=TRUE,F298*U$2,F298*U$1)</f>
        <v>0</v>
      </c>
      <c r="V298" s="1">
        <f>IF($AB298=TRUE,J298*V$2,J298*V$1)</f>
        <v>0</v>
      </c>
      <c r="W298" s="1">
        <f>IF($AB298=TRUE,P298*W$2/100,P298*W$1/100)</f>
        <v>0.48499999999999999</v>
      </c>
      <c r="X298" s="1">
        <f>IF($AB298=TRUE,I298*X$2,I298*X$1)</f>
        <v>0</v>
      </c>
      <c r="Y298" s="1">
        <f>IF($AB298=TRUE,N298*Y$2,N298*Y$1)</f>
        <v>1</v>
      </c>
      <c r="Z298" s="1">
        <f>IF($AB298=TRUE,-H298*Z$2,-H298*Z$1)</f>
        <v>0</v>
      </c>
      <c r="AA298" s="2">
        <f>Q298-R298</f>
        <v>7.4999999999995737E-2</v>
      </c>
      <c r="AB298" s="1" t="b">
        <f>IF(G298=TRUE,IF(LEN(A298)&lt;5,TRUE,FALSE),FALSE)</f>
        <v>0</v>
      </c>
    </row>
    <row r="299" spans="1:28" hidden="1" x14ac:dyDescent="0.3">
      <c r="A299" t="s">
        <v>25</v>
      </c>
      <c r="B299" t="s">
        <v>699</v>
      </c>
      <c r="C299" t="s">
        <v>700</v>
      </c>
      <c r="D299">
        <v>3.6</v>
      </c>
      <c r="E299">
        <v>18.600000000000001</v>
      </c>
      <c r="F299">
        <v>0</v>
      </c>
      <c r="G299" t="b">
        <v>0</v>
      </c>
      <c r="H299">
        <v>0</v>
      </c>
      <c r="I299">
        <v>0</v>
      </c>
      <c r="J299">
        <v>0</v>
      </c>
      <c r="K299">
        <v>16.100000000000001</v>
      </c>
      <c r="L299" t="s">
        <v>701</v>
      </c>
      <c r="N299">
        <v>1</v>
      </c>
      <c r="O299">
        <v>0</v>
      </c>
      <c r="P299">
        <v>17</v>
      </c>
      <c r="Q299">
        <f>K299</f>
        <v>16.100000000000001</v>
      </c>
      <c r="R299" s="1">
        <f>SUM(S299:Z299)</f>
        <v>16.065000000000001</v>
      </c>
      <c r="S299" s="1">
        <f>IF($AB299=TRUE,D299*S$2,D299*S$1)</f>
        <v>7.2</v>
      </c>
      <c r="T299" s="1">
        <f>IF($AB299=TRUE,E299*T$2,E299*T$1)</f>
        <v>7.4400000000000013</v>
      </c>
      <c r="U299" s="1">
        <f>IF($AB299=TRUE,F299*U$2,F299*U$1)</f>
        <v>0</v>
      </c>
      <c r="V299" s="1">
        <f>IF($AB299=TRUE,J299*V$2,J299*V$1)</f>
        <v>0</v>
      </c>
      <c r="W299" s="1">
        <f>IF($AB299=TRUE,P299*W$2/100,P299*W$1/100)</f>
        <v>0.42499999999999999</v>
      </c>
      <c r="X299" s="1">
        <f>IF($AB299=TRUE,I299*X$2,I299*X$1)</f>
        <v>0</v>
      </c>
      <c r="Y299" s="1">
        <f>IF($AB299=TRUE,N299*Y$2,N299*Y$1)</f>
        <v>1</v>
      </c>
      <c r="Z299" s="1">
        <f>IF($AB299=TRUE,-H299*Z$2,-H299*Z$1)</f>
        <v>0</v>
      </c>
      <c r="AA299" s="2">
        <f>Q299-R299</f>
        <v>3.5000000000000142E-2</v>
      </c>
      <c r="AB299" s="1" t="b">
        <f>IF(G299=TRUE,IF(LEN(A299)&lt;5,TRUE,FALSE),FALSE)</f>
        <v>0</v>
      </c>
    </row>
    <row r="300" spans="1:28" hidden="1" x14ac:dyDescent="0.3">
      <c r="A300" t="s">
        <v>25</v>
      </c>
      <c r="B300" t="s">
        <v>702</v>
      </c>
      <c r="C300" t="s">
        <v>703</v>
      </c>
      <c r="D300">
        <v>1.8</v>
      </c>
      <c r="E300">
        <v>23.7</v>
      </c>
      <c r="F300">
        <v>0</v>
      </c>
      <c r="G300" t="b">
        <v>0</v>
      </c>
      <c r="H300">
        <v>0</v>
      </c>
      <c r="I300">
        <v>0</v>
      </c>
      <c r="J300">
        <v>0</v>
      </c>
      <c r="K300">
        <v>16</v>
      </c>
      <c r="L300" t="s">
        <v>704</v>
      </c>
      <c r="N300">
        <v>2</v>
      </c>
      <c r="O300">
        <v>0</v>
      </c>
      <c r="P300">
        <v>37.1</v>
      </c>
      <c r="Q300">
        <f>K300</f>
        <v>16</v>
      </c>
      <c r="R300" s="1">
        <f>SUM(S300:Z300)</f>
        <v>16.0075</v>
      </c>
      <c r="S300" s="1">
        <f>IF($AB300=TRUE,D300*S$2,D300*S$1)</f>
        <v>3.6</v>
      </c>
      <c r="T300" s="1">
        <f>IF($AB300=TRUE,E300*T$2,E300*T$1)</f>
        <v>9.48</v>
      </c>
      <c r="U300" s="1">
        <f>IF($AB300=TRUE,F300*U$2,F300*U$1)</f>
        <v>0</v>
      </c>
      <c r="V300" s="1">
        <f>IF($AB300=TRUE,J300*V$2,J300*V$1)</f>
        <v>0</v>
      </c>
      <c r="W300" s="1">
        <f>IF($AB300=TRUE,P300*W$2/100,P300*W$1/100)</f>
        <v>0.92749999999999999</v>
      </c>
      <c r="X300" s="1">
        <f>IF($AB300=TRUE,I300*X$2,I300*X$1)</f>
        <v>0</v>
      </c>
      <c r="Y300" s="1">
        <f>IF($AB300=TRUE,N300*Y$2,N300*Y$1)</f>
        <v>2</v>
      </c>
      <c r="Z300" s="1">
        <f>IF($AB300=TRUE,-H300*Z$2,-H300*Z$1)</f>
        <v>0</v>
      </c>
      <c r="AA300" s="2">
        <f>Q300-R300</f>
        <v>-7.5000000000002842E-3</v>
      </c>
      <c r="AB300" s="1" t="b">
        <f>IF(G300=TRUE,IF(LEN(A300)&lt;5,TRUE,FALSE),FALSE)</f>
        <v>0</v>
      </c>
    </row>
    <row r="301" spans="1:28" hidden="1" x14ac:dyDescent="0.3">
      <c r="A301" t="s">
        <v>28</v>
      </c>
      <c r="B301" t="s">
        <v>673</v>
      </c>
      <c r="C301" t="s">
        <v>674</v>
      </c>
      <c r="D301">
        <v>0</v>
      </c>
      <c r="E301">
        <v>20</v>
      </c>
      <c r="F301">
        <v>2</v>
      </c>
      <c r="G301" t="b">
        <v>0</v>
      </c>
      <c r="H301">
        <v>0</v>
      </c>
      <c r="I301">
        <v>0</v>
      </c>
      <c r="J301">
        <v>0</v>
      </c>
      <c r="K301">
        <v>15.6</v>
      </c>
      <c r="L301" t="s">
        <v>132</v>
      </c>
      <c r="N301">
        <v>1</v>
      </c>
      <c r="O301">
        <v>0</v>
      </c>
      <c r="P301">
        <v>25.5</v>
      </c>
      <c r="Q301">
        <f>K301</f>
        <v>15.6</v>
      </c>
      <c r="R301" s="1">
        <f>SUM(S301:Z301)</f>
        <v>15.637499999999999</v>
      </c>
      <c r="S301" s="1">
        <f>IF($AB301=TRUE,D301*S$2,D301*S$1)</f>
        <v>0</v>
      </c>
      <c r="T301" s="1">
        <f>IF($AB301=TRUE,E301*T$2,E301*T$1)</f>
        <v>8</v>
      </c>
      <c r="U301" s="1">
        <f>IF($AB301=TRUE,F301*U$2,F301*U$1)</f>
        <v>6</v>
      </c>
      <c r="V301" s="1">
        <f>IF($AB301=TRUE,J301*V$2,J301*V$1)</f>
        <v>0</v>
      </c>
      <c r="W301" s="1">
        <f>IF($AB301=TRUE,P301*W$2/100,P301*W$1/100)</f>
        <v>0.63749999999999996</v>
      </c>
      <c r="X301" s="1">
        <f>IF($AB301=TRUE,I301*X$2,I301*X$1)</f>
        <v>0</v>
      </c>
      <c r="Y301" s="1">
        <f>IF($AB301=TRUE,N301*Y$2,N301*Y$1)</f>
        <v>1</v>
      </c>
      <c r="Z301" s="1">
        <f>IF($AB301=TRUE,-H301*Z$2,-H301*Z$1)</f>
        <v>0</v>
      </c>
      <c r="AA301" s="2">
        <f>Q301-R301</f>
        <v>-3.7499999999999645E-2</v>
      </c>
      <c r="AB301" s="1" t="b">
        <f>IF(G301=TRUE,IF(LEN(A301)&lt;5,TRUE,FALSE),FALSE)</f>
        <v>0</v>
      </c>
    </row>
    <row r="302" spans="1:28" hidden="1" x14ac:dyDescent="0.3">
      <c r="A302" t="s">
        <v>28</v>
      </c>
      <c r="B302" t="s">
        <v>675</v>
      </c>
      <c r="C302" t="s">
        <v>676</v>
      </c>
      <c r="D302">
        <v>0</v>
      </c>
      <c r="E302">
        <v>20</v>
      </c>
      <c r="F302">
        <v>2</v>
      </c>
      <c r="G302" t="b">
        <v>0</v>
      </c>
      <c r="H302">
        <v>0</v>
      </c>
      <c r="I302">
        <v>0</v>
      </c>
      <c r="J302">
        <v>0</v>
      </c>
      <c r="K302">
        <v>15.6</v>
      </c>
      <c r="L302" t="s">
        <v>132</v>
      </c>
      <c r="N302">
        <v>1</v>
      </c>
      <c r="O302">
        <v>0</v>
      </c>
      <c r="P302">
        <v>25.5</v>
      </c>
      <c r="Q302">
        <f>K302</f>
        <v>15.6</v>
      </c>
      <c r="R302" s="1">
        <f>SUM(S302:Z302)</f>
        <v>15.637499999999999</v>
      </c>
      <c r="S302" s="1">
        <f>IF($AB302=TRUE,D302*S$2,D302*S$1)</f>
        <v>0</v>
      </c>
      <c r="T302" s="1">
        <f>IF($AB302=TRUE,E302*T$2,E302*T$1)</f>
        <v>8</v>
      </c>
      <c r="U302" s="1">
        <f>IF($AB302=TRUE,F302*U$2,F302*U$1)</f>
        <v>6</v>
      </c>
      <c r="V302" s="1">
        <f>IF($AB302=TRUE,J302*V$2,J302*V$1)</f>
        <v>0</v>
      </c>
      <c r="W302" s="1">
        <f>IF($AB302=TRUE,P302*W$2/100,P302*W$1/100)</f>
        <v>0.63749999999999996</v>
      </c>
      <c r="X302" s="1">
        <f>IF($AB302=TRUE,I302*X$2,I302*X$1)</f>
        <v>0</v>
      </c>
      <c r="Y302" s="1">
        <f>IF($AB302=TRUE,N302*Y$2,N302*Y$1)</f>
        <v>1</v>
      </c>
      <c r="Z302" s="1">
        <f>IF($AB302=TRUE,-H302*Z$2,-H302*Z$1)</f>
        <v>0</v>
      </c>
      <c r="AA302" s="2">
        <f>Q302-R302</f>
        <v>-3.7499999999999645E-2</v>
      </c>
      <c r="AB302" s="1" t="b">
        <f>IF(G302=TRUE,IF(LEN(A302)&lt;5,TRUE,FALSE),FALSE)</f>
        <v>0</v>
      </c>
    </row>
    <row r="303" spans="1:28" hidden="1" x14ac:dyDescent="0.3">
      <c r="A303" t="s">
        <v>25</v>
      </c>
      <c r="B303" t="s">
        <v>705</v>
      </c>
      <c r="C303" t="s">
        <v>706</v>
      </c>
      <c r="D303">
        <v>1.8</v>
      </c>
      <c r="E303">
        <v>25.4</v>
      </c>
      <c r="F303">
        <v>0</v>
      </c>
      <c r="G303" t="b">
        <v>0</v>
      </c>
      <c r="H303">
        <v>0</v>
      </c>
      <c r="I303">
        <v>0</v>
      </c>
      <c r="J303">
        <v>0</v>
      </c>
      <c r="K303">
        <v>15.5</v>
      </c>
      <c r="L303" t="s">
        <v>707</v>
      </c>
      <c r="N303">
        <v>1</v>
      </c>
      <c r="O303">
        <v>0</v>
      </c>
      <c r="P303">
        <v>27.4</v>
      </c>
      <c r="Q303">
        <f>K303</f>
        <v>15.5</v>
      </c>
      <c r="R303" s="1">
        <f>SUM(S303:Z303)</f>
        <v>15.445</v>
      </c>
      <c r="S303" s="1">
        <f>IF($AB303=TRUE,D303*S$2,D303*S$1)</f>
        <v>3.6</v>
      </c>
      <c r="T303" s="1">
        <f>IF($AB303=TRUE,E303*T$2,E303*T$1)</f>
        <v>10.16</v>
      </c>
      <c r="U303" s="1">
        <f>IF($AB303=TRUE,F303*U$2,F303*U$1)</f>
        <v>0</v>
      </c>
      <c r="V303" s="1">
        <f>IF($AB303=TRUE,J303*V$2,J303*V$1)</f>
        <v>0</v>
      </c>
      <c r="W303" s="1">
        <f>IF($AB303=TRUE,P303*W$2/100,P303*W$1/100)</f>
        <v>0.68500000000000005</v>
      </c>
      <c r="X303" s="1">
        <f>IF($AB303=TRUE,I303*X$2,I303*X$1)</f>
        <v>0</v>
      </c>
      <c r="Y303" s="1">
        <f>IF($AB303=TRUE,N303*Y$2,N303*Y$1)</f>
        <v>1</v>
      </c>
      <c r="Z303" s="1">
        <f>IF($AB303=TRUE,-H303*Z$2,-H303*Z$1)</f>
        <v>0</v>
      </c>
      <c r="AA303" s="2">
        <f>Q303-R303</f>
        <v>5.4999999999999716E-2</v>
      </c>
      <c r="AB303" s="1" t="b">
        <f>IF(G303=TRUE,IF(LEN(A303)&lt;5,TRUE,FALSE),FALSE)</f>
        <v>0</v>
      </c>
    </row>
    <row r="304" spans="1:28" hidden="1" x14ac:dyDescent="0.3">
      <c r="A304" t="s">
        <v>25</v>
      </c>
      <c r="B304" t="s">
        <v>708</v>
      </c>
      <c r="C304" t="s">
        <v>709</v>
      </c>
      <c r="D304">
        <v>1.8</v>
      </c>
      <c r="E304">
        <v>24.7</v>
      </c>
      <c r="F304">
        <v>0</v>
      </c>
      <c r="G304" t="b">
        <v>0</v>
      </c>
      <c r="H304">
        <v>0</v>
      </c>
      <c r="I304">
        <v>0</v>
      </c>
      <c r="J304">
        <v>0</v>
      </c>
      <c r="K304">
        <v>15.3</v>
      </c>
      <c r="L304" t="s">
        <v>615</v>
      </c>
      <c r="N304">
        <v>1</v>
      </c>
      <c r="O304">
        <v>0</v>
      </c>
      <c r="P304">
        <v>31.5</v>
      </c>
      <c r="Q304">
        <f>K304</f>
        <v>15.3</v>
      </c>
      <c r="R304" s="1">
        <f>SUM(S304:Z304)</f>
        <v>15.2675</v>
      </c>
      <c r="S304" s="1">
        <f>IF($AB304=TRUE,D304*S$2,D304*S$1)</f>
        <v>3.6</v>
      </c>
      <c r="T304" s="1">
        <f>IF($AB304=TRUE,E304*T$2,E304*T$1)</f>
        <v>9.8800000000000008</v>
      </c>
      <c r="U304" s="1">
        <f>IF($AB304=TRUE,F304*U$2,F304*U$1)</f>
        <v>0</v>
      </c>
      <c r="V304" s="1">
        <f>IF($AB304=TRUE,J304*V$2,J304*V$1)</f>
        <v>0</v>
      </c>
      <c r="W304" s="1">
        <f>IF($AB304=TRUE,P304*W$2/100,P304*W$1/100)</f>
        <v>0.78749999999999998</v>
      </c>
      <c r="X304" s="1">
        <f>IF($AB304=TRUE,I304*X$2,I304*X$1)</f>
        <v>0</v>
      </c>
      <c r="Y304" s="1">
        <f>IF($AB304=TRUE,N304*Y$2,N304*Y$1)</f>
        <v>1</v>
      </c>
      <c r="Z304" s="1">
        <f>IF($AB304=TRUE,-H304*Z$2,-H304*Z$1)</f>
        <v>0</v>
      </c>
      <c r="AA304" s="2">
        <f>Q304-R304</f>
        <v>3.2500000000000639E-2</v>
      </c>
      <c r="AB304" s="1" t="b">
        <f>IF(G304=TRUE,IF(LEN(A304)&lt;5,TRUE,FALSE),FALSE)</f>
        <v>0</v>
      </c>
    </row>
    <row r="305" spans="1:28" hidden="1" x14ac:dyDescent="0.3">
      <c r="A305" t="s">
        <v>25</v>
      </c>
      <c r="B305" t="s">
        <v>710</v>
      </c>
      <c r="C305" t="s">
        <v>711</v>
      </c>
      <c r="D305">
        <v>3.6</v>
      </c>
      <c r="E305">
        <v>14.6</v>
      </c>
      <c r="F305">
        <v>0</v>
      </c>
      <c r="G305" t="b">
        <v>0</v>
      </c>
      <c r="H305">
        <v>0</v>
      </c>
      <c r="I305">
        <v>0</v>
      </c>
      <c r="J305">
        <v>0</v>
      </c>
      <c r="K305">
        <v>14.9</v>
      </c>
      <c r="L305" t="s">
        <v>615</v>
      </c>
      <c r="N305">
        <v>1</v>
      </c>
      <c r="O305">
        <v>0</v>
      </c>
      <c r="P305">
        <v>31.5</v>
      </c>
      <c r="Q305">
        <f>K305</f>
        <v>14.9</v>
      </c>
      <c r="R305" s="1">
        <f>SUM(S305:Z305)</f>
        <v>14.827499999999999</v>
      </c>
      <c r="S305" s="1">
        <f>IF($AB305=TRUE,D305*S$2,D305*S$1)</f>
        <v>7.2</v>
      </c>
      <c r="T305" s="1">
        <f>IF($AB305=TRUE,E305*T$2,E305*T$1)</f>
        <v>5.84</v>
      </c>
      <c r="U305" s="1">
        <f>IF($AB305=TRUE,F305*U$2,F305*U$1)</f>
        <v>0</v>
      </c>
      <c r="V305" s="1">
        <f>IF($AB305=TRUE,J305*V$2,J305*V$1)</f>
        <v>0</v>
      </c>
      <c r="W305" s="1">
        <f>IF($AB305=TRUE,P305*W$2/100,P305*W$1/100)</f>
        <v>0.78749999999999998</v>
      </c>
      <c r="X305" s="1">
        <f>IF($AB305=TRUE,I305*X$2,I305*X$1)</f>
        <v>0</v>
      </c>
      <c r="Y305" s="1">
        <f>IF($AB305=TRUE,N305*Y$2,N305*Y$1)</f>
        <v>1</v>
      </c>
      <c r="Z305" s="1">
        <f>IF($AB305=TRUE,-H305*Z$2,-H305*Z$1)</f>
        <v>0</v>
      </c>
      <c r="AA305" s="2">
        <f>Q305-R305</f>
        <v>7.2500000000001563E-2</v>
      </c>
      <c r="AB305" s="1" t="b">
        <f>IF(G305=TRUE,IF(LEN(A305)&lt;5,TRUE,FALSE),FALSE)</f>
        <v>0</v>
      </c>
    </row>
    <row r="306" spans="1:28" hidden="1" x14ac:dyDescent="0.3">
      <c r="A306" t="s">
        <v>25</v>
      </c>
      <c r="B306" t="s">
        <v>712</v>
      </c>
      <c r="C306" t="s">
        <v>713</v>
      </c>
      <c r="D306">
        <v>1.8</v>
      </c>
      <c r="E306">
        <v>20.5</v>
      </c>
      <c r="F306">
        <v>0</v>
      </c>
      <c r="G306" t="b">
        <v>0</v>
      </c>
      <c r="H306">
        <v>0</v>
      </c>
      <c r="I306">
        <v>0</v>
      </c>
      <c r="J306">
        <v>0</v>
      </c>
      <c r="K306">
        <v>13.5</v>
      </c>
      <c r="L306" t="s">
        <v>714</v>
      </c>
      <c r="N306">
        <v>1</v>
      </c>
      <c r="O306">
        <v>0</v>
      </c>
      <c r="P306">
        <v>26.7</v>
      </c>
      <c r="Q306">
        <f>K306</f>
        <v>13.5</v>
      </c>
      <c r="R306" s="1">
        <f>SUM(S306:Z306)</f>
        <v>13.467500000000001</v>
      </c>
      <c r="S306" s="1">
        <f>IF($AB306=TRUE,D306*S$2,D306*S$1)</f>
        <v>3.6</v>
      </c>
      <c r="T306" s="1">
        <f>IF($AB306=TRUE,E306*T$2,E306*T$1)</f>
        <v>8.2000000000000011</v>
      </c>
      <c r="U306" s="1">
        <f>IF($AB306=TRUE,F306*U$2,F306*U$1)</f>
        <v>0</v>
      </c>
      <c r="V306" s="1">
        <f>IF($AB306=TRUE,J306*V$2,J306*V$1)</f>
        <v>0</v>
      </c>
      <c r="W306" s="1">
        <f>IF($AB306=TRUE,P306*W$2/100,P306*W$1/100)</f>
        <v>0.66749999999999998</v>
      </c>
      <c r="X306" s="1">
        <f>IF($AB306=TRUE,I306*X$2,I306*X$1)</f>
        <v>0</v>
      </c>
      <c r="Y306" s="1">
        <f>IF($AB306=TRUE,N306*Y$2,N306*Y$1)</f>
        <v>1</v>
      </c>
      <c r="Z306" s="1">
        <f>IF($AB306=TRUE,-H306*Z$2,-H306*Z$1)</f>
        <v>0</v>
      </c>
      <c r="AA306" s="2">
        <f>Q306-R306</f>
        <v>3.2499999999998863E-2</v>
      </c>
      <c r="AB306" s="1" t="b">
        <f>IF(G306=TRUE,IF(LEN(A306)&lt;5,TRUE,FALSE),FALSE)</f>
        <v>0</v>
      </c>
    </row>
    <row r="307" spans="1:28" hidden="1" x14ac:dyDescent="0.3">
      <c r="A307" t="s">
        <v>25</v>
      </c>
      <c r="B307" t="s">
        <v>715</v>
      </c>
      <c r="C307" t="s">
        <v>716</v>
      </c>
      <c r="D307">
        <v>1.8</v>
      </c>
      <c r="E307">
        <v>20</v>
      </c>
      <c r="F307">
        <v>0</v>
      </c>
      <c r="G307" t="b">
        <v>0</v>
      </c>
      <c r="H307">
        <v>0</v>
      </c>
      <c r="I307">
        <v>0</v>
      </c>
      <c r="J307">
        <v>0</v>
      </c>
      <c r="K307">
        <v>13.4</v>
      </c>
      <c r="L307" t="s">
        <v>615</v>
      </c>
      <c r="N307">
        <v>1</v>
      </c>
      <c r="O307">
        <v>0</v>
      </c>
      <c r="P307">
        <v>31.5</v>
      </c>
      <c r="Q307">
        <f>K307</f>
        <v>13.4</v>
      </c>
      <c r="R307" s="1">
        <f>SUM(S307:Z307)</f>
        <v>13.387499999999999</v>
      </c>
      <c r="S307" s="1">
        <f>IF($AB307=TRUE,D307*S$2,D307*S$1)</f>
        <v>3.6</v>
      </c>
      <c r="T307" s="1">
        <f>IF($AB307=TRUE,E307*T$2,E307*T$1)</f>
        <v>8</v>
      </c>
      <c r="U307" s="1">
        <f>IF($AB307=TRUE,F307*U$2,F307*U$1)</f>
        <v>0</v>
      </c>
      <c r="V307" s="1">
        <f>IF($AB307=TRUE,J307*V$2,J307*V$1)</f>
        <v>0</v>
      </c>
      <c r="W307" s="1">
        <f>IF($AB307=TRUE,P307*W$2/100,P307*W$1/100)</f>
        <v>0.78749999999999998</v>
      </c>
      <c r="X307" s="1">
        <f>IF($AB307=TRUE,I307*X$2,I307*X$1)</f>
        <v>0</v>
      </c>
      <c r="Y307" s="1">
        <f>IF($AB307=TRUE,N307*Y$2,N307*Y$1)</f>
        <v>1</v>
      </c>
      <c r="Z307" s="1">
        <f>IF($AB307=TRUE,-H307*Z$2,-H307*Z$1)</f>
        <v>0</v>
      </c>
      <c r="AA307" s="2">
        <f>Q307-R307</f>
        <v>1.2500000000001066E-2</v>
      </c>
      <c r="AB307" s="1" t="b">
        <f>IF(G307=TRUE,IF(LEN(A307)&lt;5,TRUE,FALSE),FALSE)</f>
        <v>0</v>
      </c>
    </row>
    <row r="308" spans="1:28" hidden="1" x14ac:dyDescent="0.3">
      <c r="A308" t="s">
        <v>25</v>
      </c>
      <c r="B308" t="s">
        <v>717</v>
      </c>
      <c r="C308" t="s">
        <v>718</v>
      </c>
      <c r="D308">
        <v>1.8</v>
      </c>
      <c r="E308">
        <v>18.899999999999999</v>
      </c>
      <c r="F308">
        <v>0</v>
      </c>
      <c r="G308" t="b">
        <v>0</v>
      </c>
      <c r="H308">
        <v>0</v>
      </c>
      <c r="I308">
        <v>0</v>
      </c>
      <c r="J308">
        <v>0</v>
      </c>
      <c r="K308">
        <v>13</v>
      </c>
      <c r="L308" t="s">
        <v>615</v>
      </c>
      <c r="N308">
        <v>1</v>
      </c>
      <c r="O308">
        <v>0</v>
      </c>
      <c r="P308">
        <v>31.5</v>
      </c>
      <c r="Q308">
        <f>K308</f>
        <v>13</v>
      </c>
      <c r="R308" s="1">
        <f>SUM(S308:Z308)</f>
        <v>12.9475</v>
      </c>
      <c r="S308" s="1">
        <f>IF($AB308=TRUE,D308*S$2,D308*S$1)</f>
        <v>3.6</v>
      </c>
      <c r="T308" s="1">
        <f>IF($AB308=TRUE,E308*T$2,E308*T$1)</f>
        <v>7.56</v>
      </c>
      <c r="U308" s="1">
        <f>IF($AB308=TRUE,F308*U$2,F308*U$1)</f>
        <v>0</v>
      </c>
      <c r="V308" s="1">
        <f>IF($AB308=TRUE,J308*V$2,J308*V$1)</f>
        <v>0</v>
      </c>
      <c r="W308" s="1">
        <f>IF($AB308=TRUE,P308*W$2/100,P308*W$1/100)</f>
        <v>0.78749999999999998</v>
      </c>
      <c r="X308" s="1">
        <f>IF($AB308=TRUE,I308*X$2,I308*X$1)</f>
        <v>0</v>
      </c>
      <c r="Y308" s="1">
        <f>IF($AB308=TRUE,N308*Y$2,N308*Y$1)</f>
        <v>1</v>
      </c>
      <c r="Z308" s="1">
        <f>IF($AB308=TRUE,-H308*Z$2,-H308*Z$1)</f>
        <v>0</v>
      </c>
      <c r="AA308" s="2">
        <f>Q308-R308</f>
        <v>5.2500000000000213E-2</v>
      </c>
      <c r="AB308" s="1" t="b">
        <f>IF(G308=TRUE,IF(LEN(A308)&lt;5,TRUE,FALSE),FALSE)</f>
        <v>0</v>
      </c>
    </row>
    <row r="309" spans="1:28" hidden="1" x14ac:dyDescent="0.3">
      <c r="A309" t="s">
        <v>25</v>
      </c>
      <c r="B309" t="s">
        <v>719</v>
      </c>
      <c r="C309" t="s">
        <v>720</v>
      </c>
      <c r="D309">
        <v>1.8</v>
      </c>
      <c r="E309">
        <v>15.3</v>
      </c>
      <c r="F309">
        <v>0</v>
      </c>
      <c r="G309" t="b">
        <v>0</v>
      </c>
      <c r="H309">
        <v>0</v>
      </c>
      <c r="I309">
        <v>0</v>
      </c>
      <c r="J309">
        <v>0</v>
      </c>
      <c r="K309">
        <v>11.5</v>
      </c>
      <c r="L309" t="s">
        <v>615</v>
      </c>
      <c r="N309">
        <v>1</v>
      </c>
      <c r="O309">
        <v>0</v>
      </c>
      <c r="P309">
        <v>31.5</v>
      </c>
      <c r="Q309">
        <f>K309</f>
        <v>11.5</v>
      </c>
      <c r="R309" s="1">
        <f>SUM(S309:Z309)</f>
        <v>11.5075</v>
      </c>
      <c r="S309" s="1">
        <f>IF($AB309=TRUE,D309*S$2,D309*S$1)</f>
        <v>3.6</v>
      </c>
      <c r="T309" s="1">
        <f>IF($AB309=TRUE,E309*T$2,E309*T$1)</f>
        <v>6.120000000000001</v>
      </c>
      <c r="U309" s="1">
        <f>IF($AB309=TRUE,F309*U$2,F309*U$1)</f>
        <v>0</v>
      </c>
      <c r="V309" s="1">
        <f>IF($AB309=TRUE,J309*V$2,J309*V$1)</f>
        <v>0</v>
      </c>
      <c r="W309" s="1">
        <f>IF($AB309=TRUE,P309*W$2/100,P309*W$1/100)</f>
        <v>0.78749999999999998</v>
      </c>
      <c r="X309" s="1">
        <f>IF($AB309=TRUE,I309*X$2,I309*X$1)</f>
        <v>0</v>
      </c>
      <c r="Y309" s="1">
        <f>IF($AB309=TRUE,N309*Y$2,N309*Y$1)</f>
        <v>1</v>
      </c>
      <c r="Z309" s="1">
        <f>IF($AB309=TRUE,-H309*Z$2,-H309*Z$1)</f>
        <v>0</v>
      </c>
      <c r="AA309" s="2">
        <f>Q309-R309</f>
        <v>-7.5000000000002842E-3</v>
      </c>
      <c r="AB309" s="1" t="b">
        <f>IF(G309=TRUE,IF(LEN(A309)&lt;5,TRUE,FALSE),FALSE)</f>
        <v>0</v>
      </c>
    </row>
    <row r="310" spans="1:28" hidden="1" x14ac:dyDescent="0.3">
      <c r="A310" t="s">
        <v>28</v>
      </c>
      <c r="B310" t="s">
        <v>721</v>
      </c>
      <c r="C310" t="s">
        <v>722</v>
      </c>
      <c r="D310">
        <v>0</v>
      </c>
      <c r="E310">
        <v>23.1</v>
      </c>
      <c r="F310">
        <v>0</v>
      </c>
      <c r="G310" t="b">
        <v>0</v>
      </c>
      <c r="H310">
        <v>0</v>
      </c>
      <c r="I310">
        <v>0</v>
      </c>
      <c r="J310">
        <v>0</v>
      </c>
      <c r="K310">
        <v>10.7</v>
      </c>
      <c r="L310" t="s">
        <v>723</v>
      </c>
      <c r="N310">
        <v>1</v>
      </c>
      <c r="O310">
        <v>0</v>
      </c>
      <c r="P310">
        <v>17.600000000000001</v>
      </c>
      <c r="Q310">
        <f>K310</f>
        <v>10.7</v>
      </c>
      <c r="R310" s="1">
        <f>SUM(S310:Z310)</f>
        <v>10.68</v>
      </c>
      <c r="S310" s="1">
        <f>IF($AB310=TRUE,D310*S$2,D310*S$1)</f>
        <v>0</v>
      </c>
      <c r="T310" s="1">
        <f>IF($AB310=TRUE,E310*T$2,E310*T$1)</f>
        <v>9.24</v>
      </c>
      <c r="U310" s="1">
        <f>IF($AB310=TRUE,F310*U$2,F310*U$1)</f>
        <v>0</v>
      </c>
      <c r="V310" s="1">
        <f>IF($AB310=TRUE,J310*V$2,J310*V$1)</f>
        <v>0</v>
      </c>
      <c r="W310" s="1">
        <f>IF($AB310=TRUE,P310*W$2/100,P310*W$1/100)</f>
        <v>0.44</v>
      </c>
      <c r="X310" s="1">
        <f>IF($AB310=TRUE,I310*X$2,I310*X$1)</f>
        <v>0</v>
      </c>
      <c r="Y310" s="1">
        <f>IF($AB310=TRUE,N310*Y$2,N310*Y$1)</f>
        <v>1</v>
      </c>
      <c r="Z310" s="1">
        <f>IF($AB310=TRUE,-H310*Z$2,-H310*Z$1)</f>
        <v>0</v>
      </c>
      <c r="AA310" s="2">
        <f>Q310-R310</f>
        <v>1.9999999999999574E-2</v>
      </c>
      <c r="AB310" s="1" t="b">
        <f>IF(G310=TRUE,IF(LEN(A310)&lt;5,TRUE,FALSE),FALSE)</f>
        <v>0</v>
      </c>
    </row>
    <row r="311" spans="1:28" hidden="1" x14ac:dyDescent="0.3">
      <c r="A311" t="s">
        <v>28</v>
      </c>
      <c r="B311" t="s">
        <v>724</v>
      </c>
      <c r="C311" t="s">
        <v>725</v>
      </c>
      <c r="D311">
        <v>0</v>
      </c>
      <c r="E311">
        <v>23.1</v>
      </c>
      <c r="F311">
        <v>0</v>
      </c>
      <c r="G311" t="b">
        <v>0</v>
      </c>
      <c r="H311">
        <v>0</v>
      </c>
      <c r="I311">
        <v>0</v>
      </c>
      <c r="J311">
        <v>0</v>
      </c>
      <c r="K311">
        <v>10.6</v>
      </c>
      <c r="L311" t="s">
        <v>701</v>
      </c>
      <c r="N311">
        <v>1</v>
      </c>
      <c r="O311">
        <v>0</v>
      </c>
      <c r="P311">
        <v>16.2</v>
      </c>
      <c r="Q311">
        <f>K311</f>
        <v>10.6</v>
      </c>
      <c r="R311" s="1">
        <f>SUM(S311:Z311)</f>
        <v>10.645</v>
      </c>
      <c r="S311" s="1">
        <f>IF($AB311=TRUE,D311*S$2,D311*S$1)</f>
        <v>0</v>
      </c>
      <c r="T311" s="1">
        <f>IF($AB311=TRUE,E311*T$2,E311*T$1)</f>
        <v>9.24</v>
      </c>
      <c r="U311" s="1">
        <f>IF($AB311=TRUE,F311*U$2,F311*U$1)</f>
        <v>0</v>
      </c>
      <c r="V311" s="1">
        <f>IF($AB311=TRUE,J311*V$2,J311*V$1)</f>
        <v>0</v>
      </c>
      <c r="W311" s="1">
        <f>IF($AB311=TRUE,P311*W$2/100,P311*W$1/100)</f>
        <v>0.40500000000000003</v>
      </c>
      <c r="X311" s="1">
        <f>IF($AB311=TRUE,I311*X$2,I311*X$1)</f>
        <v>0</v>
      </c>
      <c r="Y311" s="1">
        <f>IF($AB311=TRUE,N311*Y$2,N311*Y$1)</f>
        <v>1</v>
      </c>
      <c r="Z311" s="1">
        <f>IF($AB311=TRUE,-H311*Z$2,-H311*Z$1)</f>
        <v>0</v>
      </c>
      <c r="AA311" s="2">
        <f>Q311-R311</f>
        <v>-4.4999999999999929E-2</v>
      </c>
      <c r="AB311" s="1" t="b">
        <f>IF(G311=TRUE,IF(LEN(A311)&lt;5,TRUE,FALSE),FALSE)</f>
        <v>0</v>
      </c>
    </row>
    <row r="312" spans="1:28" hidden="1" x14ac:dyDescent="0.3">
      <c r="A312" t="s">
        <v>28</v>
      </c>
      <c r="B312" t="s">
        <v>726</v>
      </c>
      <c r="C312" t="s">
        <v>725</v>
      </c>
      <c r="D312">
        <v>0</v>
      </c>
      <c r="E312">
        <v>23.1</v>
      </c>
      <c r="F312">
        <v>0</v>
      </c>
      <c r="G312" t="b">
        <v>0</v>
      </c>
      <c r="H312">
        <v>0</v>
      </c>
      <c r="I312">
        <v>0</v>
      </c>
      <c r="J312">
        <v>0</v>
      </c>
      <c r="K312">
        <v>10.6</v>
      </c>
      <c r="L312" t="s">
        <v>701</v>
      </c>
      <c r="N312">
        <v>1</v>
      </c>
      <c r="O312">
        <v>0</v>
      </c>
      <c r="P312">
        <v>16.2</v>
      </c>
      <c r="Q312">
        <f>K312</f>
        <v>10.6</v>
      </c>
      <c r="R312" s="1">
        <f>SUM(S312:Z312)</f>
        <v>10.645</v>
      </c>
      <c r="S312" s="1">
        <f>IF($AB312=TRUE,D312*S$2,D312*S$1)</f>
        <v>0</v>
      </c>
      <c r="T312" s="1">
        <f>IF($AB312=TRUE,E312*T$2,E312*T$1)</f>
        <v>9.24</v>
      </c>
      <c r="U312" s="1">
        <f>IF($AB312=TRUE,F312*U$2,F312*U$1)</f>
        <v>0</v>
      </c>
      <c r="V312" s="1">
        <f>IF($AB312=TRUE,J312*V$2,J312*V$1)</f>
        <v>0</v>
      </c>
      <c r="W312" s="1">
        <f>IF($AB312=TRUE,P312*W$2/100,P312*W$1/100)</f>
        <v>0.40500000000000003</v>
      </c>
      <c r="X312" s="1">
        <f>IF($AB312=TRUE,I312*X$2,I312*X$1)</f>
        <v>0</v>
      </c>
      <c r="Y312" s="1">
        <f>IF($AB312=TRUE,N312*Y$2,N312*Y$1)</f>
        <v>1</v>
      </c>
      <c r="Z312" s="1">
        <f>IF($AB312=TRUE,-H312*Z$2,-H312*Z$1)</f>
        <v>0</v>
      </c>
      <c r="AA312" s="2">
        <f>Q312-R312</f>
        <v>-4.4999999999999929E-2</v>
      </c>
      <c r="AB312" s="1" t="b">
        <f>IF(G312=TRUE,IF(LEN(A312)&lt;5,TRUE,FALSE),FALSE)</f>
        <v>0</v>
      </c>
    </row>
    <row r="313" spans="1:28" hidden="1" x14ac:dyDescent="0.3">
      <c r="A313" t="s">
        <v>28</v>
      </c>
      <c r="B313" t="s">
        <v>727</v>
      </c>
      <c r="C313" t="s">
        <v>728</v>
      </c>
      <c r="D313">
        <v>0</v>
      </c>
      <c r="E313">
        <v>22.2</v>
      </c>
      <c r="F313">
        <v>0</v>
      </c>
      <c r="G313" t="b">
        <v>0</v>
      </c>
      <c r="H313">
        <v>0</v>
      </c>
      <c r="I313">
        <v>0</v>
      </c>
      <c r="J313">
        <v>0</v>
      </c>
      <c r="K313">
        <v>10.3</v>
      </c>
      <c r="L313" t="s">
        <v>723</v>
      </c>
      <c r="N313">
        <v>1</v>
      </c>
      <c r="O313">
        <v>0</v>
      </c>
      <c r="P313">
        <v>17.600000000000001</v>
      </c>
      <c r="Q313">
        <f>K313</f>
        <v>10.3</v>
      </c>
      <c r="R313" s="1">
        <f>SUM(S313:Z313)</f>
        <v>10.32</v>
      </c>
      <c r="S313" s="1">
        <f>IF($AB313=TRUE,D313*S$2,D313*S$1)</f>
        <v>0</v>
      </c>
      <c r="T313" s="1">
        <f>IF($AB313=TRUE,E313*T$2,E313*T$1)</f>
        <v>8.8800000000000008</v>
      </c>
      <c r="U313" s="1">
        <f>IF($AB313=TRUE,F313*U$2,F313*U$1)</f>
        <v>0</v>
      </c>
      <c r="V313" s="1">
        <f>IF($AB313=TRUE,J313*V$2,J313*V$1)</f>
        <v>0</v>
      </c>
      <c r="W313" s="1">
        <f>IF($AB313=TRUE,P313*W$2/100,P313*W$1/100)</f>
        <v>0.44</v>
      </c>
      <c r="X313" s="1">
        <f>IF($AB313=TRUE,I313*X$2,I313*X$1)</f>
        <v>0</v>
      </c>
      <c r="Y313" s="1">
        <f>IF($AB313=TRUE,N313*Y$2,N313*Y$1)</f>
        <v>1</v>
      </c>
      <c r="Z313" s="1">
        <f>IF($AB313=TRUE,-H313*Z$2,-H313*Z$1)</f>
        <v>0</v>
      </c>
      <c r="AA313" s="2">
        <f>Q313-R313</f>
        <v>-1.9999999999999574E-2</v>
      </c>
      <c r="AB313" s="1" t="b">
        <f>IF(G313=TRUE,IF(LEN(A313)&lt;5,TRUE,FALSE),FALSE)</f>
        <v>0</v>
      </c>
    </row>
    <row r="314" spans="1:28" hidden="1" x14ac:dyDescent="0.3">
      <c r="A314" t="s">
        <v>28</v>
      </c>
      <c r="B314" t="s">
        <v>729</v>
      </c>
      <c r="C314" t="s">
        <v>730</v>
      </c>
      <c r="D314">
        <v>0</v>
      </c>
      <c r="E314">
        <v>19.399999999999999</v>
      </c>
      <c r="F314">
        <v>0</v>
      </c>
      <c r="G314" t="b">
        <v>0</v>
      </c>
      <c r="H314">
        <v>0</v>
      </c>
      <c r="I314">
        <v>0</v>
      </c>
      <c r="J314">
        <v>0</v>
      </c>
      <c r="K314">
        <v>9.1999999999999993</v>
      </c>
      <c r="L314" t="s">
        <v>723</v>
      </c>
      <c r="N314">
        <v>1</v>
      </c>
      <c r="O314">
        <v>0</v>
      </c>
      <c r="P314">
        <v>17.600000000000001</v>
      </c>
      <c r="Q314">
        <f>K314</f>
        <v>9.1999999999999993</v>
      </c>
      <c r="R314" s="1">
        <f>SUM(S314:Z314)</f>
        <v>9.1999999999999993</v>
      </c>
      <c r="S314" s="1">
        <f>IF($AB314=TRUE,D314*S$2,D314*S$1)</f>
        <v>0</v>
      </c>
      <c r="T314" s="1">
        <f>IF($AB314=TRUE,E314*T$2,E314*T$1)</f>
        <v>7.76</v>
      </c>
      <c r="U314" s="1">
        <f>IF($AB314=TRUE,F314*U$2,F314*U$1)</f>
        <v>0</v>
      </c>
      <c r="V314" s="1">
        <f>IF($AB314=TRUE,J314*V$2,J314*V$1)</f>
        <v>0</v>
      </c>
      <c r="W314" s="1">
        <f>IF($AB314=TRUE,P314*W$2/100,P314*W$1/100)</f>
        <v>0.44</v>
      </c>
      <c r="X314" s="1">
        <f>IF($AB314=TRUE,I314*X$2,I314*X$1)</f>
        <v>0</v>
      </c>
      <c r="Y314" s="1">
        <f>IF($AB314=TRUE,N314*Y$2,N314*Y$1)</f>
        <v>1</v>
      </c>
      <c r="Z314" s="1">
        <f>IF($AB314=TRUE,-H314*Z$2,-H314*Z$1)</f>
        <v>0</v>
      </c>
      <c r="AA314" s="2">
        <f>Q314-R314</f>
        <v>0</v>
      </c>
      <c r="AB314" s="1" t="b">
        <f>IF(G314=TRUE,IF(LEN(A314)&lt;5,TRUE,FALSE),FALSE)</f>
        <v>0</v>
      </c>
    </row>
    <row r="315" spans="1:28" hidden="1" x14ac:dyDescent="0.3">
      <c r="A315" t="s">
        <v>28</v>
      </c>
      <c r="B315" t="s">
        <v>731</v>
      </c>
      <c r="C315" t="s">
        <v>732</v>
      </c>
      <c r="D315">
        <v>0</v>
      </c>
      <c r="E315">
        <v>13</v>
      </c>
      <c r="F315">
        <v>0</v>
      </c>
      <c r="G315" t="b">
        <v>0</v>
      </c>
      <c r="H315">
        <v>0</v>
      </c>
      <c r="I315">
        <v>0</v>
      </c>
      <c r="J315">
        <v>0</v>
      </c>
      <c r="K315">
        <v>6.7</v>
      </c>
      <c r="L315" t="s">
        <v>723</v>
      </c>
      <c r="N315">
        <v>1</v>
      </c>
      <c r="O315">
        <v>0</v>
      </c>
      <c r="P315">
        <v>17.600000000000001</v>
      </c>
      <c r="Q315">
        <f>K315</f>
        <v>6.7</v>
      </c>
      <c r="R315" s="1">
        <f>SUM(S315:Z315)</f>
        <v>6.6400000000000006</v>
      </c>
      <c r="S315" s="1">
        <f>IF($AB315=TRUE,D315*S$2,D315*S$1)</f>
        <v>0</v>
      </c>
      <c r="T315" s="1">
        <f>IF($AB315=TRUE,E315*T$2,E315*T$1)</f>
        <v>5.2</v>
      </c>
      <c r="U315" s="1">
        <f>IF($AB315=TRUE,F315*U$2,F315*U$1)</f>
        <v>0</v>
      </c>
      <c r="V315" s="1">
        <f>IF($AB315=TRUE,J315*V$2,J315*V$1)</f>
        <v>0</v>
      </c>
      <c r="W315" s="1">
        <f>IF($AB315=TRUE,P315*W$2/100,P315*W$1/100)</f>
        <v>0.44</v>
      </c>
      <c r="X315" s="1">
        <f>IF($AB315=TRUE,I315*X$2,I315*X$1)</f>
        <v>0</v>
      </c>
      <c r="Y315" s="1">
        <f>IF($AB315=TRUE,N315*Y$2,N315*Y$1)</f>
        <v>1</v>
      </c>
      <c r="Z315" s="1">
        <f>IF($AB315=TRUE,-H315*Z$2,-H315*Z$1)</f>
        <v>0</v>
      </c>
      <c r="AA315" s="2">
        <f>Q315-R315</f>
        <v>5.9999999999999609E-2</v>
      </c>
      <c r="AB315" s="1" t="b">
        <f>IF(G315=TRUE,IF(LEN(A315)&lt;5,TRUE,FALSE),FALSE)</f>
        <v>0</v>
      </c>
    </row>
    <row r="316" spans="1:28" hidden="1" x14ac:dyDescent="0.3">
      <c r="A316" t="s">
        <v>28</v>
      </c>
      <c r="B316" t="s">
        <v>733</v>
      </c>
      <c r="C316" t="s">
        <v>734</v>
      </c>
      <c r="D316">
        <v>0</v>
      </c>
      <c r="E316">
        <v>12.5</v>
      </c>
      <c r="F316">
        <v>0</v>
      </c>
      <c r="G316" t="b">
        <v>0</v>
      </c>
      <c r="H316">
        <v>0</v>
      </c>
      <c r="I316">
        <v>0</v>
      </c>
      <c r="J316">
        <v>0</v>
      </c>
      <c r="K316">
        <v>6.4</v>
      </c>
      <c r="L316" t="s">
        <v>723</v>
      </c>
      <c r="N316">
        <v>1</v>
      </c>
      <c r="O316">
        <v>0</v>
      </c>
      <c r="P316">
        <v>17.600000000000001</v>
      </c>
      <c r="Q316">
        <f>K316</f>
        <v>6.4</v>
      </c>
      <c r="R316" s="1">
        <f>SUM(S316:Z316)</f>
        <v>6.44</v>
      </c>
      <c r="S316" s="1">
        <f>IF($AB316=TRUE,D316*S$2,D316*S$1)</f>
        <v>0</v>
      </c>
      <c r="T316" s="1">
        <f>IF($AB316=TRUE,E316*T$2,E316*T$1)</f>
        <v>5</v>
      </c>
      <c r="U316" s="1">
        <f>IF($AB316=TRUE,F316*U$2,F316*U$1)</f>
        <v>0</v>
      </c>
      <c r="V316" s="1">
        <f>IF($AB316=TRUE,J316*V$2,J316*V$1)</f>
        <v>0</v>
      </c>
      <c r="W316" s="1">
        <f>IF($AB316=TRUE,P316*W$2/100,P316*W$1/100)</f>
        <v>0.44</v>
      </c>
      <c r="X316" s="1">
        <f>IF($AB316=TRUE,I316*X$2,I316*X$1)</f>
        <v>0</v>
      </c>
      <c r="Y316" s="1">
        <f>IF($AB316=TRUE,N316*Y$2,N316*Y$1)</f>
        <v>1</v>
      </c>
      <c r="Z316" s="1">
        <f>IF($AB316=TRUE,-H316*Z$2,-H316*Z$1)</f>
        <v>0</v>
      </c>
      <c r="AA316" s="2">
        <f>Q316-R316</f>
        <v>-4.0000000000000036E-2</v>
      </c>
      <c r="AB316" s="1" t="b">
        <f>IF(G316=TRUE,IF(LEN(A316)&lt;5,TRUE,FALSE),FALSE)</f>
        <v>0</v>
      </c>
    </row>
    <row r="317" spans="1:28" hidden="1" x14ac:dyDescent="0.3">
      <c r="A317" t="s">
        <v>28</v>
      </c>
      <c r="B317" t="s">
        <v>735</v>
      </c>
      <c r="C317" t="s">
        <v>736</v>
      </c>
      <c r="D317">
        <v>0</v>
      </c>
      <c r="E317">
        <v>10.7</v>
      </c>
      <c r="F317">
        <v>0</v>
      </c>
      <c r="G317" t="b">
        <v>0</v>
      </c>
      <c r="H317">
        <v>0</v>
      </c>
      <c r="I317">
        <v>0</v>
      </c>
      <c r="J317">
        <v>0</v>
      </c>
      <c r="K317">
        <v>5.7</v>
      </c>
      <c r="L317" t="s">
        <v>723</v>
      </c>
      <c r="N317">
        <v>1</v>
      </c>
      <c r="O317">
        <v>0</v>
      </c>
      <c r="P317">
        <v>17.600000000000001</v>
      </c>
      <c r="Q317">
        <f>K317</f>
        <v>5.7</v>
      </c>
      <c r="R317" s="1">
        <f>SUM(S317:Z317)</f>
        <v>5.7200000000000006</v>
      </c>
      <c r="S317" s="1">
        <f>IF($AB317=TRUE,D317*S$2,D317*S$1)</f>
        <v>0</v>
      </c>
      <c r="T317" s="1">
        <f>IF($AB317=TRUE,E317*T$2,E317*T$1)</f>
        <v>4.28</v>
      </c>
      <c r="U317" s="1">
        <f>IF($AB317=TRUE,F317*U$2,F317*U$1)</f>
        <v>0</v>
      </c>
      <c r="V317" s="1">
        <f>IF($AB317=TRUE,J317*V$2,J317*V$1)</f>
        <v>0</v>
      </c>
      <c r="W317" s="1">
        <f>IF($AB317=TRUE,P317*W$2/100,P317*W$1/100)</f>
        <v>0.44</v>
      </c>
      <c r="X317" s="1">
        <f>IF($AB317=TRUE,I317*X$2,I317*X$1)</f>
        <v>0</v>
      </c>
      <c r="Y317" s="1">
        <f>IF($AB317=TRUE,N317*Y$2,N317*Y$1)</f>
        <v>1</v>
      </c>
      <c r="Z317" s="1">
        <f>IF($AB317=TRUE,-H317*Z$2,-H317*Z$1)</f>
        <v>0</v>
      </c>
      <c r="AA317" s="2">
        <f>Q317-R317</f>
        <v>-2.0000000000000462E-2</v>
      </c>
      <c r="AB317" s="1" t="b">
        <f>IF(G317=TRUE,IF(LEN(A317)&lt;5,TRUE,FALSE),FALSE)</f>
        <v>0</v>
      </c>
    </row>
    <row r="318" spans="1:28" hidden="1" x14ac:dyDescent="0.3">
      <c r="A318" t="s">
        <v>28</v>
      </c>
      <c r="B318" t="s">
        <v>737</v>
      </c>
      <c r="C318" t="s">
        <v>738</v>
      </c>
      <c r="D318">
        <v>0</v>
      </c>
      <c r="E318">
        <v>10.7</v>
      </c>
      <c r="F318">
        <v>0</v>
      </c>
      <c r="G318" t="b">
        <v>0</v>
      </c>
      <c r="H318">
        <v>0</v>
      </c>
      <c r="I318">
        <v>0</v>
      </c>
      <c r="J318">
        <v>0</v>
      </c>
      <c r="K318">
        <v>5.7</v>
      </c>
      <c r="L318" t="s">
        <v>723</v>
      </c>
      <c r="N318">
        <v>1</v>
      </c>
      <c r="O318">
        <v>0</v>
      </c>
      <c r="P318">
        <v>17.600000000000001</v>
      </c>
      <c r="Q318">
        <f>K318</f>
        <v>5.7</v>
      </c>
      <c r="R318" s="1">
        <f>SUM(S318:Z318)</f>
        <v>5.7200000000000006</v>
      </c>
      <c r="S318" s="1">
        <f>IF($AB318=TRUE,D318*S$2,D318*S$1)</f>
        <v>0</v>
      </c>
      <c r="T318" s="1">
        <f>IF($AB318=TRUE,E318*T$2,E318*T$1)</f>
        <v>4.28</v>
      </c>
      <c r="U318" s="1">
        <f>IF($AB318=TRUE,F318*U$2,F318*U$1)</f>
        <v>0</v>
      </c>
      <c r="V318" s="1">
        <f>IF($AB318=TRUE,J318*V$2,J318*V$1)</f>
        <v>0</v>
      </c>
      <c r="W318" s="1">
        <f>IF($AB318=TRUE,P318*W$2/100,P318*W$1/100)</f>
        <v>0.44</v>
      </c>
      <c r="X318" s="1">
        <f>IF($AB318=TRUE,I318*X$2,I318*X$1)</f>
        <v>0</v>
      </c>
      <c r="Y318" s="1">
        <f>IF($AB318=TRUE,N318*Y$2,N318*Y$1)</f>
        <v>1</v>
      </c>
      <c r="Z318" s="1">
        <f>IF($AB318=TRUE,-H318*Z$2,-H318*Z$1)</f>
        <v>0</v>
      </c>
      <c r="AA318" s="2">
        <f>Q318-R318</f>
        <v>-2.0000000000000462E-2</v>
      </c>
      <c r="AB318" s="1" t="b">
        <f>IF(G318=TRUE,IF(LEN(A318)&lt;5,TRUE,FALSE),FALSE)</f>
        <v>0</v>
      </c>
    </row>
    <row r="319" spans="1:28" hidden="1" x14ac:dyDescent="0.3">
      <c r="A319" t="s">
        <v>28</v>
      </c>
      <c r="B319" t="s">
        <v>739</v>
      </c>
      <c r="C319" t="s">
        <v>740</v>
      </c>
      <c r="D319">
        <v>0</v>
      </c>
      <c r="E319">
        <v>10</v>
      </c>
      <c r="F319">
        <v>0</v>
      </c>
      <c r="G319" t="b">
        <v>0</v>
      </c>
      <c r="H319">
        <v>0</v>
      </c>
      <c r="I319">
        <v>0</v>
      </c>
      <c r="J319">
        <v>0</v>
      </c>
      <c r="K319">
        <v>5.4</v>
      </c>
      <c r="L319" t="s">
        <v>723</v>
      </c>
      <c r="N319">
        <v>1</v>
      </c>
      <c r="O319">
        <v>0</v>
      </c>
      <c r="P319">
        <v>17.600000000000001</v>
      </c>
      <c r="Q319">
        <f>K319</f>
        <v>5.4</v>
      </c>
      <c r="R319" s="1">
        <f>SUM(S319:Z319)</f>
        <v>5.44</v>
      </c>
      <c r="S319" s="1">
        <f>IF($AB319=TRUE,D319*S$2,D319*S$1)</f>
        <v>0</v>
      </c>
      <c r="T319" s="1">
        <f>IF($AB319=TRUE,E319*T$2,E319*T$1)</f>
        <v>4</v>
      </c>
      <c r="U319" s="1">
        <f>IF($AB319=TRUE,F319*U$2,F319*U$1)</f>
        <v>0</v>
      </c>
      <c r="V319" s="1">
        <f>IF($AB319=TRUE,J319*V$2,J319*V$1)</f>
        <v>0</v>
      </c>
      <c r="W319" s="1">
        <f>IF($AB319=TRUE,P319*W$2/100,P319*W$1/100)</f>
        <v>0.44</v>
      </c>
      <c r="X319" s="1">
        <f>IF($AB319=TRUE,I319*X$2,I319*X$1)</f>
        <v>0</v>
      </c>
      <c r="Y319" s="1">
        <f>IF($AB319=TRUE,N319*Y$2,N319*Y$1)</f>
        <v>1</v>
      </c>
      <c r="Z319" s="1">
        <f>IF($AB319=TRUE,-H319*Z$2,-H319*Z$1)</f>
        <v>0</v>
      </c>
      <c r="AA319" s="2">
        <f>Q319-R319</f>
        <v>-4.0000000000000036E-2</v>
      </c>
      <c r="AB319" s="1" t="b">
        <f>IF(G319=TRUE,IF(LEN(A319)&lt;5,TRUE,FALSE),FALSE)</f>
        <v>0</v>
      </c>
    </row>
    <row r="320" spans="1:28" hidden="1" x14ac:dyDescent="0.3">
      <c r="A320" t="s">
        <v>28</v>
      </c>
      <c r="B320" t="s">
        <v>741</v>
      </c>
      <c r="C320" t="s">
        <v>742</v>
      </c>
      <c r="D320">
        <v>0</v>
      </c>
      <c r="E320">
        <v>8.6</v>
      </c>
      <c r="F320">
        <v>0</v>
      </c>
      <c r="G320" t="b">
        <v>0</v>
      </c>
      <c r="H320">
        <v>0</v>
      </c>
      <c r="I320">
        <v>0</v>
      </c>
      <c r="J320">
        <v>0</v>
      </c>
      <c r="K320">
        <v>4.9000000000000004</v>
      </c>
      <c r="L320" t="s">
        <v>615</v>
      </c>
      <c r="N320">
        <v>1</v>
      </c>
      <c r="O320">
        <v>0</v>
      </c>
      <c r="P320">
        <v>19.7</v>
      </c>
      <c r="Q320">
        <f>K320</f>
        <v>4.9000000000000004</v>
      </c>
      <c r="R320" s="1">
        <f>SUM(S320:Z320)</f>
        <v>4.9325000000000001</v>
      </c>
      <c r="S320" s="1">
        <f>IF($AB320=TRUE,D320*S$2,D320*S$1)</f>
        <v>0</v>
      </c>
      <c r="T320" s="1">
        <f>IF($AB320=TRUE,E320*T$2,E320*T$1)</f>
        <v>3.44</v>
      </c>
      <c r="U320" s="1">
        <f>IF($AB320=TRUE,F320*U$2,F320*U$1)</f>
        <v>0</v>
      </c>
      <c r="V320" s="1">
        <f>IF($AB320=TRUE,J320*V$2,J320*V$1)</f>
        <v>0</v>
      </c>
      <c r="W320" s="1">
        <f>IF($AB320=TRUE,P320*W$2/100,P320*W$1/100)</f>
        <v>0.49249999999999999</v>
      </c>
      <c r="X320" s="1">
        <f>IF($AB320=TRUE,I320*X$2,I320*X$1)</f>
        <v>0</v>
      </c>
      <c r="Y320" s="1">
        <f>IF($AB320=TRUE,N320*Y$2,N320*Y$1)</f>
        <v>1</v>
      </c>
      <c r="Z320" s="1">
        <f>IF($AB320=TRUE,-H320*Z$2,-H320*Z$1)</f>
        <v>0</v>
      </c>
      <c r="AA320" s="2">
        <f>Q320-R320</f>
        <v>-3.2499999999999751E-2</v>
      </c>
      <c r="AB320" s="1" t="b">
        <f>IF(G320=TRUE,IF(LEN(A320)&lt;5,TRUE,FALSE),FALSE)</f>
        <v>0</v>
      </c>
    </row>
    <row r="321" spans="1:28" hidden="1" x14ac:dyDescent="0.3">
      <c r="A321" t="s">
        <v>28</v>
      </c>
      <c r="B321" t="s">
        <v>743</v>
      </c>
      <c r="C321" t="s">
        <v>744</v>
      </c>
      <c r="D321">
        <v>0</v>
      </c>
      <c r="E321">
        <v>8</v>
      </c>
      <c r="F321">
        <v>0</v>
      </c>
      <c r="G321" t="b">
        <v>0</v>
      </c>
      <c r="H321">
        <v>0</v>
      </c>
      <c r="I321">
        <v>0</v>
      </c>
      <c r="J321">
        <v>0</v>
      </c>
      <c r="K321">
        <v>4.5999999999999996</v>
      </c>
      <c r="L321" t="s">
        <v>723</v>
      </c>
      <c r="N321">
        <v>1</v>
      </c>
      <c r="O321">
        <v>0</v>
      </c>
      <c r="P321">
        <v>17.600000000000001</v>
      </c>
      <c r="Q321">
        <f>K321</f>
        <v>4.5999999999999996</v>
      </c>
      <c r="R321" s="1">
        <f>SUM(S321:Z321)</f>
        <v>4.6400000000000006</v>
      </c>
      <c r="S321" s="1">
        <f>IF($AB321=TRUE,D321*S$2,D321*S$1)</f>
        <v>0</v>
      </c>
      <c r="T321" s="1">
        <f>IF($AB321=TRUE,E321*T$2,E321*T$1)</f>
        <v>3.2</v>
      </c>
      <c r="U321" s="1">
        <f>IF($AB321=TRUE,F321*U$2,F321*U$1)</f>
        <v>0</v>
      </c>
      <c r="V321" s="1">
        <f>IF($AB321=TRUE,J321*V$2,J321*V$1)</f>
        <v>0</v>
      </c>
      <c r="W321" s="1">
        <f>IF($AB321=TRUE,P321*W$2/100,P321*W$1/100)</f>
        <v>0.44</v>
      </c>
      <c r="X321" s="1">
        <f>IF($AB321=TRUE,I321*X$2,I321*X$1)</f>
        <v>0</v>
      </c>
      <c r="Y321" s="1">
        <f>IF($AB321=TRUE,N321*Y$2,N321*Y$1)</f>
        <v>1</v>
      </c>
      <c r="Z321" s="1">
        <f>IF($AB321=TRUE,-H321*Z$2,-H321*Z$1)</f>
        <v>0</v>
      </c>
      <c r="AA321" s="2">
        <f>Q321-R321</f>
        <v>-4.0000000000000924E-2</v>
      </c>
      <c r="AB321" s="1" t="b">
        <f>IF(G321=TRUE,IF(LEN(A321)&lt;5,TRUE,FALSE),FALSE)</f>
        <v>0</v>
      </c>
    </row>
    <row r="322" spans="1:28" hidden="1" x14ac:dyDescent="0.3">
      <c r="A322" t="s">
        <v>28</v>
      </c>
      <c r="B322" t="s">
        <v>745</v>
      </c>
      <c r="C322" t="s">
        <v>746</v>
      </c>
      <c r="D322">
        <v>0</v>
      </c>
      <c r="E322">
        <v>5.7</v>
      </c>
      <c r="F322">
        <v>0</v>
      </c>
      <c r="G322" t="b">
        <v>0</v>
      </c>
      <c r="H322">
        <v>0</v>
      </c>
      <c r="I322">
        <v>0</v>
      </c>
      <c r="J322">
        <v>0</v>
      </c>
      <c r="K322">
        <v>3.7</v>
      </c>
      <c r="L322" t="s">
        <v>723</v>
      </c>
      <c r="N322">
        <v>1</v>
      </c>
      <c r="O322">
        <v>0</v>
      </c>
      <c r="P322">
        <v>17.600000000000001</v>
      </c>
      <c r="Q322">
        <f>K322</f>
        <v>3.7</v>
      </c>
      <c r="R322" s="1">
        <f>SUM(S322:Z322)</f>
        <v>3.72</v>
      </c>
      <c r="S322" s="1">
        <f>IF($AB322=TRUE,D322*S$2,D322*S$1)</f>
        <v>0</v>
      </c>
      <c r="T322" s="1">
        <f>IF($AB322=TRUE,E322*T$2,E322*T$1)</f>
        <v>2.2800000000000002</v>
      </c>
      <c r="U322" s="1">
        <f>IF($AB322=TRUE,F322*U$2,F322*U$1)</f>
        <v>0</v>
      </c>
      <c r="V322" s="1">
        <f>IF($AB322=TRUE,J322*V$2,J322*V$1)</f>
        <v>0</v>
      </c>
      <c r="W322" s="1">
        <f>IF($AB322=TRUE,P322*W$2/100,P322*W$1/100)</f>
        <v>0.44</v>
      </c>
      <c r="X322" s="1">
        <f>IF($AB322=TRUE,I322*X$2,I322*X$1)</f>
        <v>0</v>
      </c>
      <c r="Y322" s="1">
        <f>IF($AB322=TRUE,N322*Y$2,N322*Y$1)</f>
        <v>1</v>
      </c>
      <c r="Z322" s="1">
        <f>IF($AB322=TRUE,-H322*Z$2,-H322*Z$1)</f>
        <v>0</v>
      </c>
      <c r="AA322" s="2">
        <f>Q322-R322</f>
        <v>-2.0000000000000018E-2</v>
      </c>
      <c r="AB322" s="1" t="b">
        <f>IF(G322=TRUE,IF(LEN(A322)&lt;5,TRUE,FALSE),FALSE)</f>
        <v>0</v>
      </c>
    </row>
    <row r="323" spans="1:28" hidden="1" x14ac:dyDescent="0.3">
      <c r="AA323" s="3"/>
    </row>
    <row r="326" spans="1:28" x14ac:dyDescent="0.3">
      <c r="R326">
        <v>-3.3719999999999999</v>
      </c>
    </row>
    <row r="327" spans="1:28" x14ac:dyDescent="0.3">
      <c r="R327">
        <v>-15.343999999999999</v>
      </c>
    </row>
  </sheetData>
  <autoFilter ref="A3:AB323" xr:uid="{A1A98F89-1EAF-4E6D-9819-F5CCF96F356C}">
    <filterColumn colId="0">
      <filters>
        <filter val="corrosion"/>
      </filters>
    </filterColumn>
    <sortState xmlns:xlrd2="http://schemas.microsoft.com/office/spreadsheetml/2017/richdata2" ref="A4:AB323">
      <sortCondition descending="1" ref="K3:K32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debug_scores_formula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Sandate Trejo</cp:lastModifiedBy>
  <dcterms:created xsi:type="dcterms:W3CDTF">2025-11-09T04:25:44Z</dcterms:created>
  <dcterms:modified xsi:type="dcterms:W3CDTF">2025-11-09T05:39:46Z</dcterms:modified>
</cp:coreProperties>
</file>