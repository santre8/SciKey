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"/>
    </mc:Choice>
  </mc:AlternateContent>
  <xr:revisionPtr revIDLastSave="0" documentId="13_ncr:9_{C8E3A33D-87C7-43F3-9CE8-FED77200D55E}" xr6:coauthVersionLast="47" xr6:coauthVersionMax="47" xr10:uidLastSave="{00000000-0000-0000-0000-000000000000}"/>
  <bookViews>
    <workbookView xWindow="-108" yWindow="-108" windowWidth="23256" windowHeight="12456" xr2:uid="{2AC115C7-C246-4381-ADE2-73E7146B8627}"/>
  </bookViews>
  <sheets>
    <sheet name="debug_scores_mode" sheetId="1" r:id="rId1"/>
  </sheets>
  <definedNames>
    <definedName name="_xlnm._FilterDatabase" localSheetId="0" hidden="1">debug_scores_mode!$A$1:$AG$333</definedName>
  </definedNames>
  <calcPr calcId="0"/>
</workbook>
</file>

<file path=xl/calcChain.xml><?xml version="1.0" encoding="utf-8"?>
<calcChain xmlns="http://schemas.openxmlformats.org/spreadsheetml/2006/main">
  <c r="AH102" i="1" l="1"/>
  <c r="AG102" i="1"/>
  <c r="AF102" i="1"/>
  <c r="AE102" i="1"/>
  <c r="AD102" i="1"/>
  <c r="AC102" i="1"/>
  <c r="AB102" i="1"/>
  <c r="AA102" i="1"/>
  <c r="Z102" i="1"/>
  <c r="AH92" i="1"/>
  <c r="AG92" i="1"/>
  <c r="AF92" i="1"/>
  <c r="AE92" i="1"/>
  <c r="AD92" i="1"/>
  <c r="AC92" i="1"/>
  <c r="AB92" i="1"/>
  <c r="AA92" i="1"/>
  <c r="Z92" i="1"/>
  <c r="AH91" i="1"/>
  <c r="AG91" i="1"/>
  <c r="AF91" i="1"/>
  <c r="AE91" i="1"/>
  <c r="AD91" i="1"/>
  <c r="AC91" i="1"/>
  <c r="AB91" i="1"/>
  <c r="AA91" i="1"/>
  <c r="Z91" i="1"/>
  <c r="AH85" i="1"/>
  <c r="AG85" i="1"/>
  <c r="AF85" i="1"/>
  <c r="AE85" i="1"/>
  <c r="AD85" i="1"/>
  <c r="AC85" i="1"/>
  <c r="AB85" i="1"/>
  <c r="AA85" i="1"/>
  <c r="Z85" i="1"/>
  <c r="AH84" i="1"/>
  <c r="AG84" i="1"/>
  <c r="AF84" i="1"/>
  <c r="AE84" i="1"/>
  <c r="AD84" i="1"/>
  <c r="AC84" i="1"/>
  <c r="AB84" i="1"/>
  <c r="AA84" i="1"/>
  <c r="Z84" i="1"/>
  <c r="AH79" i="1"/>
  <c r="AG79" i="1"/>
  <c r="AF79" i="1"/>
  <c r="AE79" i="1"/>
  <c r="AD79" i="1"/>
  <c r="AC79" i="1"/>
  <c r="AB79" i="1"/>
  <c r="AA79" i="1"/>
  <c r="Z79" i="1"/>
  <c r="AH51" i="1"/>
  <c r="AG51" i="1"/>
  <c r="AF51" i="1"/>
  <c r="AE51" i="1"/>
  <c r="AD51" i="1"/>
  <c r="AC51" i="1"/>
  <c r="AB51" i="1"/>
  <c r="AA51" i="1"/>
  <c r="Z51" i="1"/>
  <c r="AH28" i="1"/>
  <c r="AG28" i="1"/>
  <c r="AF28" i="1"/>
  <c r="AE28" i="1"/>
  <c r="AD28" i="1"/>
  <c r="AC28" i="1"/>
  <c r="AB28" i="1"/>
  <c r="AA28" i="1"/>
  <c r="Z28" i="1"/>
  <c r="AH26" i="1"/>
  <c r="AG26" i="1"/>
  <c r="AF26" i="1"/>
  <c r="AE26" i="1"/>
  <c r="AD26" i="1"/>
  <c r="AC26" i="1"/>
  <c r="AB26" i="1"/>
  <c r="AA26" i="1"/>
  <c r="Z26" i="1"/>
  <c r="AH21" i="1"/>
  <c r="AG21" i="1"/>
  <c r="AF21" i="1"/>
  <c r="AE21" i="1"/>
  <c r="AD21" i="1"/>
  <c r="AC21" i="1"/>
  <c r="AB21" i="1"/>
  <c r="AA21" i="1"/>
  <c r="Z21" i="1"/>
  <c r="AG17" i="1"/>
  <c r="AF17" i="1"/>
  <c r="AE17" i="1"/>
  <c r="AD17" i="1"/>
  <c r="AB17" i="1"/>
  <c r="AA17" i="1"/>
  <c r="Z17" i="1"/>
  <c r="AE48" i="1"/>
  <c r="AH7" i="1"/>
  <c r="AG87" i="1"/>
  <c r="AF87" i="1"/>
  <c r="AD87" i="1"/>
  <c r="AB87" i="1"/>
  <c r="AA87" i="1"/>
  <c r="Z87" i="1"/>
  <c r="AH10" i="1"/>
  <c r="AG48" i="1"/>
  <c r="AF48" i="1"/>
  <c r="AD48" i="1"/>
  <c r="AB48" i="1"/>
  <c r="AA48" i="1"/>
  <c r="Z48" i="1"/>
  <c r="AH15" i="1"/>
  <c r="AG274" i="1"/>
  <c r="AF274" i="1"/>
  <c r="AE274" i="1"/>
  <c r="AD274" i="1"/>
  <c r="AC274" i="1"/>
  <c r="AB274" i="1"/>
  <c r="AA274" i="1"/>
  <c r="Z274" i="1"/>
  <c r="AG295" i="1"/>
  <c r="AF295" i="1"/>
  <c r="AE295" i="1"/>
  <c r="AD295" i="1"/>
  <c r="AC295" i="1"/>
  <c r="AB295" i="1"/>
  <c r="AA295" i="1"/>
  <c r="Z295" i="1"/>
  <c r="AH20" i="1"/>
  <c r="AG332" i="1"/>
  <c r="AF332" i="1"/>
  <c r="AE332" i="1"/>
  <c r="AD332" i="1"/>
  <c r="AC332" i="1"/>
  <c r="AB332" i="1"/>
  <c r="AA332" i="1"/>
  <c r="Z332" i="1"/>
  <c r="AH19" i="1"/>
  <c r="AG290" i="1"/>
  <c r="AF290" i="1"/>
  <c r="AE290" i="1"/>
  <c r="AD290" i="1"/>
  <c r="AC290" i="1"/>
  <c r="AB290" i="1"/>
  <c r="AA290" i="1"/>
  <c r="Z290" i="1"/>
  <c r="AH52" i="1"/>
  <c r="AG36" i="1"/>
  <c r="AF36" i="1"/>
  <c r="AE36" i="1"/>
  <c r="AD36" i="1"/>
  <c r="AC36" i="1"/>
  <c r="AB36" i="1"/>
  <c r="AA36" i="1"/>
  <c r="Z36" i="1"/>
  <c r="AH72" i="1"/>
  <c r="AG101" i="1"/>
  <c r="AF101" i="1"/>
  <c r="AE101" i="1"/>
  <c r="AD101" i="1"/>
  <c r="AC101" i="1"/>
  <c r="AB101" i="1"/>
  <c r="AA101" i="1"/>
  <c r="Z101" i="1"/>
  <c r="AH6" i="1"/>
  <c r="AG246" i="1"/>
  <c r="AF246" i="1"/>
  <c r="AD246" i="1"/>
  <c r="AA246" i="1"/>
  <c r="Z246" i="1"/>
  <c r="AH5" i="1"/>
  <c r="AG285" i="1"/>
  <c r="AF285" i="1"/>
  <c r="AD285" i="1"/>
  <c r="AA285" i="1"/>
  <c r="Z285" i="1"/>
  <c r="AH13" i="1"/>
  <c r="AG162" i="1"/>
  <c r="AF162" i="1"/>
  <c r="AE162" i="1"/>
  <c r="AD162" i="1"/>
  <c r="AC162" i="1"/>
  <c r="AB162" i="1"/>
  <c r="AA162" i="1"/>
  <c r="Z162" i="1"/>
  <c r="AH68" i="1"/>
  <c r="AG313" i="1"/>
  <c r="AF313" i="1"/>
  <c r="AE313" i="1"/>
  <c r="AD313" i="1"/>
  <c r="AC313" i="1"/>
  <c r="AB313" i="1"/>
  <c r="AA313" i="1"/>
  <c r="Z313" i="1"/>
  <c r="AH90" i="1"/>
  <c r="AG308" i="1"/>
  <c r="AF308" i="1"/>
  <c r="AE308" i="1"/>
  <c r="AD308" i="1"/>
  <c r="AC308" i="1"/>
  <c r="AB308" i="1"/>
  <c r="AA308" i="1"/>
  <c r="Z308" i="1"/>
  <c r="AH121" i="1"/>
  <c r="AG196" i="1"/>
  <c r="AF196" i="1"/>
  <c r="AE196" i="1"/>
  <c r="AD196" i="1"/>
  <c r="AC196" i="1"/>
  <c r="AB196" i="1"/>
  <c r="AA196" i="1"/>
  <c r="Z196" i="1"/>
  <c r="Z124" i="1"/>
  <c r="AA124" i="1"/>
  <c r="AB124" i="1"/>
  <c r="AC124" i="1"/>
  <c r="AD124" i="1"/>
  <c r="AE124" i="1"/>
  <c r="AF124" i="1"/>
  <c r="AG124" i="1"/>
  <c r="AH3" i="1"/>
  <c r="Z56" i="1"/>
  <c r="AA56" i="1"/>
  <c r="AB56" i="1"/>
  <c r="AC56" i="1"/>
  <c r="AD56" i="1"/>
  <c r="AE56" i="1"/>
  <c r="AF56" i="1"/>
  <c r="AG56" i="1"/>
  <c r="AH4" i="1"/>
  <c r="Z191" i="1"/>
  <c r="AA191" i="1"/>
  <c r="AB191" i="1"/>
  <c r="AC191" i="1"/>
  <c r="AD191" i="1"/>
  <c r="AE191" i="1"/>
  <c r="AF191" i="1"/>
  <c r="AG191" i="1"/>
  <c r="AH8" i="1"/>
  <c r="Z15" i="1"/>
  <c r="AA15" i="1"/>
  <c r="AB15" i="1"/>
  <c r="AC15" i="1"/>
  <c r="AD15" i="1"/>
  <c r="AE15" i="1"/>
  <c r="AF15" i="1"/>
  <c r="AG15" i="1"/>
  <c r="AH9" i="1"/>
  <c r="Z329" i="1"/>
  <c r="AA329" i="1"/>
  <c r="AB329" i="1"/>
  <c r="AC329" i="1"/>
  <c r="AD329" i="1"/>
  <c r="AE329" i="1"/>
  <c r="AF329" i="1"/>
  <c r="AG329" i="1"/>
  <c r="AH11" i="1"/>
  <c r="Z116" i="1"/>
  <c r="AA116" i="1"/>
  <c r="AB116" i="1"/>
  <c r="AC116" i="1"/>
  <c r="AD116" i="1"/>
  <c r="AE116" i="1"/>
  <c r="AF116" i="1"/>
  <c r="AG116" i="1"/>
  <c r="AH12" i="1"/>
  <c r="Z14" i="1"/>
  <c r="AA14" i="1"/>
  <c r="AB14" i="1"/>
  <c r="AC14" i="1"/>
  <c r="AD14" i="1"/>
  <c r="AE14" i="1"/>
  <c r="AF14" i="1"/>
  <c r="AG14" i="1"/>
  <c r="AH14" i="1"/>
  <c r="Z194" i="1"/>
  <c r="AA194" i="1"/>
  <c r="AB194" i="1"/>
  <c r="AC194" i="1"/>
  <c r="AD194" i="1"/>
  <c r="AE194" i="1"/>
  <c r="AF194" i="1"/>
  <c r="AG194" i="1"/>
  <c r="AH16" i="1"/>
  <c r="Z291" i="1"/>
  <c r="AA291" i="1"/>
  <c r="AB291" i="1"/>
  <c r="AC291" i="1"/>
  <c r="AD291" i="1"/>
  <c r="AE291" i="1"/>
  <c r="AF291" i="1"/>
  <c r="AG291" i="1"/>
  <c r="AH18" i="1"/>
  <c r="Z68" i="1"/>
  <c r="AA68" i="1"/>
  <c r="AB68" i="1"/>
  <c r="AC68" i="1"/>
  <c r="AD68" i="1"/>
  <c r="AE68" i="1"/>
  <c r="AF68" i="1"/>
  <c r="AG68" i="1"/>
  <c r="Z263" i="1"/>
  <c r="AA263" i="1"/>
  <c r="AB263" i="1"/>
  <c r="AC263" i="1"/>
  <c r="AD263" i="1"/>
  <c r="AE263" i="1"/>
  <c r="AF263" i="1"/>
  <c r="AG263" i="1"/>
  <c r="AH22" i="1"/>
  <c r="Z229" i="1"/>
  <c r="AA229" i="1"/>
  <c r="AB229" i="1"/>
  <c r="AC229" i="1"/>
  <c r="AD229" i="1"/>
  <c r="AE229" i="1"/>
  <c r="AF229" i="1"/>
  <c r="AG229" i="1"/>
  <c r="AH23" i="1"/>
  <c r="Z55" i="1"/>
  <c r="AA55" i="1"/>
  <c r="AB55" i="1"/>
  <c r="AC55" i="1"/>
  <c r="AD55" i="1"/>
  <c r="AE55" i="1"/>
  <c r="AF55" i="1"/>
  <c r="AG55" i="1"/>
  <c r="AH24" i="1"/>
  <c r="Z181" i="1"/>
  <c r="AA181" i="1"/>
  <c r="AB181" i="1"/>
  <c r="AC181" i="1"/>
  <c r="AD181" i="1"/>
  <c r="AE181" i="1"/>
  <c r="AF181" i="1"/>
  <c r="AG181" i="1"/>
  <c r="AH25" i="1"/>
  <c r="Z35" i="1"/>
  <c r="AA35" i="1"/>
  <c r="AB35" i="1"/>
  <c r="AC35" i="1"/>
  <c r="AD35" i="1"/>
  <c r="AE35" i="1"/>
  <c r="AF35" i="1"/>
  <c r="AG35" i="1"/>
  <c r="Z156" i="1"/>
  <c r="AA156" i="1"/>
  <c r="AB156" i="1"/>
  <c r="AC156" i="1"/>
  <c r="AD156" i="1"/>
  <c r="AE156" i="1"/>
  <c r="AF156" i="1"/>
  <c r="AG156" i="1"/>
  <c r="AH27" i="1"/>
  <c r="Z180" i="1"/>
  <c r="AA180" i="1"/>
  <c r="AB180" i="1"/>
  <c r="AC180" i="1"/>
  <c r="AD180" i="1"/>
  <c r="AE180" i="1"/>
  <c r="AF180" i="1"/>
  <c r="AG180" i="1"/>
  <c r="Z185" i="1"/>
  <c r="AA185" i="1"/>
  <c r="AB185" i="1"/>
  <c r="AC185" i="1"/>
  <c r="AD185" i="1"/>
  <c r="AE185" i="1"/>
  <c r="AF185" i="1"/>
  <c r="AG185" i="1"/>
  <c r="AH29" i="1"/>
  <c r="Z277" i="1"/>
  <c r="AA277" i="1"/>
  <c r="AB277" i="1"/>
  <c r="AC277" i="1"/>
  <c r="AD277" i="1"/>
  <c r="AE277" i="1"/>
  <c r="AF277" i="1"/>
  <c r="AG277" i="1"/>
  <c r="AH30" i="1"/>
  <c r="Z210" i="1"/>
  <c r="AA210" i="1"/>
  <c r="AB210" i="1"/>
  <c r="AC210" i="1"/>
  <c r="AD210" i="1"/>
  <c r="AE210" i="1"/>
  <c r="AF210" i="1"/>
  <c r="AG210" i="1"/>
  <c r="AH31" i="1"/>
  <c r="Z90" i="1"/>
  <c r="AA90" i="1"/>
  <c r="AB90" i="1"/>
  <c r="AC90" i="1"/>
  <c r="AD90" i="1"/>
  <c r="AE90" i="1"/>
  <c r="AF90" i="1"/>
  <c r="AG90" i="1"/>
  <c r="AH32" i="1"/>
  <c r="Z326" i="1"/>
  <c r="AA326" i="1"/>
  <c r="AB326" i="1"/>
  <c r="AC326" i="1"/>
  <c r="AD326" i="1"/>
  <c r="AE326" i="1"/>
  <c r="AF326" i="1"/>
  <c r="AG326" i="1"/>
  <c r="AH33" i="1"/>
  <c r="Z44" i="1"/>
  <c r="AA44" i="1"/>
  <c r="AB44" i="1"/>
  <c r="AC44" i="1"/>
  <c r="AD44" i="1"/>
  <c r="AE44" i="1"/>
  <c r="AF44" i="1"/>
  <c r="AG44" i="1"/>
  <c r="AH34" i="1"/>
  <c r="Z282" i="1"/>
  <c r="AA282" i="1"/>
  <c r="AB282" i="1"/>
  <c r="AC282" i="1"/>
  <c r="AD282" i="1"/>
  <c r="AE282" i="1"/>
  <c r="AF282" i="1"/>
  <c r="AG282" i="1"/>
  <c r="AH35" i="1"/>
  <c r="Z150" i="1"/>
  <c r="AA150" i="1"/>
  <c r="AB150" i="1"/>
  <c r="AC150" i="1"/>
  <c r="AD150" i="1"/>
  <c r="AE150" i="1"/>
  <c r="AF150" i="1"/>
  <c r="AG150" i="1"/>
  <c r="AH36" i="1"/>
  <c r="Z80" i="1"/>
  <c r="AA80" i="1"/>
  <c r="AB80" i="1"/>
  <c r="AC80" i="1"/>
  <c r="AD80" i="1"/>
  <c r="AE80" i="1"/>
  <c r="AF80" i="1"/>
  <c r="AG80" i="1"/>
  <c r="AH37" i="1"/>
  <c r="Z317" i="1"/>
  <c r="AA317" i="1"/>
  <c r="AB317" i="1"/>
  <c r="AC317" i="1"/>
  <c r="AD317" i="1"/>
  <c r="AE317" i="1"/>
  <c r="AF317" i="1"/>
  <c r="AG317" i="1"/>
  <c r="AH38" i="1"/>
  <c r="Z202" i="1"/>
  <c r="AA202" i="1"/>
  <c r="AB202" i="1"/>
  <c r="AC202" i="1"/>
  <c r="AD202" i="1"/>
  <c r="AE202" i="1"/>
  <c r="AF202" i="1"/>
  <c r="AG202" i="1"/>
  <c r="AH39" i="1"/>
  <c r="Z257" i="1"/>
  <c r="AA257" i="1"/>
  <c r="AB257" i="1"/>
  <c r="AC257" i="1"/>
  <c r="AD257" i="1"/>
  <c r="AE257" i="1"/>
  <c r="AF257" i="1"/>
  <c r="AG257" i="1"/>
  <c r="AH40" i="1"/>
  <c r="AH41" i="1"/>
  <c r="Z307" i="1"/>
  <c r="AA307" i="1"/>
  <c r="AB307" i="1"/>
  <c r="AC307" i="1"/>
  <c r="AD307" i="1"/>
  <c r="AE307" i="1"/>
  <c r="AF307" i="1"/>
  <c r="AG307" i="1"/>
  <c r="AH42" i="1"/>
  <c r="Z47" i="1"/>
  <c r="AA47" i="1"/>
  <c r="AB47" i="1"/>
  <c r="AC47" i="1"/>
  <c r="AD47" i="1"/>
  <c r="AE47" i="1"/>
  <c r="AF47" i="1"/>
  <c r="AG47" i="1"/>
  <c r="AH43" i="1"/>
  <c r="Z164" i="1"/>
  <c r="AA164" i="1"/>
  <c r="AB164" i="1"/>
  <c r="AC164" i="1"/>
  <c r="AD164" i="1"/>
  <c r="AE164" i="1"/>
  <c r="AF164" i="1"/>
  <c r="AG164" i="1"/>
  <c r="AH44" i="1"/>
  <c r="Z13" i="1"/>
  <c r="AA13" i="1"/>
  <c r="AB13" i="1"/>
  <c r="AC13" i="1"/>
  <c r="AD13" i="1"/>
  <c r="AE13" i="1"/>
  <c r="AF13" i="1"/>
  <c r="AG13" i="1"/>
  <c r="AH45" i="1"/>
  <c r="Z289" i="1"/>
  <c r="AA289" i="1"/>
  <c r="AB289" i="1"/>
  <c r="AC289" i="1"/>
  <c r="AD289" i="1"/>
  <c r="AE289" i="1"/>
  <c r="AF289" i="1"/>
  <c r="AG289" i="1"/>
  <c r="AH46" i="1"/>
  <c r="Z255" i="1"/>
  <c r="AA255" i="1"/>
  <c r="AB255" i="1"/>
  <c r="AC255" i="1"/>
  <c r="AD255" i="1"/>
  <c r="AE255" i="1"/>
  <c r="AF255" i="1"/>
  <c r="AG255" i="1"/>
  <c r="AH47" i="1"/>
  <c r="Z249" i="1"/>
  <c r="AA249" i="1"/>
  <c r="AB249" i="1"/>
  <c r="AC249" i="1"/>
  <c r="AD249" i="1"/>
  <c r="AE249" i="1"/>
  <c r="AF249" i="1"/>
  <c r="AG249" i="1"/>
  <c r="AH48" i="1"/>
  <c r="Z283" i="1"/>
  <c r="AA283" i="1"/>
  <c r="AB283" i="1"/>
  <c r="AC283" i="1"/>
  <c r="AD283" i="1"/>
  <c r="AE283" i="1"/>
  <c r="AF283" i="1"/>
  <c r="AG283" i="1"/>
  <c r="AH49" i="1"/>
  <c r="AH50" i="1"/>
  <c r="Z140" i="1"/>
  <c r="AA140" i="1"/>
  <c r="AB140" i="1"/>
  <c r="AC140" i="1"/>
  <c r="AD140" i="1"/>
  <c r="AE140" i="1"/>
  <c r="AF140" i="1"/>
  <c r="AG140" i="1"/>
  <c r="Z281" i="1"/>
  <c r="AA281" i="1"/>
  <c r="AB281" i="1"/>
  <c r="AD281" i="1"/>
  <c r="AE281" i="1"/>
  <c r="AF281" i="1"/>
  <c r="AG281" i="1"/>
  <c r="Z231" i="1"/>
  <c r="AA231" i="1"/>
  <c r="AB231" i="1"/>
  <c r="AC231" i="1"/>
  <c r="AD231" i="1"/>
  <c r="AE231" i="1"/>
  <c r="AF231" i="1"/>
  <c r="AG231" i="1"/>
  <c r="AH54" i="1"/>
  <c r="Z89" i="1"/>
  <c r="AA89" i="1"/>
  <c r="AB89" i="1"/>
  <c r="AC89" i="1"/>
  <c r="AD89" i="1"/>
  <c r="AE89" i="1"/>
  <c r="AF89" i="1"/>
  <c r="AG89" i="1"/>
  <c r="AH55" i="1"/>
  <c r="Z75" i="1"/>
  <c r="AA75" i="1"/>
  <c r="AB75" i="1"/>
  <c r="AC75" i="1"/>
  <c r="AD75" i="1"/>
  <c r="AE75" i="1"/>
  <c r="AF75" i="1"/>
  <c r="AG75" i="1"/>
  <c r="AH56" i="1"/>
  <c r="Z218" i="1"/>
  <c r="AA218" i="1"/>
  <c r="AB218" i="1"/>
  <c r="AD218" i="1"/>
  <c r="AE218" i="1"/>
  <c r="AF218" i="1"/>
  <c r="AG218" i="1"/>
  <c r="Z237" i="1"/>
  <c r="AA237" i="1"/>
  <c r="AB237" i="1"/>
  <c r="AC237" i="1"/>
  <c r="AD237" i="1"/>
  <c r="AE237" i="1"/>
  <c r="AF237" i="1"/>
  <c r="AG237" i="1"/>
  <c r="AH58" i="1"/>
  <c r="Z59" i="1"/>
  <c r="AA59" i="1"/>
  <c r="AB59" i="1"/>
  <c r="AC59" i="1"/>
  <c r="AD59" i="1"/>
  <c r="AE59" i="1"/>
  <c r="AF59" i="1"/>
  <c r="AG59" i="1"/>
  <c r="AH59" i="1"/>
  <c r="Z110" i="1"/>
  <c r="AA110" i="1"/>
  <c r="AB110" i="1"/>
  <c r="AC110" i="1"/>
  <c r="AD110" i="1"/>
  <c r="AE110" i="1"/>
  <c r="AF110" i="1"/>
  <c r="AG110" i="1"/>
  <c r="AH60" i="1"/>
  <c r="AH61" i="1"/>
  <c r="Z119" i="1"/>
  <c r="AA119" i="1"/>
  <c r="AB119" i="1"/>
  <c r="AC119" i="1"/>
  <c r="AD119" i="1"/>
  <c r="AE119" i="1"/>
  <c r="AF119" i="1"/>
  <c r="AG119" i="1"/>
  <c r="AH62" i="1"/>
  <c r="Z130" i="1"/>
  <c r="AA130" i="1"/>
  <c r="AB130" i="1"/>
  <c r="AC130" i="1"/>
  <c r="AD130" i="1"/>
  <c r="AE130" i="1"/>
  <c r="AF130" i="1"/>
  <c r="AG130" i="1"/>
  <c r="AH63" i="1"/>
  <c r="Z286" i="1"/>
  <c r="AA286" i="1"/>
  <c r="AB286" i="1"/>
  <c r="AC286" i="1"/>
  <c r="AD286" i="1"/>
  <c r="AE286" i="1"/>
  <c r="AF286" i="1"/>
  <c r="AG286" i="1"/>
  <c r="AH64" i="1"/>
  <c r="Z316" i="1"/>
  <c r="AA316" i="1"/>
  <c r="AB316" i="1"/>
  <c r="AC316" i="1"/>
  <c r="AD316" i="1"/>
  <c r="AE316" i="1"/>
  <c r="AF316" i="1"/>
  <c r="AG316" i="1"/>
  <c r="AH65" i="1"/>
  <c r="Z242" i="1"/>
  <c r="AA242" i="1"/>
  <c r="AB242" i="1"/>
  <c r="AC242" i="1"/>
  <c r="AD242" i="1"/>
  <c r="AE242" i="1"/>
  <c r="AF242" i="1"/>
  <c r="AG242" i="1"/>
  <c r="AH66" i="1"/>
  <c r="Z40" i="1"/>
  <c r="AA40" i="1"/>
  <c r="AB40" i="1"/>
  <c r="AC40" i="1"/>
  <c r="AD40" i="1"/>
  <c r="AE40" i="1"/>
  <c r="AF40" i="1"/>
  <c r="AG40" i="1"/>
  <c r="AH67" i="1"/>
  <c r="Z126" i="1"/>
  <c r="AA126" i="1"/>
  <c r="AB126" i="1"/>
  <c r="AC126" i="1"/>
  <c r="AD126" i="1"/>
  <c r="AE126" i="1"/>
  <c r="AF126" i="1"/>
  <c r="AG126" i="1"/>
  <c r="AH69" i="1"/>
  <c r="Z153" i="1"/>
  <c r="AA153" i="1"/>
  <c r="AB153" i="1"/>
  <c r="AC153" i="1"/>
  <c r="AD153" i="1"/>
  <c r="AE153" i="1"/>
  <c r="AF153" i="1"/>
  <c r="AG153" i="1"/>
  <c r="AH70" i="1"/>
  <c r="Z230" i="1"/>
  <c r="AA230" i="1"/>
  <c r="AB230" i="1"/>
  <c r="AC230" i="1"/>
  <c r="AD230" i="1"/>
  <c r="AE230" i="1"/>
  <c r="AF230" i="1"/>
  <c r="AG230" i="1"/>
  <c r="AH71" i="1"/>
  <c r="Z173" i="1"/>
  <c r="AA173" i="1"/>
  <c r="AB173" i="1"/>
  <c r="AC173" i="1"/>
  <c r="AD173" i="1"/>
  <c r="AE173" i="1"/>
  <c r="AF173" i="1"/>
  <c r="AG173" i="1"/>
  <c r="AH73" i="1"/>
  <c r="Z118" i="1"/>
  <c r="AA118" i="1"/>
  <c r="AB118" i="1"/>
  <c r="AC118" i="1"/>
  <c r="AD118" i="1"/>
  <c r="AE118" i="1"/>
  <c r="AF118" i="1"/>
  <c r="AG118" i="1"/>
  <c r="AH74" i="1"/>
  <c r="Z324" i="1"/>
  <c r="AA324" i="1"/>
  <c r="AB324" i="1"/>
  <c r="AC324" i="1"/>
  <c r="AD324" i="1"/>
  <c r="AE324" i="1"/>
  <c r="AF324" i="1"/>
  <c r="AG324" i="1"/>
  <c r="AH75" i="1"/>
  <c r="Z284" i="1"/>
  <c r="AA284" i="1"/>
  <c r="AB284" i="1"/>
  <c r="AC284" i="1"/>
  <c r="AD284" i="1"/>
  <c r="AE284" i="1"/>
  <c r="AF284" i="1"/>
  <c r="AG284" i="1"/>
  <c r="AH76" i="1"/>
  <c r="Z125" i="1"/>
  <c r="AA125" i="1"/>
  <c r="AB125" i="1"/>
  <c r="AC125" i="1"/>
  <c r="AD125" i="1"/>
  <c r="AE125" i="1"/>
  <c r="AF125" i="1"/>
  <c r="AG125" i="1"/>
  <c r="AH77" i="1"/>
  <c r="Z207" i="1"/>
  <c r="AA207" i="1"/>
  <c r="AB207" i="1"/>
  <c r="AC207" i="1"/>
  <c r="AD207" i="1"/>
  <c r="AE207" i="1"/>
  <c r="AF207" i="1"/>
  <c r="AG207" i="1"/>
  <c r="AH78" i="1"/>
  <c r="Z322" i="1"/>
  <c r="AA322" i="1"/>
  <c r="AB322" i="1"/>
  <c r="AC322" i="1"/>
  <c r="AD322" i="1"/>
  <c r="AE322" i="1"/>
  <c r="AF322" i="1"/>
  <c r="AG322" i="1"/>
  <c r="Z219" i="1"/>
  <c r="AA219" i="1"/>
  <c r="AB219" i="1"/>
  <c r="AC219" i="1"/>
  <c r="AD219" i="1"/>
  <c r="AE219" i="1"/>
  <c r="AF219" i="1"/>
  <c r="AG219" i="1"/>
  <c r="AH80" i="1"/>
  <c r="Z227" i="1"/>
  <c r="AA227" i="1"/>
  <c r="AB227" i="1"/>
  <c r="AC227" i="1"/>
  <c r="AD227" i="1"/>
  <c r="AE227" i="1"/>
  <c r="AF227" i="1"/>
  <c r="AG227" i="1"/>
  <c r="AH81" i="1"/>
  <c r="Z32" i="1"/>
  <c r="AA32" i="1"/>
  <c r="AB32" i="1"/>
  <c r="AC32" i="1"/>
  <c r="AD32" i="1"/>
  <c r="AE32" i="1"/>
  <c r="AF32" i="1"/>
  <c r="AG32" i="1"/>
  <c r="AH82" i="1"/>
  <c r="Z57" i="1"/>
  <c r="AA57" i="1"/>
  <c r="AB57" i="1"/>
  <c r="AC57" i="1"/>
  <c r="AD57" i="1"/>
  <c r="AE57" i="1"/>
  <c r="AF57" i="1"/>
  <c r="AG57" i="1"/>
  <c r="AH83" i="1"/>
  <c r="Z247" i="1"/>
  <c r="AA247" i="1"/>
  <c r="AB247" i="1"/>
  <c r="AC247" i="1"/>
  <c r="AD247" i="1"/>
  <c r="AE247" i="1"/>
  <c r="AF247" i="1"/>
  <c r="AG247" i="1"/>
  <c r="Z144" i="1"/>
  <c r="AA144" i="1"/>
  <c r="AB144" i="1"/>
  <c r="AC144" i="1"/>
  <c r="AD144" i="1"/>
  <c r="AE144" i="1"/>
  <c r="AF144" i="1"/>
  <c r="AG144" i="1"/>
  <c r="Z224" i="1"/>
  <c r="AA224" i="1"/>
  <c r="AB224" i="1"/>
  <c r="AC224" i="1"/>
  <c r="AD224" i="1"/>
  <c r="AE224" i="1"/>
  <c r="AF224" i="1"/>
  <c r="AG224" i="1"/>
  <c r="AH86" i="1"/>
  <c r="Z306" i="1"/>
  <c r="AA306" i="1"/>
  <c r="AB306" i="1"/>
  <c r="AC306" i="1"/>
  <c r="AD306" i="1"/>
  <c r="AE306" i="1"/>
  <c r="AF306" i="1"/>
  <c r="AG306" i="1"/>
  <c r="AH87" i="1"/>
  <c r="Z5" i="1"/>
  <c r="AA5" i="1"/>
  <c r="AB5" i="1"/>
  <c r="AC5" i="1"/>
  <c r="AD5" i="1"/>
  <c r="AE5" i="1"/>
  <c r="AF5" i="1"/>
  <c r="AG5" i="1"/>
  <c r="AH88" i="1"/>
  <c r="Z222" i="1"/>
  <c r="AA222" i="1"/>
  <c r="AB222" i="1"/>
  <c r="AC222" i="1"/>
  <c r="AD222" i="1"/>
  <c r="AE222" i="1"/>
  <c r="AF222" i="1"/>
  <c r="AG222" i="1"/>
  <c r="AH89" i="1"/>
  <c r="Z147" i="1"/>
  <c r="AA147" i="1"/>
  <c r="AB147" i="1"/>
  <c r="AC147" i="1"/>
  <c r="AD147" i="1"/>
  <c r="AE147" i="1"/>
  <c r="AF147" i="1"/>
  <c r="AG147" i="1"/>
  <c r="Z123" i="1"/>
  <c r="AA123" i="1"/>
  <c r="AB123" i="1"/>
  <c r="AC123" i="1"/>
  <c r="AD123" i="1"/>
  <c r="AE123" i="1"/>
  <c r="AF123" i="1"/>
  <c r="AG123" i="1"/>
  <c r="Z12" i="1"/>
  <c r="AA12" i="1"/>
  <c r="AB12" i="1"/>
  <c r="AC12" i="1"/>
  <c r="AD12" i="1"/>
  <c r="AE12" i="1"/>
  <c r="AF12" i="1"/>
  <c r="AG12" i="1"/>
  <c r="AH93" i="1"/>
  <c r="Z199" i="1"/>
  <c r="AA199" i="1"/>
  <c r="AB199" i="1"/>
  <c r="AC199" i="1"/>
  <c r="AD199" i="1"/>
  <c r="AE199" i="1"/>
  <c r="AF199" i="1"/>
  <c r="AG199" i="1"/>
  <c r="AH94" i="1"/>
  <c r="Z232" i="1"/>
  <c r="AA232" i="1"/>
  <c r="AB232" i="1"/>
  <c r="AC232" i="1"/>
  <c r="AD232" i="1"/>
  <c r="AE232" i="1"/>
  <c r="AF232" i="1"/>
  <c r="AG232" i="1"/>
  <c r="AH95" i="1"/>
  <c r="Z143" i="1"/>
  <c r="AA143" i="1"/>
  <c r="AB143" i="1"/>
  <c r="AC143" i="1"/>
  <c r="AD143" i="1"/>
  <c r="AE143" i="1"/>
  <c r="AF143" i="1"/>
  <c r="AG143" i="1"/>
  <c r="AH96" i="1"/>
  <c r="Z117" i="1"/>
  <c r="AA117" i="1"/>
  <c r="AB117" i="1"/>
  <c r="AC117" i="1"/>
  <c r="AD117" i="1"/>
  <c r="AE117" i="1"/>
  <c r="AF117" i="1"/>
  <c r="AG117" i="1"/>
  <c r="AH97" i="1"/>
  <c r="Z271" i="1"/>
  <c r="AA271" i="1"/>
  <c r="AB271" i="1"/>
  <c r="AC271" i="1"/>
  <c r="AD271" i="1"/>
  <c r="AE271" i="1"/>
  <c r="AF271" i="1"/>
  <c r="AG271" i="1"/>
  <c r="AH98" i="1"/>
  <c r="Z273" i="1"/>
  <c r="AA273" i="1"/>
  <c r="AB273" i="1"/>
  <c r="AC273" i="1"/>
  <c r="AD273" i="1"/>
  <c r="AE273" i="1"/>
  <c r="AF273" i="1"/>
  <c r="AG273" i="1"/>
  <c r="AH99" i="1"/>
  <c r="Z61" i="1"/>
  <c r="AA61" i="1"/>
  <c r="AB61" i="1"/>
  <c r="AC61" i="1"/>
  <c r="AD61" i="1"/>
  <c r="AE61" i="1"/>
  <c r="AF61" i="1"/>
  <c r="AG61" i="1"/>
  <c r="AH100" i="1"/>
  <c r="Z38" i="1"/>
  <c r="AA38" i="1"/>
  <c r="AB38" i="1"/>
  <c r="AC38" i="1"/>
  <c r="AD38" i="1"/>
  <c r="AE38" i="1"/>
  <c r="AF38" i="1"/>
  <c r="AG38" i="1"/>
  <c r="AH101" i="1"/>
  <c r="Z204" i="1"/>
  <c r="AA204" i="1"/>
  <c r="AB204" i="1"/>
  <c r="AC204" i="1"/>
  <c r="AD204" i="1"/>
  <c r="AE204" i="1"/>
  <c r="AF204" i="1"/>
  <c r="AG204" i="1"/>
  <c r="Z217" i="1"/>
  <c r="AA217" i="1"/>
  <c r="AB217" i="1"/>
  <c r="AC217" i="1"/>
  <c r="AD217" i="1"/>
  <c r="AE217" i="1"/>
  <c r="AF217" i="1"/>
  <c r="AG217" i="1"/>
  <c r="AH103" i="1"/>
  <c r="Z253" i="1"/>
  <c r="AA253" i="1"/>
  <c r="AB253" i="1"/>
  <c r="AC253" i="1"/>
  <c r="AD253" i="1"/>
  <c r="AE253" i="1"/>
  <c r="AF253" i="1"/>
  <c r="AG253" i="1"/>
  <c r="AH104" i="1"/>
  <c r="Z268" i="1"/>
  <c r="AA268" i="1"/>
  <c r="AB268" i="1"/>
  <c r="AC268" i="1"/>
  <c r="AD268" i="1"/>
  <c r="AE268" i="1"/>
  <c r="AF268" i="1"/>
  <c r="AG268" i="1"/>
  <c r="AH105" i="1"/>
  <c r="Z269" i="1"/>
  <c r="AA269" i="1"/>
  <c r="AB269" i="1"/>
  <c r="AC269" i="1"/>
  <c r="AD269" i="1"/>
  <c r="AE269" i="1"/>
  <c r="AF269" i="1"/>
  <c r="AG269" i="1"/>
  <c r="AH106" i="1"/>
  <c r="Z97" i="1"/>
  <c r="AA97" i="1"/>
  <c r="AB97" i="1"/>
  <c r="AC97" i="1"/>
  <c r="AD97" i="1"/>
  <c r="AE97" i="1"/>
  <c r="AF97" i="1"/>
  <c r="AG97" i="1"/>
  <c r="AH107" i="1"/>
  <c r="Z243" i="1"/>
  <c r="AA243" i="1"/>
  <c r="AB243" i="1"/>
  <c r="AC243" i="1"/>
  <c r="AD243" i="1"/>
  <c r="AE243" i="1"/>
  <c r="AF243" i="1"/>
  <c r="AG243" i="1"/>
  <c r="AH108" i="1"/>
  <c r="Z226" i="1"/>
  <c r="AA226" i="1"/>
  <c r="AB226" i="1"/>
  <c r="AC226" i="1"/>
  <c r="AD226" i="1"/>
  <c r="AE226" i="1"/>
  <c r="AF226" i="1"/>
  <c r="AG226" i="1"/>
  <c r="AH109" i="1"/>
  <c r="Z264" i="1"/>
  <c r="AA264" i="1"/>
  <c r="AB264" i="1"/>
  <c r="AC264" i="1"/>
  <c r="AD264" i="1"/>
  <c r="AE264" i="1"/>
  <c r="AF264" i="1"/>
  <c r="AG264" i="1"/>
  <c r="AH110" i="1"/>
  <c r="Z106" i="1"/>
  <c r="AA106" i="1"/>
  <c r="AB106" i="1"/>
  <c r="AC106" i="1"/>
  <c r="AD106" i="1"/>
  <c r="AE106" i="1"/>
  <c r="AF106" i="1"/>
  <c r="AG106" i="1"/>
  <c r="AH111" i="1"/>
  <c r="Z158" i="1"/>
  <c r="AA158" i="1"/>
  <c r="AB158" i="1"/>
  <c r="AC158" i="1"/>
  <c r="AD158" i="1"/>
  <c r="AE158" i="1"/>
  <c r="AF158" i="1"/>
  <c r="AG158" i="1"/>
  <c r="AH112" i="1"/>
  <c r="Z146" i="1"/>
  <c r="AA146" i="1"/>
  <c r="AB146" i="1"/>
  <c r="AC146" i="1"/>
  <c r="AD146" i="1"/>
  <c r="AE146" i="1"/>
  <c r="AF146" i="1"/>
  <c r="AG146" i="1"/>
  <c r="AH113" i="1"/>
  <c r="Z62" i="1"/>
  <c r="AA62" i="1"/>
  <c r="AB62" i="1"/>
  <c r="AC62" i="1"/>
  <c r="AD62" i="1"/>
  <c r="AE62" i="1"/>
  <c r="AF62" i="1"/>
  <c r="AG62" i="1"/>
  <c r="AH114" i="1"/>
  <c r="Z134" i="1"/>
  <c r="AA134" i="1"/>
  <c r="AB134" i="1"/>
  <c r="AC134" i="1"/>
  <c r="AD134" i="1"/>
  <c r="AE134" i="1"/>
  <c r="AF134" i="1"/>
  <c r="AG134" i="1"/>
  <c r="AH115" i="1"/>
  <c r="Z261" i="1"/>
  <c r="AA261" i="1"/>
  <c r="AB261" i="1"/>
  <c r="AC261" i="1"/>
  <c r="AD261" i="1"/>
  <c r="AE261" i="1"/>
  <c r="AF261" i="1"/>
  <c r="AG261" i="1"/>
  <c r="AH116" i="1"/>
  <c r="Z241" i="1"/>
  <c r="AA241" i="1"/>
  <c r="AB241" i="1"/>
  <c r="AC241" i="1"/>
  <c r="AD241" i="1"/>
  <c r="AE241" i="1"/>
  <c r="AF241" i="1"/>
  <c r="AG241" i="1"/>
  <c r="AH117" i="1"/>
  <c r="Z24" i="1"/>
  <c r="AA24" i="1"/>
  <c r="AB24" i="1"/>
  <c r="AC24" i="1"/>
  <c r="AD24" i="1"/>
  <c r="AE24" i="1"/>
  <c r="AF24" i="1"/>
  <c r="AG24" i="1"/>
  <c r="AH118" i="1"/>
  <c r="Z165" i="1"/>
  <c r="AA165" i="1"/>
  <c r="AB165" i="1"/>
  <c r="AC165" i="1"/>
  <c r="AD165" i="1"/>
  <c r="AE165" i="1"/>
  <c r="AF165" i="1"/>
  <c r="AG165" i="1"/>
  <c r="AH119" i="1"/>
  <c r="Z296" i="1"/>
  <c r="AA296" i="1"/>
  <c r="AB296" i="1"/>
  <c r="AC296" i="1"/>
  <c r="AD296" i="1"/>
  <c r="AE296" i="1"/>
  <c r="AF296" i="1"/>
  <c r="AG296" i="1"/>
  <c r="AH120" i="1"/>
  <c r="Z187" i="1"/>
  <c r="AA187" i="1"/>
  <c r="AB187" i="1"/>
  <c r="AC187" i="1"/>
  <c r="AD187" i="1"/>
  <c r="AE187" i="1"/>
  <c r="AF187" i="1"/>
  <c r="AG187" i="1"/>
  <c r="AH122" i="1"/>
  <c r="Z172" i="1"/>
  <c r="AA172" i="1"/>
  <c r="AB172" i="1"/>
  <c r="AC172" i="1"/>
  <c r="AD172" i="1"/>
  <c r="AE172" i="1"/>
  <c r="AF172" i="1"/>
  <c r="AG172" i="1"/>
  <c r="AH123" i="1"/>
  <c r="Z154" i="1"/>
  <c r="AA154" i="1"/>
  <c r="AB154" i="1"/>
  <c r="AC154" i="1"/>
  <c r="AD154" i="1"/>
  <c r="AE154" i="1"/>
  <c r="AF154" i="1"/>
  <c r="AG154" i="1"/>
  <c r="AH124" i="1"/>
  <c r="Z115" i="1"/>
  <c r="AA115" i="1"/>
  <c r="AB115" i="1"/>
  <c r="AC115" i="1"/>
  <c r="AD115" i="1"/>
  <c r="AE115" i="1"/>
  <c r="AF115" i="1"/>
  <c r="AG115" i="1"/>
  <c r="AH125" i="1"/>
  <c r="Z81" i="1"/>
  <c r="AA81" i="1"/>
  <c r="AB81" i="1"/>
  <c r="AC81" i="1"/>
  <c r="AD81" i="1"/>
  <c r="AE81" i="1"/>
  <c r="AF81" i="1"/>
  <c r="AG81" i="1"/>
  <c r="AH126" i="1"/>
  <c r="Z96" i="1"/>
  <c r="AA96" i="1"/>
  <c r="AB96" i="1"/>
  <c r="AC96" i="1"/>
  <c r="AD96" i="1"/>
  <c r="AE96" i="1"/>
  <c r="AF96" i="1"/>
  <c r="AG96" i="1"/>
  <c r="AH127" i="1"/>
  <c r="Z83" i="1"/>
  <c r="AA83" i="1"/>
  <c r="AB83" i="1"/>
  <c r="AC83" i="1"/>
  <c r="AD83" i="1"/>
  <c r="AE83" i="1"/>
  <c r="AF83" i="1"/>
  <c r="AG83" i="1"/>
  <c r="AH128" i="1"/>
  <c r="Z136" i="1"/>
  <c r="AA136" i="1"/>
  <c r="AB136" i="1"/>
  <c r="AC136" i="1"/>
  <c r="AD136" i="1"/>
  <c r="AE136" i="1"/>
  <c r="AF136" i="1"/>
  <c r="AG136" i="1"/>
  <c r="AH129" i="1"/>
  <c r="Z11" i="1"/>
  <c r="AA11" i="1"/>
  <c r="AB11" i="1"/>
  <c r="AC11" i="1"/>
  <c r="AD11" i="1"/>
  <c r="AE11" i="1"/>
  <c r="AF11" i="1"/>
  <c r="AG11" i="1"/>
  <c r="AH130" i="1"/>
  <c r="Z325" i="1"/>
  <c r="AA325" i="1"/>
  <c r="AB325" i="1"/>
  <c r="AC325" i="1"/>
  <c r="AD325" i="1"/>
  <c r="AE325" i="1"/>
  <c r="AF325" i="1"/>
  <c r="AG325" i="1"/>
  <c r="AH131" i="1"/>
  <c r="Z309" i="1"/>
  <c r="AA309" i="1"/>
  <c r="AB309" i="1"/>
  <c r="AC309" i="1"/>
  <c r="AD309" i="1"/>
  <c r="AE309" i="1"/>
  <c r="AF309" i="1"/>
  <c r="AG309" i="1"/>
  <c r="AH132" i="1"/>
  <c r="Z179" i="1"/>
  <c r="AA179" i="1"/>
  <c r="AB179" i="1"/>
  <c r="AC179" i="1"/>
  <c r="AD179" i="1"/>
  <c r="AE179" i="1"/>
  <c r="AF179" i="1"/>
  <c r="AG179" i="1"/>
  <c r="AH133" i="1"/>
  <c r="Z211" i="1"/>
  <c r="AA211" i="1"/>
  <c r="AB211" i="1"/>
  <c r="AC211" i="1"/>
  <c r="AD211" i="1"/>
  <c r="AE211" i="1"/>
  <c r="AF211" i="1"/>
  <c r="AG211" i="1"/>
  <c r="AH134" i="1"/>
  <c r="Z176" i="1"/>
  <c r="AA176" i="1"/>
  <c r="AB176" i="1"/>
  <c r="AC176" i="1"/>
  <c r="AD176" i="1"/>
  <c r="AE176" i="1"/>
  <c r="AF176" i="1"/>
  <c r="AG176" i="1"/>
  <c r="AH135" i="1"/>
  <c r="Z107" i="1"/>
  <c r="AA107" i="1"/>
  <c r="AB107" i="1"/>
  <c r="AC107" i="1"/>
  <c r="AD107" i="1"/>
  <c r="AE107" i="1"/>
  <c r="AF107" i="1"/>
  <c r="AG107" i="1"/>
  <c r="AH136" i="1"/>
  <c r="Z155" i="1"/>
  <c r="AA155" i="1"/>
  <c r="AB155" i="1"/>
  <c r="AC155" i="1"/>
  <c r="AD155" i="1"/>
  <c r="AE155" i="1"/>
  <c r="AF155" i="1"/>
  <c r="AG155" i="1"/>
  <c r="AH137" i="1"/>
  <c r="Z42" i="1"/>
  <c r="AA42" i="1"/>
  <c r="AB42" i="1"/>
  <c r="AC42" i="1"/>
  <c r="AD42" i="1"/>
  <c r="AE42" i="1"/>
  <c r="AF42" i="1"/>
  <c r="AG42" i="1"/>
  <c r="AH138" i="1"/>
  <c r="Z280" i="1"/>
  <c r="AA280" i="1"/>
  <c r="AB280" i="1"/>
  <c r="AC280" i="1"/>
  <c r="AD280" i="1"/>
  <c r="AE280" i="1"/>
  <c r="AF280" i="1"/>
  <c r="AG280" i="1"/>
  <c r="AH139" i="1"/>
  <c r="AH140" i="1"/>
  <c r="Z127" i="1"/>
  <c r="AA127" i="1"/>
  <c r="AB127" i="1"/>
  <c r="AC127" i="1"/>
  <c r="AD127" i="1"/>
  <c r="AE127" i="1"/>
  <c r="AF127" i="1"/>
  <c r="AG127" i="1"/>
  <c r="AH141" i="1"/>
  <c r="Z145" i="1"/>
  <c r="AA145" i="1"/>
  <c r="AB145" i="1"/>
  <c r="AC145" i="1"/>
  <c r="AD145" i="1"/>
  <c r="AE145" i="1"/>
  <c r="AF145" i="1"/>
  <c r="AG145" i="1"/>
  <c r="AH142" i="1"/>
  <c r="Z111" i="1"/>
  <c r="AA111" i="1"/>
  <c r="AB111" i="1"/>
  <c r="AC111" i="1"/>
  <c r="AD111" i="1"/>
  <c r="AE111" i="1"/>
  <c r="AF111" i="1"/>
  <c r="AG111" i="1"/>
  <c r="AH143" i="1"/>
  <c r="Z45" i="1"/>
  <c r="AA45" i="1"/>
  <c r="AB45" i="1"/>
  <c r="AC45" i="1"/>
  <c r="AD45" i="1"/>
  <c r="AE45" i="1"/>
  <c r="AF45" i="1"/>
  <c r="AG45" i="1"/>
  <c r="AH144" i="1"/>
  <c r="Z121" i="1"/>
  <c r="AA121" i="1"/>
  <c r="AB121" i="1"/>
  <c r="AC121" i="1"/>
  <c r="AD121" i="1"/>
  <c r="AE121" i="1"/>
  <c r="AF121" i="1"/>
  <c r="AG121" i="1"/>
  <c r="AH145" i="1"/>
  <c r="Z152" i="1"/>
  <c r="AA152" i="1"/>
  <c r="AB152" i="1"/>
  <c r="AC152" i="1"/>
  <c r="AD152" i="1"/>
  <c r="AE152" i="1"/>
  <c r="AF152" i="1"/>
  <c r="AG152" i="1"/>
  <c r="AH146" i="1"/>
  <c r="Z72" i="1"/>
  <c r="AA72" i="1"/>
  <c r="AB72" i="1"/>
  <c r="AC72" i="1"/>
  <c r="AD72" i="1"/>
  <c r="AE72" i="1"/>
  <c r="AF72" i="1"/>
  <c r="AG72" i="1"/>
  <c r="AH147" i="1"/>
  <c r="Z304" i="1"/>
  <c r="AA304" i="1"/>
  <c r="AB304" i="1"/>
  <c r="AC304" i="1"/>
  <c r="AD304" i="1"/>
  <c r="AE304" i="1"/>
  <c r="AF304" i="1"/>
  <c r="AG304" i="1"/>
  <c r="AH148" i="1"/>
  <c r="Z192" i="1"/>
  <c r="AA192" i="1"/>
  <c r="AB192" i="1"/>
  <c r="AC192" i="1"/>
  <c r="AD192" i="1"/>
  <c r="AE192" i="1"/>
  <c r="AF192" i="1"/>
  <c r="AG192" i="1"/>
  <c r="AH149" i="1"/>
  <c r="Z160" i="1"/>
  <c r="AA160" i="1"/>
  <c r="AB160" i="1"/>
  <c r="AC160" i="1"/>
  <c r="AD160" i="1"/>
  <c r="AE160" i="1"/>
  <c r="AF160" i="1"/>
  <c r="AG160" i="1"/>
  <c r="AH150" i="1"/>
  <c r="AH151" i="1"/>
  <c r="AH152" i="1"/>
  <c r="Z168" i="1"/>
  <c r="AA168" i="1"/>
  <c r="AB168" i="1"/>
  <c r="AC168" i="1"/>
  <c r="AD168" i="1"/>
  <c r="AE168" i="1"/>
  <c r="AF168" i="1"/>
  <c r="AG168" i="1"/>
  <c r="AH153" i="1"/>
  <c r="Z148" i="1"/>
  <c r="AA148" i="1"/>
  <c r="AB148" i="1"/>
  <c r="AC148" i="1"/>
  <c r="AD148" i="1"/>
  <c r="AE148" i="1"/>
  <c r="AF148" i="1"/>
  <c r="AG148" i="1"/>
  <c r="AH154" i="1"/>
  <c r="Z177" i="1"/>
  <c r="AA177" i="1"/>
  <c r="AB177" i="1"/>
  <c r="AC177" i="1"/>
  <c r="AD177" i="1"/>
  <c r="AE177" i="1"/>
  <c r="AF177" i="1"/>
  <c r="AG177" i="1"/>
  <c r="AH155" i="1"/>
  <c r="Z238" i="1"/>
  <c r="AA238" i="1"/>
  <c r="AB238" i="1"/>
  <c r="AC238" i="1"/>
  <c r="AD238" i="1"/>
  <c r="AE238" i="1"/>
  <c r="AF238" i="1"/>
  <c r="AG238" i="1"/>
  <c r="AH156" i="1"/>
  <c r="Z142" i="1"/>
  <c r="AA142" i="1"/>
  <c r="AB142" i="1"/>
  <c r="AC142" i="1"/>
  <c r="AD142" i="1"/>
  <c r="AE142" i="1"/>
  <c r="AF142" i="1"/>
  <c r="AG142" i="1"/>
  <c r="AH157" i="1"/>
  <c r="Z77" i="1"/>
  <c r="AA77" i="1"/>
  <c r="AB77" i="1"/>
  <c r="AC77" i="1"/>
  <c r="AD77" i="1"/>
  <c r="AE77" i="1"/>
  <c r="AF77" i="1"/>
  <c r="AG77" i="1"/>
  <c r="AH158" i="1"/>
  <c r="AH159" i="1"/>
  <c r="Z169" i="1"/>
  <c r="AA169" i="1"/>
  <c r="AB169" i="1"/>
  <c r="AC169" i="1"/>
  <c r="AD169" i="1"/>
  <c r="AE169" i="1"/>
  <c r="AF169" i="1"/>
  <c r="AG169" i="1"/>
  <c r="AH160" i="1"/>
  <c r="Z54" i="1"/>
  <c r="AA54" i="1"/>
  <c r="AB54" i="1"/>
  <c r="AC54" i="1"/>
  <c r="AD54" i="1"/>
  <c r="AE54" i="1"/>
  <c r="AF54" i="1"/>
  <c r="AG54" i="1"/>
  <c r="AH161" i="1"/>
  <c r="Z163" i="1"/>
  <c r="AA163" i="1"/>
  <c r="AB163" i="1"/>
  <c r="AC163" i="1"/>
  <c r="AD163" i="1"/>
  <c r="AE163" i="1"/>
  <c r="AF163" i="1"/>
  <c r="AG163" i="1"/>
  <c r="AH162" i="1"/>
  <c r="Z34" i="1"/>
  <c r="AA34" i="1"/>
  <c r="AB34" i="1"/>
  <c r="AC34" i="1"/>
  <c r="AD34" i="1"/>
  <c r="AE34" i="1"/>
  <c r="AF34" i="1"/>
  <c r="AG34" i="1"/>
  <c r="AH163" i="1"/>
  <c r="Z149" i="1"/>
  <c r="AA149" i="1"/>
  <c r="AB149" i="1"/>
  <c r="AC149" i="1"/>
  <c r="AD149" i="1"/>
  <c r="AE149" i="1"/>
  <c r="AF149" i="1"/>
  <c r="AG149" i="1"/>
  <c r="AH164" i="1"/>
  <c r="Z88" i="1"/>
  <c r="AA88" i="1"/>
  <c r="AB88" i="1"/>
  <c r="AC88" i="1"/>
  <c r="AD88" i="1"/>
  <c r="AE88" i="1"/>
  <c r="AF88" i="1"/>
  <c r="AG88" i="1"/>
  <c r="AH165" i="1"/>
  <c r="Z323" i="1"/>
  <c r="AA323" i="1"/>
  <c r="AB323" i="1"/>
  <c r="AC323" i="1"/>
  <c r="AD323" i="1"/>
  <c r="AE323" i="1"/>
  <c r="AF323" i="1"/>
  <c r="AG323" i="1"/>
  <c r="AH166" i="1"/>
  <c r="Z112" i="1"/>
  <c r="AA112" i="1"/>
  <c r="AB112" i="1"/>
  <c r="AC112" i="1"/>
  <c r="AD112" i="1"/>
  <c r="AE112" i="1"/>
  <c r="AF112" i="1"/>
  <c r="AG112" i="1"/>
  <c r="AH167" i="1"/>
  <c r="Z109" i="1"/>
  <c r="AA109" i="1"/>
  <c r="AB109" i="1"/>
  <c r="AC109" i="1"/>
  <c r="AD109" i="1"/>
  <c r="AE109" i="1"/>
  <c r="AF109" i="1"/>
  <c r="AG109" i="1"/>
  <c r="AH168" i="1"/>
  <c r="Z74" i="1"/>
  <c r="AA74" i="1"/>
  <c r="AB74" i="1"/>
  <c r="AC74" i="1"/>
  <c r="AD74" i="1"/>
  <c r="AE74" i="1"/>
  <c r="AF74" i="1"/>
  <c r="AG74" i="1"/>
  <c r="AH169" i="1"/>
  <c r="Z50" i="1"/>
  <c r="AA50" i="1"/>
  <c r="AB50" i="1"/>
  <c r="AC50" i="1"/>
  <c r="AD50" i="1"/>
  <c r="AE50" i="1"/>
  <c r="AF50" i="1"/>
  <c r="AG50" i="1"/>
  <c r="AH170" i="1"/>
  <c r="Z82" i="1"/>
  <c r="AA82" i="1"/>
  <c r="AB82" i="1"/>
  <c r="AC82" i="1"/>
  <c r="AD82" i="1"/>
  <c r="AE82" i="1"/>
  <c r="AF82" i="1"/>
  <c r="AG82" i="1"/>
  <c r="AH171" i="1"/>
  <c r="Z288" i="1"/>
  <c r="AA288" i="1"/>
  <c r="AB288" i="1"/>
  <c r="AC288" i="1"/>
  <c r="AD288" i="1"/>
  <c r="AE288" i="1"/>
  <c r="AF288" i="1"/>
  <c r="AG288" i="1"/>
  <c r="AH172" i="1"/>
  <c r="Z275" i="1"/>
  <c r="AA275" i="1"/>
  <c r="AB275" i="1"/>
  <c r="AC275" i="1"/>
  <c r="AD275" i="1"/>
  <c r="AE275" i="1"/>
  <c r="AF275" i="1"/>
  <c r="AG275" i="1"/>
  <c r="AH173" i="1"/>
  <c r="Z159" i="1"/>
  <c r="AA159" i="1"/>
  <c r="AB159" i="1"/>
  <c r="AC159" i="1"/>
  <c r="AD159" i="1"/>
  <c r="AE159" i="1"/>
  <c r="AF159" i="1"/>
  <c r="AG159" i="1"/>
  <c r="AH174" i="1"/>
  <c r="Z245" i="1"/>
  <c r="AA245" i="1"/>
  <c r="AB245" i="1"/>
  <c r="AC245" i="1"/>
  <c r="AD245" i="1"/>
  <c r="AE245" i="1"/>
  <c r="AF245" i="1"/>
  <c r="AG245" i="1"/>
  <c r="AH175" i="1"/>
  <c r="Z197" i="1"/>
  <c r="AA197" i="1"/>
  <c r="AB197" i="1"/>
  <c r="AC197" i="1"/>
  <c r="AD197" i="1"/>
  <c r="AE197" i="1"/>
  <c r="AF197" i="1"/>
  <c r="AG197" i="1"/>
  <c r="AH176" i="1"/>
  <c r="Z213" i="1"/>
  <c r="AA213" i="1"/>
  <c r="AB213" i="1"/>
  <c r="AC213" i="1"/>
  <c r="AD213" i="1"/>
  <c r="AE213" i="1"/>
  <c r="AF213" i="1"/>
  <c r="AG213" i="1"/>
  <c r="AH177" i="1"/>
  <c r="Z299" i="1"/>
  <c r="AA299" i="1"/>
  <c r="AB299" i="1"/>
  <c r="AC299" i="1"/>
  <c r="AD299" i="1"/>
  <c r="AE299" i="1"/>
  <c r="AF299" i="1"/>
  <c r="AG299" i="1"/>
  <c r="AH178" i="1"/>
  <c r="Z114" i="1"/>
  <c r="AA114" i="1"/>
  <c r="AB114" i="1"/>
  <c r="AC114" i="1"/>
  <c r="AD114" i="1"/>
  <c r="AE114" i="1"/>
  <c r="AF114" i="1"/>
  <c r="AG114" i="1"/>
  <c r="AH179" i="1"/>
  <c r="Z25" i="1"/>
  <c r="AA25" i="1"/>
  <c r="AB25" i="1"/>
  <c r="AC25" i="1"/>
  <c r="AD25" i="1"/>
  <c r="AE25" i="1"/>
  <c r="AF25" i="1"/>
  <c r="AG25" i="1"/>
  <c r="AH180" i="1"/>
  <c r="Z139" i="1"/>
  <c r="AA139" i="1"/>
  <c r="AB139" i="1"/>
  <c r="AC139" i="1"/>
  <c r="AD139" i="1"/>
  <c r="AE139" i="1"/>
  <c r="AF139" i="1"/>
  <c r="AG139" i="1"/>
  <c r="AH181" i="1"/>
  <c r="Z120" i="1"/>
  <c r="AA120" i="1"/>
  <c r="AB120" i="1"/>
  <c r="AC120" i="1"/>
  <c r="AD120" i="1"/>
  <c r="AE120" i="1"/>
  <c r="AF120" i="1"/>
  <c r="AG120" i="1"/>
  <c r="AH182" i="1"/>
  <c r="Z315" i="1"/>
  <c r="AA315" i="1"/>
  <c r="AB315" i="1"/>
  <c r="AC315" i="1"/>
  <c r="AD315" i="1"/>
  <c r="AE315" i="1"/>
  <c r="AF315" i="1"/>
  <c r="AG315" i="1"/>
  <c r="AH183" i="1"/>
  <c r="Z233" i="1"/>
  <c r="AA233" i="1"/>
  <c r="AB233" i="1"/>
  <c r="AC233" i="1"/>
  <c r="AD233" i="1"/>
  <c r="AE233" i="1"/>
  <c r="AF233" i="1"/>
  <c r="AG233" i="1"/>
  <c r="AH184" i="1"/>
  <c r="Z206" i="1"/>
  <c r="AA206" i="1"/>
  <c r="AB206" i="1"/>
  <c r="AC206" i="1"/>
  <c r="AD206" i="1"/>
  <c r="AE206" i="1"/>
  <c r="AF206" i="1"/>
  <c r="AG206" i="1"/>
  <c r="AH185" i="1"/>
  <c r="Z252" i="1"/>
  <c r="AA252" i="1"/>
  <c r="AB252" i="1"/>
  <c r="AC252" i="1"/>
  <c r="AD252" i="1"/>
  <c r="AE252" i="1"/>
  <c r="AF252" i="1"/>
  <c r="AG252" i="1"/>
  <c r="AH186" i="1"/>
  <c r="Z182" i="1"/>
  <c r="AA182" i="1"/>
  <c r="AB182" i="1"/>
  <c r="AC182" i="1"/>
  <c r="AD182" i="1"/>
  <c r="AE182" i="1"/>
  <c r="AF182" i="1"/>
  <c r="AG182" i="1"/>
  <c r="AH187" i="1"/>
  <c r="Z69" i="1"/>
  <c r="AA69" i="1"/>
  <c r="AB69" i="1"/>
  <c r="AC69" i="1"/>
  <c r="AD69" i="1"/>
  <c r="AE69" i="1"/>
  <c r="AF69" i="1"/>
  <c r="AG69" i="1"/>
  <c r="AH188" i="1"/>
  <c r="Z60" i="1"/>
  <c r="AA60" i="1"/>
  <c r="AB60" i="1"/>
  <c r="AC60" i="1"/>
  <c r="AD60" i="1"/>
  <c r="AE60" i="1"/>
  <c r="AF60" i="1"/>
  <c r="AG60" i="1"/>
  <c r="AH189" i="1"/>
  <c r="Z258" i="1"/>
  <c r="AA258" i="1"/>
  <c r="AB258" i="1"/>
  <c r="AC258" i="1"/>
  <c r="AD258" i="1"/>
  <c r="AE258" i="1"/>
  <c r="AF258" i="1"/>
  <c r="AG258" i="1"/>
  <c r="AH190" i="1"/>
  <c r="Z2" i="1"/>
  <c r="AA2" i="1"/>
  <c r="AB2" i="1"/>
  <c r="AC2" i="1"/>
  <c r="AD2" i="1"/>
  <c r="AE2" i="1"/>
  <c r="AF2" i="1"/>
  <c r="AG2" i="1"/>
  <c r="AH191" i="1"/>
  <c r="Z259" i="1"/>
  <c r="AA259" i="1"/>
  <c r="AB259" i="1"/>
  <c r="AC259" i="1"/>
  <c r="AD259" i="1"/>
  <c r="AE259" i="1"/>
  <c r="AF259" i="1"/>
  <c r="AG259" i="1"/>
  <c r="AH192" i="1"/>
  <c r="Z132" i="1"/>
  <c r="AA132" i="1"/>
  <c r="AB132" i="1"/>
  <c r="AC132" i="1"/>
  <c r="AD132" i="1"/>
  <c r="AE132" i="1"/>
  <c r="AF132" i="1"/>
  <c r="AG132" i="1"/>
  <c r="AH193" i="1"/>
  <c r="AH194" i="1"/>
  <c r="Z16" i="1"/>
  <c r="AA16" i="1"/>
  <c r="AB16" i="1"/>
  <c r="AC16" i="1"/>
  <c r="AD16" i="1"/>
  <c r="AE16" i="1"/>
  <c r="AF16" i="1"/>
  <c r="AG16" i="1"/>
  <c r="AH195" i="1"/>
  <c r="Z212" i="1"/>
  <c r="AA212" i="1"/>
  <c r="AB212" i="1"/>
  <c r="AC212" i="1"/>
  <c r="AD212" i="1"/>
  <c r="AE212" i="1"/>
  <c r="AF212" i="1"/>
  <c r="AG212" i="1"/>
  <c r="AH196" i="1"/>
  <c r="Z300" i="1"/>
  <c r="AA300" i="1"/>
  <c r="AB300" i="1"/>
  <c r="AC300" i="1"/>
  <c r="AD300" i="1"/>
  <c r="AE300" i="1"/>
  <c r="AF300" i="1"/>
  <c r="AG300" i="1"/>
  <c r="AH197" i="1"/>
  <c r="Z58" i="1"/>
  <c r="AA58" i="1"/>
  <c r="AB58" i="1"/>
  <c r="AC58" i="1"/>
  <c r="AD58" i="1"/>
  <c r="AE58" i="1"/>
  <c r="AF58" i="1"/>
  <c r="AG58" i="1"/>
  <c r="AH198" i="1"/>
  <c r="Z73" i="1"/>
  <c r="AA73" i="1"/>
  <c r="AB73" i="1"/>
  <c r="AC73" i="1"/>
  <c r="AD73" i="1"/>
  <c r="AE73" i="1"/>
  <c r="AF73" i="1"/>
  <c r="AG73" i="1"/>
  <c r="AH199" i="1"/>
  <c r="Z138" i="1"/>
  <c r="AA138" i="1"/>
  <c r="AB138" i="1"/>
  <c r="AC138" i="1"/>
  <c r="AD138" i="1"/>
  <c r="AE138" i="1"/>
  <c r="AF138" i="1"/>
  <c r="AG138" i="1"/>
  <c r="AH200" i="1"/>
  <c r="Z3" i="1"/>
  <c r="AA3" i="1"/>
  <c r="AB3" i="1"/>
  <c r="AC3" i="1"/>
  <c r="AD3" i="1"/>
  <c r="AE3" i="1"/>
  <c r="AF3" i="1"/>
  <c r="AG3" i="1"/>
  <c r="AH201" i="1"/>
  <c r="Z301" i="1"/>
  <c r="AA301" i="1"/>
  <c r="AB301" i="1"/>
  <c r="AC301" i="1"/>
  <c r="AD301" i="1"/>
  <c r="AE301" i="1"/>
  <c r="AF301" i="1"/>
  <c r="AG301" i="1"/>
  <c r="AH202" i="1"/>
  <c r="Z49" i="1"/>
  <c r="AA49" i="1"/>
  <c r="AB49" i="1"/>
  <c r="AC49" i="1"/>
  <c r="AD49" i="1"/>
  <c r="AE49" i="1"/>
  <c r="AF49" i="1"/>
  <c r="AG49" i="1"/>
  <c r="AH203" i="1"/>
  <c r="Z95" i="1"/>
  <c r="AA95" i="1"/>
  <c r="AB95" i="1"/>
  <c r="AC95" i="1"/>
  <c r="AD95" i="1"/>
  <c r="AE95" i="1"/>
  <c r="AF95" i="1"/>
  <c r="AG95" i="1"/>
  <c r="AH204" i="1"/>
  <c r="Z94" i="1"/>
  <c r="AA94" i="1"/>
  <c r="AB94" i="1"/>
  <c r="AC94" i="1"/>
  <c r="AD94" i="1"/>
  <c r="AE94" i="1"/>
  <c r="AF94" i="1"/>
  <c r="AG94" i="1"/>
  <c r="AH205" i="1"/>
  <c r="Z244" i="1"/>
  <c r="AA244" i="1"/>
  <c r="AB244" i="1"/>
  <c r="AC244" i="1"/>
  <c r="AD244" i="1"/>
  <c r="AE244" i="1"/>
  <c r="AF244" i="1"/>
  <c r="AG244" i="1"/>
  <c r="AH206" i="1"/>
  <c r="Z65" i="1"/>
  <c r="AA65" i="1"/>
  <c r="AB65" i="1"/>
  <c r="AC65" i="1"/>
  <c r="AD65" i="1"/>
  <c r="AE65" i="1"/>
  <c r="AF65" i="1"/>
  <c r="AG65" i="1"/>
  <c r="AH207" i="1"/>
  <c r="Z108" i="1"/>
  <c r="AA108" i="1"/>
  <c r="AB108" i="1"/>
  <c r="AC108" i="1"/>
  <c r="AD108" i="1"/>
  <c r="AE108" i="1"/>
  <c r="AF108" i="1"/>
  <c r="AG108" i="1"/>
  <c r="AH208" i="1"/>
  <c r="Z319" i="1"/>
  <c r="AA319" i="1"/>
  <c r="AB319" i="1"/>
  <c r="AC319" i="1"/>
  <c r="AD319" i="1"/>
  <c r="AE319" i="1"/>
  <c r="AF319" i="1"/>
  <c r="AG319" i="1"/>
  <c r="AH209" i="1"/>
  <c r="Z78" i="1"/>
  <c r="AA78" i="1"/>
  <c r="AB78" i="1"/>
  <c r="AC78" i="1"/>
  <c r="AD78" i="1"/>
  <c r="AE78" i="1"/>
  <c r="AF78" i="1"/>
  <c r="AG78" i="1"/>
  <c r="AH210" i="1"/>
  <c r="Z166" i="1"/>
  <c r="AA166" i="1"/>
  <c r="AB166" i="1"/>
  <c r="AC166" i="1"/>
  <c r="AD166" i="1"/>
  <c r="AE166" i="1"/>
  <c r="AF166" i="1"/>
  <c r="AG166" i="1"/>
  <c r="AH211" i="1"/>
  <c r="Z46" i="1"/>
  <c r="AA46" i="1"/>
  <c r="AB46" i="1"/>
  <c r="AC46" i="1"/>
  <c r="AD46" i="1"/>
  <c r="AE46" i="1"/>
  <c r="AF46" i="1"/>
  <c r="AG46" i="1"/>
  <c r="AH212" i="1"/>
  <c r="Z240" i="1"/>
  <c r="AA240" i="1"/>
  <c r="AB240" i="1"/>
  <c r="AC240" i="1"/>
  <c r="AD240" i="1"/>
  <c r="AE240" i="1"/>
  <c r="AF240" i="1"/>
  <c r="AG240" i="1"/>
  <c r="AH213" i="1"/>
  <c r="Z278" i="1"/>
  <c r="AA278" i="1"/>
  <c r="AB278" i="1"/>
  <c r="AC278" i="1"/>
  <c r="AD278" i="1"/>
  <c r="AE278" i="1"/>
  <c r="AF278" i="1"/>
  <c r="AG278" i="1"/>
  <c r="AH214" i="1"/>
  <c r="Z302" i="1"/>
  <c r="AA302" i="1"/>
  <c r="AB302" i="1"/>
  <c r="AC302" i="1"/>
  <c r="AD302" i="1"/>
  <c r="AE302" i="1"/>
  <c r="AF302" i="1"/>
  <c r="AG302" i="1"/>
  <c r="AH215" i="1"/>
  <c r="Z141" i="1"/>
  <c r="AA141" i="1"/>
  <c r="AB141" i="1"/>
  <c r="AC141" i="1"/>
  <c r="AD141" i="1"/>
  <c r="AE141" i="1"/>
  <c r="AF141" i="1"/>
  <c r="AG141" i="1"/>
  <c r="AH216" i="1"/>
  <c r="Z52" i="1"/>
  <c r="AA52" i="1"/>
  <c r="AB52" i="1"/>
  <c r="AC52" i="1"/>
  <c r="AD52" i="1"/>
  <c r="AE52" i="1"/>
  <c r="AF52" i="1"/>
  <c r="AG52" i="1"/>
  <c r="AH217" i="1"/>
  <c r="Z53" i="1"/>
  <c r="AA53" i="1"/>
  <c r="AB53" i="1"/>
  <c r="AC53" i="1"/>
  <c r="AD53" i="1"/>
  <c r="AE53" i="1"/>
  <c r="AF53" i="1"/>
  <c r="AG53" i="1"/>
  <c r="AH218" i="1"/>
  <c r="Z209" i="1"/>
  <c r="AA209" i="1"/>
  <c r="AB209" i="1"/>
  <c r="AC209" i="1"/>
  <c r="AD209" i="1"/>
  <c r="AE209" i="1"/>
  <c r="AF209" i="1"/>
  <c r="AG209" i="1"/>
  <c r="AH219" i="1"/>
  <c r="Z39" i="1"/>
  <c r="AA39" i="1"/>
  <c r="AB39" i="1"/>
  <c r="AC39" i="1"/>
  <c r="AD39" i="1"/>
  <c r="AE39" i="1"/>
  <c r="AF39" i="1"/>
  <c r="AG39" i="1"/>
  <c r="AH220" i="1"/>
  <c r="Z303" i="1"/>
  <c r="AA303" i="1"/>
  <c r="AB303" i="1"/>
  <c r="AC303" i="1"/>
  <c r="AD303" i="1"/>
  <c r="AE303" i="1"/>
  <c r="AF303" i="1"/>
  <c r="AG303" i="1"/>
  <c r="AH221" i="1"/>
  <c r="Z33" i="1"/>
  <c r="AA33" i="1"/>
  <c r="AB33" i="1"/>
  <c r="AC33" i="1"/>
  <c r="AD33" i="1"/>
  <c r="AE33" i="1"/>
  <c r="AF33" i="1"/>
  <c r="AG33" i="1"/>
  <c r="AH222" i="1"/>
  <c r="Z327" i="1"/>
  <c r="AA327" i="1"/>
  <c r="AB327" i="1"/>
  <c r="AC327" i="1"/>
  <c r="AD327" i="1"/>
  <c r="AE327" i="1"/>
  <c r="AF327" i="1"/>
  <c r="AG327" i="1"/>
  <c r="AH223" i="1"/>
  <c r="Z328" i="1"/>
  <c r="AA328" i="1"/>
  <c r="AB328" i="1"/>
  <c r="AC328" i="1"/>
  <c r="AD328" i="1"/>
  <c r="AE328" i="1"/>
  <c r="AF328" i="1"/>
  <c r="AG328" i="1"/>
  <c r="AH224" i="1"/>
  <c r="Z157" i="1"/>
  <c r="AA157" i="1"/>
  <c r="AB157" i="1"/>
  <c r="AC157" i="1"/>
  <c r="AD157" i="1"/>
  <c r="AE157" i="1"/>
  <c r="AF157" i="1"/>
  <c r="AG157" i="1"/>
  <c r="AH225" i="1"/>
  <c r="Z41" i="1"/>
  <c r="AA41" i="1"/>
  <c r="AB41" i="1"/>
  <c r="AC41" i="1"/>
  <c r="AD41" i="1"/>
  <c r="AE41" i="1"/>
  <c r="AF41" i="1"/>
  <c r="AG41" i="1"/>
  <c r="AH226" i="1"/>
  <c r="Z137" i="1"/>
  <c r="AA137" i="1"/>
  <c r="AB137" i="1"/>
  <c r="AC137" i="1"/>
  <c r="AD137" i="1"/>
  <c r="AE137" i="1"/>
  <c r="AF137" i="1"/>
  <c r="AG137" i="1"/>
  <c r="AH227" i="1"/>
  <c r="Z279" i="1"/>
  <c r="AA279" i="1"/>
  <c r="AB279" i="1"/>
  <c r="AC279" i="1"/>
  <c r="AD279" i="1"/>
  <c r="AE279" i="1"/>
  <c r="AF279" i="1"/>
  <c r="AG279" i="1"/>
  <c r="AH228" i="1"/>
  <c r="AH229" i="1"/>
  <c r="Z161" i="1"/>
  <c r="AA161" i="1"/>
  <c r="AB161" i="1"/>
  <c r="AC161" i="1"/>
  <c r="AD161" i="1"/>
  <c r="AE161" i="1"/>
  <c r="AF161" i="1"/>
  <c r="AG161" i="1"/>
  <c r="AH230" i="1"/>
  <c r="Z67" i="1"/>
  <c r="AA67" i="1"/>
  <c r="AB67" i="1"/>
  <c r="AC67" i="1"/>
  <c r="AD67" i="1"/>
  <c r="AE67" i="1"/>
  <c r="AF67" i="1"/>
  <c r="AG67" i="1"/>
  <c r="AH231" i="1"/>
  <c r="Z276" i="1"/>
  <c r="AA276" i="1"/>
  <c r="AB276" i="1"/>
  <c r="AC276" i="1"/>
  <c r="AD276" i="1"/>
  <c r="AE276" i="1"/>
  <c r="AF276" i="1"/>
  <c r="AG276" i="1"/>
  <c r="AH232" i="1"/>
  <c r="AH233" i="1"/>
  <c r="Z214" i="1"/>
  <c r="AA214" i="1"/>
  <c r="AB214" i="1"/>
  <c r="AC214" i="1"/>
  <c r="AD214" i="1"/>
  <c r="AE214" i="1"/>
  <c r="AF214" i="1"/>
  <c r="AG214" i="1"/>
  <c r="AH234" i="1"/>
  <c r="Z37" i="1"/>
  <c r="AA37" i="1"/>
  <c r="AB37" i="1"/>
  <c r="AC37" i="1"/>
  <c r="AD37" i="1"/>
  <c r="AE37" i="1"/>
  <c r="AF37" i="1"/>
  <c r="AG37" i="1"/>
  <c r="AH235" i="1"/>
  <c r="Z174" i="1"/>
  <c r="AA174" i="1"/>
  <c r="AB174" i="1"/>
  <c r="AC174" i="1"/>
  <c r="AD174" i="1"/>
  <c r="AE174" i="1"/>
  <c r="AF174" i="1"/>
  <c r="AG174" i="1"/>
  <c r="AH236" i="1"/>
  <c r="Z195" i="1"/>
  <c r="AA195" i="1"/>
  <c r="AB195" i="1"/>
  <c r="AC195" i="1"/>
  <c r="AD195" i="1"/>
  <c r="AE195" i="1"/>
  <c r="AF195" i="1"/>
  <c r="AG195" i="1"/>
  <c r="AH237" i="1"/>
  <c r="AH238" i="1"/>
  <c r="Z254" i="1"/>
  <c r="AA254" i="1"/>
  <c r="AB254" i="1"/>
  <c r="AC254" i="1"/>
  <c r="AD254" i="1"/>
  <c r="AE254" i="1"/>
  <c r="AF254" i="1"/>
  <c r="AG254" i="1"/>
  <c r="AH239" i="1"/>
  <c r="Z22" i="1"/>
  <c r="AA22" i="1"/>
  <c r="AB22" i="1"/>
  <c r="AC22" i="1"/>
  <c r="AD22" i="1"/>
  <c r="AE22" i="1"/>
  <c r="AF22" i="1"/>
  <c r="AG22" i="1"/>
  <c r="AH240" i="1"/>
  <c r="Z104" i="1"/>
  <c r="AA104" i="1"/>
  <c r="AB104" i="1"/>
  <c r="AC104" i="1"/>
  <c r="AD104" i="1"/>
  <c r="AE104" i="1"/>
  <c r="AF104" i="1"/>
  <c r="AG104" i="1"/>
  <c r="AH241" i="1"/>
  <c r="Z203" i="1"/>
  <c r="AA203" i="1"/>
  <c r="AB203" i="1"/>
  <c r="AC203" i="1"/>
  <c r="AD203" i="1"/>
  <c r="AE203" i="1"/>
  <c r="AF203" i="1"/>
  <c r="AG203" i="1"/>
  <c r="AH242" i="1"/>
  <c r="Z223" i="1"/>
  <c r="AA223" i="1"/>
  <c r="AB223" i="1"/>
  <c r="AC223" i="1"/>
  <c r="AD223" i="1"/>
  <c r="AE223" i="1"/>
  <c r="AF223" i="1"/>
  <c r="AG223" i="1"/>
  <c r="AH243" i="1"/>
  <c r="Z103" i="1"/>
  <c r="AA103" i="1"/>
  <c r="AB103" i="1"/>
  <c r="AC103" i="1"/>
  <c r="AD103" i="1"/>
  <c r="AE103" i="1"/>
  <c r="AF103" i="1"/>
  <c r="AG103" i="1"/>
  <c r="AH244" i="1"/>
  <c r="Z228" i="1"/>
  <c r="AA228" i="1"/>
  <c r="AB228" i="1"/>
  <c r="AC228" i="1"/>
  <c r="AD228" i="1"/>
  <c r="AE228" i="1"/>
  <c r="AF228" i="1"/>
  <c r="AG228" i="1"/>
  <c r="AH245" i="1"/>
  <c r="Z135" i="1"/>
  <c r="AA135" i="1"/>
  <c r="AB135" i="1"/>
  <c r="AC135" i="1"/>
  <c r="AD135" i="1"/>
  <c r="AE135" i="1"/>
  <c r="AF135" i="1"/>
  <c r="AG135" i="1"/>
  <c r="AH246" i="1"/>
  <c r="Z265" i="1"/>
  <c r="AA265" i="1"/>
  <c r="AB265" i="1"/>
  <c r="AC265" i="1"/>
  <c r="AD265" i="1"/>
  <c r="AE265" i="1"/>
  <c r="AF265" i="1"/>
  <c r="AG265" i="1"/>
  <c r="AH247" i="1"/>
  <c r="Z98" i="1"/>
  <c r="AA98" i="1"/>
  <c r="AB98" i="1"/>
  <c r="AC98" i="1"/>
  <c r="AD98" i="1"/>
  <c r="AE98" i="1"/>
  <c r="AF98" i="1"/>
  <c r="AG98" i="1"/>
  <c r="AH248" i="1"/>
  <c r="Z320" i="1"/>
  <c r="AA320" i="1"/>
  <c r="AB320" i="1"/>
  <c r="AC320" i="1"/>
  <c r="AD320" i="1"/>
  <c r="AE320" i="1"/>
  <c r="AF320" i="1"/>
  <c r="AG320" i="1"/>
  <c r="AH249" i="1"/>
  <c r="Z86" i="1"/>
  <c r="AA86" i="1"/>
  <c r="AB86" i="1"/>
  <c r="AC86" i="1"/>
  <c r="AD86" i="1"/>
  <c r="AE86" i="1"/>
  <c r="AF86" i="1"/>
  <c r="AG86" i="1"/>
  <c r="AH250" i="1"/>
  <c r="Z236" i="1"/>
  <c r="AA236" i="1"/>
  <c r="AB236" i="1"/>
  <c r="AC236" i="1"/>
  <c r="AD236" i="1"/>
  <c r="AE236" i="1"/>
  <c r="AF236" i="1"/>
  <c r="AG236" i="1"/>
  <c r="AH251" i="1"/>
  <c r="Z267" i="1"/>
  <c r="AA267" i="1"/>
  <c r="AB267" i="1"/>
  <c r="AC267" i="1"/>
  <c r="AD267" i="1"/>
  <c r="AE267" i="1"/>
  <c r="AF267" i="1"/>
  <c r="AG267" i="1"/>
  <c r="AH252" i="1"/>
  <c r="Z105" i="1"/>
  <c r="AA105" i="1"/>
  <c r="AB105" i="1"/>
  <c r="AC105" i="1"/>
  <c r="AD105" i="1"/>
  <c r="AE105" i="1"/>
  <c r="AF105" i="1"/>
  <c r="AG105" i="1"/>
  <c r="AH253" i="1"/>
  <c r="Z272" i="1"/>
  <c r="AA272" i="1"/>
  <c r="AB272" i="1"/>
  <c r="AC272" i="1"/>
  <c r="AD272" i="1"/>
  <c r="AE272" i="1"/>
  <c r="AF272" i="1"/>
  <c r="AG272" i="1"/>
  <c r="AH254" i="1"/>
  <c r="Z23" i="1"/>
  <c r="AA23" i="1"/>
  <c r="AB23" i="1"/>
  <c r="AC23" i="1"/>
  <c r="AD23" i="1"/>
  <c r="AE23" i="1"/>
  <c r="AF23" i="1"/>
  <c r="AG23" i="1"/>
  <c r="AH255" i="1"/>
  <c r="Z250" i="1"/>
  <c r="AA250" i="1"/>
  <c r="AB250" i="1"/>
  <c r="AC250" i="1"/>
  <c r="AD250" i="1"/>
  <c r="AE250" i="1"/>
  <c r="AF250" i="1"/>
  <c r="AG250" i="1"/>
  <c r="AH256" i="1"/>
  <c r="Z193" i="1"/>
  <c r="AA193" i="1"/>
  <c r="AB193" i="1"/>
  <c r="AC193" i="1"/>
  <c r="AD193" i="1"/>
  <c r="AE193" i="1"/>
  <c r="AF193" i="1"/>
  <c r="AG193" i="1"/>
  <c r="AH257" i="1"/>
  <c r="Z292" i="1"/>
  <c r="AA292" i="1"/>
  <c r="AB292" i="1"/>
  <c r="AC292" i="1"/>
  <c r="AD292" i="1"/>
  <c r="AE292" i="1"/>
  <c r="AF292" i="1"/>
  <c r="AG292" i="1"/>
  <c r="AH258" i="1"/>
  <c r="Z256" i="1"/>
  <c r="AA256" i="1"/>
  <c r="AB256" i="1"/>
  <c r="AC256" i="1"/>
  <c r="AD256" i="1"/>
  <c r="AE256" i="1"/>
  <c r="AF256" i="1"/>
  <c r="AG256" i="1"/>
  <c r="AH259" i="1"/>
  <c r="Z201" i="1"/>
  <c r="AA201" i="1"/>
  <c r="AB201" i="1"/>
  <c r="AC201" i="1"/>
  <c r="AD201" i="1"/>
  <c r="AE201" i="1"/>
  <c r="AF201" i="1"/>
  <c r="AG201" i="1"/>
  <c r="AH260" i="1"/>
  <c r="Z175" i="1"/>
  <c r="AA175" i="1"/>
  <c r="AB175" i="1"/>
  <c r="AC175" i="1"/>
  <c r="AD175" i="1"/>
  <c r="AE175" i="1"/>
  <c r="AF175" i="1"/>
  <c r="AG175" i="1"/>
  <c r="AH261" i="1"/>
  <c r="Z294" i="1"/>
  <c r="AA294" i="1"/>
  <c r="AB294" i="1"/>
  <c r="AC294" i="1"/>
  <c r="AD294" i="1"/>
  <c r="AE294" i="1"/>
  <c r="AF294" i="1"/>
  <c r="AG294" i="1"/>
  <c r="AH262" i="1"/>
  <c r="Z66" i="1"/>
  <c r="AA66" i="1"/>
  <c r="AB66" i="1"/>
  <c r="AC66" i="1"/>
  <c r="AD66" i="1"/>
  <c r="AE66" i="1"/>
  <c r="AF66" i="1"/>
  <c r="AG66" i="1"/>
  <c r="AH263" i="1"/>
  <c r="Z188" i="1"/>
  <c r="AA188" i="1"/>
  <c r="AB188" i="1"/>
  <c r="AC188" i="1"/>
  <c r="AD188" i="1"/>
  <c r="AE188" i="1"/>
  <c r="AF188" i="1"/>
  <c r="AG188" i="1"/>
  <c r="AH264" i="1"/>
  <c r="Z184" i="1"/>
  <c r="AA184" i="1"/>
  <c r="AB184" i="1"/>
  <c r="AC184" i="1"/>
  <c r="AD184" i="1"/>
  <c r="AE184" i="1"/>
  <c r="AF184" i="1"/>
  <c r="AG184" i="1"/>
  <c r="AH265" i="1"/>
  <c r="Z251" i="1"/>
  <c r="AA251" i="1"/>
  <c r="AB251" i="1"/>
  <c r="AC251" i="1"/>
  <c r="AD251" i="1"/>
  <c r="AE251" i="1"/>
  <c r="AF251" i="1"/>
  <c r="AG251" i="1"/>
  <c r="AH266" i="1"/>
  <c r="Z260" i="1"/>
  <c r="AA260" i="1"/>
  <c r="AB260" i="1"/>
  <c r="AC260" i="1"/>
  <c r="AD260" i="1"/>
  <c r="AE260" i="1"/>
  <c r="AF260" i="1"/>
  <c r="AG260" i="1"/>
  <c r="AH267" i="1"/>
  <c r="Z239" i="1"/>
  <c r="AA239" i="1"/>
  <c r="AB239" i="1"/>
  <c r="AC239" i="1"/>
  <c r="AD239" i="1"/>
  <c r="AE239" i="1"/>
  <c r="AF239" i="1"/>
  <c r="AG239" i="1"/>
  <c r="AH268" i="1"/>
  <c r="Z235" i="1"/>
  <c r="AA235" i="1"/>
  <c r="AB235" i="1"/>
  <c r="AC235" i="1"/>
  <c r="AD235" i="1"/>
  <c r="AE235" i="1"/>
  <c r="AF235" i="1"/>
  <c r="AG235" i="1"/>
  <c r="AH269" i="1"/>
  <c r="Z220" i="1"/>
  <c r="AA220" i="1"/>
  <c r="AB220" i="1"/>
  <c r="AC220" i="1"/>
  <c r="AD220" i="1"/>
  <c r="AE220" i="1"/>
  <c r="AF220" i="1"/>
  <c r="AG220" i="1"/>
  <c r="AH270" i="1"/>
  <c r="Z318" i="1"/>
  <c r="AA318" i="1"/>
  <c r="AB318" i="1"/>
  <c r="AC318" i="1"/>
  <c r="AD318" i="1"/>
  <c r="AE318" i="1"/>
  <c r="AF318" i="1"/>
  <c r="AG318" i="1"/>
  <c r="AH271" i="1"/>
  <c r="Z215" i="1"/>
  <c r="AA215" i="1"/>
  <c r="AB215" i="1"/>
  <c r="AC215" i="1"/>
  <c r="AD215" i="1"/>
  <c r="AE215" i="1"/>
  <c r="AF215" i="1"/>
  <c r="AG215" i="1"/>
  <c r="AH272" i="1"/>
  <c r="Z216" i="1"/>
  <c r="AA216" i="1"/>
  <c r="AB216" i="1"/>
  <c r="AC216" i="1"/>
  <c r="AD216" i="1"/>
  <c r="AE216" i="1"/>
  <c r="AF216" i="1"/>
  <c r="AG216" i="1"/>
  <c r="AH273" i="1"/>
  <c r="Z167" i="1"/>
  <c r="AA167" i="1"/>
  <c r="AB167" i="1"/>
  <c r="AC167" i="1"/>
  <c r="AD167" i="1"/>
  <c r="AE167" i="1"/>
  <c r="AF167" i="1"/>
  <c r="AG167" i="1"/>
  <c r="AH274" i="1"/>
  <c r="Z266" i="1"/>
  <c r="AA266" i="1"/>
  <c r="AB266" i="1"/>
  <c r="AC266" i="1"/>
  <c r="AD266" i="1"/>
  <c r="AE266" i="1"/>
  <c r="AF266" i="1"/>
  <c r="AG266" i="1"/>
  <c r="AH275" i="1"/>
  <c r="Z186" i="1"/>
  <c r="AA186" i="1"/>
  <c r="AB186" i="1"/>
  <c r="AC186" i="1"/>
  <c r="AD186" i="1"/>
  <c r="AE186" i="1"/>
  <c r="AF186" i="1"/>
  <c r="AG186" i="1"/>
  <c r="AH276" i="1"/>
  <c r="Z287" i="1"/>
  <c r="AA287" i="1"/>
  <c r="AB287" i="1"/>
  <c r="AC287" i="1"/>
  <c r="AD287" i="1"/>
  <c r="AE287" i="1"/>
  <c r="AF287" i="1"/>
  <c r="AG287" i="1"/>
  <c r="AH277" i="1"/>
  <c r="Z113" i="1"/>
  <c r="AA113" i="1"/>
  <c r="AB113" i="1"/>
  <c r="AC113" i="1"/>
  <c r="AD113" i="1"/>
  <c r="AE113" i="1"/>
  <c r="AF113" i="1"/>
  <c r="AG113" i="1"/>
  <c r="AH278" i="1"/>
  <c r="Z30" i="1"/>
  <c r="AA30" i="1"/>
  <c r="AB30" i="1"/>
  <c r="AC30" i="1"/>
  <c r="AD30" i="1"/>
  <c r="AE30" i="1"/>
  <c r="AF30" i="1"/>
  <c r="AG30" i="1"/>
  <c r="AH279" i="1"/>
  <c r="Z225" i="1"/>
  <c r="AA225" i="1"/>
  <c r="AB225" i="1"/>
  <c r="AC225" i="1"/>
  <c r="AD225" i="1"/>
  <c r="AE225" i="1"/>
  <c r="AF225" i="1"/>
  <c r="AG225" i="1"/>
  <c r="AH280" i="1"/>
  <c r="Z133" i="1"/>
  <c r="AA133" i="1"/>
  <c r="AB133" i="1"/>
  <c r="AC133" i="1"/>
  <c r="AD133" i="1"/>
  <c r="AE133" i="1"/>
  <c r="AF133" i="1"/>
  <c r="AG133" i="1"/>
  <c r="AH281" i="1"/>
  <c r="Z270" i="1"/>
  <c r="AA270" i="1"/>
  <c r="AB270" i="1"/>
  <c r="AC270" i="1"/>
  <c r="AD270" i="1"/>
  <c r="AE270" i="1"/>
  <c r="AF270" i="1"/>
  <c r="AG270" i="1"/>
  <c r="AH282" i="1"/>
  <c r="Z234" i="1"/>
  <c r="AA234" i="1"/>
  <c r="AB234" i="1"/>
  <c r="AC234" i="1"/>
  <c r="AD234" i="1"/>
  <c r="AE234" i="1"/>
  <c r="AF234" i="1"/>
  <c r="AG234" i="1"/>
  <c r="AH283" i="1"/>
  <c r="Z129" i="1"/>
  <c r="AA129" i="1"/>
  <c r="AB129" i="1"/>
  <c r="AC129" i="1"/>
  <c r="AD129" i="1"/>
  <c r="AE129" i="1"/>
  <c r="AF129" i="1"/>
  <c r="AG129" i="1"/>
  <c r="AH284" i="1"/>
  <c r="Z99" i="1"/>
  <c r="AA99" i="1"/>
  <c r="AB99" i="1"/>
  <c r="AC99" i="1"/>
  <c r="AD99" i="1"/>
  <c r="AE99" i="1"/>
  <c r="AF99" i="1"/>
  <c r="AG99" i="1"/>
  <c r="AH285" i="1"/>
  <c r="Z200" i="1"/>
  <c r="AA200" i="1"/>
  <c r="AB200" i="1"/>
  <c r="AC200" i="1"/>
  <c r="AD200" i="1"/>
  <c r="AE200" i="1"/>
  <c r="AF200" i="1"/>
  <c r="AG200" i="1"/>
  <c r="AH286" i="1"/>
  <c r="Z18" i="1"/>
  <c r="AA18" i="1"/>
  <c r="AB18" i="1"/>
  <c r="AC18" i="1"/>
  <c r="AD18" i="1"/>
  <c r="AE18" i="1"/>
  <c r="AF18" i="1"/>
  <c r="AG18" i="1"/>
  <c r="AH287" i="1"/>
  <c r="Z190" i="1"/>
  <c r="AA190" i="1"/>
  <c r="AB190" i="1"/>
  <c r="AC190" i="1"/>
  <c r="AD190" i="1"/>
  <c r="AE190" i="1"/>
  <c r="AF190" i="1"/>
  <c r="AG190" i="1"/>
  <c r="AH288" i="1"/>
  <c r="Z293" i="1"/>
  <c r="AA293" i="1"/>
  <c r="AB293" i="1"/>
  <c r="AC293" i="1"/>
  <c r="AD293" i="1"/>
  <c r="AE293" i="1"/>
  <c r="AF293" i="1"/>
  <c r="AG293" i="1"/>
  <c r="AH289" i="1"/>
  <c r="Z71" i="1"/>
  <c r="AA71" i="1"/>
  <c r="AB71" i="1"/>
  <c r="AC71" i="1"/>
  <c r="AD71" i="1"/>
  <c r="AE71" i="1"/>
  <c r="AF71" i="1"/>
  <c r="AG71" i="1"/>
  <c r="AH290" i="1"/>
  <c r="Z43" i="1"/>
  <c r="AA43" i="1"/>
  <c r="AB43" i="1"/>
  <c r="AC43" i="1"/>
  <c r="AD43" i="1"/>
  <c r="AE43" i="1"/>
  <c r="AF43" i="1"/>
  <c r="AG43" i="1"/>
  <c r="AH291" i="1"/>
  <c r="Z70" i="1"/>
  <c r="AA70" i="1"/>
  <c r="AB70" i="1"/>
  <c r="AC70" i="1"/>
  <c r="AD70" i="1"/>
  <c r="AE70" i="1"/>
  <c r="AF70" i="1"/>
  <c r="AG70" i="1"/>
  <c r="AH292" i="1"/>
  <c r="Z131" i="1"/>
  <c r="AA131" i="1"/>
  <c r="AB131" i="1"/>
  <c r="AC131" i="1"/>
  <c r="AD131" i="1"/>
  <c r="AE131" i="1"/>
  <c r="AF131" i="1"/>
  <c r="AG131" i="1"/>
  <c r="AH293" i="1"/>
  <c r="Z311" i="1"/>
  <c r="AA311" i="1"/>
  <c r="AB311" i="1"/>
  <c r="AC311" i="1"/>
  <c r="AD311" i="1"/>
  <c r="AE311" i="1"/>
  <c r="AF311" i="1"/>
  <c r="AG311" i="1"/>
  <c r="AH294" i="1"/>
  <c r="Z29" i="1"/>
  <c r="AA29" i="1"/>
  <c r="AB29" i="1"/>
  <c r="AC29" i="1"/>
  <c r="AD29" i="1"/>
  <c r="AE29" i="1"/>
  <c r="AF29" i="1"/>
  <c r="AG29" i="1"/>
  <c r="AH295" i="1"/>
  <c r="Z330" i="1"/>
  <c r="AA330" i="1"/>
  <c r="AB330" i="1"/>
  <c r="AC330" i="1"/>
  <c r="AD330" i="1"/>
  <c r="AE330" i="1"/>
  <c r="AF330" i="1"/>
  <c r="AG330" i="1"/>
  <c r="AH296" i="1"/>
  <c r="Z312" i="1"/>
  <c r="AA312" i="1"/>
  <c r="AB312" i="1"/>
  <c r="AC312" i="1"/>
  <c r="AD312" i="1"/>
  <c r="AE312" i="1"/>
  <c r="AF312" i="1"/>
  <c r="AG312" i="1"/>
  <c r="AH297" i="1"/>
  <c r="Z298" i="1"/>
  <c r="AA298" i="1"/>
  <c r="AB298" i="1"/>
  <c r="AC298" i="1"/>
  <c r="AD298" i="1"/>
  <c r="AE298" i="1"/>
  <c r="AF298" i="1"/>
  <c r="AG298" i="1"/>
  <c r="AH298" i="1"/>
  <c r="Z128" i="1"/>
  <c r="AA128" i="1"/>
  <c r="AB128" i="1"/>
  <c r="AC128" i="1"/>
  <c r="AD128" i="1"/>
  <c r="AE128" i="1"/>
  <c r="AF128" i="1"/>
  <c r="AG128" i="1"/>
  <c r="AH299" i="1"/>
  <c r="Z170" i="1"/>
  <c r="AA170" i="1"/>
  <c r="AB170" i="1"/>
  <c r="AC170" i="1"/>
  <c r="AD170" i="1"/>
  <c r="AE170" i="1"/>
  <c r="AF170" i="1"/>
  <c r="AG170" i="1"/>
  <c r="AH300" i="1"/>
  <c r="Z221" i="1"/>
  <c r="AA221" i="1"/>
  <c r="AB221" i="1"/>
  <c r="AC221" i="1"/>
  <c r="AD221" i="1"/>
  <c r="AE221" i="1"/>
  <c r="AF221" i="1"/>
  <c r="AG221" i="1"/>
  <c r="AH301" i="1"/>
  <c r="Z63" i="1"/>
  <c r="AA63" i="1"/>
  <c r="AB63" i="1"/>
  <c r="AC63" i="1"/>
  <c r="AD63" i="1"/>
  <c r="AE63" i="1"/>
  <c r="AF63" i="1"/>
  <c r="AG63" i="1"/>
  <c r="AH302" i="1"/>
  <c r="Z297" i="1"/>
  <c r="AA297" i="1"/>
  <c r="AB297" i="1"/>
  <c r="AC297" i="1"/>
  <c r="AD297" i="1"/>
  <c r="AE297" i="1"/>
  <c r="AF297" i="1"/>
  <c r="AG297" i="1"/>
  <c r="AH303" i="1"/>
  <c r="Z183" i="1"/>
  <c r="AA183" i="1"/>
  <c r="AB183" i="1"/>
  <c r="AC183" i="1"/>
  <c r="AD183" i="1"/>
  <c r="AE183" i="1"/>
  <c r="AF183" i="1"/>
  <c r="AG183" i="1"/>
  <c r="AH304" i="1"/>
  <c r="Z198" i="1"/>
  <c r="AA198" i="1"/>
  <c r="AB198" i="1"/>
  <c r="AC198" i="1"/>
  <c r="AD198" i="1"/>
  <c r="AE198" i="1"/>
  <c r="AF198" i="1"/>
  <c r="AG198" i="1"/>
  <c r="AH305" i="1"/>
  <c r="Z189" i="1"/>
  <c r="AA189" i="1"/>
  <c r="AB189" i="1"/>
  <c r="AC189" i="1"/>
  <c r="AD189" i="1"/>
  <c r="AE189" i="1"/>
  <c r="AF189" i="1"/>
  <c r="AG189" i="1"/>
  <c r="AH306" i="1"/>
  <c r="Z122" i="1"/>
  <c r="AA122" i="1"/>
  <c r="AB122" i="1"/>
  <c r="AC122" i="1"/>
  <c r="AD122" i="1"/>
  <c r="AE122" i="1"/>
  <c r="AF122" i="1"/>
  <c r="AG122" i="1"/>
  <c r="AH307" i="1"/>
  <c r="Z171" i="1"/>
  <c r="AA171" i="1"/>
  <c r="AB171" i="1"/>
  <c r="AC171" i="1"/>
  <c r="AD171" i="1"/>
  <c r="AE171" i="1"/>
  <c r="AF171" i="1"/>
  <c r="AG171" i="1"/>
  <c r="AH308" i="1"/>
  <c r="Z208" i="1"/>
  <c r="AA208" i="1"/>
  <c r="AB208" i="1"/>
  <c r="AC208" i="1"/>
  <c r="AD208" i="1"/>
  <c r="AE208" i="1"/>
  <c r="AF208" i="1"/>
  <c r="AG208" i="1"/>
  <c r="AH309" i="1"/>
  <c r="AH2" i="1"/>
  <c r="AC4" i="1"/>
  <c r="AD4" i="1"/>
  <c r="AE4" i="1"/>
  <c r="AF4" i="1"/>
  <c r="AG4" i="1"/>
  <c r="AB4" i="1"/>
  <c r="AA4" i="1"/>
  <c r="Z4" i="1"/>
  <c r="X140" i="1" l="1"/>
  <c r="Y140" i="1" s="1"/>
  <c r="X301" i="1"/>
  <c r="X170" i="1"/>
  <c r="Y170" i="1" s="1"/>
  <c r="X236" i="1"/>
  <c r="Y236" i="1" s="1"/>
  <c r="X209" i="1"/>
  <c r="Y209" i="1" s="1"/>
  <c r="X49" i="1"/>
  <c r="Y49" i="1" s="1"/>
  <c r="X173" i="1"/>
  <c r="Y173" i="1" s="1"/>
  <c r="X330" i="1"/>
  <c r="Y330" i="1" s="1"/>
  <c r="X260" i="1"/>
  <c r="Y260" i="1" s="1"/>
  <c r="X157" i="1"/>
  <c r="Y157" i="1" s="1"/>
  <c r="X238" i="1"/>
  <c r="Y238" i="1" s="1"/>
  <c r="X96" i="1"/>
  <c r="Y96" i="1" s="1"/>
  <c r="X3" i="1"/>
  <c r="Y3" i="1" s="1"/>
  <c r="X75" i="1"/>
  <c r="Y75" i="1" s="1"/>
  <c r="X132" i="1"/>
  <c r="Y132" i="1" s="1"/>
  <c r="X190" i="1"/>
  <c r="Y190" i="1" s="1"/>
  <c r="X98" i="1"/>
  <c r="Y98" i="1" s="1"/>
  <c r="X148" i="1"/>
  <c r="Y148" i="1" s="1"/>
  <c r="X128" i="1"/>
  <c r="Y128" i="1" s="1"/>
  <c r="X267" i="1"/>
  <c r="Y267" i="1" s="1"/>
  <c r="X327" i="1"/>
  <c r="Y327" i="1" s="1"/>
  <c r="X95" i="1"/>
  <c r="Y95" i="1" s="1"/>
  <c r="X172" i="1"/>
  <c r="Y172" i="1" s="1"/>
  <c r="X227" i="1"/>
  <c r="Y227" i="1" s="1"/>
  <c r="X293" i="1"/>
  <c r="Y293" i="1" s="1"/>
  <c r="X269" i="1"/>
  <c r="Y269" i="1" s="1"/>
  <c r="X312" i="1"/>
  <c r="Y312" i="1" s="1"/>
  <c r="X318" i="1"/>
  <c r="Y318" i="1" s="1"/>
  <c r="X104" i="1"/>
  <c r="Y104" i="1" s="1"/>
  <c r="X245" i="1"/>
  <c r="Y245" i="1" s="1"/>
  <c r="X136" i="1"/>
  <c r="Y136" i="1" s="1"/>
  <c r="X97" i="1"/>
  <c r="Y97" i="1" s="1"/>
  <c r="X324" i="1"/>
  <c r="Y324" i="1" s="1"/>
  <c r="X320" i="1"/>
  <c r="Y320" i="1" s="1"/>
  <c r="X121" i="1"/>
  <c r="Y121" i="1" s="1"/>
  <c r="X117" i="1"/>
  <c r="Y117" i="1" s="1"/>
  <c r="X184" i="1"/>
  <c r="Y184" i="1" s="1"/>
  <c r="X213" i="1"/>
  <c r="Y213" i="1" s="1"/>
  <c r="X82" i="1"/>
  <c r="Y82" i="1" s="1"/>
  <c r="X177" i="1"/>
  <c r="Y177" i="1" s="1"/>
  <c r="X243" i="1"/>
  <c r="Y243" i="1" s="1"/>
  <c r="X168" i="1"/>
  <c r="Y168" i="1" s="1"/>
  <c r="X268" i="1"/>
  <c r="Y268" i="1" s="1"/>
  <c r="X289" i="1"/>
  <c r="Y289" i="1" s="1"/>
  <c r="X317" i="1"/>
  <c r="Y317" i="1" s="1"/>
  <c r="X44" i="1"/>
  <c r="Y44" i="1" s="1"/>
  <c r="X35" i="1"/>
  <c r="Y35" i="1" s="1"/>
  <c r="X263" i="1"/>
  <c r="Y263" i="1" s="1"/>
  <c r="X13" i="1"/>
  <c r="Y13" i="1" s="1"/>
  <c r="X84" i="1"/>
  <c r="Y84" i="1" s="1"/>
  <c r="X229" i="1"/>
  <c r="Y229" i="1" s="1"/>
  <c r="X113" i="1"/>
  <c r="Y113" i="1" s="1"/>
  <c r="X138" i="1"/>
  <c r="Y138" i="1" s="1"/>
  <c r="X92" i="1"/>
  <c r="Y92" i="1" s="1"/>
  <c r="X253" i="1"/>
  <c r="Y253" i="1" s="1"/>
  <c r="X181" i="1"/>
  <c r="Y181" i="1" s="1"/>
  <c r="X68" i="1"/>
  <c r="Y68" i="1" s="1"/>
  <c r="X298" i="1"/>
  <c r="Y298" i="1" s="1"/>
  <c r="X167" i="1"/>
  <c r="Y167" i="1" s="1"/>
  <c r="X251" i="1"/>
  <c r="Y251" i="1" s="1"/>
  <c r="X86" i="1"/>
  <c r="Y86" i="1" s="1"/>
  <c r="X22" i="1"/>
  <c r="Y22" i="1" s="1"/>
  <c r="X161" i="1"/>
  <c r="Y161" i="1" s="1"/>
  <c r="X41" i="1"/>
  <c r="Y41" i="1" s="1"/>
  <c r="X53" i="1"/>
  <c r="Y53" i="1" s="1"/>
  <c r="X120" i="1"/>
  <c r="Y120" i="1" s="1"/>
  <c r="X299" i="1"/>
  <c r="Y299" i="1" s="1"/>
  <c r="X50" i="1"/>
  <c r="Y50" i="1" s="1"/>
  <c r="X211" i="1"/>
  <c r="Y211" i="1" s="1"/>
  <c r="X11" i="1"/>
  <c r="Y11" i="1" s="1"/>
  <c r="X187" i="1"/>
  <c r="Y187" i="1" s="1"/>
  <c r="X224" i="1"/>
  <c r="Y224" i="1" s="1"/>
  <c r="X32" i="1"/>
  <c r="Y32" i="1" s="1"/>
  <c r="X118" i="1"/>
  <c r="Y118" i="1" s="1"/>
  <c r="X237" i="1"/>
  <c r="Y237" i="1" s="1"/>
  <c r="X216" i="1"/>
  <c r="Y216" i="1" s="1"/>
  <c r="X218" i="1"/>
  <c r="Y218" i="1" s="1"/>
  <c r="X145" i="1"/>
  <c r="Y145" i="1" s="1"/>
  <c r="X71" i="1"/>
  <c r="Y71" i="1" s="1"/>
  <c r="X270" i="1"/>
  <c r="Y270" i="1" s="1"/>
  <c r="X272" i="1"/>
  <c r="Y272" i="1" s="1"/>
  <c r="X203" i="1"/>
  <c r="Y203" i="1" s="1"/>
  <c r="X214" i="1"/>
  <c r="Y214" i="1" s="1"/>
  <c r="X33" i="1"/>
  <c r="Y33" i="1" s="1"/>
  <c r="X278" i="1"/>
  <c r="Y278" i="1" s="1"/>
  <c r="X78" i="1"/>
  <c r="Y78" i="1" s="1"/>
  <c r="X244" i="1"/>
  <c r="Y244" i="1" s="1"/>
  <c r="X58" i="1"/>
  <c r="Y58" i="1" s="1"/>
  <c r="X26" i="1"/>
  <c r="Y26" i="1" s="1"/>
  <c r="X252" i="1"/>
  <c r="Y252" i="1" s="1"/>
  <c r="X159" i="1"/>
  <c r="Y159" i="1" s="1"/>
  <c r="X77" i="1"/>
  <c r="Y77" i="1" s="1"/>
  <c r="X42" i="1"/>
  <c r="Y42" i="1" s="1"/>
  <c r="X81" i="1"/>
  <c r="Y81" i="1" s="1"/>
  <c r="X24" i="1"/>
  <c r="Y24" i="1" s="1"/>
  <c r="X264" i="1"/>
  <c r="Y264" i="1" s="1"/>
  <c r="X204" i="1"/>
  <c r="Y204" i="1" s="1"/>
  <c r="X153" i="1"/>
  <c r="Y153" i="1" s="1"/>
  <c r="X242" i="1"/>
  <c r="Y242" i="1" s="1"/>
  <c r="X119" i="1"/>
  <c r="Y119" i="1" s="1"/>
  <c r="X231" i="1"/>
  <c r="Y231" i="1" s="1"/>
  <c r="X307" i="1"/>
  <c r="Y307" i="1" s="1"/>
  <c r="X14" i="1"/>
  <c r="Y14" i="1" s="1"/>
  <c r="X259" i="1"/>
  <c r="Y259" i="1" s="1"/>
  <c r="X74" i="1"/>
  <c r="Y74" i="1" s="1"/>
  <c r="X45" i="1"/>
  <c r="Y45" i="1" s="1"/>
  <c r="X143" i="1"/>
  <c r="Y143" i="1" s="1"/>
  <c r="X101" i="1"/>
  <c r="Y101" i="1" s="1"/>
  <c r="X122" i="1"/>
  <c r="Y122" i="1" s="1"/>
  <c r="X234" i="1"/>
  <c r="Y234" i="1" s="1"/>
  <c r="X66" i="1"/>
  <c r="X256" i="1"/>
  <c r="Y256" i="1" s="1"/>
  <c r="X37" i="1"/>
  <c r="Y37" i="1" s="1"/>
  <c r="X65" i="1"/>
  <c r="Y65" i="1" s="1"/>
  <c r="X182" i="1"/>
  <c r="Y182" i="1" s="1"/>
  <c r="X34" i="1"/>
  <c r="Y34" i="1" s="1"/>
  <c r="X176" i="1"/>
  <c r="Y176" i="1" s="1"/>
  <c r="X165" i="1"/>
  <c r="Y165" i="1" s="1"/>
  <c r="X134" i="1"/>
  <c r="Y134" i="1" s="1"/>
  <c r="X306" i="1"/>
  <c r="Y306" i="1" s="1"/>
  <c r="X59" i="1"/>
  <c r="Y59" i="1" s="1"/>
  <c r="X282" i="1"/>
  <c r="Y282" i="1" s="1"/>
  <c r="X4" i="1"/>
  <c r="Y4" i="1" s="1"/>
  <c r="X129" i="1"/>
  <c r="Y129" i="1" s="1"/>
  <c r="X174" i="1"/>
  <c r="Y174" i="1" s="1"/>
  <c r="X60" i="1"/>
  <c r="Y60" i="1" s="1"/>
  <c r="X109" i="1"/>
  <c r="Y109" i="1" s="1"/>
  <c r="X51" i="1"/>
  <c r="Y51" i="1" s="1"/>
  <c r="X80" i="1"/>
  <c r="Y80" i="1" s="1"/>
  <c r="X189" i="1"/>
  <c r="Y189" i="1" s="1"/>
  <c r="X63" i="1"/>
  <c r="Y63" i="1" s="1"/>
  <c r="X311" i="1"/>
  <c r="Y311" i="1" s="1"/>
  <c r="X200" i="1"/>
  <c r="Y200" i="1" s="1"/>
  <c r="X220" i="1"/>
  <c r="Y220" i="1" s="1"/>
  <c r="X294" i="1"/>
  <c r="Y294" i="1" s="1"/>
  <c r="X292" i="1"/>
  <c r="Y292" i="1" s="1"/>
  <c r="X135" i="1"/>
  <c r="Y135" i="1" s="1"/>
  <c r="X17" i="1"/>
  <c r="Y17" i="1" s="1"/>
  <c r="X258" i="1"/>
  <c r="Y258" i="1" s="1"/>
  <c r="X323" i="1"/>
  <c r="Y323" i="1" s="1"/>
  <c r="X163" i="1"/>
  <c r="Y163" i="1" s="1"/>
  <c r="X160" i="1"/>
  <c r="Y160" i="1" s="1"/>
  <c r="X152" i="1"/>
  <c r="Y152" i="1" s="1"/>
  <c r="X62" i="1"/>
  <c r="Y62" i="1" s="1"/>
  <c r="X271" i="1"/>
  <c r="Y271" i="1" s="1"/>
  <c r="X199" i="1"/>
  <c r="Y199" i="1" s="1"/>
  <c r="X308" i="1"/>
  <c r="Y308" i="1" s="1"/>
  <c r="X207" i="1"/>
  <c r="Y207" i="1" s="1"/>
  <c r="X277" i="1"/>
  <c r="Y277" i="1" s="1"/>
  <c r="X291" i="1"/>
  <c r="Y291" i="1" s="1"/>
  <c r="X48" i="1"/>
  <c r="X246" i="1"/>
  <c r="Y246" i="1" s="1"/>
  <c r="X52" i="1"/>
  <c r="Y52" i="1" s="1"/>
  <c r="X196" i="1"/>
  <c r="Y196" i="1" s="1"/>
  <c r="X332" i="1"/>
  <c r="Y332" i="1" s="1"/>
  <c r="X297" i="1"/>
  <c r="Y297" i="1" s="1"/>
  <c r="X30" i="1"/>
  <c r="Y30" i="1" s="1"/>
  <c r="X23" i="1"/>
  <c r="Y23" i="1" s="1"/>
  <c r="X67" i="1"/>
  <c r="Y67" i="1" s="1"/>
  <c r="X302" i="1"/>
  <c r="Y302" i="1" s="1"/>
  <c r="X166" i="1"/>
  <c r="Y166" i="1" s="1"/>
  <c r="X315" i="1"/>
  <c r="Y315" i="1" s="1"/>
  <c r="X112" i="1"/>
  <c r="Y112" i="1" s="1"/>
  <c r="X28" i="1"/>
  <c r="Y28" i="1" s="1"/>
  <c r="X280" i="1"/>
  <c r="Y280" i="1" s="1"/>
  <c r="X106" i="1"/>
  <c r="Y106" i="1" s="1"/>
  <c r="X147" i="1"/>
  <c r="Y147" i="1" s="1"/>
  <c r="X230" i="1"/>
  <c r="Y230" i="1" s="1"/>
  <c r="X202" i="1"/>
  <c r="Y202" i="1" s="1"/>
  <c r="X274" i="1"/>
  <c r="Y274" i="1" s="1"/>
  <c r="X124" i="1"/>
  <c r="Y124" i="1" s="1"/>
  <c r="X99" i="1"/>
  <c r="Y99" i="1" s="1"/>
  <c r="X188" i="1"/>
  <c r="Y188" i="1" s="1"/>
  <c r="X195" i="1"/>
  <c r="Y195" i="1" s="1"/>
  <c r="X141" i="1"/>
  <c r="Y141" i="1" s="1"/>
  <c r="X69" i="1"/>
  <c r="Y69" i="1" s="1"/>
  <c r="X127" i="1"/>
  <c r="Y127" i="1" s="1"/>
  <c r="X296" i="1"/>
  <c r="Y296" i="1" s="1"/>
  <c r="X12" i="1"/>
  <c r="Y12" i="1" s="1"/>
  <c r="X123" i="1"/>
  <c r="Y123" i="1" s="1"/>
  <c r="X150" i="1"/>
  <c r="Y150" i="1" s="1"/>
  <c r="X221" i="1"/>
  <c r="Y221" i="1" s="1"/>
  <c r="X105" i="1"/>
  <c r="Y105" i="1" s="1"/>
  <c r="X94" i="1"/>
  <c r="Y94" i="1" s="1"/>
  <c r="X142" i="1"/>
  <c r="Y142" i="1" s="1"/>
  <c r="X226" i="1"/>
  <c r="Y226" i="1" s="1"/>
  <c r="X21" i="1"/>
  <c r="Y21" i="1" s="1"/>
  <c r="X15" i="1"/>
  <c r="Y15" i="1" s="1"/>
  <c r="X111" i="1"/>
  <c r="Y111" i="1" s="1"/>
  <c r="X325" i="1"/>
  <c r="X217" i="1"/>
  <c r="Y217" i="1" s="1"/>
  <c r="X273" i="1"/>
  <c r="Y273" i="1" s="1"/>
  <c r="X232" i="1"/>
  <c r="Y232" i="1" s="1"/>
  <c r="X57" i="1"/>
  <c r="Y57" i="1" s="1"/>
  <c r="X322" i="1"/>
  <c r="Y322" i="1" s="1"/>
  <c r="X40" i="1"/>
  <c r="Y40" i="1" s="1"/>
  <c r="X130" i="1"/>
  <c r="Y130" i="1" s="1"/>
  <c r="X89" i="1"/>
  <c r="Y89" i="1" s="1"/>
  <c r="X255" i="1"/>
  <c r="Y255" i="1" s="1"/>
  <c r="X47" i="1"/>
  <c r="Y47" i="1" s="1"/>
  <c r="X210" i="1"/>
  <c r="Y210" i="1" s="1"/>
  <c r="X156" i="1"/>
  <c r="Y156" i="1" s="1"/>
  <c r="X290" i="1"/>
  <c r="Y290" i="1" s="1"/>
  <c r="X329" i="1"/>
  <c r="Y329" i="1" s="1"/>
  <c r="X87" i="1"/>
  <c r="Y87" i="1" s="1"/>
  <c r="X171" i="1"/>
  <c r="Y171" i="1" s="1"/>
  <c r="X215" i="1"/>
  <c r="Y215" i="1" s="1"/>
  <c r="X201" i="1"/>
  <c r="Y201" i="1" s="1"/>
  <c r="X328" i="1"/>
  <c r="Y328" i="1" s="1"/>
  <c r="X46" i="1"/>
  <c r="Y46" i="1" s="1"/>
  <c r="X197" i="1"/>
  <c r="Y197" i="1" s="1"/>
  <c r="X149" i="1"/>
  <c r="Y149" i="1" s="1"/>
  <c r="X83" i="1"/>
  <c r="Y83" i="1" s="1"/>
  <c r="X261" i="1"/>
  <c r="Y261" i="1" s="1"/>
  <c r="X219" i="1"/>
  <c r="Y219" i="1" s="1"/>
  <c r="X110" i="1"/>
  <c r="Y110" i="1" s="1"/>
  <c r="X164" i="1"/>
  <c r="Y164" i="1" s="1"/>
  <c r="X55" i="1"/>
  <c r="Y55" i="1" s="1"/>
  <c r="X191" i="1"/>
  <c r="Y191" i="1" s="1"/>
  <c r="X29" i="1"/>
  <c r="Y29" i="1" s="1"/>
  <c r="X43" i="1"/>
  <c r="Y43" i="1" s="1"/>
  <c r="X18" i="1"/>
  <c r="Y18" i="1" s="1"/>
  <c r="X266" i="1"/>
  <c r="Y266" i="1" s="1"/>
  <c r="X265" i="1"/>
  <c r="Y265" i="1" s="1"/>
  <c r="X223" i="1"/>
  <c r="Y223" i="1" s="1"/>
  <c r="X254" i="1"/>
  <c r="Y254" i="1" s="1"/>
  <c r="X137" i="1"/>
  <c r="Y137" i="1" s="1"/>
  <c r="X73" i="1"/>
  <c r="Y73" i="1" s="1"/>
  <c r="X16" i="1"/>
  <c r="Y16" i="1" s="1"/>
  <c r="X2" i="1"/>
  <c r="Y2" i="1" s="1"/>
  <c r="X114" i="1"/>
  <c r="Y114" i="1" s="1"/>
  <c r="X102" i="1"/>
  <c r="Y102" i="1" s="1"/>
  <c r="X72" i="1"/>
  <c r="Y72" i="1" s="1"/>
  <c r="X186" i="1"/>
  <c r="Y186" i="1" s="1"/>
  <c r="X279" i="1"/>
  <c r="Y279" i="1" s="1"/>
  <c r="X25" i="1"/>
  <c r="Y25" i="1" s="1"/>
  <c r="X309" i="1"/>
  <c r="Y309" i="1" s="1"/>
  <c r="X247" i="1"/>
  <c r="Y247" i="1" s="1"/>
  <c r="X313" i="1"/>
  <c r="Y313" i="1" s="1"/>
  <c r="X249" i="1"/>
  <c r="Y249" i="1" s="1"/>
  <c r="X90" i="1"/>
  <c r="Y90" i="1" s="1"/>
  <c r="X116" i="1"/>
  <c r="Y116" i="1" s="1"/>
  <c r="X208" i="1"/>
  <c r="Y208" i="1" s="1"/>
  <c r="X287" i="1"/>
  <c r="Y287" i="1" s="1"/>
  <c r="X175" i="1"/>
  <c r="Y175" i="1" s="1"/>
  <c r="X79" i="1"/>
  <c r="Y79" i="1" s="1"/>
  <c r="X240" i="1"/>
  <c r="Y240" i="1" s="1"/>
  <c r="X139" i="1"/>
  <c r="Y139" i="1" s="1"/>
  <c r="X88" i="1"/>
  <c r="Y88" i="1" s="1"/>
  <c r="X179" i="1"/>
  <c r="Y179" i="1" s="1"/>
  <c r="X241" i="1"/>
  <c r="Y241" i="1" s="1"/>
  <c r="X144" i="1"/>
  <c r="Y144" i="1" s="1"/>
  <c r="X126" i="1"/>
  <c r="Y126" i="1" s="1"/>
  <c r="X283" i="1"/>
  <c r="Y283" i="1" s="1"/>
  <c r="X326" i="1"/>
  <c r="Y326" i="1" s="1"/>
  <c r="X162" i="1"/>
  <c r="Y162" i="1" s="1"/>
  <c r="X183" i="1"/>
  <c r="Y183" i="1" s="1"/>
  <c r="X70" i="1"/>
  <c r="Y70" i="1" s="1"/>
  <c r="X225" i="1"/>
  <c r="Y225" i="1" s="1"/>
  <c r="X239" i="1"/>
  <c r="Y239" i="1" s="1"/>
  <c r="X250" i="1"/>
  <c r="Y250" i="1" s="1"/>
  <c r="X103" i="1"/>
  <c r="Y103" i="1" s="1"/>
  <c r="X276" i="1"/>
  <c r="Y276" i="1" s="1"/>
  <c r="X39" i="1"/>
  <c r="Y39" i="1" s="1"/>
  <c r="X108" i="1"/>
  <c r="Y108" i="1" s="1"/>
  <c r="X212" i="1"/>
  <c r="Y212" i="1" s="1"/>
  <c r="X233" i="1"/>
  <c r="Y233" i="1" s="1"/>
  <c r="X288" i="1"/>
  <c r="Y288" i="1" s="1"/>
  <c r="X169" i="1"/>
  <c r="Y169" i="1" s="1"/>
  <c r="X304" i="1"/>
  <c r="Y304" i="1" s="1"/>
  <c r="X107" i="1"/>
  <c r="Y107" i="1" s="1"/>
  <c r="X154" i="1"/>
  <c r="Y154" i="1" s="1"/>
  <c r="X158" i="1"/>
  <c r="Y158" i="1" s="1"/>
  <c r="X61" i="1"/>
  <c r="Y61" i="1" s="1"/>
  <c r="X5" i="1"/>
  <c r="Y5" i="1" s="1"/>
  <c r="X284" i="1"/>
  <c r="Y284" i="1" s="1"/>
  <c r="X286" i="1"/>
  <c r="Y286" i="1" s="1"/>
  <c r="X36" i="1"/>
  <c r="Y36" i="1" s="1"/>
  <c r="X257" i="1"/>
  <c r="Y257" i="1" s="1"/>
  <c r="X180" i="1"/>
  <c r="Y180" i="1" s="1"/>
  <c r="X194" i="1"/>
  <c r="Y194" i="1" s="1"/>
  <c r="X56" i="1"/>
  <c r="Y56" i="1" s="1"/>
  <c r="X198" i="1"/>
  <c r="Y198" i="1" s="1"/>
  <c r="X131" i="1"/>
  <c r="Y131" i="1" s="1"/>
  <c r="X133" i="1"/>
  <c r="Y133" i="1" s="1"/>
  <c r="X235" i="1"/>
  <c r="Y235" i="1" s="1"/>
  <c r="X193" i="1"/>
  <c r="Y193" i="1" s="1"/>
  <c r="X228" i="1"/>
  <c r="Y228" i="1" s="1"/>
  <c r="X91" i="1"/>
  <c r="Y91" i="1" s="1"/>
  <c r="X303" i="1"/>
  <c r="Y303" i="1" s="1"/>
  <c r="X319" i="1"/>
  <c r="Y319" i="1" s="1"/>
  <c r="X300" i="1"/>
  <c r="Y300" i="1" s="1"/>
  <c r="X206" i="1"/>
  <c r="Y206" i="1" s="1"/>
  <c r="X275" i="1"/>
  <c r="Y275" i="1" s="1"/>
  <c r="X54" i="1"/>
  <c r="Y54" i="1" s="1"/>
  <c r="X192" i="1"/>
  <c r="Y192" i="1" s="1"/>
  <c r="X155" i="1"/>
  <c r="Y155" i="1" s="1"/>
  <c r="X115" i="1"/>
  <c r="Y115" i="1" s="1"/>
  <c r="X146" i="1"/>
  <c r="Y146" i="1" s="1"/>
  <c r="X38" i="1"/>
  <c r="Y38" i="1" s="1"/>
  <c r="X222" i="1"/>
  <c r="Y222" i="1" s="1"/>
  <c r="X125" i="1"/>
  <c r="Y125" i="1" s="1"/>
  <c r="X316" i="1"/>
  <c r="Y316" i="1" s="1"/>
  <c r="X281" i="1"/>
  <c r="Y281" i="1" s="1"/>
  <c r="X85" i="1"/>
  <c r="Y85" i="1" s="1"/>
  <c r="X185" i="1"/>
  <c r="Y185" i="1" s="1"/>
  <c r="X295" i="1"/>
  <c r="Y295" i="1" s="1"/>
  <c r="X285" i="1"/>
  <c r="Y285" i="1" s="1"/>
  <c r="Y301" i="1"/>
  <c r="Y325" i="1"/>
  <c r="Y66" i="1"/>
  <c r="Y48" i="1" l="1"/>
  <c r="AJ10" i="1"/>
  <c r="X205" i="1"/>
</calcChain>
</file>

<file path=xl/sharedStrings.xml><?xml version="1.0" encoding="utf-8"?>
<sst xmlns="http://schemas.openxmlformats.org/spreadsheetml/2006/main" count="1360" uniqueCount="681">
  <si>
    <t>kw</t>
  </si>
  <si>
    <t>qid</t>
  </si>
  <si>
    <t>label</t>
  </si>
  <si>
    <t>mode</t>
  </si>
  <si>
    <t>exact_label</t>
  </si>
  <si>
    <t>exact_alias</t>
  </si>
  <si>
    <t>ctx</t>
  </si>
  <si>
    <t>sl_log1p</t>
  </si>
  <si>
    <t>p31_cnt</t>
  </si>
  <si>
    <t>p279_cnt</t>
  </si>
  <si>
    <t>ctx_p31</t>
  </si>
  <si>
    <t>ctx_p279</t>
  </si>
  <si>
    <t>w_ctx</t>
  </si>
  <si>
    <t>w_sl</t>
  </si>
  <si>
    <t>w_p31</t>
  </si>
  <si>
    <t>w_p279</t>
  </si>
  <si>
    <t>w_ctx_p31</t>
  </si>
  <si>
    <t>w_ctx_p279</t>
  </si>
  <si>
    <t>bonus_label</t>
  </si>
  <si>
    <t>bonus_alias</t>
  </si>
  <si>
    <t>total</t>
  </si>
  <si>
    <t>alias</t>
  </si>
  <si>
    <t>none</t>
  </si>
  <si>
    <t>alias_inv</t>
  </si>
  <si>
    <t>w_alias_inv</t>
  </si>
  <si>
    <t>parallel tempering</t>
  </si>
  <si>
    <t>Q7135015</t>
  </si>
  <si>
    <t>electrospray ionisation</t>
  </si>
  <si>
    <t>Q902061</t>
  </si>
  <si>
    <t>electrospray ionization</t>
  </si>
  <si>
    <t>coarse-grained models</t>
  </si>
  <si>
    <t>Q25305554</t>
  </si>
  <si>
    <t>Coarse-grained model</t>
  </si>
  <si>
    <t>monte carlo simulations</t>
  </si>
  <si>
    <t>Q112879986</t>
  </si>
  <si>
    <t>Monte Carlo Simulations of Chemical Vapour Deposition Diamond Detectors</t>
  </si>
  <si>
    <t>Q122034143</t>
  </si>
  <si>
    <t>Monte Carlo simulations using the physical self-description questionnaire</t>
  </si>
  <si>
    <t>Q232207</t>
  </si>
  <si>
    <t>Monte Carlo method</t>
  </si>
  <si>
    <t>Q118176257</t>
  </si>
  <si>
    <t>Monte Carlo simulation monitoring and optimization</t>
  </si>
  <si>
    <t>excited states</t>
  </si>
  <si>
    <t>Q215328</t>
  </si>
  <si>
    <t>excited state</t>
  </si>
  <si>
    <t>Q113207671</t>
  </si>
  <si>
    <t>excited state chemistry</t>
  </si>
  <si>
    <t>Q113207230</t>
  </si>
  <si>
    <t>excited-state proton-coupled electron transfer</t>
  </si>
  <si>
    <t>Q9138558</t>
  </si>
  <si>
    <t>excited state absorption</t>
  </si>
  <si>
    <t>molecular anions</t>
  </si>
  <si>
    <t>Q55511438</t>
  </si>
  <si>
    <t>polyatomic anion</t>
  </si>
  <si>
    <t>collagen</t>
  </si>
  <si>
    <t>Q26868</t>
  </si>
  <si>
    <t>Q24768908</t>
  </si>
  <si>
    <t>Collagen triple helix repeat</t>
  </si>
  <si>
    <t>Q1779300</t>
  </si>
  <si>
    <t>connective tissue disease</t>
  </si>
  <si>
    <t>Q54810453</t>
  </si>
  <si>
    <t>collagen-containing extracellular matrix</t>
  </si>
  <si>
    <t>Q450470</t>
  </si>
  <si>
    <t>collagenous colitis</t>
  </si>
  <si>
    <t>Q95353897</t>
  </si>
  <si>
    <t>collagen triple helix repeat, protein family</t>
  </si>
  <si>
    <t>Q1446169</t>
  </si>
  <si>
    <t>collagen disease</t>
  </si>
  <si>
    <t>Q14819451</t>
  </si>
  <si>
    <t>collagen binding</t>
  </si>
  <si>
    <t>Q14864949</t>
  </si>
  <si>
    <t>collagen fibril organization</t>
  </si>
  <si>
    <t>Q14877619</t>
  </si>
  <si>
    <t>collagen catabolic process</t>
  </si>
  <si>
    <t>Q18035016</t>
  </si>
  <si>
    <t>CERT1</t>
  </si>
  <si>
    <t>Q5145884</t>
  </si>
  <si>
    <t>collagen type I alpha 1 chain</t>
  </si>
  <si>
    <t>Q5145885</t>
  </si>
  <si>
    <t>Collagen type III alpha 1 chain</t>
  </si>
  <si>
    <t>Q21102497</t>
  </si>
  <si>
    <t>Collagen type VII alpha 1 chain</t>
  </si>
  <si>
    <t>Q29817579</t>
  </si>
  <si>
    <t>Collagen type IV alpha 1 Dmel_CG4145</t>
  </si>
  <si>
    <t>Q18051562</t>
  </si>
  <si>
    <t>CCBE1</t>
  </si>
  <si>
    <t>Q21109884</t>
  </si>
  <si>
    <t>Collagen type XI alpha 2 chain</t>
  </si>
  <si>
    <t>Q5145890</t>
  </si>
  <si>
    <t>Collagen type V alpha 1 chain</t>
  </si>
  <si>
    <t>Q5013311</t>
  </si>
  <si>
    <t>Collagen type I alpha 2 chain</t>
  </si>
  <si>
    <t>Q5145888</t>
  </si>
  <si>
    <t>Collagen type II alpha 1 chain</t>
  </si>
  <si>
    <t>Q5145901</t>
  </si>
  <si>
    <t>Collagen type XVII alpha 1 chain</t>
  </si>
  <si>
    <t>Q21102501</t>
  </si>
  <si>
    <t>Collagen type IX alpha 2 chain</t>
  </si>
  <si>
    <t>Q21131338</t>
  </si>
  <si>
    <t>Collagen type XI alpha 1 chain</t>
  </si>
  <si>
    <t>Q21111945</t>
  </si>
  <si>
    <t>Collagen type XXV alpha 1 chain</t>
  </si>
  <si>
    <t>Q5013327</t>
  </si>
  <si>
    <t>Collagen type V alpha 2 chain</t>
  </si>
  <si>
    <t>Q5145904</t>
  </si>
  <si>
    <t>Collagen type XXVII alpha 1 chain</t>
  </si>
  <si>
    <t>Q21106784</t>
  </si>
  <si>
    <t>Collagen type XII alpha 1 chain</t>
  </si>
  <si>
    <t>Q21100856</t>
  </si>
  <si>
    <t>Collagen type XXIII alpha 1 chain</t>
  </si>
  <si>
    <t>Q21106791</t>
  </si>
  <si>
    <t>Collagen type XVI alpha 1 chain</t>
  </si>
  <si>
    <t>Q21102486</t>
  </si>
  <si>
    <t>Collagen type IX alpha 1 chain</t>
  </si>
  <si>
    <t>Q21130730</t>
  </si>
  <si>
    <t>Collagen type XIII alpha 1 chain</t>
  </si>
  <si>
    <t>Q21130061</t>
  </si>
  <si>
    <t>Collagen type IV alpha 1 chain</t>
  </si>
  <si>
    <t>Q5145886</t>
  </si>
  <si>
    <t>COL4A1</t>
  </si>
  <si>
    <t>Q22298371</t>
  </si>
  <si>
    <t>molting cycle, collagen and cuticulin-based cuticle</t>
  </si>
  <si>
    <t>Q21102491</t>
  </si>
  <si>
    <t>Collagen type V alpha 3 chain</t>
  </si>
  <si>
    <t>Q21115678</t>
  </si>
  <si>
    <t>Collagen type XIV alpha 1 chain</t>
  </si>
  <si>
    <t>Q5145914</t>
  </si>
  <si>
    <t>Collagenous spherulosis</t>
  </si>
  <si>
    <t>Q21111547</t>
  </si>
  <si>
    <t>Collagen type XXIV alpha 1 chain</t>
  </si>
  <si>
    <t>Q5145905</t>
  </si>
  <si>
    <t>Collagen type IV alpha 3 chain</t>
  </si>
  <si>
    <t>Q14914343</t>
  </si>
  <si>
    <t>collagen metabolic process</t>
  </si>
  <si>
    <t>Q21116171</t>
  </si>
  <si>
    <t>Collagen type XVIII alpha 1 chain</t>
  </si>
  <si>
    <t>Q5145913</t>
  </si>
  <si>
    <t>collagenous fibroma</t>
  </si>
  <si>
    <t>Q810010</t>
  </si>
  <si>
    <t>Basigin (Ok blood group)</t>
  </si>
  <si>
    <t>Q21130069</t>
  </si>
  <si>
    <t>Collagen type IX alpha 3 chain</t>
  </si>
  <si>
    <t>Q15317046</t>
  </si>
  <si>
    <t>COL1A2</t>
  </si>
  <si>
    <t>Q5161704</t>
  </si>
  <si>
    <t>Connective tissue nevus</t>
  </si>
  <si>
    <t>Q21118029</t>
  </si>
  <si>
    <t>procollagen-proline 4-dioxygenase activity</t>
  </si>
  <si>
    <t>Q508356</t>
  </si>
  <si>
    <t>COL8A1</t>
  </si>
  <si>
    <t>Q21130062</t>
  </si>
  <si>
    <t>Collagen type IV alpha 2 chain</t>
  </si>
  <si>
    <t>Q7434197</t>
  </si>
  <si>
    <t>collagÃ©nome storiforme circonscrit</t>
  </si>
  <si>
    <t>Q304956</t>
  </si>
  <si>
    <t>collagÃ©nase</t>
  </si>
  <si>
    <t>Q19000791</t>
  </si>
  <si>
    <t>collagÃ©nome Ã©ruptif</t>
  </si>
  <si>
    <t>Q5145911</t>
  </si>
  <si>
    <t>collagÃ©nase de clostridium histolyticum</t>
  </si>
  <si>
    <t>Q7300317</t>
  </si>
  <si>
    <t>collagÃ©nose perforante rÃ©actionnelle</t>
  </si>
  <si>
    <t>Q22669857</t>
  </si>
  <si>
    <t>collage</t>
  </si>
  <si>
    <t>Q18558142</t>
  </si>
  <si>
    <t>connectivitÃ© Ã©osinophilique dissÃ©minÃ©e</t>
  </si>
  <si>
    <t>Q3281418</t>
  </si>
  <si>
    <t>collagÃ¨ne type VI</t>
  </si>
  <si>
    <t>Q5424305</t>
  </si>
  <si>
    <t>CollagÃ¨ne FACIT</t>
  </si>
  <si>
    <t>Q18113554</t>
  </si>
  <si>
    <t>Collagenus</t>
  </si>
  <si>
    <t>Q14871594</t>
  </si>
  <si>
    <t>Collagenus dasysternus</t>
  </si>
  <si>
    <t>Q55780406</t>
  </si>
  <si>
    <t>collagÃ©nome cutanÃ© familial</t>
  </si>
  <si>
    <t>biosensors</t>
  </si>
  <si>
    <t>Q117747715</t>
  </si>
  <si>
    <t>Biosensors with programmable sensing cavities</t>
  </si>
  <si>
    <t>Q117728449</t>
  </si>
  <si>
    <t>Biosensors including surface resonance spectroscopy and semiconductor devices</t>
  </si>
  <si>
    <t>Q74284867</t>
  </si>
  <si>
    <t>Biosensors for Open and Closed-loop Glycemia Control in T1D Patients With Insulin Pump</t>
  </si>
  <si>
    <t>Q123137040</t>
  </si>
  <si>
    <t>Biosensors for biological or chemical analysis and methods of manufacturing the same</t>
  </si>
  <si>
    <t>Q117716239</t>
  </si>
  <si>
    <t>Q669391</t>
  </si>
  <si>
    <t>biosensor</t>
  </si>
  <si>
    <t>Q591745</t>
  </si>
  <si>
    <t>DNA microarray</t>
  </si>
  <si>
    <t>Q125016889</t>
  </si>
  <si>
    <t>Biosensor</t>
  </si>
  <si>
    <t>Q122196380</t>
  </si>
  <si>
    <t>Q123819348</t>
  </si>
  <si>
    <t>Biosensor array for the detection of analytes</t>
  </si>
  <si>
    <t>Q117845984</t>
  </si>
  <si>
    <t>Biosensor electrode having three-dimensional structured sensing surfaces</t>
  </si>
  <si>
    <t>Q118036331</t>
  </si>
  <si>
    <t>Q130463702</t>
  </si>
  <si>
    <t>Biosensor using array antenna</t>
  </si>
  <si>
    <t>Q123353438</t>
  </si>
  <si>
    <t>Biosensor and biological detection method</t>
  </si>
  <si>
    <t>Q125844345</t>
  </si>
  <si>
    <t>Biosensor with a gap region for continuous monitoring</t>
  </si>
  <si>
    <t>Q130882910</t>
  </si>
  <si>
    <t>Biosensor Research Center</t>
  </si>
  <si>
    <t>Q122802395</t>
  </si>
  <si>
    <t>Biosensor platform for rapid diagnostic testing</t>
  </si>
  <si>
    <t>Q125844754</t>
  </si>
  <si>
    <t>Biosensor based on a tethered particle</t>
  </si>
  <si>
    <t>Q125948391</t>
  </si>
  <si>
    <t>Biosensor and bio detection system</t>
  </si>
  <si>
    <t>Q125957195</t>
  </si>
  <si>
    <t>Biosensor calibration coding systems and methods</t>
  </si>
  <si>
    <t>Q125553475</t>
  </si>
  <si>
    <t>Biosensor for detecting TNT</t>
  </si>
  <si>
    <t>Q125553644</t>
  </si>
  <si>
    <t>Biosensor exhibiting sensitivity to trinitrotoluene</t>
  </si>
  <si>
    <t>electrochemical biosensor</t>
  </si>
  <si>
    <t>Q124649772</t>
  </si>
  <si>
    <t>Electrochemical biosensor and a method of sensing albumin and its complexes</t>
  </si>
  <si>
    <t>classification</t>
  </si>
  <si>
    <t>Q5962346</t>
  </si>
  <si>
    <t>classification scheme</t>
  </si>
  <si>
    <t>Q20530786</t>
  </si>
  <si>
    <t>Classification of Estonian administrative units and settlements</t>
  </si>
  <si>
    <t>Q13582682</t>
  </si>
  <si>
    <t>Q1503443</t>
  </si>
  <si>
    <t>secrecy</t>
  </si>
  <si>
    <t>Q1744559</t>
  </si>
  <si>
    <t>classification in sports</t>
  </si>
  <si>
    <t>Q11398</t>
  </si>
  <si>
    <t>biological classification</t>
  </si>
  <si>
    <t>Q830588</t>
  </si>
  <si>
    <t>field guide</t>
  </si>
  <si>
    <t>Q1744627</t>
  </si>
  <si>
    <t>classification algorithm</t>
  </si>
  <si>
    <t>Q519608</t>
  </si>
  <si>
    <t>classification yard</t>
  </si>
  <si>
    <t>Q5128413</t>
  </si>
  <si>
    <t>Classification of the Functions of Government</t>
  </si>
  <si>
    <t>Q192625</t>
  </si>
  <si>
    <t>linguistic typology</t>
  </si>
  <si>
    <t>Q5128386</t>
  </si>
  <si>
    <t>Q10872045</t>
  </si>
  <si>
    <t>Classification and code of disciplines</t>
  </si>
  <si>
    <t>Q770487</t>
  </si>
  <si>
    <t>cruiser tank</t>
  </si>
  <si>
    <t>Q16766476</t>
  </si>
  <si>
    <t>decision tree learning</t>
  </si>
  <si>
    <t>Q1163643</t>
  </si>
  <si>
    <t>classification society</t>
  </si>
  <si>
    <t>Q22814967</t>
  </si>
  <si>
    <t>Classification of Mammals Above the Species Level</t>
  </si>
  <si>
    <t>Q386963</t>
  </si>
  <si>
    <t>soil classification</t>
  </si>
  <si>
    <t>Q11790</t>
  </si>
  <si>
    <t>Classification of Built Heritage in Portugal</t>
  </si>
  <si>
    <t>Q7860960</t>
  </si>
  <si>
    <t>type of restaurant</t>
  </si>
  <si>
    <t>Q218682</t>
  </si>
  <si>
    <t>identification key</t>
  </si>
  <si>
    <t>Q1352932</t>
  </si>
  <si>
    <t>Office of Film and Literature Classification</t>
  </si>
  <si>
    <t>Q548492</t>
  </si>
  <si>
    <t>classification of wine</t>
  </si>
  <si>
    <t>Q478216</t>
  </si>
  <si>
    <t>virus classification</t>
  </si>
  <si>
    <t>Q2976560</t>
  </si>
  <si>
    <t>classification of minerals</t>
  </si>
  <si>
    <t>Q2578772</t>
  </si>
  <si>
    <t>Classification of inhabited localities in Russia</t>
  </si>
  <si>
    <t>Q541961</t>
  </si>
  <si>
    <t>discontinuity</t>
  </si>
  <si>
    <t>Q98966309</t>
  </si>
  <si>
    <t>classification of human settlements</t>
  </si>
  <si>
    <t>Q164667</t>
  </si>
  <si>
    <t>Arabian</t>
  </si>
  <si>
    <t>Q113435339</t>
  </si>
  <si>
    <t>classification of societies</t>
  </si>
  <si>
    <t>Q3679755</t>
  </si>
  <si>
    <t>classification of roads in Italy</t>
  </si>
  <si>
    <t>Q28933312</t>
  </si>
  <si>
    <t>Classification der Batrachier</t>
  </si>
  <si>
    <t>Q109532996</t>
  </si>
  <si>
    <t>typology item</t>
  </si>
  <si>
    <t>Q101068094</t>
  </si>
  <si>
    <t>classification of neurons</t>
  </si>
  <si>
    <t>Q468874</t>
  </si>
  <si>
    <t>classification of birds</t>
  </si>
  <si>
    <t>Q863985</t>
  </si>
  <si>
    <t>Classification of European Inland Waterways</t>
  </si>
  <si>
    <t>Q1520859</t>
  </si>
  <si>
    <t>waterbody number</t>
  </si>
  <si>
    <t>Q1564708</t>
  </si>
  <si>
    <t>Classification of objects of the administrative-territorial system of Ukraine</t>
  </si>
  <si>
    <t>Q636033</t>
  </si>
  <si>
    <t>archive type</t>
  </si>
  <si>
    <t>Q101068098</t>
  </si>
  <si>
    <t>classification of cells</t>
  </si>
  <si>
    <t>Q10708051</t>
  </si>
  <si>
    <t>competition class</t>
  </si>
  <si>
    <t>Q4844781</t>
  </si>
  <si>
    <t>Statistical Classification of Products by Activity in the European Economic Community</t>
  </si>
  <si>
    <t>Q2748242</t>
  </si>
  <si>
    <t>musical instrument classification</t>
  </si>
  <si>
    <t>Q1340623</t>
  </si>
  <si>
    <t>classification of finite simple groups</t>
  </si>
  <si>
    <t>Q5128406</t>
  </si>
  <si>
    <t>Classification of minerals â€“ Silicates</t>
  </si>
  <si>
    <t>Q5128405</t>
  </si>
  <si>
    <t>Classification of minerals â€“ Non silicates</t>
  </si>
  <si>
    <t>Q233309</t>
  </si>
  <si>
    <t>tumeur du cerveau</t>
  </si>
  <si>
    <t>Q12893838</t>
  </si>
  <si>
    <t>ordre</t>
  </si>
  <si>
    <t>Q4223026</t>
  </si>
  <si>
    <t>classification Carnegie des institutions d'enseignement supÃ©rieur</t>
  </si>
  <si>
    <t>Q48473</t>
  </si>
  <si>
    <t>classification bibliographique</t>
  </si>
  <si>
    <t>Q187588</t>
  </si>
  <si>
    <t>classe sociale</t>
  </si>
  <si>
    <t>Q1277447</t>
  </si>
  <si>
    <t>regroupement hiÃ©rarchique</t>
  </si>
  <si>
    <t>Q1233766</t>
  </si>
  <si>
    <t>classification internationale type des professions</t>
  </si>
  <si>
    <t>Q3045304</t>
  </si>
  <si>
    <t>dÃ©tection d'objet</t>
  </si>
  <si>
    <t>Q25377588</t>
  </si>
  <si>
    <t>classification des Ã©toiles</t>
  </si>
  <si>
    <t>Q18189</t>
  </si>
  <si>
    <t>classification des niveaux scolaires</t>
  </si>
  <si>
    <t>Q10693</t>
  </si>
  <si>
    <t>tableau pÃ©riodique des Ã©lÃ©ments</t>
  </si>
  <si>
    <t>Q672593</t>
  </si>
  <si>
    <t>Classification des locomotives</t>
  </si>
  <si>
    <t>Q1390351</t>
  </si>
  <si>
    <t>Classification internationale de type de l'Ã©ducation</t>
  </si>
  <si>
    <t>Q908254</t>
  </si>
  <si>
    <t>Classification cinÃ©matographique de Hong Kong</t>
  </si>
  <si>
    <t>Q192093</t>
  </si>
  <si>
    <t>Classification anatomique, thÃ©rapeutique et chimique</t>
  </si>
  <si>
    <t>Q621080</t>
  </si>
  <si>
    <t>Classification de la BibliothÃ¨que du CongrÃ¨s</t>
  </si>
  <si>
    <t>Q1744628</t>
  </si>
  <si>
    <t>classification automatique</t>
  </si>
  <si>
    <t>Q2976575</t>
  </si>
  <si>
    <t>Classification double</t>
  </si>
  <si>
    <t>Q48460</t>
  </si>
  <si>
    <t>classification dÃ©cimale de Dewey</t>
  </si>
  <si>
    <t>Q1998962</t>
  </si>
  <si>
    <t>type de biÃ¨re</t>
  </si>
  <si>
    <t>Q2976606</t>
  </si>
  <si>
    <t>classification phylogÃ©nÃ©tique</t>
  </si>
  <si>
    <t>Q839752</t>
  </si>
  <si>
    <t>classification de Sibley-Ahlquist</t>
  </si>
  <si>
    <t>Q17005494</t>
  </si>
  <si>
    <t>classification binaire</t>
  </si>
  <si>
    <t>Q1752284</t>
  </si>
  <si>
    <t>classification des cancers</t>
  </si>
  <si>
    <t>Q836985</t>
  </si>
  <si>
    <t>classification des automobiles</t>
  </si>
  <si>
    <t>Q112111674</t>
  </si>
  <si>
    <t>Classification internationale type des industries rÃ©v.4</t>
  </si>
  <si>
    <t>Q302088</t>
  </si>
  <si>
    <t>classification et catÃ©gorisation de documents</t>
  </si>
  <si>
    <t>Q112135548</t>
  </si>
  <si>
    <t>classification centrale des produits version 2.1</t>
  </si>
  <si>
    <t>Q243350</t>
  </si>
  <si>
    <t>classification dÃ©cimale universelle</t>
  </si>
  <si>
    <t>Q967960</t>
  </si>
  <si>
    <t>Classification AMS</t>
  </si>
  <si>
    <t>Q1666934</t>
  </si>
  <si>
    <t>Classification internationale type des industries</t>
  </si>
  <si>
    <t>Q3663344</t>
  </si>
  <si>
    <t>classification en sport paralympique</t>
  </si>
  <si>
    <t>Q6934605</t>
  </si>
  <si>
    <t>Classification en classes multiples</t>
  </si>
  <si>
    <t>Q124095</t>
  </si>
  <si>
    <t>classification de KÃ¶ppen</t>
  </si>
  <si>
    <t>Q3518464</t>
  </si>
  <si>
    <t>terminologies et classifications en mÃ©decine</t>
  </si>
  <si>
    <t>Q50018</t>
  </si>
  <si>
    <t>Classification statistique internationale des maladies et des problÃ¨mes de santÃ© connexes</t>
  </si>
  <si>
    <t>Q5100524</t>
  </si>
  <si>
    <t>classification systÃ©matique des bibliothÃ¨ques de Chine populaire</t>
  </si>
  <si>
    <t>Q36642</t>
  </si>
  <si>
    <t>nom binominal</t>
  </si>
  <si>
    <t>Q156982</t>
  </si>
  <si>
    <t>Classification APG III</t>
  </si>
  <si>
    <t>Q3442619</t>
  </si>
  <si>
    <t>classification des RosidÃ©es</t>
  </si>
  <si>
    <t>Q55695727</t>
  </si>
  <si>
    <t>CIM-11</t>
  </si>
  <si>
    <t>Q2976602</t>
  </si>
  <si>
    <t>classification type des industries</t>
  </si>
  <si>
    <t>Q2976556</t>
  </si>
  <si>
    <t>classification des hÃ´tels de tourisme</t>
  </si>
  <si>
    <t>definition</t>
  </si>
  <si>
    <t>Q101072</t>
  </si>
  <si>
    <t>Q106205899</t>
  </si>
  <si>
    <t>ontology concept definition</t>
  </si>
  <si>
    <t>Q2308807</t>
  </si>
  <si>
    <t>memory management</t>
  </si>
  <si>
    <t>Q192439</t>
  </si>
  <si>
    <t>domain of a function</t>
  </si>
  <si>
    <t>Q9203276</t>
  </si>
  <si>
    <t>defining</t>
  </si>
  <si>
    <t>Q2037833</t>
  </si>
  <si>
    <t>piecewise function</t>
  </si>
  <si>
    <t>Q5251600</t>
  </si>
  <si>
    <t>Definition</t>
  </si>
  <si>
    <t>Q47470529</t>
  </si>
  <si>
    <t>RFC 2474: Definition of the Differentiated Services Field (DS Field) in the IPv4 and IPv6 Headers</t>
  </si>
  <si>
    <t>Q488677</t>
  </si>
  <si>
    <t>genusâ€“differentia definition</t>
  </si>
  <si>
    <t>Q14946150</t>
  </si>
  <si>
    <t>RFC 6716: Definition of the Opus Audio Codec</t>
  </si>
  <si>
    <t>Q2096586</t>
  </si>
  <si>
    <t>Definition of Free Cultural Works</t>
  </si>
  <si>
    <t>Q114980101</t>
  </si>
  <si>
    <t>defining quality</t>
  </si>
  <si>
    <t>Q5251607</t>
  </si>
  <si>
    <t>definition of music</t>
  </si>
  <si>
    <t>Q1749083</t>
  </si>
  <si>
    <t>Definitions</t>
  </si>
  <si>
    <t>Q47472756</t>
  </si>
  <si>
    <t>RFC 2798: Definition of the inetOrgPerson LDAP Object Class</t>
  </si>
  <si>
    <t>Q47483279</t>
  </si>
  <si>
    <t>RFC 1657: Definitions of Managed Objects for the Fourth Version of the Border Gateway Protocol (BGP-4) using SMIv2</t>
  </si>
  <si>
    <t>Q47462186</t>
  </si>
  <si>
    <t>RFC 1269: Definitions of Managed Objects for the Border Gateway Protocol: Version 3</t>
  </si>
  <si>
    <t>Q47469534</t>
  </si>
  <si>
    <t>RFC 4273: Definitions of Managed Objects for BGP-4</t>
  </si>
  <si>
    <t>Q5251603</t>
  </si>
  <si>
    <t>Definition of Sound</t>
  </si>
  <si>
    <t>Q2142721</t>
  </si>
  <si>
    <t>definition of religion</t>
  </si>
  <si>
    <t>Q1295751</t>
  </si>
  <si>
    <t>definitions of fascism</t>
  </si>
  <si>
    <t>Q47466542</t>
  </si>
  <si>
    <t>RFC 2787: Definitions of Managed Objects for the Virtual Router Redundancy Protocol</t>
  </si>
  <si>
    <t>Q47484521</t>
  </si>
  <si>
    <t>RFC 3636: Definitions of Managed Objects for IEEE 802.3 Medium Attachment Units (MAUs)</t>
  </si>
  <si>
    <t>Q7888408</t>
  </si>
  <si>
    <t>United Nations General Assembly Resolution 3314</t>
  </si>
  <si>
    <t>Q16743</t>
  </si>
  <si>
    <t>definition of planet</t>
  </si>
  <si>
    <t>Q47468474</t>
  </si>
  <si>
    <t>RFC 1407: Definitions of Managed Objects for the DS3/E3 Interface Type</t>
  </si>
  <si>
    <t>Q47462214</t>
  </si>
  <si>
    <t>RFC 1623: Definitions of Managed Objects for the Ethernet-like Interface Types</t>
  </si>
  <si>
    <t>Q47466532</t>
  </si>
  <si>
    <t>RFC 2665: Definitions of Managed Objects for the Ethernet-like Interface Types</t>
  </si>
  <si>
    <t>Q47467871</t>
  </si>
  <si>
    <t>RFC 1398: Definitions of Managed Objects for the Ethernet-Like Interface Types</t>
  </si>
  <si>
    <t>Q47481519</t>
  </si>
  <si>
    <t>RFC 6527: Definitions of Managed Objects for Virtual Router Redundancy Protocol Version 3 (VRRPv3)</t>
  </si>
  <si>
    <t>Q47259383</t>
  </si>
  <si>
    <t>RFC 2954: Definitions of Managed Objects for Frame Relay Service</t>
  </si>
  <si>
    <t>Q47455841</t>
  </si>
  <si>
    <t>RFC 1232: Definitions of managed objects for the DS1 Interface type</t>
  </si>
  <si>
    <t>Q47476709</t>
  </si>
  <si>
    <t>RFC 3895: Definitions of Managed Objects for the DS1, E1, DS2, and E2 Interface Types</t>
  </si>
  <si>
    <t>Q47458407</t>
  </si>
  <si>
    <t>RFC 1286: Definitions of Managed Objects for Bridges</t>
  </si>
  <si>
    <t>Q47484262</t>
  </si>
  <si>
    <t>RFC 1643: Definitions of Managed Objects for the Ethernet-like Interface Types</t>
  </si>
  <si>
    <t>Q47468050</t>
  </si>
  <si>
    <t>RFC 1660: Definitions of Managed Objects for Parallel-printer-like Hardware Devices using SMIv2</t>
  </si>
  <si>
    <t>Q47304910</t>
  </si>
  <si>
    <t>RFC 1493: Definitions of Managed Objects for Bridges</t>
  </si>
  <si>
    <t>Q47483247</t>
  </si>
  <si>
    <t>RFC 1604: Definitions of Managed Objects for Frame Relay Service</t>
  </si>
  <si>
    <t>Q47479383</t>
  </si>
  <si>
    <t>RFC 2496: Definitions of Managed Object for the DS3/E3 Interface Type</t>
  </si>
  <si>
    <t>Q47459128</t>
  </si>
  <si>
    <t>RFC 4544: Definitions of Managed Objects for Internet Small Computer System Interface (iSCSI)</t>
  </si>
  <si>
    <t>Q47483884</t>
  </si>
  <si>
    <t>RFC 2668: Definitions of Managed Objects for IEEE 802.3 Medium Attachment Units (MAUs)</t>
  </si>
  <si>
    <t>Q47481175</t>
  </si>
  <si>
    <t>RFC 2358: Definitions of Managed Objects for the Ethernet-like Interface Types</t>
  </si>
  <si>
    <t>Q47392049</t>
  </si>
  <si>
    <t>RFC 1406: Definitions of Managed Objects for the DS1 and E1 Interface Types</t>
  </si>
  <si>
    <t>Q1580166</t>
  </si>
  <si>
    <t>article de dictionnaire</t>
  </si>
  <si>
    <t>Q171141</t>
  </si>
  <si>
    <t>gastronomie</t>
  </si>
  <si>
    <t>Q114425676</t>
  </si>
  <si>
    <t>dÃ©finition mathÃ©matique</t>
  </si>
  <si>
    <t>Q224989</t>
  </si>
  <si>
    <t>uchronie</t>
  </si>
  <si>
    <t>Q12538706</t>
  </si>
  <si>
    <t>dÃ©finition d'Ã©cran</t>
  </si>
  <si>
    <t>Q212327</t>
  </si>
  <si>
    <t>Document Type Definition</t>
  </si>
  <si>
    <t>Q1140158</t>
  </si>
  <si>
    <t>Ã©tude d'Ã©checs</t>
  </si>
  <si>
    <t>Q1026899</t>
  </si>
  <si>
    <t>dÃ©finition par intension</t>
  </si>
  <si>
    <t>Q173462</t>
  </si>
  <si>
    <t>crime contre l'humanitÃ©</t>
  </si>
  <si>
    <t>Q5421961</t>
  </si>
  <si>
    <t>dÃ©finition par extension</t>
  </si>
  <si>
    <t>Q2361306</t>
  </si>
  <si>
    <t>dÃ©finition des planÃ¨tes de l'UAI</t>
  </si>
  <si>
    <t>Q332629</t>
  </si>
  <si>
    <t>DÃ©finition d'opÃ©rateur</t>
  </si>
  <si>
    <t>Q2466486</t>
  </si>
  <si>
    <t>dÃ©finition par rÃ©currence</t>
  </si>
  <si>
    <t>Q3043208</t>
  </si>
  <si>
    <t>dÃ©finition ostensive</t>
  </si>
  <si>
    <t>Q2466038</t>
  </si>
  <si>
    <t>DÃ©finition du logiciel libre</t>
  </si>
  <si>
    <t>Q11356003</t>
  </si>
  <si>
    <t>dÃ©finition lÃ©gale</t>
  </si>
  <si>
    <t>Q3365007</t>
  </si>
  <si>
    <t>parentalitÃ©</t>
  </si>
  <si>
    <t>Q115287558</t>
  </si>
  <si>
    <t>DÃ©finition du vol spatial humain par la FÃ©dÃ©ration aÃ©ronautique internationale</t>
  </si>
  <si>
    <t>Q15709883</t>
  </si>
  <si>
    <t>dÃ©finition utilisÃ©e par des organismes statistiques</t>
  </si>
  <si>
    <t>Q3043192</t>
  </si>
  <si>
    <t>DÃ©finition du terrorisme</t>
  </si>
  <si>
    <t>Q5533460</t>
  </si>
  <si>
    <t>dÃ©finitions du gÃ©nocide</t>
  </si>
  <si>
    <t>Q744823</t>
  </si>
  <si>
    <t>DÃ©finitions du Tibet</t>
  </si>
  <si>
    <t>implantable sensor</t>
  </si>
  <si>
    <t>Q124665234</t>
  </si>
  <si>
    <t>Implantable sensor</t>
  </si>
  <si>
    <t>Q127688954</t>
  </si>
  <si>
    <t>Implantable sensor and method for detecting at least one analyte in a body fluid</t>
  </si>
  <si>
    <t>glucose</t>
  </si>
  <si>
    <t>Q37525</t>
  </si>
  <si>
    <t>Q191835</t>
  </si>
  <si>
    <t>gluconeogenesis</t>
  </si>
  <si>
    <t>Q95987978</t>
  </si>
  <si>
    <t>glucose monitoring</t>
  </si>
  <si>
    <t>Q2661464</t>
  </si>
  <si>
    <t>glucose intolerance</t>
  </si>
  <si>
    <t>Q848343</t>
  </si>
  <si>
    <t>glucose-6-phosphate dehydrogenase deficiency</t>
  </si>
  <si>
    <t>Q21036645</t>
  </si>
  <si>
    <t>aldehydo-D-glucose</t>
  </si>
  <si>
    <t>Q14758903</t>
  </si>
  <si>
    <t>glucose metabolic process</t>
  </si>
  <si>
    <t>Q14758934</t>
  </si>
  <si>
    <t>glucose homeostasis</t>
  </si>
  <si>
    <t>Q41797974</t>
  </si>
  <si>
    <t>Glucose permease domain IIB</t>
  </si>
  <si>
    <t>Q24782903</t>
  </si>
  <si>
    <t>glucose-6-phosphate dehydrogenase</t>
  </si>
  <si>
    <t>Q1420402</t>
  </si>
  <si>
    <t>incretins</t>
  </si>
  <si>
    <t>Q1485893</t>
  </si>
  <si>
    <t>encephalopathy due to GLUT1 deficiency</t>
  </si>
  <si>
    <t>Q14863085</t>
  </si>
  <si>
    <t>glucose 6-phosphate metabolic process</t>
  </si>
  <si>
    <t>Q83162170</t>
  </si>
  <si>
    <t>Glucose-methanol-choline oxidoreductase, C-terminal domain, protein family</t>
  </si>
  <si>
    <t>Q21972891</t>
  </si>
  <si>
    <t>glucose transmembrane transport</t>
  </si>
  <si>
    <t>Q24781463</t>
  </si>
  <si>
    <t>Glucose-methanol-choline oxidoreductase, C-terminal</t>
  </si>
  <si>
    <t>Q21108800</t>
  </si>
  <si>
    <t>insulin secretion involved in cellular response to glucose stimulus</t>
  </si>
  <si>
    <t>Q83141499</t>
  </si>
  <si>
    <t>Glucose-methanol-choline oxidoreductase, N-terminal domain, protein family</t>
  </si>
  <si>
    <t>Q24773884</t>
  </si>
  <si>
    <t>Glucose-methanol-choline oxidoreductase, N-terminal</t>
  </si>
  <si>
    <t>Q14863056</t>
  </si>
  <si>
    <t>glucokinase activity</t>
  </si>
  <si>
    <t>Q14887301</t>
  </si>
  <si>
    <t>glucose transmembrane transporter activity</t>
  </si>
  <si>
    <t>Q14865752</t>
  </si>
  <si>
    <t>glucose-6-phosphate isomerase activity</t>
  </si>
  <si>
    <t>Q1501412</t>
  </si>
  <si>
    <t>glucose tolerance test</t>
  </si>
  <si>
    <t>Q21101956</t>
  </si>
  <si>
    <t>UTP:glucose-1-phosphate uridylyltransferase activity</t>
  </si>
  <si>
    <t>Q14877625</t>
  </si>
  <si>
    <t>glucose-6-phosphate dehydrogenase activity</t>
  </si>
  <si>
    <t>Q83140526</t>
  </si>
  <si>
    <t>Glucose/Sorbosone dehydrogenase family</t>
  </si>
  <si>
    <t>Q24773170</t>
  </si>
  <si>
    <t>Phosphoglucose isomerase (PGI)</t>
  </si>
  <si>
    <t>Q14863057</t>
  </si>
  <si>
    <t>glucose binding</t>
  </si>
  <si>
    <t>Q14907693</t>
  </si>
  <si>
    <t>glucose catabolic process</t>
  </si>
  <si>
    <t>Q24783096</t>
  </si>
  <si>
    <t>Glucose-6-phosphate dehydrogenase, C-terminal</t>
  </si>
  <si>
    <t>Q24772013</t>
  </si>
  <si>
    <t>Glucose/Sorbosone dehydrogenase</t>
  </si>
  <si>
    <t>Q83163307</t>
  </si>
  <si>
    <t>Glucose-6-phosphate dehydrogenase, C-terminal domain, protein family</t>
  </si>
  <si>
    <t>Q83138081</t>
  </si>
  <si>
    <t>Glucose-6-phosphate dehydrogenase, NAD-binding domain, protein family</t>
  </si>
  <si>
    <t>Q24784656</t>
  </si>
  <si>
    <t>Glucose-1-phosphate thymidylyltransferase, short form</t>
  </si>
  <si>
    <t>Q14887304</t>
  </si>
  <si>
    <t>glucose import</t>
  </si>
  <si>
    <t>Q24719895</t>
  </si>
  <si>
    <t>Glucose-methanol-choline oxidoreductase</t>
  </si>
  <si>
    <t>Q24745428</t>
  </si>
  <si>
    <t>Glucose-6-phosphate dehydrogenase, NAD-binding domain</t>
  </si>
  <si>
    <t>Q21118383</t>
  </si>
  <si>
    <t>phosphoglucomutase activity</t>
  </si>
  <si>
    <t>Q24782307</t>
  </si>
  <si>
    <t>Glucose-6-phosphate dehydrogenase, active site</t>
  </si>
  <si>
    <t>Q21199229</t>
  </si>
  <si>
    <t>glucose-1-phosphate adenylyltransferase activity</t>
  </si>
  <si>
    <t>Q21756492</t>
  </si>
  <si>
    <t>glucose-1-phosphate thymidylyltransferase activity</t>
  </si>
  <si>
    <t>Q95354608</t>
  </si>
  <si>
    <t>Glucose-6-phosphate dehydrogenase, active site, protein family</t>
  </si>
  <si>
    <t>Q421793</t>
  </si>
  <si>
    <t>Q24723404</t>
  </si>
  <si>
    <t>Glucose-1-phosphate adenylyltransferase GlgC, bacterial</t>
  </si>
  <si>
    <t>Q54456755</t>
  </si>
  <si>
    <t>Glucose Oxidase, domain 2</t>
  </si>
  <si>
    <t>Q18024934</t>
  </si>
  <si>
    <t>G6PC1</t>
  </si>
  <si>
    <t>Q14863081</t>
  </si>
  <si>
    <t>hexokinase activity</t>
  </si>
  <si>
    <t>Q61497978</t>
  </si>
  <si>
    <t>Glucose oxidase</t>
  </si>
  <si>
    <t>Q18556224</t>
  </si>
  <si>
    <t>glucose metabolism disease</t>
  </si>
  <si>
    <t>Q418097</t>
  </si>
  <si>
    <t>glucose-6-phosphate isomerase</t>
  </si>
  <si>
    <t>Q24724068</t>
  </si>
  <si>
    <t>Glucose-1-phosphate cytidylyltransfÃ©rase</t>
  </si>
  <si>
    <t>Q14770547</t>
  </si>
  <si>
    <t>sirop de glucose</t>
  </si>
  <si>
    <t>Q419321</t>
  </si>
  <si>
    <t>Glucose oxydase</t>
  </si>
  <si>
    <t>Q24785320</t>
  </si>
  <si>
    <t>Glucose-6-phosphatase</t>
  </si>
  <si>
    <t>Q74566546</t>
  </si>
  <si>
    <t>Glucose-6-phosphate</t>
  </si>
  <si>
    <t>Q420277</t>
  </si>
  <si>
    <t>Glucose transporter</t>
  </si>
  <si>
    <t>Q4122197</t>
  </si>
  <si>
    <t>glucose-1,6-bisphosphate</t>
  </si>
  <si>
    <t>Q32778969</t>
  </si>
  <si>
    <t>Q408508</t>
  </si>
  <si>
    <t>UDP-glucose pyrophosphorylase</t>
  </si>
  <si>
    <t>Q275157</t>
  </si>
  <si>
    <t>glycÃ©mie</t>
  </si>
  <si>
    <t>Q1122680</t>
  </si>
  <si>
    <t>pyranose-oxidase</t>
  </si>
  <si>
    <t>Q2877028</t>
  </si>
  <si>
    <t>bouillon glucosÃ© tamponnÃ©</t>
  </si>
  <si>
    <t>Q14629318</t>
  </si>
  <si>
    <t>Glucose-6-phosphate translocase</t>
  </si>
  <si>
    <t>Q419977</t>
  </si>
  <si>
    <t>peptide insulinotrope dÃ©pendant du glucose</t>
  </si>
  <si>
    <t>Q618739</t>
  </si>
  <si>
    <t>sirop de maÃ¯s</t>
  </si>
  <si>
    <t>glucose oxidase</t>
  </si>
  <si>
    <t>Q29814692</t>
  </si>
  <si>
    <t>Glucose dehydrogenase Dmel_CG1152</t>
  </si>
  <si>
    <t>Q61532194</t>
  </si>
  <si>
    <t>Q61568683</t>
  </si>
  <si>
    <t>Q61522817</t>
  </si>
  <si>
    <t>Q62727825</t>
  </si>
  <si>
    <t>TRIREDRAFT_22915-t26_1</t>
  </si>
  <si>
    <t>Q62863961</t>
  </si>
  <si>
    <t>CPSG_04633-t26_1</t>
  </si>
  <si>
    <t>Q62789772</t>
  </si>
  <si>
    <t>CIMG_10211-t26_1</t>
  </si>
  <si>
    <t>Q22318289</t>
  </si>
  <si>
    <t>glucose oxidase activity</t>
  </si>
  <si>
    <t>Q98207203</t>
  </si>
  <si>
    <t>glucose oxidase gox</t>
  </si>
  <si>
    <t>Q65362265</t>
  </si>
  <si>
    <t>Glucose Oxidase as Treatment Against Common Cold</t>
  </si>
  <si>
    <t>Q1532330</t>
  </si>
  <si>
    <t>dosage du glucose Ã  la glucose oxydase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</si>
</sst>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0" fillId="33" borderId="0" xfId="0" applyFill="1"/>
    <xf numFmtId="1" fontId="0" fillId="33" borderId="0" xfId="0" applyNumberFormat="1" applyFill="1"/>
    <xf numFmtId="0" fontId="0" fillId="34" borderId="0" xfId="0" applyFill="1"/>
    <xf numFmtId="164" fontId="0" fillId="35" borderId="0" xfId="0" applyNumberFormat="1" applyFill="1"/>
    <xf numFmtId="0" fontId="0" fillId="35" borderId="0" xfId="0" applyFill="1"/>
    <xf numFmtId="1" fontId="0" fillId="35" borderId="0" xfId="0" applyNumberFormat="1" applyFill="1"/>
    <xf numFmtId="165" fontId="0" fillId="35" borderId="0" xfId="0" applyNumberFormat="1" applyFill="1"/>
    <xf numFmtId="0" fontId="0" fillId="0" borderId="0" xfId="0" applyFill="1"/>
    <xf numFmtId="16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3649-E734-4ECC-8DDB-F6811672A31A}">
  <sheetPr filterMode="1"/>
  <dimension ref="A1:AJ363"/>
  <sheetViews>
    <sheetView tabSelected="1" topLeftCell="D1" workbookViewId="0">
      <selection activeCell="AC21" sqref="AC21"/>
    </sheetView>
  </sheetViews>
  <sheetFormatPr defaultRowHeight="14.4" outlineLevelRow="1" outlineLevelCol="1" x14ac:dyDescent="0.3"/>
  <cols>
    <col min="1" max="1" width="8.88671875" style="9"/>
    <col min="2" max="2" width="22.33203125" style="9" customWidth="1"/>
    <col min="3" max="3" width="30.77734375" style="9" customWidth="1"/>
    <col min="4" max="13" width="8.88671875" style="9"/>
    <col min="14" max="22" width="0" style="9" hidden="1" customWidth="1" outlineLevel="1"/>
    <col min="23" max="23" width="8.88671875" style="10" collapsed="1"/>
    <col min="24" max="24" width="8.88671875" style="5"/>
    <col min="25" max="25" width="8.88671875" style="1"/>
  </cols>
  <sheetData>
    <row r="1" spans="1:3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23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24</v>
      </c>
      <c r="U1" s="9" t="s">
        <v>18</v>
      </c>
      <c r="V1" s="9" t="s">
        <v>19</v>
      </c>
      <c r="W1" s="10" t="s">
        <v>20</v>
      </c>
      <c r="Z1" t="s">
        <v>18</v>
      </c>
      <c r="AA1" t="s">
        <v>19</v>
      </c>
      <c r="AB1" t="s">
        <v>12</v>
      </c>
      <c r="AC1" t="s">
        <v>13</v>
      </c>
      <c r="AD1" t="s">
        <v>14</v>
      </c>
      <c r="AE1" t="s">
        <v>15</v>
      </c>
      <c r="AF1" t="s">
        <v>16</v>
      </c>
      <c r="AG1" t="s">
        <v>17</v>
      </c>
      <c r="AH1" t="s">
        <v>24</v>
      </c>
    </row>
    <row r="2" spans="1:36" hidden="1" x14ac:dyDescent="0.3">
      <c r="A2" s="9" t="s">
        <v>54</v>
      </c>
      <c r="B2" s="9" t="s">
        <v>55</v>
      </c>
      <c r="C2" s="9" t="s">
        <v>54</v>
      </c>
      <c r="D2" s="9" t="s">
        <v>2</v>
      </c>
      <c r="E2" s="9">
        <v>1</v>
      </c>
      <c r="F2" s="9">
        <v>0</v>
      </c>
      <c r="G2" s="9">
        <v>7.1</v>
      </c>
      <c r="H2" s="9">
        <v>4.17</v>
      </c>
      <c r="I2" s="9">
        <v>2</v>
      </c>
      <c r="J2" s="9">
        <v>6</v>
      </c>
      <c r="K2" s="9">
        <v>39.1</v>
      </c>
      <c r="L2" s="9">
        <v>38.9</v>
      </c>
      <c r="M2" s="9">
        <v>0.33300000000000002</v>
      </c>
      <c r="N2" s="9">
        <v>3</v>
      </c>
      <c r="O2" s="9">
        <v>0.8</v>
      </c>
      <c r="P2" s="9">
        <v>2</v>
      </c>
      <c r="Q2" s="9">
        <v>1.5</v>
      </c>
      <c r="R2" s="9">
        <v>2.2000000000000002</v>
      </c>
      <c r="S2" s="9">
        <v>2</v>
      </c>
      <c r="T2" s="9">
        <v>4</v>
      </c>
      <c r="U2" s="9">
        <v>20</v>
      </c>
      <c r="V2" s="9">
        <v>0</v>
      </c>
      <c r="W2" s="9">
        <v>60.74</v>
      </c>
      <c r="X2">
        <f xml:space="preserve"> Z2 + AA2 + (AB2*G2) + (AC2*H2) + (AD2*I2) + (AE2*J2) + (AF2*(K2/100)) + (AG2*(L2/100))+ (AH2*(M2))</f>
        <v>60.606199999999994</v>
      </c>
      <c r="Y2" s="1">
        <f>X2-W2</f>
        <v>-0.13380000000000791</v>
      </c>
      <c r="Z2">
        <f>U2</f>
        <v>20</v>
      </c>
      <c r="AA2">
        <f>V2</f>
        <v>0</v>
      </c>
      <c r="AB2">
        <f>N2</f>
        <v>3</v>
      </c>
      <c r="AC2">
        <f>O2</f>
        <v>0.8</v>
      </c>
      <c r="AD2">
        <f>P2</f>
        <v>2</v>
      </c>
      <c r="AE2">
        <f>Q2</f>
        <v>1.5</v>
      </c>
      <c r="AF2">
        <f>R2</f>
        <v>2.2000000000000002</v>
      </c>
      <c r="AG2">
        <f>S2</f>
        <v>2</v>
      </c>
      <c r="AH2">
        <f t="shared" ref="AC2:AH2" si="0">T2</f>
        <v>4</v>
      </c>
    </row>
    <row r="3" spans="1:36" hidden="1" x14ac:dyDescent="0.3">
      <c r="A3" s="9" t="s">
        <v>533</v>
      </c>
      <c r="B3" s="9" t="s">
        <v>534</v>
      </c>
      <c r="C3" s="9" t="s">
        <v>533</v>
      </c>
      <c r="D3" s="9" t="s">
        <v>2</v>
      </c>
      <c r="E3" s="9">
        <v>1</v>
      </c>
      <c r="F3" s="9">
        <v>0</v>
      </c>
      <c r="G3" s="9">
        <v>4.7</v>
      </c>
      <c r="H3" s="9">
        <v>4.7300000000000004</v>
      </c>
      <c r="I3" s="9">
        <v>2</v>
      </c>
      <c r="J3" s="9">
        <v>3</v>
      </c>
      <c r="K3" s="9">
        <v>46.3</v>
      </c>
      <c r="L3" s="9">
        <v>38.1</v>
      </c>
      <c r="M3" s="9">
        <v>0.28599999999999998</v>
      </c>
      <c r="N3" s="9">
        <v>3</v>
      </c>
      <c r="O3" s="9">
        <v>0.8</v>
      </c>
      <c r="P3" s="9">
        <v>2</v>
      </c>
      <c r="Q3" s="9">
        <v>1.5</v>
      </c>
      <c r="R3" s="9">
        <v>2.2000000000000002</v>
      </c>
      <c r="S3" s="9">
        <v>2</v>
      </c>
      <c r="T3" s="9">
        <v>4</v>
      </c>
      <c r="U3" s="9">
        <v>20</v>
      </c>
      <c r="V3" s="9">
        <v>0</v>
      </c>
      <c r="W3" s="10">
        <v>49.16</v>
      </c>
      <c r="X3" s="5">
        <f xml:space="preserve"> Z3 + AA3 + (AB3*G3) + (AC3*H3) + (AD3*I3) + (AE3*J3) + (AF3*(K3/100)) + (AG3*(L3/100))+ (AH3*(M3))</f>
        <v>49.308599999999998</v>
      </c>
      <c r="Y3" s="1">
        <f>X3-W3</f>
        <v>0.14860000000000184</v>
      </c>
      <c r="Z3">
        <f>U3</f>
        <v>20</v>
      </c>
      <c r="AA3">
        <f>V3</f>
        <v>0</v>
      </c>
      <c r="AB3">
        <f>N3</f>
        <v>3</v>
      </c>
      <c r="AC3">
        <f>O3</f>
        <v>0.8</v>
      </c>
      <c r="AD3">
        <f>P3</f>
        <v>2</v>
      </c>
      <c r="AE3">
        <f>Q3</f>
        <v>1.5</v>
      </c>
      <c r="AF3">
        <f>R3</f>
        <v>2.2000000000000002</v>
      </c>
      <c r="AG3">
        <f>S3</f>
        <v>2</v>
      </c>
      <c r="AH3">
        <f t="shared" ref="AH3:AH66" si="1">T3</f>
        <v>4</v>
      </c>
    </row>
    <row r="4" spans="1:36" hidden="1" x14ac:dyDescent="0.3">
      <c r="A4" s="9" t="s">
        <v>42</v>
      </c>
      <c r="B4" s="9" t="s">
        <v>43</v>
      </c>
      <c r="C4" s="9" t="s">
        <v>44</v>
      </c>
      <c r="D4" s="9" t="s">
        <v>2</v>
      </c>
      <c r="E4" s="9">
        <v>1</v>
      </c>
      <c r="F4" s="9">
        <v>0</v>
      </c>
      <c r="G4" s="9">
        <v>6.9</v>
      </c>
      <c r="H4" s="9">
        <v>3.78</v>
      </c>
      <c r="I4" s="9">
        <v>1</v>
      </c>
      <c r="J4" s="9">
        <v>0</v>
      </c>
      <c r="K4" s="9">
        <v>28.6</v>
      </c>
      <c r="L4" s="9">
        <v>0</v>
      </c>
      <c r="M4" s="9">
        <v>0.4</v>
      </c>
      <c r="N4" s="9">
        <v>3</v>
      </c>
      <c r="O4" s="9">
        <v>0.8</v>
      </c>
      <c r="P4" s="9">
        <v>2</v>
      </c>
      <c r="Q4" s="9">
        <v>1.5</v>
      </c>
      <c r="R4" s="9">
        <v>2.2000000000000002</v>
      </c>
      <c r="S4" s="9">
        <v>2</v>
      </c>
      <c r="T4" s="9">
        <v>4</v>
      </c>
      <c r="U4" s="9">
        <v>20</v>
      </c>
      <c r="V4" s="9">
        <v>0</v>
      </c>
      <c r="W4" s="9">
        <v>47.84</v>
      </c>
      <c r="X4">
        <f xml:space="preserve"> Z4 + AA4 + (AB4*G4) + (AC4*H4) + (AD4*I4) + (AE4*J4) + (AF4*(K4/100)) + (AG4*(L4/100))+ (AH4*(M4))</f>
        <v>47.953200000000002</v>
      </c>
      <c r="Y4" s="1">
        <f>X4-W4</f>
        <v>0.11319999999999908</v>
      </c>
      <c r="Z4">
        <f>U4</f>
        <v>20</v>
      </c>
      <c r="AA4">
        <f>V4</f>
        <v>0</v>
      </c>
      <c r="AB4">
        <f>N4</f>
        <v>3</v>
      </c>
      <c r="AC4">
        <f>O4</f>
        <v>0.8</v>
      </c>
      <c r="AD4">
        <f>P4</f>
        <v>2</v>
      </c>
      <c r="AE4">
        <f>Q4</f>
        <v>1.5</v>
      </c>
      <c r="AF4">
        <f>R4</f>
        <v>2.2000000000000002</v>
      </c>
      <c r="AG4">
        <f>S4</f>
        <v>2</v>
      </c>
      <c r="AH4">
        <f t="shared" si="1"/>
        <v>4</v>
      </c>
    </row>
    <row r="5" spans="1:36" s="6" customFormat="1" hidden="1" x14ac:dyDescent="0.3">
      <c r="A5" s="9" t="s">
        <v>221</v>
      </c>
      <c r="B5" s="9" t="s">
        <v>226</v>
      </c>
      <c r="C5" s="9" t="s">
        <v>221</v>
      </c>
      <c r="D5" s="9" t="s">
        <v>2</v>
      </c>
      <c r="E5" s="9">
        <v>1</v>
      </c>
      <c r="F5" s="9">
        <v>0</v>
      </c>
      <c r="G5" s="9">
        <v>1.2</v>
      </c>
      <c r="H5" s="9">
        <v>3.04</v>
      </c>
      <c r="I5" s="9">
        <v>1</v>
      </c>
      <c r="J5" s="9">
        <v>9</v>
      </c>
      <c r="K5" s="9">
        <v>8.1999999999999993</v>
      </c>
      <c r="L5" s="9">
        <v>48.5</v>
      </c>
      <c r="M5" s="9">
        <v>0.5</v>
      </c>
      <c r="N5" s="9">
        <v>3</v>
      </c>
      <c r="O5" s="9">
        <v>0.8</v>
      </c>
      <c r="P5" s="9">
        <v>2</v>
      </c>
      <c r="Q5" s="9">
        <v>1.5</v>
      </c>
      <c r="R5" s="9">
        <v>2.2000000000000002</v>
      </c>
      <c r="S5" s="9">
        <v>2</v>
      </c>
      <c r="T5" s="9">
        <v>4</v>
      </c>
      <c r="U5" s="9">
        <v>20</v>
      </c>
      <c r="V5" s="9">
        <v>0</v>
      </c>
      <c r="W5" s="9">
        <v>44.63</v>
      </c>
      <c r="X5">
        <f xml:space="preserve"> Z5 + AA5 + (AB5*G5) + (AC5*H5) + (AD5*I5) + (AE5*J5) + (AF5*(K5/100)) + (AG5*(L5/100))+ (AH5*(M5))</f>
        <v>44.682400000000001</v>
      </c>
      <c r="Y5" s="1">
        <f>X5-W5</f>
        <v>5.239999999999867E-2</v>
      </c>
      <c r="Z5">
        <f>U5</f>
        <v>20</v>
      </c>
      <c r="AA5">
        <f>V5</f>
        <v>0</v>
      </c>
      <c r="AB5">
        <f>N5</f>
        <v>3</v>
      </c>
      <c r="AC5">
        <f>O5</f>
        <v>0.8</v>
      </c>
      <c r="AD5">
        <f>P5</f>
        <v>2</v>
      </c>
      <c r="AE5">
        <f>Q5</f>
        <v>1.5</v>
      </c>
      <c r="AF5">
        <f>R5</f>
        <v>2.2000000000000002</v>
      </c>
      <c r="AG5">
        <f>S5</f>
        <v>2</v>
      </c>
      <c r="AH5" s="6">
        <f t="shared" si="1"/>
        <v>4</v>
      </c>
    </row>
    <row r="6" spans="1:36" s="6" customFormat="1" hidden="1" x14ac:dyDescent="0.3">
      <c r="A6" s="9" t="s">
        <v>661</v>
      </c>
      <c r="B6" s="9" t="s">
        <v>636</v>
      </c>
      <c r="C6" s="9" t="s">
        <v>661</v>
      </c>
      <c r="D6" s="9" t="s">
        <v>2</v>
      </c>
      <c r="E6" s="9">
        <v>1</v>
      </c>
      <c r="F6" s="9">
        <v>0</v>
      </c>
      <c r="G6" s="9">
        <v>2.2999999999999998</v>
      </c>
      <c r="H6" s="9">
        <v>2.89</v>
      </c>
      <c r="I6" s="9">
        <v>1</v>
      </c>
      <c r="J6" s="9">
        <v>7</v>
      </c>
      <c r="K6" s="9">
        <v>37</v>
      </c>
      <c r="L6" s="9">
        <v>44.3</v>
      </c>
      <c r="M6" s="9">
        <v>0.2</v>
      </c>
      <c r="N6" s="9">
        <v>3</v>
      </c>
      <c r="O6" s="9">
        <v>0.8</v>
      </c>
      <c r="P6" s="9">
        <v>2</v>
      </c>
      <c r="Q6" s="9">
        <v>1.5</v>
      </c>
      <c r="R6" s="9">
        <v>2.2000000000000002</v>
      </c>
      <c r="S6" s="9">
        <v>2</v>
      </c>
      <c r="T6" s="9">
        <v>4</v>
      </c>
      <c r="U6" s="9">
        <v>20</v>
      </c>
      <c r="V6" s="9">
        <v>0</v>
      </c>
      <c r="W6" s="9">
        <v>44.29</v>
      </c>
      <c r="X6"/>
      <c r="Y6" s="1"/>
      <c r="Z6"/>
      <c r="AA6"/>
      <c r="AB6"/>
      <c r="AC6"/>
      <c r="AD6"/>
      <c r="AE6"/>
      <c r="AF6"/>
      <c r="AG6"/>
      <c r="AH6" s="6">
        <f t="shared" si="1"/>
        <v>4</v>
      </c>
    </row>
    <row r="7" spans="1:36" s="6" customFormat="1" hidden="1" x14ac:dyDescent="0.3">
      <c r="A7" s="9" t="s">
        <v>661</v>
      </c>
      <c r="B7" s="9" t="s">
        <v>626</v>
      </c>
      <c r="C7" s="9" t="s">
        <v>627</v>
      </c>
      <c r="D7" s="9" t="s">
        <v>2</v>
      </c>
      <c r="E7" s="9">
        <v>1</v>
      </c>
      <c r="F7" s="9">
        <v>0</v>
      </c>
      <c r="G7" s="9">
        <v>2.2999999999999998</v>
      </c>
      <c r="H7" s="9">
        <v>0</v>
      </c>
      <c r="I7" s="9">
        <v>1</v>
      </c>
      <c r="J7" s="9">
        <v>5</v>
      </c>
      <c r="K7" s="9">
        <v>40.5</v>
      </c>
      <c r="L7" s="9">
        <v>41</v>
      </c>
      <c r="M7" s="9">
        <v>1</v>
      </c>
      <c r="N7" s="9">
        <v>3</v>
      </c>
      <c r="O7" s="9">
        <v>0.8</v>
      </c>
      <c r="P7" s="9">
        <v>2</v>
      </c>
      <c r="Q7" s="9">
        <v>1.5</v>
      </c>
      <c r="R7" s="9">
        <v>2.2000000000000002</v>
      </c>
      <c r="S7" s="9">
        <v>2</v>
      </c>
      <c r="T7" s="9">
        <v>4</v>
      </c>
      <c r="U7" s="9">
        <v>20</v>
      </c>
      <c r="V7" s="9">
        <v>0</v>
      </c>
      <c r="W7" s="9">
        <v>42.19</v>
      </c>
      <c r="X7"/>
      <c r="Y7" s="1"/>
      <c r="Z7"/>
      <c r="AA7"/>
      <c r="AB7"/>
      <c r="AC7"/>
      <c r="AD7"/>
      <c r="AE7"/>
      <c r="AF7"/>
      <c r="AG7"/>
      <c r="AH7" s="6">
        <f t="shared" si="1"/>
        <v>4</v>
      </c>
    </row>
    <row r="8" spans="1:36" hidden="1" x14ac:dyDescent="0.3">
      <c r="A8" s="9" t="s">
        <v>661</v>
      </c>
      <c r="B8" s="9" t="s">
        <v>664</v>
      </c>
      <c r="C8" s="9" t="s">
        <v>627</v>
      </c>
      <c r="D8" s="9" t="s">
        <v>2</v>
      </c>
      <c r="E8" s="9">
        <v>1</v>
      </c>
      <c r="F8" s="9">
        <v>0</v>
      </c>
      <c r="G8" s="9">
        <v>2.2999999999999998</v>
      </c>
      <c r="H8" s="9">
        <v>0</v>
      </c>
      <c r="I8" s="9">
        <v>1</v>
      </c>
      <c r="J8" s="9">
        <v>5</v>
      </c>
      <c r="K8" s="9">
        <v>40.5</v>
      </c>
      <c r="L8" s="9">
        <v>41</v>
      </c>
      <c r="M8" s="9">
        <v>1</v>
      </c>
      <c r="N8" s="9">
        <v>3</v>
      </c>
      <c r="O8" s="9">
        <v>0.8</v>
      </c>
      <c r="P8" s="9">
        <v>2</v>
      </c>
      <c r="Q8" s="9">
        <v>1.5</v>
      </c>
      <c r="R8" s="9">
        <v>2.2000000000000002</v>
      </c>
      <c r="S8" s="9">
        <v>2</v>
      </c>
      <c r="T8" s="9">
        <v>4</v>
      </c>
      <c r="U8" s="9">
        <v>20</v>
      </c>
      <c r="V8" s="9">
        <v>0</v>
      </c>
      <c r="W8" s="10">
        <v>42.19</v>
      </c>
      <c r="AH8">
        <f t="shared" si="1"/>
        <v>4</v>
      </c>
    </row>
    <row r="9" spans="1:36" s="2" customFormat="1" hidden="1" x14ac:dyDescent="0.3">
      <c r="A9" s="9" t="s">
        <v>661</v>
      </c>
      <c r="B9" s="9" t="s">
        <v>665</v>
      </c>
      <c r="C9" s="9" t="s">
        <v>627</v>
      </c>
      <c r="D9" s="9" t="s">
        <v>2</v>
      </c>
      <c r="E9" s="9">
        <v>1</v>
      </c>
      <c r="F9" s="9">
        <v>0</v>
      </c>
      <c r="G9" s="9">
        <v>2.2999999999999998</v>
      </c>
      <c r="H9" s="9">
        <v>0</v>
      </c>
      <c r="I9" s="9">
        <v>1</v>
      </c>
      <c r="J9" s="9">
        <v>5</v>
      </c>
      <c r="K9" s="9">
        <v>40.5</v>
      </c>
      <c r="L9" s="9">
        <v>41</v>
      </c>
      <c r="M9" s="9">
        <v>1</v>
      </c>
      <c r="N9" s="9">
        <v>3</v>
      </c>
      <c r="O9" s="9">
        <v>0.8</v>
      </c>
      <c r="P9" s="9">
        <v>2</v>
      </c>
      <c r="Q9" s="9">
        <v>1.5</v>
      </c>
      <c r="R9" s="9">
        <v>2.2000000000000002</v>
      </c>
      <c r="S9" s="9">
        <v>2</v>
      </c>
      <c r="T9" s="9">
        <v>4</v>
      </c>
      <c r="U9" s="9">
        <v>20</v>
      </c>
      <c r="V9" s="9">
        <v>0</v>
      </c>
      <c r="W9" s="10">
        <v>42.19</v>
      </c>
      <c r="X9" s="5"/>
      <c r="Y9" s="1"/>
      <c r="Z9"/>
      <c r="AA9"/>
      <c r="AB9"/>
      <c r="AC9"/>
      <c r="AD9"/>
      <c r="AE9"/>
      <c r="AF9"/>
      <c r="AG9"/>
      <c r="AH9">
        <f t="shared" si="1"/>
        <v>4</v>
      </c>
    </row>
    <row r="10" spans="1:36" s="6" customFormat="1" hidden="1" outlineLevel="1" x14ac:dyDescent="0.3">
      <c r="A10" s="9" t="s">
        <v>661</v>
      </c>
      <c r="B10" s="9" t="s">
        <v>666</v>
      </c>
      <c r="C10" s="9" t="s">
        <v>627</v>
      </c>
      <c r="D10" s="9" t="s">
        <v>2</v>
      </c>
      <c r="E10" s="9">
        <v>1</v>
      </c>
      <c r="F10" s="9">
        <v>0</v>
      </c>
      <c r="G10" s="9">
        <v>2.2999999999999998</v>
      </c>
      <c r="H10" s="9">
        <v>0</v>
      </c>
      <c r="I10" s="9">
        <v>1</v>
      </c>
      <c r="J10" s="9">
        <v>5</v>
      </c>
      <c r="K10" s="9">
        <v>40.5</v>
      </c>
      <c r="L10" s="9">
        <v>41</v>
      </c>
      <c r="M10" s="9">
        <v>1</v>
      </c>
      <c r="N10" s="9">
        <v>3</v>
      </c>
      <c r="O10" s="9">
        <v>0.8</v>
      </c>
      <c r="P10" s="9">
        <v>2</v>
      </c>
      <c r="Q10" s="9">
        <v>1.5</v>
      </c>
      <c r="R10" s="9">
        <v>2.2000000000000002</v>
      </c>
      <c r="S10" s="9">
        <v>2</v>
      </c>
      <c r="T10" s="9">
        <v>4</v>
      </c>
      <c r="U10" s="9">
        <v>20</v>
      </c>
      <c r="V10" s="9">
        <v>0</v>
      </c>
      <c r="W10" s="10">
        <v>42.19</v>
      </c>
      <c r="X10" s="5"/>
      <c r="Y10" s="1"/>
      <c r="Z10"/>
      <c r="AA10"/>
      <c r="AB10"/>
      <c r="AC10"/>
      <c r="AD10"/>
      <c r="AE10"/>
      <c r="AF10"/>
      <c r="AG10"/>
      <c r="AH10" s="6">
        <f t="shared" si="1"/>
        <v>4</v>
      </c>
      <c r="AJ10" s="5">
        <f>X57-X10</f>
        <v>14.2918</v>
      </c>
    </row>
    <row r="11" spans="1:36" outlineLevel="1" x14ac:dyDescent="0.3">
      <c r="A11" s="9" t="s">
        <v>398</v>
      </c>
      <c r="B11" s="9" t="s">
        <v>402</v>
      </c>
      <c r="C11" s="9" t="s">
        <v>403</v>
      </c>
      <c r="D11" s="9" t="s">
        <v>21</v>
      </c>
      <c r="E11" s="9">
        <v>0</v>
      </c>
      <c r="F11" s="9">
        <v>1</v>
      </c>
      <c r="G11" s="9">
        <v>1.2</v>
      </c>
      <c r="H11" s="9">
        <v>3.4</v>
      </c>
      <c r="I11" s="9">
        <v>0</v>
      </c>
      <c r="J11" s="9">
        <v>6</v>
      </c>
      <c r="K11" s="9">
        <v>0</v>
      </c>
      <c r="L11" s="9">
        <v>34.200000000000003</v>
      </c>
      <c r="M11" s="9">
        <v>0.4</v>
      </c>
      <c r="N11" s="9">
        <v>3</v>
      </c>
      <c r="O11" s="9">
        <v>4</v>
      </c>
      <c r="P11" s="9">
        <v>1.6</v>
      </c>
      <c r="Q11" s="9">
        <v>1</v>
      </c>
      <c r="R11" s="9">
        <v>1.8</v>
      </c>
      <c r="S11" s="9">
        <v>1.5</v>
      </c>
      <c r="T11" s="9">
        <v>8</v>
      </c>
      <c r="U11" s="9">
        <v>0</v>
      </c>
      <c r="V11" s="9">
        <v>15</v>
      </c>
      <c r="W11" s="10">
        <v>41.86</v>
      </c>
      <c r="X11" s="5">
        <f xml:space="preserve"> Z11 + AA11 + (AB11*G11) + (AC11*H11) + (AD11*I11) + (AE11*J11) + (AF11*(K11/100)) + (AG11*(L11/100))+ (AH11*(M11))</f>
        <v>41.913000000000004</v>
      </c>
      <c r="Y11" s="1">
        <f>X11-W11</f>
        <v>5.3000000000004377E-2</v>
      </c>
      <c r="Z11">
        <f>U11</f>
        <v>0</v>
      </c>
      <c r="AA11">
        <f>V11</f>
        <v>15</v>
      </c>
      <c r="AB11">
        <f>N11</f>
        <v>3</v>
      </c>
      <c r="AC11">
        <f>O11</f>
        <v>4</v>
      </c>
      <c r="AD11">
        <f>P11</f>
        <v>1.6</v>
      </c>
      <c r="AE11">
        <f>Q11</f>
        <v>1</v>
      </c>
      <c r="AF11">
        <f>R11</f>
        <v>1.8</v>
      </c>
      <c r="AG11">
        <f>S11</f>
        <v>1.5</v>
      </c>
      <c r="AH11">
        <f t="shared" si="1"/>
        <v>8</v>
      </c>
    </row>
    <row r="12" spans="1:36" hidden="1" outlineLevel="1" x14ac:dyDescent="0.3">
      <c r="A12" s="9" t="s">
        <v>221</v>
      </c>
      <c r="B12" s="9" t="s">
        <v>227</v>
      </c>
      <c r="C12" s="9" t="s">
        <v>228</v>
      </c>
      <c r="D12" s="9" t="s">
        <v>21</v>
      </c>
      <c r="E12" s="9">
        <v>0</v>
      </c>
      <c r="F12" s="9">
        <v>1</v>
      </c>
      <c r="G12" s="9">
        <v>2.4</v>
      </c>
      <c r="H12" s="9">
        <v>3.18</v>
      </c>
      <c r="I12" s="9">
        <v>1</v>
      </c>
      <c r="J12" s="9">
        <v>2</v>
      </c>
      <c r="K12" s="9">
        <v>54.8</v>
      </c>
      <c r="L12" s="9">
        <v>20.399999999999999</v>
      </c>
      <c r="M12" s="9">
        <v>0.25</v>
      </c>
      <c r="N12" s="9">
        <v>3</v>
      </c>
      <c r="O12" s="9">
        <v>4</v>
      </c>
      <c r="P12" s="9">
        <v>1.6</v>
      </c>
      <c r="Q12" s="9">
        <v>1</v>
      </c>
      <c r="R12" s="9">
        <v>1.8</v>
      </c>
      <c r="S12" s="9">
        <v>1.5</v>
      </c>
      <c r="T12" s="9">
        <v>8</v>
      </c>
      <c r="U12" s="9">
        <v>0</v>
      </c>
      <c r="V12" s="9">
        <v>15</v>
      </c>
      <c r="W12" s="9">
        <v>41.69</v>
      </c>
      <c r="X12">
        <f xml:space="preserve"> Z12 + AA12 + (AB12*G12) + (AC12*H12) + (AD12*I12) + (AE12*J12) + (AF12*(K12/100)) + (AG12*(L12/100))+ (AH12*(M12))</f>
        <v>41.812400000000004</v>
      </c>
      <c r="Y12" s="3">
        <f>X12-W12</f>
        <v>0.12240000000000606</v>
      </c>
      <c r="Z12">
        <f>U12</f>
        <v>0</v>
      </c>
      <c r="AA12">
        <f>V12</f>
        <v>15</v>
      </c>
      <c r="AB12">
        <f>N12</f>
        <v>3</v>
      </c>
      <c r="AC12">
        <f>O12</f>
        <v>4</v>
      </c>
      <c r="AD12">
        <f>P12</f>
        <v>1.6</v>
      </c>
      <c r="AE12">
        <f>Q12</f>
        <v>1</v>
      </c>
      <c r="AF12">
        <f>R12</f>
        <v>1.8</v>
      </c>
      <c r="AG12">
        <f>S12</f>
        <v>1.5</v>
      </c>
      <c r="AH12">
        <f t="shared" si="1"/>
        <v>8</v>
      </c>
    </row>
    <row r="13" spans="1:36" hidden="1" outlineLevel="1" x14ac:dyDescent="0.3">
      <c r="A13" s="9" t="s">
        <v>528</v>
      </c>
      <c r="B13" s="9" t="s">
        <v>529</v>
      </c>
      <c r="C13" s="9" t="s">
        <v>530</v>
      </c>
      <c r="D13" s="9" t="s">
        <v>2</v>
      </c>
      <c r="E13" s="9">
        <v>1</v>
      </c>
      <c r="F13" s="9">
        <v>0</v>
      </c>
      <c r="G13" s="9">
        <v>4.7</v>
      </c>
      <c r="H13" s="9">
        <v>0</v>
      </c>
      <c r="I13" s="9">
        <v>1</v>
      </c>
      <c r="J13" s="9">
        <v>0</v>
      </c>
      <c r="K13" s="9">
        <v>27.4</v>
      </c>
      <c r="L13" s="9">
        <v>0</v>
      </c>
      <c r="M13" s="9">
        <v>1</v>
      </c>
      <c r="N13" s="9">
        <v>3</v>
      </c>
      <c r="O13" s="9">
        <v>0.8</v>
      </c>
      <c r="P13" s="9">
        <v>2</v>
      </c>
      <c r="Q13" s="9">
        <v>1.5</v>
      </c>
      <c r="R13" s="9">
        <v>2.2000000000000002</v>
      </c>
      <c r="S13" s="9">
        <v>2</v>
      </c>
      <c r="T13" s="9">
        <v>4</v>
      </c>
      <c r="U13" s="9">
        <v>20</v>
      </c>
      <c r="V13" s="9">
        <v>0</v>
      </c>
      <c r="W13" s="9">
        <v>40.56</v>
      </c>
      <c r="X13">
        <f xml:space="preserve"> Z13 + AA13 + (AB13*G13) + (AC13*H13) + (AD13*I13) + (AE13*J13) + (AF13*(K13/100)) + (AG13*(L13/100))+ (AH13*(M13))</f>
        <v>40.702800000000003</v>
      </c>
      <c r="Y13" s="1">
        <f>X13-W13</f>
        <v>0.14280000000000115</v>
      </c>
      <c r="Z13">
        <f>U13</f>
        <v>20</v>
      </c>
      <c r="AA13">
        <f>V13</f>
        <v>0</v>
      </c>
      <c r="AB13">
        <f>N13</f>
        <v>3</v>
      </c>
      <c r="AC13">
        <f>O13</f>
        <v>0.8</v>
      </c>
      <c r="AD13">
        <f>P13</f>
        <v>2</v>
      </c>
      <c r="AE13">
        <f>Q13</f>
        <v>1.5</v>
      </c>
      <c r="AF13">
        <f>R13</f>
        <v>2.2000000000000002</v>
      </c>
      <c r="AG13">
        <f>S13</f>
        <v>2</v>
      </c>
      <c r="AH13">
        <f t="shared" si="1"/>
        <v>4</v>
      </c>
    </row>
    <row r="14" spans="1:36" hidden="1" outlineLevel="1" x14ac:dyDescent="0.3">
      <c r="A14" s="9" t="s">
        <v>25</v>
      </c>
      <c r="B14" s="9" t="s">
        <v>26</v>
      </c>
      <c r="C14" s="9" t="s">
        <v>25</v>
      </c>
      <c r="D14" s="9" t="s">
        <v>2</v>
      </c>
      <c r="E14" s="9">
        <v>1</v>
      </c>
      <c r="F14" s="9">
        <v>0</v>
      </c>
      <c r="G14" s="9">
        <v>3.9</v>
      </c>
      <c r="H14" s="9">
        <v>1.39</v>
      </c>
      <c r="I14" s="9">
        <v>0</v>
      </c>
      <c r="J14" s="9">
        <v>2</v>
      </c>
      <c r="K14" s="9">
        <v>0</v>
      </c>
      <c r="L14" s="9">
        <v>42.3</v>
      </c>
      <c r="M14" s="9">
        <v>0.66700000000000004</v>
      </c>
      <c r="N14" s="9">
        <v>3</v>
      </c>
      <c r="O14" s="9">
        <v>0.8</v>
      </c>
      <c r="P14" s="9">
        <v>2</v>
      </c>
      <c r="Q14" s="9">
        <v>1.5</v>
      </c>
      <c r="R14" s="9">
        <v>2.2000000000000002</v>
      </c>
      <c r="S14" s="9">
        <v>2</v>
      </c>
      <c r="T14" s="9">
        <v>4</v>
      </c>
      <c r="U14" s="9">
        <v>20</v>
      </c>
      <c r="V14" s="9">
        <v>0</v>
      </c>
      <c r="W14" s="9">
        <v>39.31</v>
      </c>
      <c r="X14">
        <f xml:space="preserve"> Z14 + AA14 + (AB14*G14) + (AC14*H14) + (AD14*I14) + (AE14*J14) + (AF14*(K14/100)) + (AG14*(L14/100))+ (AH14*(M14))</f>
        <v>39.325999999999993</v>
      </c>
      <c r="Y14" s="3">
        <f>X14-W14</f>
        <v>1.5999999999991132E-2</v>
      </c>
      <c r="Z14">
        <f>U14</f>
        <v>20</v>
      </c>
      <c r="AA14">
        <f>V14</f>
        <v>0</v>
      </c>
      <c r="AB14">
        <f>N14</f>
        <v>3</v>
      </c>
      <c r="AC14">
        <f>O14</f>
        <v>0.8</v>
      </c>
      <c r="AD14">
        <f>P14</f>
        <v>2</v>
      </c>
      <c r="AE14">
        <f>Q14</f>
        <v>1.5</v>
      </c>
      <c r="AF14">
        <f>R14</f>
        <v>2.2000000000000002</v>
      </c>
      <c r="AG14">
        <f>S14</f>
        <v>2</v>
      </c>
      <c r="AH14">
        <f t="shared" si="1"/>
        <v>4</v>
      </c>
    </row>
    <row r="15" spans="1:36" hidden="1" outlineLevel="1" x14ac:dyDescent="0.3">
      <c r="A15" s="9" t="s">
        <v>30</v>
      </c>
      <c r="B15" s="9" t="s">
        <v>31</v>
      </c>
      <c r="C15" s="9" t="s">
        <v>32</v>
      </c>
      <c r="D15" s="9" t="s">
        <v>2</v>
      </c>
      <c r="E15" s="9">
        <v>1</v>
      </c>
      <c r="F15" s="9">
        <v>0</v>
      </c>
      <c r="G15" s="9">
        <v>1.3</v>
      </c>
      <c r="H15" s="9">
        <v>1.1000000000000001</v>
      </c>
      <c r="I15" s="9">
        <v>0</v>
      </c>
      <c r="J15" s="9">
        <v>6</v>
      </c>
      <c r="K15" s="9">
        <v>0</v>
      </c>
      <c r="L15" s="9">
        <v>45.6</v>
      </c>
      <c r="M15" s="9">
        <v>0.66700000000000004</v>
      </c>
      <c r="N15" s="9">
        <v>3</v>
      </c>
      <c r="O15" s="9">
        <v>0.8</v>
      </c>
      <c r="P15" s="9">
        <v>2</v>
      </c>
      <c r="Q15" s="9">
        <v>1.5</v>
      </c>
      <c r="R15" s="9">
        <v>2.2000000000000002</v>
      </c>
      <c r="S15" s="9">
        <v>2</v>
      </c>
      <c r="T15" s="9">
        <v>4</v>
      </c>
      <c r="U15" s="9">
        <v>20</v>
      </c>
      <c r="V15" s="9">
        <v>0</v>
      </c>
      <c r="W15" s="9">
        <v>37.36</v>
      </c>
      <c r="X15">
        <f xml:space="preserve"> Z15 + AA15 + (AB15*G15) + (AC15*H15) + (AD15*I15) + (AE15*J15) + (AF15*(K15/100)) + (AG15*(L15/100))+ (AH15*(M15))</f>
        <v>37.36</v>
      </c>
      <c r="Y15" s="3">
        <f>X15-W15</f>
        <v>0</v>
      </c>
      <c r="Z15">
        <f>U15</f>
        <v>20</v>
      </c>
      <c r="AA15">
        <f>V15</f>
        <v>0</v>
      </c>
      <c r="AB15">
        <f>N15</f>
        <v>3</v>
      </c>
      <c r="AC15">
        <f>O15</f>
        <v>0.8</v>
      </c>
      <c r="AD15">
        <f>P15</f>
        <v>2</v>
      </c>
      <c r="AE15">
        <f>Q15</f>
        <v>1.5</v>
      </c>
      <c r="AF15">
        <f>R15</f>
        <v>2.2000000000000002</v>
      </c>
      <c r="AG15">
        <f>S15</f>
        <v>2</v>
      </c>
      <c r="AH15">
        <f t="shared" si="1"/>
        <v>4</v>
      </c>
    </row>
    <row r="16" spans="1:36" hidden="1" outlineLevel="1" x14ac:dyDescent="0.3">
      <c r="A16" s="9" t="s">
        <v>54</v>
      </c>
      <c r="B16" s="9" t="s">
        <v>162</v>
      </c>
      <c r="C16" s="9" t="s">
        <v>163</v>
      </c>
      <c r="D16" s="9" t="s">
        <v>21</v>
      </c>
      <c r="E16" s="9">
        <v>0</v>
      </c>
      <c r="F16" s="9">
        <v>1</v>
      </c>
      <c r="G16" s="9">
        <v>1.8</v>
      </c>
      <c r="H16" s="9">
        <v>0</v>
      </c>
      <c r="I16" s="9">
        <v>1</v>
      </c>
      <c r="J16" s="9">
        <v>5</v>
      </c>
      <c r="K16" s="9">
        <v>40.299999999999997</v>
      </c>
      <c r="L16" s="9">
        <v>46.1</v>
      </c>
      <c r="M16" s="9">
        <v>1</v>
      </c>
      <c r="N16" s="9">
        <v>3</v>
      </c>
      <c r="O16" s="9">
        <v>4</v>
      </c>
      <c r="P16" s="9">
        <v>1.6</v>
      </c>
      <c r="Q16" s="9">
        <v>1</v>
      </c>
      <c r="R16" s="9">
        <v>1.8</v>
      </c>
      <c r="S16" s="9">
        <v>1.5</v>
      </c>
      <c r="T16" s="9">
        <v>8</v>
      </c>
      <c r="U16" s="9">
        <v>0</v>
      </c>
      <c r="V16" s="9">
        <v>15</v>
      </c>
      <c r="W16" s="9">
        <v>36.369999999999997</v>
      </c>
      <c r="X16">
        <f xml:space="preserve"> Z16 + AA16 + (AB16*G16) + (AC16*H16) + (AD16*I16) + (AE16*J16) + (AF16*(K16/100)) + (AG16*(L16/100))+ (AH16*(M16))</f>
        <v>36.416899999999998</v>
      </c>
      <c r="Y16" s="1">
        <f>X16-W16</f>
        <v>4.690000000000083E-2</v>
      </c>
      <c r="Z16">
        <f>U16</f>
        <v>0</v>
      </c>
      <c r="AA16">
        <f>V16</f>
        <v>15</v>
      </c>
      <c r="AB16">
        <f>N16</f>
        <v>3</v>
      </c>
      <c r="AC16">
        <f>O16</f>
        <v>4</v>
      </c>
      <c r="AD16">
        <f>P16</f>
        <v>1.6</v>
      </c>
      <c r="AE16">
        <f>Q16</f>
        <v>1</v>
      </c>
      <c r="AF16">
        <f>R16</f>
        <v>1.8</v>
      </c>
      <c r="AG16">
        <f>S16</f>
        <v>1.5</v>
      </c>
      <c r="AH16">
        <f t="shared" si="1"/>
        <v>8</v>
      </c>
    </row>
    <row r="17" spans="1:34" s="2" customFormat="1" outlineLevel="1" x14ac:dyDescent="0.3">
      <c r="A17" s="9" t="s">
        <v>398</v>
      </c>
      <c r="B17" s="9" t="s">
        <v>399</v>
      </c>
      <c r="C17" s="9" t="s">
        <v>398</v>
      </c>
      <c r="D17" s="9" t="s">
        <v>2</v>
      </c>
      <c r="E17" s="9">
        <v>1</v>
      </c>
      <c r="F17" s="9">
        <v>0</v>
      </c>
      <c r="G17" s="9">
        <v>2</v>
      </c>
      <c r="H17" s="9">
        <v>4.53</v>
      </c>
      <c r="I17" s="9">
        <v>0</v>
      </c>
      <c r="J17" s="9">
        <v>3</v>
      </c>
      <c r="K17" s="9">
        <v>0</v>
      </c>
      <c r="L17" s="9">
        <v>22.2</v>
      </c>
      <c r="M17" s="9">
        <v>0.28599999999999998</v>
      </c>
      <c r="N17" s="9">
        <v>3</v>
      </c>
      <c r="O17" s="9">
        <v>0.8</v>
      </c>
      <c r="P17" s="9">
        <v>2</v>
      </c>
      <c r="Q17" s="9">
        <v>1.5</v>
      </c>
      <c r="R17" s="9">
        <v>2.2000000000000002</v>
      </c>
      <c r="S17" s="9">
        <v>2</v>
      </c>
      <c r="T17" s="9">
        <v>4</v>
      </c>
      <c r="U17" s="9">
        <v>20</v>
      </c>
      <c r="V17" s="9">
        <v>0</v>
      </c>
      <c r="W17" s="9">
        <v>35.619999999999997</v>
      </c>
      <c r="X17">
        <f xml:space="preserve"> Z17 + AA17 + (AB17*G17) + (AC17*H17) + (AD17*I17) + (AE17*J17) + (AF17*(K17/100)) + (AG17*(L17/100))+ (AH17*(M17))</f>
        <v>51.352000000000004</v>
      </c>
      <c r="Y17" s="1">
        <f>X17-W17</f>
        <v>15.732000000000006</v>
      </c>
      <c r="Z17">
        <f>U17</f>
        <v>20</v>
      </c>
      <c r="AA17">
        <f>V17</f>
        <v>0</v>
      </c>
      <c r="AB17">
        <f>N17</f>
        <v>3</v>
      </c>
      <c r="AC17">
        <v>4</v>
      </c>
      <c r="AD17">
        <f>P17</f>
        <v>2</v>
      </c>
      <c r="AE17">
        <f>Q17</f>
        <v>1.5</v>
      </c>
      <c r="AF17">
        <f>R17</f>
        <v>2.2000000000000002</v>
      </c>
      <c r="AG17">
        <f>S17</f>
        <v>2</v>
      </c>
      <c r="AH17">
        <v>8</v>
      </c>
    </row>
    <row r="18" spans="1:34" hidden="1" outlineLevel="1" x14ac:dyDescent="0.3">
      <c r="A18" s="9" t="s">
        <v>221</v>
      </c>
      <c r="B18" s="9" t="s">
        <v>314</v>
      </c>
      <c r="C18" s="9" t="s">
        <v>315</v>
      </c>
      <c r="D18" s="9" t="s">
        <v>21</v>
      </c>
      <c r="E18" s="9">
        <v>0</v>
      </c>
      <c r="F18" s="9">
        <v>1</v>
      </c>
      <c r="G18" s="9">
        <v>0.4</v>
      </c>
      <c r="H18" s="9">
        <v>3</v>
      </c>
      <c r="I18" s="9">
        <v>0</v>
      </c>
      <c r="J18" s="9">
        <v>5</v>
      </c>
      <c r="K18" s="9">
        <v>0</v>
      </c>
      <c r="L18" s="9">
        <v>39.1</v>
      </c>
      <c r="M18" s="9">
        <v>0.2</v>
      </c>
      <c r="N18" s="9">
        <v>3</v>
      </c>
      <c r="O18" s="9">
        <v>4</v>
      </c>
      <c r="P18" s="9">
        <v>1.6</v>
      </c>
      <c r="Q18" s="9">
        <v>1</v>
      </c>
      <c r="R18" s="9">
        <v>1.8</v>
      </c>
      <c r="S18" s="9">
        <v>1.5</v>
      </c>
      <c r="T18" s="9">
        <v>8</v>
      </c>
      <c r="U18" s="9">
        <v>0</v>
      </c>
      <c r="V18" s="9">
        <v>15</v>
      </c>
      <c r="W18" s="10">
        <v>35.35</v>
      </c>
      <c r="X18" s="5">
        <f xml:space="preserve"> Z18 + AA18 + (AB18*G18) + (AC18*H18) + (AD18*I18) + (AE18*J18) + (AF18*(K18/100)) + (AG18*(L18/100))+ (AH18*(M18))</f>
        <v>35.386500000000005</v>
      </c>
      <c r="Y18" s="1">
        <f>X18-W18</f>
        <v>3.6500000000003752E-2</v>
      </c>
      <c r="Z18">
        <f>U18</f>
        <v>0</v>
      </c>
      <c r="AA18">
        <f>V18</f>
        <v>15</v>
      </c>
      <c r="AB18">
        <f>N18</f>
        <v>3</v>
      </c>
      <c r="AC18">
        <f>O18</f>
        <v>4</v>
      </c>
      <c r="AD18">
        <f>P18</f>
        <v>1.6</v>
      </c>
      <c r="AE18">
        <f>Q18</f>
        <v>1</v>
      </c>
      <c r="AF18">
        <f>R18</f>
        <v>1.8</v>
      </c>
      <c r="AG18">
        <f>S18</f>
        <v>1.5</v>
      </c>
      <c r="AH18">
        <f t="shared" si="1"/>
        <v>8</v>
      </c>
    </row>
    <row r="19" spans="1:34" hidden="1" outlineLevel="1" x14ac:dyDescent="0.3">
      <c r="A19" s="9" t="s">
        <v>661</v>
      </c>
      <c r="B19" s="9" t="s">
        <v>669</v>
      </c>
      <c r="C19" s="9" t="s">
        <v>670</v>
      </c>
      <c r="D19" s="9" t="s">
        <v>21</v>
      </c>
      <c r="E19" s="9">
        <v>0</v>
      </c>
      <c r="F19" s="9">
        <v>1</v>
      </c>
      <c r="G19" s="9">
        <v>2.2999999999999998</v>
      </c>
      <c r="H19" s="9">
        <v>0</v>
      </c>
      <c r="I19" s="9">
        <v>1</v>
      </c>
      <c r="J19" s="9">
        <v>5</v>
      </c>
      <c r="K19" s="9">
        <v>40.5</v>
      </c>
      <c r="L19" s="9">
        <v>41</v>
      </c>
      <c r="M19" s="9">
        <v>0.66700000000000004</v>
      </c>
      <c r="N19" s="9">
        <v>3</v>
      </c>
      <c r="O19" s="9">
        <v>4</v>
      </c>
      <c r="P19" s="9">
        <v>1.6</v>
      </c>
      <c r="Q19" s="9">
        <v>1</v>
      </c>
      <c r="R19" s="9">
        <v>1.8</v>
      </c>
      <c r="S19" s="9">
        <v>1.5</v>
      </c>
      <c r="T19" s="9">
        <v>8</v>
      </c>
      <c r="U19" s="9">
        <v>0</v>
      </c>
      <c r="V19" s="9">
        <v>15</v>
      </c>
      <c r="W19" s="10">
        <v>35.26</v>
      </c>
      <c r="AH19">
        <f t="shared" si="1"/>
        <v>8</v>
      </c>
    </row>
    <row r="20" spans="1:34" hidden="1" outlineLevel="1" x14ac:dyDescent="0.3">
      <c r="A20" s="9" t="s">
        <v>661</v>
      </c>
      <c r="B20" s="9" t="s">
        <v>671</v>
      </c>
      <c r="C20" s="9" t="s">
        <v>672</v>
      </c>
      <c r="D20" s="9" t="s">
        <v>21</v>
      </c>
      <c r="E20" s="9">
        <v>0</v>
      </c>
      <c r="F20" s="9">
        <v>1</v>
      </c>
      <c r="G20" s="9">
        <v>2.2999999999999998</v>
      </c>
      <c r="H20" s="9">
        <v>0</v>
      </c>
      <c r="I20" s="9">
        <v>1</v>
      </c>
      <c r="J20" s="9">
        <v>5</v>
      </c>
      <c r="K20" s="9">
        <v>40.5</v>
      </c>
      <c r="L20" s="9">
        <v>41</v>
      </c>
      <c r="M20" s="9">
        <v>0.66700000000000004</v>
      </c>
      <c r="N20" s="9">
        <v>3</v>
      </c>
      <c r="O20" s="9">
        <v>4</v>
      </c>
      <c r="P20" s="9">
        <v>1.6</v>
      </c>
      <c r="Q20" s="9">
        <v>1</v>
      </c>
      <c r="R20" s="9">
        <v>1.8</v>
      </c>
      <c r="S20" s="9">
        <v>1.5</v>
      </c>
      <c r="T20" s="9">
        <v>8</v>
      </c>
      <c r="U20" s="9">
        <v>0</v>
      </c>
      <c r="V20" s="9">
        <v>15</v>
      </c>
      <c r="W20" s="10">
        <v>35.26</v>
      </c>
      <c r="AH20">
        <f t="shared" si="1"/>
        <v>8</v>
      </c>
    </row>
    <row r="21" spans="1:34" outlineLevel="1" x14ac:dyDescent="0.3">
      <c r="A21" s="9" t="s">
        <v>398</v>
      </c>
      <c r="B21" s="9" t="s">
        <v>406</v>
      </c>
      <c r="C21" s="9" t="s">
        <v>407</v>
      </c>
      <c r="D21" s="9" t="s">
        <v>21</v>
      </c>
      <c r="E21" s="9">
        <v>0</v>
      </c>
      <c r="F21" s="9">
        <v>1</v>
      </c>
      <c r="G21" s="9">
        <v>1.6</v>
      </c>
      <c r="H21" s="9">
        <v>1.61</v>
      </c>
      <c r="I21" s="9">
        <v>0</v>
      </c>
      <c r="J21" s="9">
        <v>3</v>
      </c>
      <c r="K21" s="9">
        <v>0</v>
      </c>
      <c r="L21" s="9">
        <v>23.1</v>
      </c>
      <c r="M21" s="9">
        <v>0.66700000000000004</v>
      </c>
      <c r="N21" s="9">
        <v>3</v>
      </c>
      <c r="O21" s="9">
        <v>4</v>
      </c>
      <c r="P21" s="9">
        <v>1.6</v>
      </c>
      <c r="Q21" s="9">
        <v>1</v>
      </c>
      <c r="R21" s="9">
        <v>1.8</v>
      </c>
      <c r="S21" s="9">
        <v>1.5</v>
      </c>
      <c r="T21" s="9">
        <v>8</v>
      </c>
      <c r="U21" s="9">
        <v>0</v>
      </c>
      <c r="V21" s="9">
        <v>15</v>
      </c>
      <c r="W21" s="10">
        <v>34.840000000000003</v>
      </c>
      <c r="X21" s="5">
        <f xml:space="preserve"> Z21 + AA21 + (AB21*G21) + (AC21*H21) + (AD21*I21) + (AE21*J21) + (AF21*(K21/100)) + (AG21*(L21/100))+ (AH21*(M21))</f>
        <v>34.922499999999999</v>
      </c>
      <c r="Y21" s="3">
        <f>X21-W21</f>
        <v>8.2499999999996021E-2</v>
      </c>
      <c r="Z21">
        <f>U21</f>
        <v>0</v>
      </c>
      <c r="AA21">
        <f>V21</f>
        <v>15</v>
      </c>
      <c r="AB21">
        <f>N21</f>
        <v>3</v>
      </c>
      <c r="AC21">
        <f>O21</f>
        <v>4</v>
      </c>
      <c r="AD21">
        <f>P21</f>
        <v>1.6</v>
      </c>
      <c r="AE21">
        <f>Q21</f>
        <v>1</v>
      </c>
      <c r="AF21">
        <f>R21</f>
        <v>1.8</v>
      </c>
      <c r="AG21">
        <f>S21</f>
        <v>1.5</v>
      </c>
      <c r="AH21">
        <f t="shared" ref="AH21" si="2">T21</f>
        <v>8</v>
      </c>
    </row>
    <row r="22" spans="1:34" hidden="1" outlineLevel="1" x14ac:dyDescent="0.3">
      <c r="A22" s="9" t="s">
        <v>176</v>
      </c>
      <c r="B22" s="9" t="s">
        <v>186</v>
      </c>
      <c r="C22" s="9" t="s">
        <v>187</v>
      </c>
      <c r="D22" s="9" t="s">
        <v>2</v>
      </c>
      <c r="E22" s="9">
        <v>1</v>
      </c>
      <c r="F22" s="9">
        <v>0</v>
      </c>
      <c r="G22" s="9">
        <v>1.8</v>
      </c>
      <c r="H22" s="9">
        <v>3.43</v>
      </c>
      <c r="I22" s="9">
        <v>0</v>
      </c>
      <c r="J22" s="9">
        <v>2</v>
      </c>
      <c r="K22" s="9">
        <v>0</v>
      </c>
      <c r="L22" s="9">
        <v>44.2</v>
      </c>
      <c r="M22" s="9">
        <v>0.5</v>
      </c>
      <c r="N22" s="9">
        <v>3</v>
      </c>
      <c r="O22" s="9">
        <v>0.8</v>
      </c>
      <c r="P22" s="9">
        <v>2</v>
      </c>
      <c r="Q22" s="9">
        <v>1.5</v>
      </c>
      <c r="R22" s="9">
        <v>2.2000000000000002</v>
      </c>
      <c r="S22" s="9">
        <v>2</v>
      </c>
      <c r="T22" s="9">
        <v>4</v>
      </c>
      <c r="U22" s="9">
        <v>20</v>
      </c>
      <c r="V22" s="9">
        <v>0</v>
      </c>
      <c r="W22" s="9">
        <v>33.99</v>
      </c>
      <c r="X22">
        <f xml:space="preserve"> Z22 + AA22 + (AB22*G22) + (AC22*H22) + (AD22*I22) + (AE22*J22) + (AF22*(K22/100)) + (AG22*(L22/100))+ (AH22*(M22))</f>
        <v>34.027999999999999</v>
      </c>
      <c r="Y22" s="1">
        <f>X22-W22</f>
        <v>3.7999999999996703E-2</v>
      </c>
      <c r="Z22">
        <f>U22</f>
        <v>20</v>
      </c>
      <c r="AA22">
        <f>V22</f>
        <v>0</v>
      </c>
      <c r="AB22">
        <f>N22</f>
        <v>3</v>
      </c>
      <c r="AC22">
        <f>O22</f>
        <v>0.8</v>
      </c>
      <c r="AD22">
        <f>P22</f>
        <v>2</v>
      </c>
      <c r="AE22">
        <f>Q22</f>
        <v>1.5</v>
      </c>
      <c r="AF22">
        <f>R22</f>
        <v>2.2000000000000002</v>
      </c>
      <c r="AG22">
        <f>S22</f>
        <v>2</v>
      </c>
      <c r="AH22">
        <f t="shared" si="1"/>
        <v>4</v>
      </c>
    </row>
    <row r="23" spans="1:34" hidden="1" outlineLevel="1" x14ac:dyDescent="0.3">
      <c r="A23" s="9" t="s">
        <v>27</v>
      </c>
      <c r="B23" s="9" t="s">
        <v>28</v>
      </c>
      <c r="C23" s="9" t="s">
        <v>29</v>
      </c>
      <c r="D23" s="9" t="s">
        <v>21</v>
      </c>
      <c r="E23" s="9">
        <v>0</v>
      </c>
      <c r="F23" s="9">
        <v>1</v>
      </c>
      <c r="G23" s="9">
        <v>0</v>
      </c>
      <c r="H23" s="9">
        <v>2.64</v>
      </c>
      <c r="I23" s="9">
        <v>0</v>
      </c>
      <c r="J23" s="9">
        <v>3</v>
      </c>
      <c r="K23" s="9">
        <v>0</v>
      </c>
      <c r="L23" s="9">
        <v>44.9</v>
      </c>
      <c r="M23" s="9">
        <v>0.5</v>
      </c>
      <c r="N23" s="9">
        <v>3</v>
      </c>
      <c r="O23" s="9">
        <v>4</v>
      </c>
      <c r="P23" s="9">
        <v>1.6</v>
      </c>
      <c r="Q23" s="9">
        <v>1</v>
      </c>
      <c r="R23" s="9">
        <v>1.8</v>
      </c>
      <c r="S23" s="9">
        <v>1.5</v>
      </c>
      <c r="T23" s="9">
        <v>8</v>
      </c>
      <c r="U23" s="9">
        <v>0</v>
      </c>
      <c r="V23" s="9">
        <v>15</v>
      </c>
      <c r="W23" s="9">
        <v>33.229999999999997</v>
      </c>
      <c r="X23">
        <f xml:space="preserve"> Z23 + AA23 + (AB23*G23) + (AC23*H23) + (AD23*I23) + (AE23*J23) + (AF23*(K23/100)) + (AG23*(L23/100))+ (AH23*(M23))</f>
        <v>33.233500000000006</v>
      </c>
      <c r="Y23" s="3">
        <f>X23-W23</f>
        <v>3.5000000000096065E-3</v>
      </c>
      <c r="Z23">
        <f>U23</f>
        <v>0</v>
      </c>
      <c r="AA23">
        <f>V23</f>
        <v>15</v>
      </c>
      <c r="AB23">
        <f>N23</f>
        <v>3</v>
      </c>
      <c r="AC23">
        <f>O23</f>
        <v>4</v>
      </c>
      <c r="AD23">
        <f>P23</f>
        <v>1.6</v>
      </c>
      <c r="AE23">
        <f>Q23</f>
        <v>1</v>
      </c>
      <c r="AF23">
        <f>R23</f>
        <v>1.8</v>
      </c>
      <c r="AG23">
        <f>S23</f>
        <v>1.5</v>
      </c>
      <c r="AH23">
        <f t="shared" si="1"/>
        <v>8</v>
      </c>
    </row>
    <row r="24" spans="1:34" hidden="1" outlineLevel="1" x14ac:dyDescent="0.3">
      <c r="A24" s="9" t="s">
        <v>221</v>
      </c>
      <c r="B24" s="9" t="s">
        <v>243</v>
      </c>
      <c r="C24" s="9" t="s">
        <v>221</v>
      </c>
      <c r="D24" s="9" t="s">
        <v>2</v>
      </c>
      <c r="E24" s="9">
        <v>1</v>
      </c>
      <c r="F24" s="9">
        <v>0</v>
      </c>
      <c r="G24" s="9">
        <v>1.6</v>
      </c>
      <c r="H24" s="9">
        <v>0.69</v>
      </c>
      <c r="I24" s="9">
        <v>0</v>
      </c>
      <c r="J24" s="9">
        <v>2</v>
      </c>
      <c r="K24" s="9">
        <v>0</v>
      </c>
      <c r="L24" s="9">
        <v>28.2</v>
      </c>
      <c r="M24" s="9">
        <v>1</v>
      </c>
      <c r="N24" s="9">
        <v>3</v>
      </c>
      <c r="O24" s="9">
        <v>0.8</v>
      </c>
      <c r="P24" s="9">
        <v>2</v>
      </c>
      <c r="Q24" s="9">
        <v>1.5</v>
      </c>
      <c r="R24" s="9">
        <v>2.2000000000000002</v>
      </c>
      <c r="S24" s="9">
        <v>2</v>
      </c>
      <c r="T24" s="9">
        <v>4</v>
      </c>
      <c r="U24" s="9">
        <v>20</v>
      </c>
      <c r="V24" s="9">
        <v>0</v>
      </c>
      <c r="W24" s="9">
        <v>32.840000000000003</v>
      </c>
      <c r="X24">
        <f xml:space="preserve"> Z24 + AA24 + (AB24*G24) + (AC24*H24) + (AD24*I24) + (AE24*J24) + (AF24*(K24/100)) + (AG24*(L24/100))+ (AH24*(M24))</f>
        <v>32.915999999999997</v>
      </c>
      <c r="Y24" s="1">
        <f>X24-W24</f>
        <v>7.5999999999993406E-2</v>
      </c>
      <c r="Z24">
        <f>U24</f>
        <v>20</v>
      </c>
      <c r="AA24">
        <f>V24</f>
        <v>0</v>
      </c>
      <c r="AB24">
        <f>N24</f>
        <v>3</v>
      </c>
      <c r="AC24">
        <f>O24</f>
        <v>0.8</v>
      </c>
      <c r="AD24">
        <f>P24</f>
        <v>2</v>
      </c>
      <c r="AE24">
        <f>Q24</f>
        <v>1.5</v>
      </c>
      <c r="AF24">
        <f>R24</f>
        <v>2.2000000000000002</v>
      </c>
      <c r="AG24">
        <f>S24</f>
        <v>2</v>
      </c>
      <c r="AH24">
        <f t="shared" si="1"/>
        <v>4</v>
      </c>
    </row>
    <row r="25" spans="1:34" hidden="1" outlineLevel="1" x14ac:dyDescent="0.3">
      <c r="A25" s="9" t="s">
        <v>221</v>
      </c>
      <c r="B25" s="9" t="s">
        <v>300</v>
      </c>
      <c r="C25" s="9" t="s">
        <v>301</v>
      </c>
      <c r="D25" s="9" t="s">
        <v>21</v>
      </c>
      <c r="E25" s="9">
        <v>0</v>
      </c>
      <c r="F25" s="9">
        <v>1</v>
      </c>
      <c r="G25" s="9">
        <v>2</v>
      </c>
      <c r="H25" s="9">
        <v>0.69</v>
      </c>
      <c r="I25" s="9">
        <v>0</v>
      </c>
      <c r="J25" s="9">
        <v>2</v>
      </c>
      <c r="K25" s="9">
        <v>0</v>
      </c>
      <c r="L25" s="9">
        <v>39.6</v>
      </c>
      <c r="M25" s="9">
        <v>0.66700000000000004</v>
      </c>
      <c r="N25" s="9">
        <v>3</v>
      </c>
      <c r="O25" s="9">
        <v>4</v>
      </c>
      <c r="P25" s="9">
        <v>1.6</v>
      </c>
      <c r="Q25" s="9">
        <v>1</v>
      </c>
      <c r="R25" s="9">
        <v>1.8</v>
      </c>
      <c r="S25" s="9">
        <v>1.5</v>
      </c>
      <c r="T25" s="9">
        <v>8</v>
      </c>
      <c r="U25" s="9">
        <v>0</v>
      </c>
      <c r="V25" s="9">
        <v>15</v>
      </c>
      <c r="W25" s="10">
        <v>31.61</v>
      </c>
      <c r="X25" s="5">
        <f xml:space="preserve"> Z25 + AA25 + (AB25*G25) + (AC25*H25) + (AD25*I25) + (AE25*J25) + (AF25*(K25/100)) + (AG25*(L25/100))+ (AH25*(M25))</f>
        <v>31.689999999999998</v>
      </c>
      <c r="Y25" s="1">
        <f>X25-W25</f>
        <v>7.9999999999998295E-2</v>
      </c>
      <c r="Z25">
        <f>U25</f>
        <v>0</v>
      </c>
      <c r="AA25">
        <f>V25</f>
        <v>15</v>
      </c>
      <c r="AB25">
        <f>N25</f>
        <v>3</v>
      </c>
      <c r="AC25">
        <f>O25</f>
        <v>4</v>
      </c>
      <c r="AD25">
        <f>P25</f>
        <v>1.6</v>
      </c>
      <c r="AE25">
        <f>Q25</f>
        <v>1</v>
      </c>
      <c r="AF25">
        <f>R25</f>
        <v>1.8</v>
      </c>
      <c r="AG25">
        <f>S25</f>
        <v>1.5</v>
      </c>
      <c r="AH25">
        <f t="shared" si="1"/>
        <v>8</v>
      </c>
    </row>
    <row r="26" spans="1:34" outlineLevel="1" x14ac:dyDescent="0.3">
      <c r="A26" s="9" t="s">
        <v>398</v>
      </c>
      <c r="B26" s="9" t="s">
        <v>410</v>
      </c>
      <c r="C26" s="9" t="s">
        <v>411</v>
      </c>
      <c r="D26" s="9" t="s">
        <v>2</v>
      </c>
      <c r="E26" s="9">
        <v>1</v>
      </c>
      <c r="F26" s="9">
        <v>0</v>
      </c>
      <c r="G26" s="9">
        <v>1.2</v>
      </c>
      <c r="H26" s="9">
        <v>0.69</v>
      </c>
      <c r="I26" s="9">
        <v>1</v>
      </c>
      <c r="J26" s="9">
        <v>0</v>
      </c>
      <c r="K26" s="9">
        <v>13</v>
      </c>
      <c r="L26" s="9">
        <v>0</v>
      </c>
      <c r="M26" s="9">
        <v>1</v>
      </c>
      <c r="N26" s="9">
        <v>3</v>
      </c>
      <c r="O26" s="9">
        <v>0.8</v>
      </c>
      <c r="P26" s="9">
        <v>2</v>
      </c>
      <c r="Q26" s="9">
        <v>1.5</v>
      </c>
      <c r="R26" s="9">
        <v>2.2000000000000002</v>
      </c>
      <c r="S26" s="9">
        <v>2</v>
      </c>
      <c r="T26" s="9">
        <v>4</v>
      </c>
      <c r="U26" s="9">
        <v>20</v>
      </c>
      <c r="V26" s="9">
        <v>0</v>
      </c>
      <c r="W26" s="9">
        <v>30.38</v>
      </c>
      <c r="X26">
        <f xml:space="preserve"> Z26 + AA26 + (AB26*G26) + (AC26*H26) + (AD26*I26) + (AE26*J26) + (AF26*(K26/100)) + (AG26*(L26/100))+ (AH26*(M26))</f>
        <v>30.438000000000002</v>
      </c>
      <c r="Y26" s="1">
        <f>X26-W26</f>
        <v>5.8000000000003382E-2</v>
      </c>
      <c r="Z26">
        <f>U26</f>
        <v>20</v>
      </c>
      <c r="AA26">
        <f>V26</f>
        <v>0</v>
      </c>
      <c r="AB26">
        <f>N26</f>
        <v>3</v>
      </c>
      <c r="AC26">
        <f>O26</f>
        <v>0.8</v>
      </c>
      <c r="AD26">
        <f>P26</f>
        <v>2</v>
      </c>
      <c r="AE26">
        <f>Q26</f>
        <v>1.5</v>
      </c>
      <c r="AF26">
        <f>R26</f>
        <v>2.2000000000000002</v>
      </c>
      <c r="AG26">
        <f>S26</f>
        <v>2</v>
      </c>
      <c r="AH26">
        <f t="shared" ref="AH26" si="3">T26</f>
        <v>4</v>
      </c>
    </row>
    <row r="27" spans="1:34" hidden="1" outlineLevel="1" x14ac:dyDescent="0.3">
      <c r="A27" s="9" t="s">
        <v>661</v>
      </c>
      <c r="B27" s="9" t="s">
        <v>667</v>
      </c>
      <c r="C27" s="9" t="s">
        <v>668</v>
      </c>
      <c r="D27" s="9" t="s">
        <v>21</v>
      </c>
      <c r="E27" s="9">
        <v>0</v>
      </c>
      <c r="F27" s="9">
        <v>1</v>
      </c>
      <c r="G27" s="9">
        <v>0</v>
      </c>
      <c r="H27" s="9">
        <v>0</v>
      </c>
      <c r="I27" s="9">
        <v>1</v>
      </c>
      <c r="J27" s="9">
        <v>5</v>
      </c>
      <c r="K27" s="9">
        <v>40.5</v>
      </c>
      <c r="L27" s="9">
        <v>41</v>
      </c>
      <c r="M27" s="9">
        <v>0.66700000000000004</v>
      </c>
      <c r="N27" s="9">
        <v>3</v>
      </c>
      <c r="O27" s="9">
        <v>4</v>
      </c>
      <c r="P27" s="9">
        <v>1.6</v>
      </c>
      <c r="Q27" s="9">
        <v>1</v>
      </c>
      <c r="R27" s="9">
        <v>1.8</v>
      </c>
      <c r="S27" s="9">
        <v>1.5</v>
      </c>
      <c r="T27" s="9">
        <v>8</v>
      </c>
      <c r="U27" s="9">
        <v>0</v>
      </c>
      <c r="V27" s="9">
        <v>15</v>
      </c>
      <c r="W27" s="10">
        <v>28.28</v>
      </c>
      <c r="AH27">
        <f t="shared" si="1"/>
        <v>8</v>
      </c>
    </row>
    <row r="28" spans="1:34" outlineLevel="1" x14ac:dyDescent="0.3">
      <c r="A28" s="9" t="s">
        <v>398</v>
      </c>
      <c r="B28" s="9" t="s">
        <v>400</v>
      </c>
      <c r="C28" s="9" t="s">
        <v>401</v>
      </c>
      <c r="D28" s="9" t="s">
        <v>21</v>
      </c>
      <c r="E28" s="9">
        <v>0</v>
      </c>
      <c r="F28" s="9">
        <v>1</v>
      </c>
      <c r="G28" s="9">
        <v>2</v>
      </c>
      <c r="H28" s="9">
        <v>0</v>
      </c>
      <c r="I28" s="9">
        <v>0</v>
      </c>
      <c r="J28" s="9">
        <v>2</v>
      </c>
      <c r="K28" s="9">
        <v>0</v>
      </c>
      <c r="L28" s="9">
        <v>34.5</v>
      </c>
      <c r="M28" s="9">
        <v>0.5</v>
      </c>
      <c r="N28" s="9">
        <v>3</v>
      </c>
      <c r="O28" s="9">
        <v>4</v>
      </c>
      <c r="P28" s="9">
        <v>1.6</v>
      </c>
      <c r="Q28" s="9">
        <v>1</v>
      </c>
      <c r="R28" s="9">
        <v>1.8</v>
      </c>
      <c r="S28" s="9">
        <v>1.5</v>
      </c>
      <c r="T28" s="9">
        <v>8</v>
      </c>
      <c r="U28" s="9">
        <v>0</v>
      </c>
      <c r="V28" s="9">
        <v>15</v>
      </c>
      <c r="W28" s="9">
        <v>27.42</v>
      </c>
      <c r="X28">
        <f xml:space="preserve"> Z28 + AA28 + (AB28*G28) + (AC28*H28) + (AD28*I28) + (AE28*J28) + (AF28*(K28/100)) + (AG28*(L28/100))+ (AH28*(M28))</f>
        <v>27.517499999999998</v>
      </c>
      <c r="Y28" s="1">
        <f>X28-W28</f>
        <v>9.7499999999996589E-2</v>
      </c>
      <c r="Z28">
        <f>U28</f>
        <v>0</v>
      </c>
      <c r="AA28">
        <f>V28</f>
        <v>15</v>
      </c>
      <c r="AB28">
        <f>N28</f>
        <v>3</v>
      </c>
      <c r="AC28">
        <f>O28</f>
        <v>4</v>
      </c>
      <c r="AD28">
        <f>P28</f>
        <v>1.6</v>
      </c>
      <c r="AE28">
        <f>Q28</f>
        <v>1</v>
      </c>
      <c r="AF28">
        <f>R28</f>
        <v>1.8</v>
      </c>
      <c r="AG28">
        <f>S28</f>
        <v>1.5</v>
      </c>
      <c r="AH28">
        <f t="shared" ref="AH28" si="4">T28</f>
        <v>8</v>
      </c>
    </row>
    <row r="29" spans="1:34" hidden="1" outlineLevel="1" x14ac:dyDescent="0.3">
      <c r="A29" s="9" t="s">
        <v>176</v>
      </c>
      <c r="B29" s="9" t="s">
        <v>190</v>
      </c>
      <c r="C29" s="9" t="s">
        <v>191</v>
      </c>
      <c r="D29" s="9" t="s">
        <v>2</v>
      </c>
      <c r="E29" s="9">
        <v>1</v>
      </c>
      <c r="F29" s="9">
        <v>0</v>
      </c>
      <c r="G29" s="9">
        <v>0</v>
      </c>
      <c r="H29" s="9">
        <v>0</v>
      </c>
      <c r="I29" s="9">
        <v>1</v>
      </c>
      <c r="J29" s="9">
        <v>0</v>
      </c>
      <c r="K29" s="9">
        <v>22.4</v>
      </c>
      <c r="L29" s="9">
        <v>0</v>
      </c>
      <c r="M29" s="9">
        <v>1</v>
      </c>
      <c r="N29" s="9">
        <v>3</v>
      </c>
      <c r="O29" s="9">
        <v>0.8</v>
      </c>
      <c r="P29" s="9">
        <v>2</v>
      </c>
      <c r="Q29" s="9">
        <v>1.5</v>
      </c>
      <c r="R29" s="9">
        <v>2.2000000000000002</v>
      </c>
      <c r="S29" s="9">
        <v>2</v>
      </c>
      <c r="T29" s="9">
        <v>4</v>
      </c>
      <c r="U29" s="9">
        <v>20</v>
      </c>
      <c r="V29" s="9">
        <v>0</v>
      </c>
      <c r="W29" s="9">
        <v>26.49</v>
      </c>
      <c r="X29">
        <f xml:space="preserve"> Z29 + AA29 + (AB29*G29) + (AC29*H29) + (AD29*I29) + (AE29*J29) + (AF29*(K29/100)) + (AG29*(L29/100))+ (AH29*(M29))</f>
        <v>26.492799999999999</v>
      </c>
      <c r="Y29" s="1">
        <f>X29-W29</f>
        <v>2.8000000000005798E-3</v>
      </c>
      <c r="Z29">
        <f>U29</f>
        <v>20</v>
      </c>
      <c r="AA29">
        <f>V29</f>
        <v>0</v>
      </c>
      <c r="AB29">
        <f>N29</f>
        <v>3</v>
      </c>
      <c r="AC29">
        <f>O29</f>
        <v>0.8</v>
      </c>
      <c r="AD29">
        <f>P29</f>
        <v>2</v>
      </c>
      <c r="AE29">
        <f>Q29</f>
        <v>1.5</v>
      </c>
      <c r="AF29">
        <f>R29</f>
        <v>2.2000000000000002</v>
      </c>
      <c r="AG29">
        <f>S29</f>
        <v>2</v>
      </c>
      <c r="AH29">
        <f t="shared" si="1"/>
        <v>4</v>
      </c>
    </row>
    <row r="30" spans="1:34" hidden="1" outlineLevel="1" x14ac:dyDescent="0.3">
      <c r="A30" s="9" t="s">
        <v>176</v>
      </c>
      <c r="B30" s="9" t="s">
        <v>192</v>
      </c>
      <c r="C30" s="9" t="s">
        <v>191</v>
      </c>
      <c r="D30" s="9" t="s">
        <v>2</v>
      </c>
      <c r="E30" s="9">
        <v>1</v>
      </c>
      <c r="F30" s="9">
        <v>0</v>
      </c>
      <c r="G30" s="9">
        <v>0</v>
      </c>
      <c r="H30" s="9">
        <v>0</v>
      </c>
      <c r="I30" s="9">
        <v>1</v>
      </c>
      <c r="J30" s="9">
        <v>0</v>
      </c>
      <c r="K30" s="9">
        <v>22.4</v>
      </c>
      <c r="L30" s="9">
        <v>0</v>
      </c>
      <c r="M30" s="9">
        <v>1</v>
      </c>
      <c r="N30" s="9">
        <v>3</v>
      </c>
      <c r="O30" s="9">
        <v>0.8</v>
      </c>
      <c r="P30" s="9">
        <v>2</v>
      </c>
      <c r="Q30" s="9">
        <v>1.5</v>
      </c>
      <c r="R30" s="9">
        <v>2.2000000000000002</v>
      </c>
      <c r="S30" s="9">
        <v>2</v>
      </c>
      <c r="T30" s="9">
        <v>4</v>
      </c>
      <c r="U30" s="9">
        <v>20</v>
      </c>
      <c r="V30" s="9">
        <v>0</v>
      </c>
      <c r="W30" s="9">
        <v>26.49</v>
      </c>
      <c r="X30">
        <f xml:space="preserve"> Z30 + AA30 + (AB30*G30) + (AC30*H30) + (AD30*I30) + (AE30*J30) + (AF30*(K30/100)) + (AG30*(L30/100))+ (AH30*(M30))</f>
        <v>26.492799999999999</v>
      </c>
      <c r="Y30" s="1">
        <f>X30-W30</f>
        <v>2.8000000000005798E-3</v>
      </c>
      <c r="Z30">
        <f>U30</f>
        <v>20</v>
      </c>
      <c r="AA30">
        <f>V30</f>
        <v>0</v>
      </c>
      <c r="AB30">
        <f>N30</f>
        <v>3</v>
      </c>
      <c r="AC30">
        <f>O30</f>
        <v>0.8</v>
      </c>
      <c r="AD30">
        <f>P30</f>
        <v>2</v>
      </c>
      <c r="AE30">
        <f>Q30</f>
        <v>1.5</v>
      </c>
      <c r="AF30">
        <f>R30</f>
        <v>2.2000000000000002</v>
      </c>
      <c r="AG30">
        <f>S30</f>
        <v>2</v>
      </c>
      <c r="AH30">
        <f t="shared" si="1"/>
        <v>4</v>
      </c>
    </row>
    <row r="31" spans="1:34" hidden="1" outlineLevel="1" x14ac:dyDescent="0.3">
      <c r="A31" s="9" t="s">
        <v>661</v>
      </c>
      <c r="B31" s="9" t="s">
        <v>662</v>
      </c>
      <c r="C31" s="9" t="s">
        <v>663</v>
      </c>
      <c r="D31" s="9" t="s">
        <v>21</v>
      </c>
      <c r="E31" s="9">
        <v>0</v>
      </c>
      <c r="F31" s="9">
        <v>1</v>
      </c>
      <c r="G31" s="9">
        <v>2.2999999999999998</v>
      </c>
      <c r="H31" s="9">
        <v>0</v>
      </c>
      <c r="I31" s="9">
        <v>1</v>
      </c>
      <c r="J31" s="9">
        <v>0</v>
      </c>
      <c r="K31" s="9">
        <v>40.5</v>
      </c>
      <c r="L31" s="9">
        <v>0</v>
      </c>
      <c r="M31" s="9">
        <v>0.2</v>
      </c>
      <c r="N31" s="9">
        <v>3</v>
      </c>
      <c r="O31" s="9">
        <v>4</v>
      </c>
      <c r="P31" s="9">
        <v>1.6</v>
      </c>
      <c r="Q31" s="9">
        <v>1</v>
      </c>
      <c r="R31" s="9">
        <v>1.8</v>
      </c>
      <c r="S31" s="9">
        <v>1.5</v>
      </c>
      <c r="T31" s="9">
        <v>8</v>
      </c>
      <c r="U31" s="9">
        <v>0</v>
      </c>
      <c r="V31" s="9">
        <v>15</v>
      </c>
      <c r="W31" s="10">
        <v>25.91</v>
      </c>
      <c r="AH31">
        <f t="shared" si="1"/>
        <v>8</v>
      </c>
    </row>
    <row r="32" spans="1:34" hidden="1" outlineLevel="1" x14ac:dyDescent="0.3">
      <c r="A32" s="9" t="s">
        <v>54</v>
      </c>
      <c r="B32" s="9" t="s">
        <v>68</v>
      </c>
      <c r="C32" s="9" t="s">
        <v>69</v>
      </c>
      <c r="D32" s="9" t="s">
        <v>22</v>
      </c>
      <c r="E32" s="9">
        <v>0</v>
      </c>
      <c r="F32" s="9">
        <v>0</v>
      </c>
      <c r="G32" s="9">
        <v>16.100000000000001</v>
      </c>
      <c r="H32" s="9">
        <v>0</v>
      </c>
      <c r="I32" s="9">
        <v>1</v>
      </c>
      <c r="J32" s="9">
        <v>2</v>
      </c>
      <c r="K32" s="9">
        <v>41.7</v>
      </c>
      <c r="L32" s="9">
        <v>46.9</v>
      </c>
      <c r="M32" s="9">
        <v>0.66700000000000004</v>
      </c>
      <c r="N32" s="9">
        <v>1.2</v>
      </c>
      <c r="O32" s="9">
        <v>0.5</v>
      </c>
      <c r="P32" s="9">
        <v>0.8</v>
      </c>
      <c r="Q32" s="9">
        <v>0.6</v>
      </c>
      <c r="R32" s="9">
        <v>1</v>
      </c>
      <c r="S32" s="9">
        <v>0.8</v>
      </c>
      <c r="T32" s="9">
        <v>3</v>
      </c>
      <c r="U32" s="9">
        <v>0</v>
      </c>
      <c r="V32" s="9">
        <v>0</v>
      </c>
      <c r="W32" s="10">
        <v>24.08</v>
      </c>
      <c r="X32" s="5">
        <f xml:space="preserve"> Z32 + AA32 + (AB32*G32) + (AC32*H32) + (AD32*I32) + (AE32*J32) + (AF32*(K32/100)) + (AG32*(L32/100))+ (AH32*(M32))</f>
        <v>24.113200000000003</v>
      </c>
      <c r="Y32" s="1">
        <f>X32-W32</f>
        <v>3.3200000000004337E-2</v>
      </c>
      <c r="Z32">
        <f>U32</f>
        <v>0</v>
      </c>
      <c r="AA32">
        <f>V32</f>
        <v>0</v>
      </c>
      <c r="AB32">
        <f>N32</f>
        <v>1.2</v>
      </c>
      <c r="AC32">
        <f>O32</f>
        <v>0.5</v>
      </c>
      <c r="AD32">
        <f>P32</f>
        <v>0.8</v>
      </c>
      <c r="AE32">
        <f>Q32</f>
        <v>0.6</v>
      </c>
      <c r="AF32">
        <f>R32</f>
        <v>1</v>
      </c>
      <c r="AG32">
        <f>S32</f>
        <v>0.8</v>
      </c>
      <c r="AH32">
        <f t="shared" si="1"/>
        <v>3</v>
      </c>
    </row>
    <row r="33" spans="1:34" hidden="1" outlineLevel="1" x14ac:dyDescent="0.3">
      <c r="A33" s="9" t="s">
        <v>533</v>
      </c>
      <c r="B33" s="9" t="s">
        <v>543</v>
      </c>
      <c r="C33" s="9" t="s">
        <v>544</v>
      </c>
      <c r="D33" s="9" t="s">
        <v>21</v>
      </c>
      <c r="E33" s="9">
        <v>0</v>
      </c>
      <c r="F33" s="9">
        <v>1</v>
      </c>
      <c r="G33" s="9">
        <v>0</v>
      </c>
      <c r="H33" s="9">
        <v>0</v>
      </c>
      <c r="I33" s="9">
        <v>1</v>
      </c>
      <c r="J33" s="9">
        <v>3</v>
      </c>
      <c r="K33" s="9">
        <v>42</v>
      </c>
      <c r="L33" s="9">
        <v>44.2</v>
      </c>
      <c r="M33" s="9">
        <v>0.2</v>
      </c>
      <c r="N33" s="9">
        <v>3</v>
      </c>
      <c r="O33" s="9">
        <v>4</v>
      </c>
      <c r="P33" s="9">
        <v>1.6</v>
      </c>
      <c r="Q33" s="9">
        <v>1</v>
      </c>
      <c r="R33" s="9">
        <v>1.8</v>
      </c>
      <c r="S33" s="9">
        <v>1.5</v>
      </c>
      <c r="T33" s="9">
        <v>8</v>
      </c>
      <c r="U33" s="9">
        <v>0</v>
      </c>
      <c r="V33" s="9">
        <v>15</v>
      </c>
      <c r="W33" s="10">
        <v>22.62</v>
      </c>
      <c r="X33" s="5">
        <f xml:space="preserve"> Z33 + AA33 + (AB33*G33) + (AC33*H33) + (AD33*I33) + (AE33*J33) + (AF33*(K33/100)) + (AG33*(L33/100))+ (AH33*(M33))</f>
        <v>22.619000000000003</v>
      </c>
      <c r="Y33" s="1">
        <f>X33-W33</f>
        <v>-9.9999999999766942E-4</v>
      </c>
      <c r="Z33">
        <f>U33</f>
        <v>0</v>
      </c>
      <c r="AA33">
        <f>V33</f>
        <v>15</v>
      </c>
      <c r="AB33">
        <f>N33</f>
        <v>3</v>
      </c>
      <c r="AC33">
        <f>O33</f>
        <v>4</v>
      </c>
      <c r="AD33">
        <f>P33</f>
        <v>1.6</v>
      </c>
      <c r="AE33">
        <f>Q33</f>
        <v>1</v>
      </c>
      <c r="AF33">
        <f>R33</f>
        <v>1.8</v>
      </c>
      <c r="AG33">
        <f>S33</f>
        <v>1.5</v>
      </c>
      <c r="AH33">
        <f t="shared" si="1"/>
        <v>8</v>
      </c>
    </row>
    <row r="34" spans="1:34" hidden="1" outlineLevel="1" x14ac:dyDescent="0.3">
      <c r="A34" s="9" t="s">
        <v>54</v>
      </c>
      <c r="B34" s="9" t="s">
        <v>132</v>
      </c>
      <c r="C34" s="9" t="s">
        <v>133</v>
      </c>
      <c r="D34" s="9" t="s">
        <v>22</v>
      </c>
      <c r="E34" s="9">
        <v>0</v>
      </c>
      <c r="F34" s="9">
        <v>0</v>
      </c>
      <c r="G34" s="9">
        <v>14.3</v>
      </c>
      <c r="H34" s="9">
        <v>0</v>
      </c>
      <c r="I34" s="9">
        <v>1</v>
      </c>
      <c r="J34" s="9">
        <v>2</v>
      </c>
      <c r="K34" s="9">
        <v>42.5</v>
      </c>
      <c r="L34" s="9">
        <v>42.3</v>
      </c>
      <c r="M34" s="9">
        <v>0.5</v>
      </c>
      <c r="N34" s="9">
        <v>1.2</v>
      </c>
      <c r="O34" s="9">
        <v>0.5</v>
      </c>
      <c r="P34" s="9">
        <v>0.8</v>
      </c>
      <c r="Q34" s="9">
        <v>0.6</v>
      </c>
      <c r="R34" s="9">
        <v>1</v>
      </c>
      <c r="S34" s="9">
        <v>0.8</v>
      </c>
      <c r="T34" s="9">
        <v>3</v>
      </c>
      <c r="U34" s="9">
        <v>0</v>
      </c>
      <c r="V34" s="9">
        <v>0</v>
      </c>
      <c r="W34" s="9">
        <v>21.41</v>
      </c>
      <c r="X34">
        <f xml:space="preserve"> Z34 + AA34 + (AB34*G34) + (AC34*H34) + (AD34*I34) + (AE34*J34) + (AF34*(K34/100)) + (AG34*(L34/100))+ (AH34*(M34))</f>
        <v>21.423400000000001</v>
      </c>
      <c r="Y34" s="1">
        <f>X34-W34</f>
        <v>1.3400000000000745E-2</v>
      </c>
      <c r="Z34">
        <f>U34</f>
        <v>0</v>
      </c>
      <c r="AA34">
        <f>V34</f>
        <v>0</v>
      </c>
      <c r="AB34">
        <f>N34</f>
        <v>1.2</v>
      </c>
      <c r="AC34">
        <f>O34</f>
        <v>0.5</v>
      </c>
      <c r="AD34">
        <f>P34</f>
        <v>0.8</v>
      </c>
      <c r="AE34">
        <f>Q34</f>
        <v>0.6</v>
      </c>
      <c r="AF34">
        <f>R34</f>
        <v>1</v>
      </c>
      <c r="AG34">
        <f>S34</f>
        <v>0.8</v>
      </c>
      <c r="AH34">
        <f t="shared" si="1"/>
        <v>3</v>
      </c>
    </row>
    <row r="35" spans="1:34" hidden="1" outlineLevel="1" x14ac:dyDescent="0.3">
      <c r="A35" s="9" t="s">
        <v>528</v>
      </c>
      <c r="B35" s="9" t="s">
        <v>531</v>
      </c>
      <c r="C35" s="9" t="s">
        <v>532</v>
      </c>
      <c r="D35" s="9" t="s">
        <v>22</v>
      </c>
      <c r="E35" s="9">
        <v>0</v>
      </c>
      <c r="F35" s="9">
        <v>0</v>
      </c>
      <c r="G35" s="9">
        <v>14</v>
      </c>
      <c r="H35" s="9">
        <v>0</v>
      </c>
      <c r="I35" s="9">
        <v>1</v>
      </c>
      <c r="J35" s="9">
        <v>0</v>
      </c>
      <c r="K35" s="9">
        <v>27.4</v>
      </c>
      <c r="L35" s="9">
        <v>0</v>
      </c>
      <c r="M35" s="9">
        <v>1</v>
      </c>
      <c r="N35" s="9">
        <v>1.2</v>
      </c>
      <c r="O35" s="9">
        <v>0.5</v>
      </c>
      <c r="P35" s="9">
        <v>0.8</v>
      </c>
      <c r="Q35" s="9">
        <v>0.6</v>
      </c>
      <c r="R35" s="9">
        <v>1</v>
      </c>
      <c r="S35" s="9">
        <v>0.8</v>
      </c>
      <c r="T35" s="9">
        <v>3</v>
      </c>
      <c r="U35" s="9">
        <v>0</v>
      </c>
      <c r="V35" s="9">
        <v>0</v>
      </c>
      <c r="W35" s="9">
        <v>20.82</v>
      </c>
      <c r="X35">
        <f xml:space="preserve"> Z35 + AA35 + (AB35*G35) + (AC35*H35) + (AD35*I35) + (AE35*J35) + (AF35*(K35/100)) + (AG35*(L35/100))+ (AH35*(M35))</f>
        <v>20.874000000000002</v>
      </c>
      <c r="Y35" s="1">
        <f>X35-W35</f>
        <v>5.4000000000002046E-2</v>
      </c>
      <c r="Z35">
        <f>U35</f>
        <v>0</v>
      </c>
      <c r="AA35">
        <f>V35</f>
        <v>0</v>
      </c>
      <c r="AB35">
        <f>N35</f>
        <v>1.2</v>
      </c>
      <c r="AC35">
        <f>O35</f>
        <v>0.5</v>
      </c>
      <c r="AD35">
        <f>P35</f>
        <v>0.8</v>
      </c>
      <c r="AE35">
        <f>Q35</f>
        <v>0.6</v>
      </c>
      <c r="AF35">
        <f>R35</f>
        <v>1</v>
      </c>
      <c r="AG35">
        <f>S35</f>
        <v>0.8</v>
      </c>
      <c r="AH35">
        <f t="shared" si="1"/>
        <v>3</v>
      </c>
    </row>
    <row r="36" spans="1:34" hidden="1" outlineLevel="1" x14ac:dyDescent="0.3">
      <c r="A36" s="9" t="s">
        <v>533</v>
      </c>
      <c r="B36" s="9" t="s">
        <v>557</v>
      </c>
      <c r="C36" s="9" t="s">
        <v>558</v>
      </c>
      <c r="D36" s="9" t="s">
        <v>22</v>
      </c>
      <c r="E36" s="9">
        <v>0</v>
      </c>
      <c r="F36" s="9">
        <v>0</v>
      </c>
      <c r="G36" s="9">
        <v>11.6</v>
      </c>
      <c r="H36" s="9">
        <v>0</v>
      </c>
      <c r="I36" s="9">
        <v>1</v>
      </c>
      <c r="J36" s="9">
        <v>5</v>
      </c>
      <c r="K36" s="9">
        <v>44.3</v>
      </c>
      <c r="L36" s="9">
        <v>42.2</v>
      </c>
      <c r="M36" s="9">
        <v>0.5</v>
      </c>
      <c r="N36" s="9">
        <v>1.2</v>
      </c>
      <c r="O36" s="9">
        <v>0.5</v>
      </c>
      <c r="P36" s="9">
        <v>0.8</v>
      </c>
      <c r="Q36" s="9">
        <v>0.6</v>
      </c>
      <c r="R36" s="9">
        <v>1</v>
      </c>
      <c r="S36" s="9">
        <v>0.8</v>
      </c>
      <c r="T36" s="9">
        <v>3</v>
      </c>
      <c r="U36" s="9">
        <v>0</v>
      </c>
      <c r="V36" s="9">
        <v>0</v>
      </c>
      <c r="W36" s="9">
        <v>20.03</v>
      </c>
      <c r="X36">
        <f xml:space="preserve"> Z36 + AA36 + (AB36*G36) + (AC36*H36) + (AD36*I36) + (AE36*J36) + (AF36*(K36/100)) + (AG36*(L36/100))+ (AH36*(M36))</f>
        <v>20.000599999999999</v>
      </c>
      <c r="Y36" s="1">
        <f>X36-W36</f>
        <v>-2.9400000000002535E-2</v>
      </c>
      <c r="Z36">
        <f>U36</f>
        <v>0</v>
      </c>
      <c r="AA36">
        <f>V36</f>
        <v>0</v>
      </c>
      <c r="AB36">
        <f>N36</f>
        <v>1.2</v>
      </c>
      <c r="AC36">
        <f>O36</f>
        <v>0.5</v>
      </c>
      <c r="AD36">
        <f>P36</f>
        <v>0.8</v>
      </c>
      <c r="AE36">
        <f>Q36</f>
        <v>0.6</v>
      </c>
      <c r="AF36">
        <f>R36</f>
        <v>1</v>
      </c>
      <c r="AG36">
        <f>S36</f>
        <v>0.8</v>
      </c>
      <c r="AH36">
        <f t="shared" si="1"/>
        <v>3</v>
      </c>
    </row>
    <row r="37" spans="1:34" hidden="1" outlineLevel="1" x14ac:dyDescent="0.3">
      <c r="A37" s="9" t="s">
        <v>533</v>
      </c>
      <c r="B37" s="9" t="s">
        <v>565</v>
      </c>
      <c r="C37" s="9" t="s">
        <v>566</v>
      </c>
      <c r="D37" s="9" t="s">
        <v>22</v>
      </c>
      <c r="E37" s="9">
        <v>0</v>
      </c>
      <c r="F37" s="9">
        <v>0</v>
      </c>
      <c r="G37" s="9">
        <v>11.6</v>
      </c>
      <c r="H37" s="9">
        <v>0</v>
      </c>
      <c r="I37" s="9">
        <v>1</v>
      </c>
      <c r="J37" s="9">
        <v>5</v>
      </c>
      <c r="K37" s="9">
        <v>44.3</v>
      </c>
      <c r="L37" s="9">
        <v>43.7</v>
      </c>
      <c r="M37" s="9">
        <v>0.4</v>
      </c>
      <c r="N37" s="9">
        <v>1.2</v>
      </c>
      <c r="O37" s="9">
        <v>0.5</v>
      </c>
      <c r="P37" s="9">
        <v>0.8</v>
      </c>
      <c r="Q37" s="9">
        <v>0.6</v>
      </c>
      <c r="R37" s="9">
        <v>1</v>
      </c>
      <c r="S37" s="9">
        <v>0.8</v>
      </c>
      <c r="T37" s="9">
        <v>3</v>
      </c>
      <c r="U37" s="9">
        <v>0</v>
      </c>
      <c r="V37" s="9">
        <v>0</v>
      </c>
      <c r="W37" s="9">
        <v>19.75</v>
      </c>
      <c r="X37">
        <f xml:space="preserve"> Z37 + AA37 + (AB37*G37) + (AC37*H37) + (AD37*I37) + (AE37*J37) + (AF37*(K37/100)) + (AG37*(L37/100))+ (AH37*(M37))</f>
        <v>19.712599999999998</v>
      </c>
      <c r="Y37" s="1">
        <f>X37-W37</f>
        <v>-3.7400000000001654E-2</v>
      </c>
      <c r="Z37">
        <f>U37</f>
        <v>0</v>
      </c>
      <c r="AA37">
        <f>V37</f>
        <v>0</v>
      </c>
      <c r="AB37">
        <f>N37</f>
        <v>1.2</v>
      </c>
      <c r="AC37">
        <f>O37</f>
        <v>0.5</v>
      </c>
      <c r="AD37">
        <f>P37</f>
        <v>0.8</v>
      </c>
      <c r="AE37">
        <f>Q37</f>
        <v>0.6</v>
      </c>
      <c r="AF37">
        <f>R37</f>
        <v>1</v>
      </c>
      <c r="AG37">
        <f>S37</f>
        <v>0.8</v>
      </c>
      <c r="AH37">
        <f t="shared" si="1"/>
        <v>3</v>
      </c>
    </row>
    <row r="38" spans="1:34" hidden="1" outlineLevel="1" x14ac:dyDescent="0.3">
      <c r="A38" s="9" t="s">
        <v>33</v>
      </c>
      <c r="B38" s="9" t="s">
        <v>38</v>
      </c>
      <c r="C38" s="9" t="s">
        <v>39</v>
      </c>
      <c r="D38" s="9" t="s">
        <v>22</v>
      </c>
      <c r="E38" s="9">
        <v>0</v>
      </c>
      <c r="F38" s="9">
        <v>0</v>
      </c>
      <c r="G38" s="9">
        <v>7.8</v>
      </c>
      <c r="H38" s="9">
        <v>4.01</v>
      </c>
      <c r="I38" s="9">
        <v>1</v>
      </c>
      <c r="J38" s="9">
        <v>6</v>
      </c>
      <c r="K38" s="9">
        <v>32.799999999999997</v>
      </c>
      <c r="L38" s="9">
        <v>40.6</v>
      </c>
      <c r="M38" s="9">
        <v>0.28599999999999998</v>
      </c>
      <c r="N38" s="9">
        <v>1.2</v>
      </c>
      <c r="O38" s="9">
        <v>0.5</v>
      </c>
      <c r="P38" s="9">
        <v>0.8</v>
      </c>
      <c r="Q38" s="9">
        <v>0.6</v>
      </c>
      <c r="R38" s="9">
        <v>1</v>
      </c>
      <c r="S38" s="9">
        <v>0.8</v>
      </c>
      <c r="T38" s="9">
        <v>3</v>
      </c>
      <c r="U38" s="9">
        <v>0</v>
      </c>
      <c r="V38" s="9">
        <v>0</v>
      </c>
      <c r="W38" s="9">
        <v>17.260000000000002</v>
      </c>
      <c r="X38">
        <f xml:space="preserve"> Z38 + AA38 + (AB38*G38) + (AC38*H38) + (AD38*I38) + (AE38*J38) + (AF38*(K38/100)) + (AG38*(L38/100))+ (AH38*(M38))</f>
        <v>17.2758</v>
      </c>
      <c r="Y38" s="1">
        <f>X38-W38</f>
        <v>1.5799999999998704E-2</v>
      </c>
      <c r="Z38">
        <f>U38</f>
        <v>0</v>
      </c>
      <c r="AA38">
        <f>V38</f>
        <v>0</v>
      </c>
      <c r="AB38">
        <f>N38</f>
        <v>1.2</v>
      </c>
      <c r="AC38">
        <f>O38</f>
        <v>0.5</v>
      </c>
      <c r="AD38">
        <f>P38</f>
        <v>0.8</v>
      </c>
      <c r="AE38">
        <f>Q38</f>
        <v>0.6</v>
      </c>
      <c r="AF38">
        <f>R38</f>
        <v>1</v>
      </c>
      <c r="AG38">
        <f>S38</f>
        <v>0.8</v>
      </c>
      <c r="AH38">
        <f t="shared" si="1"/>
        <v>3</v>
      </c>
    </row>
    <row r="39" spans="1:34" hidden="1" outlineLevel="1" x14ac:dyDescent="0.3">
      <c r="A39" s="9" t="s">
        <v>533</v>
      </c>
      <c r="B39" s="9" t="s">
        <v>589</v>
      </c>
      <c r="C39" s="9" t="s">
        <v>590</v>
      </c>
      <c r="D39" s="9" t="s">
        <v>22</v>
      </c>
      <c r="E39" s="9">
        <v>0</v>
      </c>
      <c r="F39" s="9">
        <v>0</v>
      </c>
      <c r="G39" s="9">
        <v>9.3000000000000007</v>
      </c>
      <c r="H39" s="9">
        <v>0</v>
      </c>
      <c r="I39" s="9">
        <v>1</v>
      </c>
      <c r="J39" s="9">
        <v>4</v>
      </c>
      <c r="K39" s="9">
        <v>44.3</v>
      </c>
      <c r="L39" s="9">
        <v>45.2</v>
      </c>
      <c r="M39" s="9">
        <v>0.33300000000000002</v>
      </c>
      <c r="N39" s="9">
        <v>1.2</v>
      </c>
      <c r="O39" s="9">
        <v>0.5</v>
      </c>
      <c r="P39" s="9">
        <v>0.8</v>
      </c>
      <c r="Q39" s="9">
        <v>0.6</v>
      </c>
      <c r="R39" s="9">
        <v>1</v>
      </c>
      <c r="S39" s="9">
        <v>0.8</v>
      </c>
      <c r="T39" s="9">
        <v>3</v>
      </c>
      <c r="U39" s="9">
        <v>0</v>
      </c>
      <c r="V39" s="9">
        <v>0</v>
      </c>
      <c r="W39" s="10">
        <v>16.170000000000002</v>
      </c>
      <c r="X39" s="5">
        <f xml:space="preserve"> Z39 + AA39 + (AB39*G39) + (AC39*H39) + (AD39*I39) + (AE39*J39) + (AF39*(K39/100)) + (AG39*(L39/100))+ (AH39*(M39))</f>
        <v>16.163599999999999</v>
      </c>
      <c r="Y39" s="1">
        <f>X39-W39</f>
        <v>-6.4000000000028479E-3</v>
      </c>
      <c r="Z39">
        <f>U39</f>
        <v>0</v>
      </c>
      <c r="AA39">
        <f>V39</f>
        <v>0</v>
      </c>
      <c r="AB39">
        <f>N39</f>
        <v>1.2</v>
      </c>
      <c r="AC39">
        <f>O39</f>
        <v>0.5</v>
      </c>
      <c r="AD39">
        <f>P39</f>
        <v>0.8</v>
      </c>
      <c r="AE39">
        <f>Q39</f>
        <v>0.6</v>
      </c>
      <c r="AF39">
        <f>R39</f>
        <v>1</v>
      </c>
      <c r="AG39">
        <f>S39</f>
        <v>0.8</v>
      </c>
      <c r="AH39">
        <f t="shared" si="1"/>
        <v>3</v>
      </c>
    </row>
    <row r="40" spans="1:34" hidden="1" outlineLevel="1" x14ac:dyDescent="0.3">
      <c r="A40" s="9" t="s">
        <v>533</v>
      </c>
      <c r="B40" s="9" t="s">
        <v>561</v>
      </c>
      <c r="C40" s="9" t="s">
        <v>562</v>
      </c>
      <c r="D40" s="9" t="s">
        <v>22</v>
      </c>
      <c r="E40" s="9">
        <v>0</v>
      </c>
      <c r="F40" s="9">
        <v>0</v>
      </c>
      <c r="G40" s="9">
        <v>9.3000000000000007</v>
      </c>
      <c r="H40" s="9">
        <v>0</v>
      </c>
      <c r="I40" s="9">
        <v>1</v>
      </c>
      <c r="J40" s="9">
        <v>2</v>
      </c>
      <c r="K40" s="9">
        <v>44.3</v>
      </c>
      <c r="L40" s="9">
        <v>47.1</v>
      </c>
      <c r="M40" s="9">
        <v>0.66700000000000004</v>
      </c>
      <c r="N40" s="9">
        <v>1.2</v>
      </c>
      <c r="O40" s="9">
        <v>0.5</v>
      </c>
      <c r="P40" s="9">
        <v>0.8</v>
      </c>
      <c r="Q40" s="9">
        <v>0.6</v>
      </c>
      <c r="R40" s="9">
        <v>1</v>
      </c>
      <c r="S40" s="9">
        <v>0.8</v>
      </c>
      <c r="T40" s="9">
        <v>3</v>
      </c>
      <c r="U40" s="9">
        <v>0</v>
      </c>
      <c r="V40" s="9">
        <v>0</v>
      </c>
      <c r="W40" s="9">
        <v>15.98</v>
      </c>
      <c r="X40">
        <f xml:space="preserve"> Z40 + AA40 + (AB40*G40) + (AC40*H40) + (AD40*I40) + (AE40*J40) + (AF40*(K40/100)) + (AG40*(L40/100))+ (AH40*(M40))</f>
        <v>15.980799999999999</v>
      </c>
      <c r="Y40" s="1">
        <f>X40-W40</f>
        <v>7.9999999999813554E-4</v>
      </c>
      <c r="Z40">
        <f>U40</f>
        <v>0</v>
      </c>
      <c r="AA40">
        <f>V40</f>
        <v>0</v>
      </c>
      <c r="AB40">
        <f>N40</f>
        <v>1.2</v>
      </c>
      <c r="AC40">
        <f>O40</f>
        <v>0.5</v>
      </c>
      <c r="AD40">
        <f>P40</f>
        <v>0.8</v>
      </c>
      <c r="AE40">
        <f>Q40</f>
        <v>0.6</v>
      </c>
      <c r="AF40">
        <f>R40</f>
        <v>1</v>
      </c>
      <c r="AG40">
        <f>S40</f>
        <v>0.8</v>
      </c>
      <c r="AH40">
        <f t="shared" si="1"/>
        <v>3</v>
      </c>
    </row>
    <row r="41" spans="1:34" hidden="1" outlineLevel="1" x14ac:dyDescent="0.3">
      <c r="A41" s="9" t="s">
        <v>533</v>
      </c>
      <c r="B41" s="9" t="s">
        <v>547</v>
      </c>
      <c r="C41" s="9" t="s">
        <v>548</v>
      </c>
      <c r="D41" s="9" t="s">
        <v>22</v>
      </c>
      <c r="E41" s="9">
        <v>0</v>
      </c>
      <c r="F41" s="9">
        <v>0</v>
      </c>
      <c r="G41" s="9">
        <v>9.3000000000000007</v>
      </c>
      <c r="H41" s="9">
        <v>0</v>
      </c>
      <c r="I41" s="9">
        <v>1</v>
      </c>
      <c r="J41" s="9">
        <v>2</v>
      </c>
      <c r="K41" s="9">
        <v>44.3</v>
      </c>
      <c r="L41" s="9">
        <v>41.9</v>
      </c>
      <c r="M41" s="9">
        <v>0.66700000000000004</v>
      </c>
      <c r="N41" s="9">
        <v>1.2</v>
      </c>
      <c r="O41" s="9">
        <v>0.5</v>
      </c>
      <c r="P41" s="9">
        <v>0.8</v>
      </c>
      <c r="Q41" s="9">
        <v>0.6</v>
      </c>
      <c r="R41" s="9">
        <v>1</v>
      </c>
      <c r="S41" s="9">
        <v>0.8</v>
      </c>
      <c r="T41" s="9">
        <v>3</v>
      </c>
      <c r="U41" s="9">
        <v>0</v>
      </c>
      <c r="V41" s="9">
        <v>0</v>
      </c>
      <c r="W41" s="9">
        <v>15.94</v>
      </c>
      <c r="X41">
        <f xml:space="preserve"> Z41 + AA41 + (AB41*G41) + (AC41*H41) + (AD41*I41) + (AE41*J41) + (AF41*(K41/100)) + (AG41*(L41/100))+ (AH41*(M41))</f>
        <v>15.9392</v>
      </c>
      <c r="Y41" s="1">
        <f>X41-W41</f>
        <v>-7.9999999999991189E-4</v>
      </c>
      <c r="Z41">
        <f>U41</f>
        <v>0</v>
      </c>
      <c r="AA41">
        <f>V41</f>
        <v>0</v>
      </c>
      <c r="AB41">
        <f>N41</f>
        <v>1.2</v>
      </c>
      <c r="AC41">
        <f>O41</f>
        <v>0.5</v>
      </c>
      <c r="AD41">
        <f>P41</f>
        <v>0.8</v>
      </c>
      <c r="AE41">
        <f>Q41</f>
        <v>0.6</v>
      </c>
      <c r="AF41">
        <f>R41</f>
        <v>1</v>
      </c>
      <c r="AG41">
        <f>S41</f>
        <v>0.8</v>
      </c>
      <c r="AH41">
        <f t="shared" si="1"/>
        <v>3</v>
      </c>
    </row>
    <row r="42" spans="1:34" hidden="1" outlineLevel="1" x14ac:dyDescent="0.3">
      <c r="A42" s="9" t="s">
        <v>54</v>
      </c>
      <c r="B42" s="9" t="s">
        <v>62</v>
      </c>
      <c r="C42" s="9" t="s">
        <v>63</v>
      </c>
      <c r="D42" s="9" t="s">
        <v>22</v>
      </c>
      <c r="E42" s="9">
        <v>0</v>
      </c>
      <c r="F42" s="9">
        <v>0</v>
      </c>
      <c r="G42" s="9">
        <v>5.4</v>
      </c>
      <c r="H42" s="9">
        <v>2.2999999999999998</v>
      </c>
      <c r="I42" s="9">
        <v>1</v>
      </c>
      <c r="J42" s="9">
        <v>6</v>
      </c>
      <c r="K42" s="9">
        <v>43</v>
      </c>
      <c r="L42" s="9">
        <v>38.299999999999997</v>
      </c>
      <c r="M42" s="9">
        <v>1</v>
      </c>
      <c r="N42" s="9">
        <v>1.2</v>
      </c>
      <c r="O42" s="9">
        <v>0.5</v>
      </c>
      <c r="P42" s="9">
        <v>0.8</v>
      </c>
      <c r="Q42" s="9">
        <v>0.6</v>
      </c>
      <c r="R42" s="9">
        <v>1</v>
      </c>
      <c r="S42" s="9">
        <v>0.8</v>
      </c>
      <c r="T42" s="9">
        <v>3</v>
      </c>
      <c r="U42" s="9">
        <v>0</v>
      </c>
      <c r="V42" s="9">
        <v>0</v>
      </c>
      <c r="W42" s="9">
        <v>15.72</v>
      </c>
      <c r="X42">
        <f xml:space="preserve"> Z42 + AA42 + (AB42*G42) + (AC42*H42) + (AD42*I42) + (AE42*J42) + (AF42*(K42/100)) + (AG42*(L42/100))+ (AH42*(M42))</f>
        <v>15.766400000000001</v>
      </c>
      <c r="Y42" s="1">
        <f>X42-W42</f>
        <v>4.6400000000000219E-2</v>
      </c>
      <c r="Z42">
        <f>U42</f>
        <v>0</v>
      </c>
      <c r="AA42">
        <f>V42</f>
        <v>0</v>
      </c>
      <c r="AB42">
        <f>N42</f>
        <v>1.2</v>
      </c>
      <c r="AC42">
        <f>O42</f>
        <v>0.5</v>
      </c>
      <c r="AD42">
        <f>P42</f>
        <v>0.8</v>
      </c>
      <c r="AE42">
        <f>Q42</f>
        <v>0.6</v>
      </c>
      <c r="AF42">
        <f>R42</f>
        <v>1</v>
      </c>
      <c r="AG42">
        <f>S42</f>
        <v>0.8</v>
      </c>
      <c r="AH42">
        <f t="shared" si="1"/>
        <v>3</v>
      </c>
    </row>
    <row r="43" spans="1:34" hidden="1" outlineLevel="1" x14ac:dyDescent="0.3">
      <c r="A43" s="9" t="s">
        <v>533</v>
      </c>
      <c r="B43" s="9" t="s">
        <v>601</v>
      </c>
      <c r="C43" s="9" t="s">
        <v>602</v>
      </c>
      <c r="D43" s="9" t="s">
        <v>22</v>
      </c>
      <c r="E43" s="9">
        <v>0</v>
      </c>
      <c r="F43" s="9">
        <v>0</v>
      </c>
      <c r="G43" s="9">
        <v>9.3000000000000007</v>
      </c>
      <c r="H43" s="9">
        <v>0</v>
      </c>
      <c r="I43" s="9">
        <v>1</v>
      </c>
      <c r="J43" s="9">
        <v>2</v>
      </c>
      <c r="K43" s="9">
        <v>44.3</v>
      </c>
      <c r="L43" s="9">
        <v>50.3</v>
      </c>
      <c r="M43" s="9">
        <v>0.5</v>
      </c>
      <c r="N43" s="9">
        <v>1.2</v>
      </c>
      <c r="O43" s="9">
        <v>0.5</v>
      </c>
      <c r="P43" s="9">
        <v>0.8</v>
      </c>
      <c r="Q43" s="9">
        <v>0.6</v>
      </c>
      <c r="R43" s="9">
        <v>1</v>
      </c>
      <c r="S43" s="9">
        <v>0.8</v>
      </c>
      <c r="T43" s="9">
        <v>3</v>
      </c>
      <c r="U43" s="9">
        <v>0</v>
      </c>
      <c r="V43" s="9">
        <v>0</v>
      </c>
      <c r="W43" s="9">
        <v>15.51</v>
      </c>
      <c r="X43">
        <f xml:space="preserve"> Z43 + AA43 + (AB43*G43) + (AC43*H43) + (AD43*I43) + (AE43*J43) + (AF43*(K43/100)) + (AG43*(L43/100))+ (AH43*(M43))</f>
        <v>15.5054</v>
      </c>
      <c r="Y43" s="1">
        <f>X43-W43</f>
        <v>-4.5999999999999375E-3</v>
      </c>
      <c r="Z43">
        <f>U43</f>
        <v>0</v>
      </c>
      <c r="AA43">
        <f>V43</f>
        <v>0</v>
      </c>
      <c r="AB43">
        <f>N43</f>
        <v>1.2</v>
      </c>
      <c r="AC43">
        <f>O43</f>
        <v>0.5</v>
      </c>
      <c r="AD43">
        <f>P43</f>
        <v>0.8</v>
      </c>
      <c r="AE43">
        <f>Q43</f>
        <v>0.6</v>
      </c>
      <c r="AF43">
        <f>R43</f>
        <v>1</v>
      </c>
      <c r="AG43">
        <f>S43</f>
        <v>0.8</v>
      </c>
      <c r="AH43">
        <f t="shared" si="1"/>
        <v>3</v>
      </c>
    </row>
    <row r="44" spans="1:34" hidden="1" outlineLevel="1" x14ac:dyDescent="0.3">
      <c r="A44" s="9" t="s">
        <v>533</v>
      </c>
      <c r="B44" s="9" t="s">
        <v>573</v>
      </c>
      <c r="C44" s="9" t="s">
        <v>574</v>
      </c>
      <c r="D44" s="9" t="s">
        <v>22</v>
      </c>
      <c r="E44" s="9">
        <v>0</v>
      </c>
      <c r="F44" s="9">
        <v>0</v>
      </c>
      <c r="G44" s="9">
        <v>9.3000000000000007</v>
      </c>
      <c r="H44" s="9">
        <v>0</v>
      </c>
      <c r="I44" s="9">
        <v>1</v>
      </c>
      <c r="J44" s="9">
        <v>2</v>
      </c>
      <c r="K44" s="9">
        <v>43.6</v>
      </c>
      <c r="L44" s="9">
        <v>40.799999999999997</v>
      </c>
      <c r="M44" s="9">
        <v>0.5</v>
      </c>
      <c r="N44" s="9">
        <v>1.2</v>
      </c>
      <c r="O44" s="9">
        <v>0.5</v>
      </c>
      <c r="P44" s="9">
        <v>0.8</v>
      </c>
      <c r="Q44" s="9">
        <v>0.6</v>
      </c>
      <c r="R44" s="9">
        <v>1</v>
      </c>
      <c r="S44" s="9">
        <v>0.8</v>
      </c>
      <c r="T44" s="9">
        <v>3</v>
      </c>
      <c r="U44" s="9">
        <v>0</v>
      </c>
      <c r="V44" s="9">
        <v>0</v>
      </c>
      <c r="W44" s="9">
        <v>15.43</v>
      </c>
      <c r="X44">
        <f xml:space="preserve"> Z44 + AA44 + (AB44*G44) + (AC44*H44) + (AD44*I44) + (AE44*J44) + (AF44*(K44/100)) + (AG44*(L44/100))+ (AH44*(M44))</f>
        <v>15.4224</v>
      </c>
      <c r="Y44" s="1">
        <f>X44-W44</f>
        <v>-7.6000000000000512E-3</v>
      </c>
      <c r="Z44">
        <f>U44</f>
        <v>0</v>
      </c>
      <c r="AA44">
        <f>V44</f>
        <v>0</v>
      </c>
      <c r="AB44">
        <f>N44</f>
        <v>1.2</v>
      </c>
      <c r="AC44">
        <f>O44</f>
        <v>0.5</v>
      </c>
      <c r="AD44">
        <f>P44</f>
        <v>0.8</v>
      </c>
      <c r="AE44">
        <f>Q44</f>
        <v>0.6</v>
      </c>
      <c r="AF44">
        <f>R44</f>
        <v>1</v>
      </c>
      <c r="AG44">
        <f>S44</f>
        <v>0.8</v>
      </c>
      <c r="AH44">
        <f t="shared" si="1"/>
        <v>3</v>
      </c>
    </row>
    <row r="45" spans="1:34" hidden="1" outlineLevel="1" x14ac:dyDescent="0.3">
      <c r="A45" s="9" t="s">
        <v>221</v>
      </c>
      <c r="B45" s="9" t="s">
        <v>233</v>
      </c>
      <c r="C45" s="9" t="s">
        <v>234</v>
      </c>
      <c r="D45" s="9" t="s">
        <v>22</v>
      </c>
      <c r="E45" s="9">
        <v>0</v>
      </c>
      <c r="F45" s="9">
        <v>0</v>
      </c>
      <c r="G45" s="9">
        <v>2.8</v>
      </c>
      <c r="H45" s="9">
        <v>2.56</v>
      </c>
      <c r="I45" s="9">
        <v>1</v>
      </c>
      <c r="J45" s="9">
        <v>14</v>
      </c>
      <c r="K45" s="9">
        <v>27.8</v>
      </c>
      <c r="L45" s="9">
        <v>53</v>
      </c>
      <c r="M45" s="9">
        <v>0.28599999999999998</v>
      </c>
      <c r="N45" s="9">
        <v>1.2</v>
      </c>
      <c r="O45" s="9">
        <v>0.5</v>
      </c>
      <c r="P45" s="9">
        <v>0.8</v>
      </c>
      <c r="Q45" s="9">
        <v>0.6</v>
      </c>
      <c r="R45" s="9">
        <v>1</v>
      </c>
      <c r="S45" s="9">
        <v>0.8</v>
      </c>
      <c r="T45" s="9">
        <v>3</v>
      </c>
      <c r="U45" s="9">
        <v>0</v>
      </c>
      <c r="V45" s="9">
        <v>0</v>
      </c>
      <c r="W45" s="10">
        <v>15.35</v>
      </c>
      <c r="X45" s="5">
        <f xml:space="preserve"> Z45 + AA45 + (AB45*G45) + (AC45*H45) + (AD45*I45) + (AE45*J45) + (AF45*(K45/100)) + (AG45*(L45/100))+ (AH45*(M45))</f>
        <v>15.4</v>
      </c>
      <c r="Y45" s="1">
        <f>X45-W45</f>
        <v>5.0000000000000711E-2</v>
      </c>
      <c r="Z45">
        <f>U45</f>
        <v>0</v>
      </c>
      <c r="AA45">
        <f>V45</f>
        <v>0</v>
      </c>
      <c r="AB45">
        <f>N45</f>
        <v>1.2</v>
      </c>
      <c r="AC45">
        <f>O45</f>
        <v>0.5</v>
      </c>
      <c r="AD45">
        <f>P45</f>
        <v>0.8</v>
      </c>
      <c r="AE45">
        <f>Q45</f>
        <v>0.6</v>
      </c>
      <c r="AF45">
        <f>R45</f>
        <v>1</v>
      </c>
      <c r="AG45">
        <f>S45</f>
        <v>0.8</v>
      </c>
      <c r="AH45">
        <f t="shared" si="1"/>
        <v>3</v>
      </c>
    </row>
    <row r="46" spans="1:34" hidden="1" outlineLevel="1" x14ac:dyDescent="0.3">
      <c r="A46" s="9" t="s">
        <v>533</v>
      </c>
      <c r="B46" s="9" t="s">
        <v>539</v>
      </c>
      <c r="C46" s="9" t="s">
        <v>540</v>
      </c>
      <c r="D46" s="9" t="s">
        <v>22</v>
      </c>
      <c r="E46" s="9">
        <v>0</v>
      </c>
      <c r="F46" s="9">
        <v>0</v>
      </c>
      <c r="G46" s="9">
        <v>7</v>
      </c>
      <c r="H46" s="9">
        <v>2.48</v>
      </c>
      <c r="I46" s="9">
        <v>1</v>
      </c>
      <c r="J46" s="9">
        <v>6</v>
      </c>
      <c r="K46" s="9">
        <v>44.6</v>
      </c>
      <c r="L46" s="9">
        <v>38.299999999999997</v>
      </c>
      <c r="M46" s="9">
        <v>0.182</v>
      </c>
      <c r="N46" s="9">
        <v>1.2</v>
      </c>
      <c r="O46" s="9">
        <v>0.5</v>
      </c>
      <c r="P46" s="9">
        <v>0.8</v>
      </c>
      <c r="Q46" s="9">
        <v>0.6</v>
      </c>
      <c r="R46" s="9">
        <v>1</v>
      </c>
      <c r="S46" s="9">
        <v>0.8</v>
      </c>
      <c r="T46" s="9">
        <v>3</v>
      </c>
      <c r="U46" s="9">
        <v>0</v>
      </c>
      <c r="V46" s="9">
        <v>0</v>
      </c>
      <c r="W46" s="9">
        <v>15.31</v>
      </c>
      <c r="X46">
        <f xml:space="preserve"> Z46 + AA46 + (AB46*G46) + (AC46*H46) + (AD46*I46) + (AE46*J46) + (AF46*(K46/100)) + (AG46*(L46/100))+ (AH46*(M46))</f>
        <v>15.3384</v>
      </c>
      <c r="Y46" s="1">
        <f>X46-W46</f>
        <v>2.8399999999999537E-2</v>
      </c>
      <c r="Z46">
        <f>U46</f>
        <v>0</v>
      </c>
      <c r="AA46">
        <f>V46</f>
        <v>0</v>
      </c>
      <c r="AB46">
        <f>N46</f>
        <v>1.2</v>
      </c>
      <c r="AC46">
        <f>O46</f>
        <v>0.5</v>
      </c>
      <c r="AD46">
        <f>P46</f>
        <v>0.8</v>
      </c>
      <c r="AE46">
        <f>Q46</f>
        <v>0.6</v>
      </c>
      <c r="AF46">
        <f>R46</f>
        <v>1</v>
      </c>
      <c r="AG46">
        <f>S46</f>
        <v>0.8</v>
      </c>
      <c r="AH46">
        <f t="shared" si="1"/>
        <v>3</v>
      </c>
    </row>
    <row r="47" spans="1:34" hidden="1" outlineLevel="1" x14ac:dyDescent="0.3">
      <c r="A47" s="9" t="s">
        <v>218</v>
      </c>
      <c r="B47" s="9" t="s">
        <v>219</v>
      </c>
      <c r="C47" s="9" t="s">
        <v>220</v>
      </c>
      <c r="D47" s="9" t="s">
        <v>22</v>
      </c>
      <c r="E47" s="9">
        <v>0</v>
      </c>
      <c r="F47" s="9">
        <v>0</v>
      </c>
      <c r="G47" s="9">
        <v>9.3000000000000007</v>
      </c>
      <c r="H47" s="9">
        <v>0</v>
      </c>
      <c r="I47" s="9">
        <v>1</v>
      </c>
      <c r="J47" s="9">
        <v>0</v>
      </c>
      <c r="K47" s="9">
        <v>27.4</v>
      </c>
      <c r="L47" s="9">
        <v>0</v>
      </c>
      <c r="M47" s="9">
        <v>1</v>
      </c>
      <c r="N47" s="9">
        <v>1.2</v>
      </c>
      <c r="O47" s="9">
        <v>0.5</v>
      </c>
      <c r="P47" s="9">
        <v>0.8</v>
      </c>
      <c r="Q47" s="9">
        <v>0.6</v>
      </c>
      <c r="R47" s="9">
        <v>1</v>
      </c>
      <c r="S47" s="9">
        <v>0.8</v>
      </c>
      <c r="T47" s="9">
        <v>3</v>
      </c>
      <c r="U47" s="9">
        <v>0</v>
      </c>
      <c r="V47" s="9">
        <v>0</v>
      </c>
      <c r="W47" s="9">
        <v>15.24</v>
      </c>
      <c r="X47">
        <f xml:space="preserve"> Z47 + AA47 + (AB47*G47) + (AC47*H47) + (AD47*I47) + (AE47*J47) + (AF47*(K47/100)) + (AG47*(L47/100))+ (AH47*(M47))</f>
        <v>15.234</v>
      </c>
      <c r="Y47" s="1">
        <f>X47-W47</f>
        <v>-6.0000000000002274E-3</v>
      </c>
      <c r="Z47">
        <f>U47</f>
        <v>0</v>
      </c>
      <c r="AA47">
        <f>V47</f>
        <v>0</v>
      </c>
      <c r="AB47">
        <f>N47</f>
        <v>1.2</v>
      </c>
      <c r="AC47">
        <f>O47</f>
        <v>0.5</v>
      </c>
      <c r="AD47">
        <f>P47</f>
        <v>0.8</v>
      </c>
      <c r="AE47">
        <f>Q47</f>
        <v>0.6</v>
      </c>
      <c r="AF47">
        <f>R47</f>
        <v>1</v>
      </c>
      <c r="AG47">
        <f>S47</f>
        <v>0.8</v>
      </c>
      <c r="AH47">
        <f t="shared" si="1"/>
        <v>3</v>
      </c>
    </row>
    <row r="48" spans="1:34" hidden="1" outlineLevel="1" x14ac:dyDescent="0.3">
      <c r="A48" s="9" t="s">
        <v>54</v>
      </c>
      <c r="B48" s="9" t="s">
        <v>120</v>
      </c>
      <c r="C48" s="9" t="s">
        <v>121</v>
      </c>
      <c r="D48" s="9" t="s">
        <v>22</v>
      </c>
      <c r="E48" s="9">
        <v>0</v>
      </c>
      <c r="F48" s="9">
        <v>0</v>
      </c>
      <c r="G48" s="9">
        <v>8.9</v>
      </c>
      <c r="H48" s="9">
        <v>0</v>
      </c>
      <c r="I48" s="9">
        <v>1</v>
      </c>
      <c r="J48" s="9">
        <v>2</v>
      </c>
      <c r="K48" s="9">
        <v>42.5</v>
      </c>
      <c r="L48" s="9">
        <v>46.5</v>
      </c>
      <c r="M48" s="9">
        <v>0.5</v>
      </c>
      <c r="N48" s="9">
        <v>1.2</v>
      </c>
      <c r="O48" s="9">
        <v>0.5</v>
      </c>
      <c r="P48" s="9">
        <v>0.8</v>
      </c>
      <c r="Q48" s="9">
        <v>0.6</v>
      </c>
      <c r="R48" s="9">
        <v>1</v>
      </c>
      <c r="S48" s="9">
        <v>0.8</v>
      </c>
      <c r="T48" s="9">
        <v>3</v>
      </c>
      <c r="U48" s="9">
        <v>0</v>
      </c>
      <c r="V48" s="9">
        <v>0</v>
      </c>
      <c r="W48" s="10">
        <v>15.01</v>
      </c>
      <c r="X48" s="8">
        <f xml:space="preserve"> Z48 + AA48 + (AB48*G48) + (AC48*H48) + (AD48*I48) + (AE48*J48) + (AF48*(K48/100)) + (AG48*(L48/100))+ (AH48*(M48))</f>
        <v>14.977</v>
      </c>
      <c r="Y48" s="7">
        <f>X48-W48</f>
        <v>-3.2999999999999474E-2</v>
      </c>
      <c r="Z48" s="6">
        <f>U48</f>
        <v>0</v>
      </c>
      <c r="AA48" s="6">
        <f>V48</f>
        <v>0</v>
      </c>
      <c r="AB48" s="6">
        <f>N48</f>
        <v>1.2</v>
      </c>
      <c r="AC48" s="6">
        <v>4</v>
      </c>
      <c r="AD48" s="6">
        <f>P48</f>
        <v>0.8</v>
      </c>
      <c r="AE48">
        <f>Q48</f>
        <v>0.6</v>
      </c>
      <c r="AF48" s="6">
        <f>R48</f>
        <v>1</v>
      </c>
      <c r="AG48" s="6">
        <f>S48</f>
        <v>0.8</v>
      </c>
      <c r="AH48">
        <f t="shared" si="1"/>
        <v>3</v>
      </c>
    </row>
    <row r="49" spans="1:34" hidden="1" outlineLevel="1" x14ac:dyDescent="0.3">
      <c r="A49" s="9" t="s">
        <v>533</v>
      </c>
      <c r="B49" s="9" t="s">
        <v>535</v>
      </c>
      <c r="C49" s="9" t="s">
        <v>536</v>
      </c>
      <c r="D49" s="9" t="s">
        <v>22</v>
      </c>
      <c r="E49" s="9">
        <v>0</v>
      </c>
      <c r="F49" s="9">
        <v>0</v>
      </c>
      <c r="G49" s="9">
        <v>7</v>
      </c>
      <c r="H49" s="9">
        <v>3.81</v>
      </c>
      <c r="I49" s="9">
        <v>1</v>
      </c>
      <c r="J49" s="9">
        <v>4</v>
      </c>
      <c r="K49" s="9">
        <v>44.3</v>
      </c>
      <c r="L49" s="9">
        <v>46</v>
      </c>
      <c r="M49" s="9">
        <v>0.13300000000000001</v>
      </c>
      <c r="N49" s="9">
        <v>1.2</v>
      </c>
      <c r="O49" s="9">
        <v>0.5</v>
      </c>
      <c r="P49" s="9">
        <v>0.8</v>
      </c>
      <c r="Q49" s="9">
        <v>0.6</v>
      </c>
      <c r="R49" s="9">
        <v>1</v>
      </c>
      <c r="S49" s="9">
        <v>0.8</v>
      </c>
      <c r="T49" s="9">
        <v>3</v>
      </c>
      <c r="U49" s="9">
        <v>0</v>
      </c>
      <c r="V49" s="9">
        <v>0</v>
      </c>
      <c r="W49" s="9">
        <v>14.69</v>
      </c>
      <c r="X49">
        <f xml:space="preserve"> Z49 + AA49 + (AB49*G49) + (AC49*H49) + (AD49*I49) + (AE49*J49) + (AF49*(K49/100)) + (AG49*(L49/100))+ (AH49*(M49))</f>
        <v>14.715</v>
      </c>
      <c r="Y49" s="1">
        <f>X49-W49</f>
        <v>2.5000000000000355E-2</v>
      </c>
      <c r="Z49">
        <f>U49</f>
        <v>0</v>
      </c>
      <c r="AA49">
        <f>V49</f>
        <v>0</v>
      </c>
      <c r="AB49">
        <f>N49</f>
        <v>1.2</v>
      </c>
      <c r="AC49">
        <f>O49</f>
        <v>0.5</v>
      </c>
      <c r="AD49">
        <f>P49</f>
        <v>0.8</v>
      </c>
      <c r="AE49">
        <f>Q49</f>
        <v>0.6</v>
      </c>
      <c r="AF49">
        <f>R49</f>
        <v>1</v>
      </c>
      <c r="AG49">
        <f>S49</f>
        <v>0.8</v>
      </c>
      <c r="AH49">
        <f t="shared" si="1"/>
        <v>3</v>
      </c>
    </row>
    <row r="50" spans="1:34" hidden="1" outlineLevel="1" x14ac:dyDescent="0.3">
      <c r="A50" s="9" t="s">
        <v>533</v>
      </c>
      <c r="B50" s="9" t="s">
        <v>555</v>
      </c>
      <c r="C50" s="9" t="s">
        <v>556</v>
      </c>
      <c r="D50" s="9" t="s">
        <v>22</v>
      </c>
      <c r="E50" s="9">
        <v>0</v>
      </c>
      <c r="F50" s="9">
        <v>0</v>
      </c>
      <c r="G50" s="9">
        <v>2.2999999999999998</v>
      </c>
      <c r="H50" s="9">
        <v>2.4</v>
      </c>
      <c r="I50" s="9">
        <v>3</v>
      </c>
      <c r="J50" s="9">
        <v>11</v>
      </c>
      <c r="K50" s="9">
        <v>47.3</v>
      </c>
      <c r="L50" s="9">
        <v>36.9</v>
      </c>
      <c r="M50" s="9">
        <v>0.08</v>
      </c>
      <c r="N50" s="9">
        <v>1.2</v>
      </c>
      <c r="O50" s="9">
        <v>0.5</v>
      </c>
      <c r="P50" s="9">
        <v>0.8</v>
      </c>
      <c r="Q50" s="9">
        <v>0.6</v>
      </c>
      <c r="R50" s="9">
        <v>1</v>
      </c>
      <c r="S50" s="9">
        <v>0.8</v>
      </c>
      <c r="T50" s="9">
        <v>3</v>
      </c>
      <c r="U50" s="9">
        <v>0</v>
      </c>
      <c r="V50" s="9">
        <v>0</v>
      </c>
      <c r="W50" s="10">
        <v>14</v>
      </c>
      <c r="X50" s="5">
        <f xml:space="preserve"> Z50 + AA50 + (AB50*G50) + (AC50*H50) + (AD50*I50) + (AE50*J50) + (AF50*(K50/100)) + (AG50*(L50/100))+ (AH50*(M50))</f>
        <v>13.968200000000001</v>
      </c>
      <c r="Y50" s="1">
        <f>X50-W50</f>
        <v>-3.1799999999998718E-2</v>
      </c>
      <c r="Z50">
        <f>U50</f>
        <v>0</v>
      </c>
      <c r="AA50">
        <f>V50</f>
        <v>0</v>
      </c>
      <c r="AB50">
        <f>N50</f>
        <v>1.2</v>
      </c>
      <c r="AC50">
        <f>O50</f>
        <v>0.5</v>
      </c>
      <c r="AD50">
        <f>P50</f>
        <v>0.8</v>
      </c>
      <c r="AE50">
        <f>Q50</f>
        <v>0.6</v>
      </c>
      <c r="AF50">
        <f>R50</f>
        <v>1</v>
      </c>
      <c r="AG50">
        <f>S50</f>
        <v>0.8</v>
      </c>
      <c r="AH50">
        <f t="shared" si="1"/>
        <v>3</v>
      </c>
    </row>
    <row r="51" spans="1:34" outlineLevel="1" x14ac:dyDescent="0.3">
      <c r="A51" s="9" t="s">
        <v>398</v>
      </c>
      <c r="B51" s="9" t="s">
        <v>404</v>
      </c>
      <c r="C51" s="9" t="s">
        <v>405</v>
      </c>
      <c r="D51" s="9" t="s">
        <v>22</v>
      </c>
      <c r="E51" s="9">
        <v>0</v>
      </c>
      <c r="F51" s="9">
        <v>0</v>
      </c>
      <c r="G51" s="9">
        <v>3.1</v>
      </c>
      <c r="H51" s="9">
        <v>4.01</v>
      </c>
      <c r="I51" s="9">
        <v>2</v>
      </c>
      <c r="J51" s="9">
        <v>9</v>
      </c>
      <c r="K51" s="9">
        <v>17.899999999999999</v>
      </c>
      <c r="L51" s="9">
        <v>44.3</v>
      </c>
      <c r="M51" s="9">
        <v>0.182</v>
      </c>
      <c r="N51" s="9">
        <v>1.2</v>
      </c>
      <c r="O51" s="9">
        <v>0.5</v>
      </c>
      <c r="P51" s="9">
        <v>0.8</v>
      </c>
      <c r="Q51" s="9">
        <v>0.6</v>
      </c>
      <c r="R51" s="9">
        <v>1</v>
      </c>
      <c r="S51" s="9">
        <v>0.8</v>
      </c>
      <c r="T51" s="9">
        <v>3</v>
      </c>
      <c r="U51" s="9">
        <v>0</v>
      </c>
      <c r="V51" s="9">
        <v>0</v>
      </c>
      <c r="W51" s="10">
        <v>13.86</v>
      </c>
      <c r="X51" s="5">
        <f xml:space="preserve"> Z51 + AA51 + (AB51*G51) + (AC51*H51) + (AD51*I51) + (AE51*J51) + (AF51*(K51/100)) + (AG51*(L51/100))+ (AH51*(M51))</f>
        <v>13.804399999999998</v>
      </c>
      <c r="Y51" s="1">
        <f>X51-W51</f>
        <v>-5.560000000000187E-2</v>
      </c>
      <c r="Z51">
        <f>U51</f>
        <v>0</v>
      </c>
      <c r="AA51">
        <f>V51</f>
        <v>0</v>
      </c>
      <c r="AB51">
        <f>N51</f>
        <v>1.2</v>
      </c>
      <c r="AC51">
        <f>O51</f>
        <v>0.5</v>
      </c>
      <c r="AD51">
        <f>P51</f>
        <v>0.8</v>
      </c>
      <c r="AE51">
        <f>Q51</f>
        <v>0.6</v>
      </c>
      <c r="AF51">
        <f>R51</f>
        <v>1</v>
      </c>
      <c r="AG51">
        <f>S51</f>
        <v>0.8</v>
      </c>
      <c r="AH51">
        <f t="shared" ref="AH51" si="5">T51</f>
        <v>3</v>
      </c>
    </row>
    <row r="52" spans="1:34" hidden="1" outlineLevel="1" x14ac:dyDescent="0.3">
      <c r="A52" s="9" t="s">
        <v>533</v>
      </c>
      <c r="B52" s="9" t="s">
        <v>587</v>
      </c>
      <c r="C52" s="9" t="s">
        <v>588</v>
      </c>
      <c r="D52" s="9" t="s">
        <v>22</v>
      </c>
      <c r="E52" s="9">
        <v>0</v>
      </c>
      <c r="F52" s="9">
        <v>0</v>
      </c>
      <c r="G52" s="9">
        <v>7</v>
      </c>
      <c r="H52" s="9">
        <v>0</v>
      </c>
      <c r="I52" s="9">
        <v>1</v>
      </c>
      <c r="J52" s="9">
        <v>3</v>
      </c>
      <c r="K52" s="9">
        <v>43.6</v>
      </c>
      <c r="L52" s="9">
        <v>41.9</v>
      </c>
      <c r="M52" s="9">
        <v>0.66700000000000004</v>
      </c>
      <c r="N52" s="9">
        <v>1.2</v>
      </c>
      <c r="O52" s="9">
        <v>0.5</v>
      </c>
      <c r="P52" s="9">
        <v>0.8</v>
      </c>
      <c r="Q52" s="9">
        <v>0.6</v>
      </c>
      <c r="R52" s="9">
        <v>1</v>
      </c>
      <c r="S52" s="9">
        <v>0.8</v>
      </c>
      <c r="T52" s="9">
        <v>3</v>
      </c>
      <c r="U52" s="9">
        <v>0</v>
      </c>
      <c r="V52" s="9">
        <v>0</v>
      </c>
      <c r="W52" s="9">
        <v>13.74</v>
      </c>
      <c r="X52">
        <f xml:space="preserve"> Z52 + AA52 + (AB52*G52) + (AC52*H52) + (AD52*I52) + (AE52*J52) + (AF52*(K52/100)) + (AG52*(L52/100))+ (AH52*(M52))</f>
        <v>13.772200000000002</v>
      </c>
      <c r="Y52" s="1">
        <f>X52-W52</f>
        <v>3.2200000000001339E-2</v>
      </c>
      <c r="Z52">
        <f>U52</f>
        <v>0</v>
      </c>
      <c r="AA52">
        <f>V52</f>
        <v>0</v>
      </c>
      <c r="AB52">
        <f>N52</f>
        <v>1.2</v>
      </c>
      <c r="AC52">
        <f>O52</f>
        <v>0.5</v>
      </c>
      <c r="AD52">
        <f>P52</f>
        <v>0.8</v>
      </c>
      <c r="AE52">
        <f>Q52</f>
        <v>0.6</v>
      </c>
      <c r="AF52">
        <f>R52</f>
        <v>1</v>
      </c>
      <c r="AG52">
        <f>S52</f>
        <v>0.8</v>
      </c>
      <c r="AH52">
        <f t="shared" si="1"/>
        <v>3</v>
      </c>
    </row>
    <row r="53" spans="1:34" hidden="1" outlineLevel="1" x14ac:dyDescent="0.3">
      <c r="A53" s="9" t="s">
        <v>533</v>
      </c>
      <c r="B53" s="9" t="s">
        <v>541</v>
      </c>
      <c r="C53" s="9" t="s">
        <v>542</v>
      </c>
      <c r="D53" s="9" t="s">
        <v>22</v>
      </c>
      <c r="E53" s="9">
        <v>0</v>
      </c>
      <c r="F53" s="9">
        <v>0</v>
      </c>
      <c r="G53" s="9">
        <v>4.7</v>
      </c>
      <c r="H53" s="9">
        <v>3.53</v>
      </c>
      <c r="I53" s="9">
        <v>1</v>
      </c>
      <c r="J53" s="9">
        <v>7</v>
      </c>
      <c r="K53" s="9">
        <v>44.6</v>
      </c>
      <c r="L53" s="9">
        <v>34.1</v>
      </c>
      <c r="M53" s="9">
        <v>0.11799999999999999</v>
      </c>
      <c r="N53" s="9">
        <v>1.2</v>
      </c>
      <c r="O53" s="9">
        <v>0.5</v>
      </c>
      <c r="P53" s="9">
        <v>0.8</v>
      </c>
      <c r="Q53" s="9">
        <v>0.6</v>
      </c>
      <c r="R53" s="9">
        <v>1</v>
      </c>
      <c r="S53" s="9">
        <v>0.8</v>
      </c>
      <c r="T53" s="9">
        <v>3</v>
      </c>
      <c r="U53" s="9">
        <v>0</v>
      </c>
      <c r="V53" s="9">
        <v>0</v>
      </c>
      <c r="W53" s="9">
        <v>13.42</v>
      </c>
      <c r="X53">
        <f xml:space="preserve"> Z53 + AA53 + (AB53*G53) + (AC53*H53) + (AD53*I53) + (AE53*J53) + (AF53*(K53/100)) + (AG53*(L53/100))+ (AH53*(M53))</f>
        <v>14.067800000000002</v>
      </c>
      <c r="Y53" s="1">
        <f>X53-W53</f>
        <v>0.64780000000000193</v>
      </c>
      <c r="Z53">
        <f>U53</f>
        <v>0</v>
      </c>
      <c r="AA53">
        <f>V53</f>
        <v>0</v>
      </c>
      <c r="AB53">
        <f>N53</f>
        <v>1.2</v>
      </c>
      <c r="AC53">
        <f>O53</f>
        <v>0.5</v>
      </c>
      <c r="AD53">
        <f>P53</f>
        <v>0.8</v>
      </c>
      <c r="AE53">
        <f>Q53</f>
        <v>0.6</v>
      </c>
      <c r="AF53">
        <f>R53</f>
        <v>1</v>
      </c>
      <c r="AG53">
        <f>S53</f>
        <v>0.8</v>
      </c>
      <c r="AH53">
        <v>8</v>
      </c>
    </row>
    <row r="54" spans="1:34" s="2" customFormat="1" hidden="1" outlineLevel="1" x14ac:dyDescent="0.3">
      <c r="A54" s="9" t="s">
        <v>221</v>
      </c>
      <c r="B54" s="9" t="s">
        <v>222</v>
      </c>
      <c r="C54" s="9" t="s">
        <v>223</v>
      </c>
      <c r="D54" s="9" t="s">
        <v>22</v>
      </c>
      <c r="E54" s="9">
        <v>0</v>
      </c>
      <c r="F54" s="9">
        <v>0</v>
      </c>
      <c r="G54" s="9">
        <v>5.9</v>
      </c>
      <c r="H54" s="9">
        <v>3.22</v>
      </c>
      <c r="I54" s="9">
        <v>1</v>
      </c>
      <c r="J54" s="9">
        <v>5</v>
      </c>
      <c r="K54" s="9">
        <v>14.3</v>
      </c>
      <c r="L54" s="9">
        <v>37.1</v>
      </c>
      <c r="M54" s="9">
        <v>0.154</v>
      </c>
      <c r="N54" s="9">
        <v>1.2</v>
      </c>
      <c r="O54" s="9">
        <v>0.5</v>
      </c>
      <c r="P54" s="9">
        <v>0.8</v>
      </c>
      <c r="Q54" s="9">
        <v>0.6</v>
      </c>
      <c r="R54" s="9">
        <v>1</v>
      </c>
      <c r="S54" s="9">
        <v>0.8</v>
      </c>
      <c r="T54" s="9">
        <v>3</v>
      </c>
      <c r="U54" s="9">
        <v>0</v>
      </c>
      <c r="V54" s="9">
        <v>0</v>
      </c>
      <c r="W54" s="10">
        <v>13.4</v>
      </c>
      <c r="X54" s="5">
        <f xml:space="preserve"> Z54 + AA54 + (AB54*G54) + (AC54*H54) + (AD54*I54) + (AE54*J54) + (AF54*(K54/100)) + (AG54*(L54/100))+ (AH54*(M54))</f>
        <v>13.3918</v>
      </c>
      <c r="Y54" s="1">
        <f>X54-W54</f>
        <v>-8.2000000000004292E-3</v>
      </c>
      <c r="Z54">
        <f>U54</f>
        <v>0</v>
      </c>
      <c r="AA54">
        <f>V54</f>
        <v>0</v>
      </c>
      <c r="AB54">
        <f>N54</f>
        <v>1.2</v>
      </c>
      <c r="AC54">
        <f>O54</f>
        <v>0.5</v>
      </c>
      <c r="AD54">
        <f>P54</f>
        <v>0.8</v>
      </c>
      <c r="AE54">
        <f>Q54</f>
        <v>0.6</v>
      </c>
      <c r="AF54">
        <f>R54</f>
        <v>1</v>
      </c>
      <c r="AG54">
        <f>S54</f>
        <v>0.8</v>
      </c>
      <c r="AH54">
        <f t="shared" si="1"/>
        <v>3</v>
      </c>
    </row>
    <row r="55" spans="1:34" hidden="1" outlineLevel="1" x14ac:dyDescent="0.3">
      <c r="A55" s="9" t="s">
        <v>221</v>
      </c>
      <c r="B55" s="9" t="s">
        <v>396</v>
      </c>
      <c r="C55" s="9" t="s">
        <v>397</v>
      </c>
      <c r="D55" s="9" t="s">
        <v>22</v>
      </c>
      <c r="E55" s="9">
        <v>0</v>
      </c>
      <c r="F55" s="9">
        <v>0</v>
      </c>
      <c r="G55" s="9">
        <v>2.4</v>
      </c>
      <c r="H55" s="9">
        <v>3.26</v>
      </c>
      <c r="I55" s="9">
        <v>0</v>
      </c>
      <c r="J55" s="9">
        <v>9</v>
      </c>
      <c r="K55" s="9">
        <v>0</v>
      </c>
      <c r="L55" s="9">
        <v>50.5</v>
      </c>
      <c r="M55" s="9">
        <v>1</v>
      </c>
      <c r="N55" s="9">
        <v>1.2</v>
      </c>
      <c r="O55" s="9">
        <v>0.5</v>
      </c>
      <c r="P55" s="9">
        <v>0.8</v>
      </c>
      <c r="Q55" s="9">
        <v>0.6</v>
      </c>
      <c r="R55" s="9">
        <v>1</v>
      </c>
      <c r="S55" s="9">
        <v>0.8</v>
      </c>
      <c r="T55" s="9">
        <v>3</v>
      </c>
      <c r="U55" s="9">
        <v>0</v>
      </c>
      <c r="V55" s="9">
        <v>0</v>
      </c>
      <c r="W55" s="9">
        <v>13.27</v>
      </c>
      <c r="X55">
        <f xml:space="preserve"> Z55 + AA55 + (AB55*G55) + (AC55*H55) + (AD55*I55) + (AE55*J55) + (AF55*(K55/100)) + (AG55*(L55/100))+ (AH55*(M55))</f>
        <v>13.314</v>
      </c>
      <c r="Y55" s="1">
        <f>X55-W55</f>
        <v>4.4000000000000483E-2</v>
      </c>
      <c r="Z55">
        <f>U55</f>
        <v>0</v>
      </c>
      <c r="AA55">
        <f>V55</f>
        <v>0</v>
      </c>
      <c r="AB55">
        <f>N55</f>
        <v>1.2</v>
      </c>
      <c r="AC55">
        <f>O55</f>
        <v>0.5</v>
      </c>
      <c r="AD55">
        <f>P55</f>
        <v>0.8</v>
      </c>
      <c r="AE55">
        <f>Q55</f>
        <v>0.6</v>
      </c>
      <c r="AF55">
        <f>R55</f>
        <v>1</v>
      </c>
      <c r="AG55">
        <f>S55</f>
        <v>0.8</v>
      </c>
      <c r="AH55">
        <f t="shared" si="1"/>
        <v>3</v>
      </c>
    </row>
    <row r="56" spans="1:34" hidden="1" outlineLevel="1" x14ac:dyDescent="0.3">
      <c r="A56" s="9" t="s">
        <v>42</v>
      </c>
      <c r="B56" s="9" t="s">
        <v>45</v>
      </c>
      <c r="C56" s="9" t="s">
        <v>46</v>
      </c>
      <c r="D56" s="9" t="s">
        <v>22</v>
      </c>
      <c r="E56" s="9">
        <v>0</v>
      </c>
      <c r="F56" s="9">
        <v>0</v>
      </c>
      <c r="G56" s="9">
        <v>4.9000000000000004</v>
      </c>
      <c r="H56" s="9">
        <v>0</v>
      </c>
      <c r="I56" s="9">
        <v>4</v>
      </c>
      <c r="J56" s="9">
        <v>2</v>
      </c>
      <c r="K56" s="9">
        <v>46.7</v>
      </c>
      <c r="L56" s="9">
        <v>39.200000000000003</v>
      </c>
      <c r="M56" s="9">
        <v>0.66700000000000004</v>
      </c>
      <c r="N56" s="9">
        <v>1.2</v>
      </c>
      <c r="O56" s="9">
        <v>0.5</v>
      </c>
      <c r="P56" s="9">
        <v>0.8</v>
      </c>
      <c r="Q56" s="9">
        <v>0.6</v>
      </c>
      <c r="R56" s="9">
        <v>1</v>
      </c>
      <c r="S56" s="9">
        <v>0.8</v>
      </c>
      <c r="T56" s="9">
        <v>3</v>
      </c>
      <c r="U56" s="9">
        <v>0</v>
      </c>
      <c r="V56" s="9">
        <v>0</v>
      </c>
      <c r="W56" s="9">
        <v>13.06</v>
      </c>
      <c r="X56">
        <f xml:space="preserve"> Z56 + AA56 + (AB56*G56) + (AC56*H56) + (AD56*I56) + (AE56*J56) + (AF56*(K56/100)) + (AG56*(L56/100))+ (AH56*(M56))</f>
        <v>13.061599999999999</v>
      </c>
      <c r="Y56" s="1">
        <f>X56-W56</f>
        <v>1.5999999999980474E-3</v>
      </c>
      <c r="Z56">
        <f>U56</f>
        <v>0</v>
      </c>
      <c r="AA56">
        <f>V56</f>
        <v>0</v>
      </c>
      <c r="AB56">
        <f>N56</f>
        <v>1.2</v>
      </c>
      <c r="AC56">
        <f>O56</f>
        <v>0.5</v>
      </c>
      <c r="AD56">
        <f>P56</f>
        <v>0.8</v>
      </c>
      <c r="AE56">
        <f>Q56</f>
        <v>0.6</v>
      </c>
      <c r="AF56">
        <f>R56</f>
        <v>1</v>
      </c>
      <c r="AG56">
        <f>S56</f>
        <v>0.8</v>
      </c>
      <c r="AH56">
        <f t="shared" si="1"/>
        <v>3</v>
      </c>
    </row>
    <row r="57" spans="1:34" s="2" customFormat="1" hidden="1" outlineLevel="1" x14ac:dyDescent="0.3">
      <c r="A57" s="9" t="s">
        <v>54</v>
      </c>
      <c r="B57" s="9" t="s">
        <v>70</v>
      </c>
      <c r="C57" s="9" t="s">
        <v>71</v>
      </c>
      <c r="D57" s="9" t="s">
        <v>22</v>
      </c>
      <c r="E57" s="9">
        <v>0</v>
      </c>
      <c r="F57" s="9">
        <v>0</v>
      </c>
      <c r="G57" s="9">
        <v>5.4</v>
      </c>
      <c r="H57" s="9">
        <v>1.1000000000000001</v>
      </c>
      <c r="I57" s="9">
        <v>1</v>
      </c>
      <c r="J57" s="9">
        <v>5</v>
      </c>
      <c r="K57" s="9">
        <v>42.5</v>
      </c>
      <c r="L57" s="9">
        <v>46.6</v>
      </c>
      <c r="M57" s="9">
        <v>0.33300000000000002</v>
      </c>
      <c r="N57" s="9">
        <v>1.2</v>
      </c>
      <c r="O57" s="9">
        <v>0.5</v>
      </c>
      <c r="P57" s="9">
        <v>0.8</v>
      </c>
      <c r="Q57" s="9">
        <v>0.6</v>
      </c>
      <c r="R57" s="9">
        <v>1</v>
      </c>
      <c r="S57" s="9">
        <v>0.8</v>
      </c>
      <c r="T57" s="9">
        <v>3</v>
      </c>
      <c r="U57" s="9">
        <v>0</v>
      </c>
      <c r="V57" s="9">
        <v>0</v>
      </c>
      <c r="W57" s="10">
        <v>12.57</v>
      </c>
      <c r="X57" s="5">
        <f xml:space="preserve"> Z57 + AA57 + (AB57*G57) + (AC57*H57) + (AD57*I57) + (AE57*J57) + (AF57*(K57/100)) + (AG57*(L57/100))+ (AH57*(M57))</f>
        <v>14.2918</v>
      </c>
      <c r="Y57" s="1">
        <f>X57-W57</f>
        <v>1.7218</v>
      </c>
      <c r="Z57">
        <f>U57</f>
        <v>0</v>
      </c>
      <c r="AA57">
        <f>V57</f>
        <v>0</v>
      </c>
      <c r="AB57">
        <f>N57</f>
        <v>1.2</v>
      </c>
      <c r="AC57">
        <f>O57</f>
        <v>0.5</v>
      </c>
      <c r="AD57">
        <f>P57</f>
        <v>0.8</v>
      </c>
      <c r="AE57">
        <f>Q57</f>
        <v>0.6</v>
      </c>
      <c r="AF57">
        <f>R57</f>
        <v>1</v>
      </c>
      <c r="AG57">
        <f>S57</f>
        <v>0.8</v>
      </c>
      <c r="AH57" s="2">
        <v>8</v>
      </c>
    </row>
    <row r="58" spans="1:34" hidden="1" outlineLevel="1" x14ac:dyDescent="0.3">
      <c r="A58" s="9" t="s">
        <v>221</v>
      </c>
      <c r="B58" s="9" t="s">
        <v>235</v>
      </c>
      <c r="C58" s="9" t="s">
        <v>236</v>
      </c>
      <c r="D58" s="9" t="s">
        <v>22</v>
      </c>
      <c r="E58" s="9">
        <v>0</v>
      </c>
      <c r="F58" s="9">
        <v>0</v>
      </c>
      <c r="G58" s="9">
        <v>2.8</v>
      </c>
      <c r="H58" s="9">
        <v>2.4</v>
      </c>
      <c r="I58" s="9">
        <v>0</v>
      </c>
      <c r="J58" s="9">
        <v>11</v>
      </c>
      <c r="K58" s="9">
        <v>0</v>
      </c>
      <c r="L58" s="9">
        <v>50.7</v>
      </c>
      <c r="M58" s="9">
        <v>0.33300000000000002</v>
      </c>
      <c r="N58" s="9">
        <v>1.2</v>
      </c>
      <c r="O58" s="9">
        <v>0.5</v>
      </c>
      <c r="P58" s="9">
        <v>0.8</v>
      </c>
      <c r="Q58" s="9">
        <v>0.6</v>
      </c>
      <c r="R58" s="9">
        <v>1</v>
      </c>
      <c r="S58" s="9">
        <v>0.8</v>
      </c>
      <c r="T58" s="9">
        <v>3</v>
      </c>
      <c r="U58" s="9">
        <v>0</v>
      </c>
      <c r="V58" s="9">
        <v>0</v>
      </c>
      <c r="W58" s="10">
        <v>12.51</v>
      </c>
      <c r="X58" s="5">
        <f xml:space="preserve"> Z58 + AA58 + (AB58*G58) + (AC58*H58) + (AD58*I58) + (AE58*J58) + (AF58*(K58/100)) + (AG58*(L58/100))+ (AH58*(M58))</f>
        <v>12.5646</v>
      </c>
      <c r="Y58" s="1">
        <f>X58-W58</f>
        <v>5.4600000000000648E-2</v>
      </c>
      <c r="Z58">
        <f>U58</f>
        <v>0</v>
      </c>
      <c r="AA58">
        <f>V58</f>
        <v>0</v>
      </c>
      <c r="AB58">
        <f>N58</f>
        <v>1.2</v>
      </c>
      <c r="AC58">
        <f>O58</f>
        <v>0.5</v>
      </c>
      <c r="AD58">
        <f>P58</f>
        <v>0.8</v>
      </c>
      <c r="AE58">
        <f>Q58</f>
        <v>0.6</v>
      </c>
      <c r="AF58">
        <f>R58</f>
        <v>1</v>
      </c>
      <c r="AG58">
        <f>S58</f>
        <v>0.8</v>
      </c>
      <c r="AH58">
        <f t="shared" si="1"/>
        <v>3</v>
      </c>
    </row>
    <row r="59" spans="1:34" s="2" customFormat="1" hidden="1" outlineLevel="1" x14ac:dyDescent="0.3">
      <c r="A59" s="9" t="s">
        <v>533</v>
      </c>
      <c r="B59" s="9" t="s">
        <v>640</v>
      </c>
      <c r="C59" s="9" t="s">
        <v>641</v>
      </c>
      <c r="D59" s="9" t="s">
        <v>22</v>
      </c>
      <c r="E59" s="9">
        <v>0</v>
      </c>
      <c r="F59" s="9">
        <v>0</v>
      </c>
      <c r="G59" s="9">
        <v>2.2999999999999998</v>
      </c>
      <c r="H59" s="9">
        <v>3.5</v>
      </c>
      <c r="I59" s="9">
        <v>1</v>
      </c>
      <c r="J59" s="9">
        <v>5</v>
      </c>
      <c r="K59" s="9">
        <v>43.3</v>
      </c>
      <c r="L59" s="9">
        <v>35.200000000000003</v>
      </c>
      <c r="M59" s="9">
        <v>1</v>
      </c>
      <c r="N59" s="9">
        <v>1.2</v>
      </c>
      <c r="O59" s="9">
        <v>0.5</v>
      </c>
      <c r="P59" s="9">
        <v>0.8</v>
      </c>
      <c r="Q59" s="9">
        <v>0.6</v>
      </c>
      <c r="R59" s="9">
        <v>1</v>
      </c>
      <c r="S59" s="9">
        <v>0.8</v>
      </c>
      <c r="T59" s="9">
        <v>3</v>
      </c>
      <c r="U59" s="9">
        <v>0</v>
      </c>
      <c r="V59" s="9">
        <v>0</v>
      </c>
      <c r="W59" s="9">
        <v>12.05</v>
      </c>
      <c r="X59">
        <f xml:space="preserve"> Z59 + AA59 + (AB59*G59) + (AC59*H59) + (AD59*I59) + (AE59*J59) + (AF59*(K59/100)) + (AG59*(L59/100))+ (AH59*(M59))</f>
        <v>12.024599999999998</v>
      </c>
      <c r="Y59" s="3">
        <f>X59-W59</f>
        <v>-2.5400000000002976E-2</v>
      </c>
      <c r="Z59">
        <f>U59</f>
        <v>0</v>
      </c>
      <c r="AA59">
        <f>V59</f>
        <v>0</v>
      </c>
      <c r="AB59">
        <f>N59</f>
        <v>1.2</v>
      </c>
      <c r="AC59">
        <f>O59</f>
        <v>0.5</v>
      </c>
      <c r="AD59">
        <f>P59</f>
        <v>0.8</v>
      </c>
      <c r="AE59">
        <f>Q59</f>
        <v>0.6</v>
      </c>
      <c r="AF59">
        <f>R59</f>
        <v>1</v>
      </c>
      <c r="AG59">
        <f>S59</f>
        <v>0.8</v>
      </c>
      <c r="AH59">
        <f t="shared" si="1"/>
        <v>3</v>
      </c>
    </row>
    <row r="60" spans="1:34" hidden="1" outlineLevel="1" x14ac:dyDescent="0.3">
      <c r="A60" s="9" t="s">
        <v>33</v>
      </c>
      <c r="B60" s="9" t="s">
        <v>36</v>
      </c>
      <c r="C60" s="9" t="s">
        <v>37</v>
      </c>
      <c r="D60" s="9" t="s">
        <v>22</v>
      </c>
      <c r="E60" s="9">
        <v>0</v>
      </c>
      <c r="F60" s="9">
        <v>0</v>
      </c>
      <c r="G60" s="9">
        <v>6.5</v>
      </c>
      <c r="H60" s="9">
        <v>0</v>
      </c>
      <c r="I60" s="9">
        <v>1</v>
      </c>
      <c r="J60" s="9">
        <v>0</v>
      </c>
      <c r="K60" s="9">
        <v>39.4</v>
      </c>
      <c r="L60" s="9">
        <v>0</v>
      </c>
      <c r="M60" s="9">
        <v>1</v>
      </c>
      <c r="N60" s="9">
        <v>1.2</v>
      </c>
      <c r="O60" s="9">
        <v>0.5</v>
      </c>
      <c r="P60" s="9">
        <v>0.8</v>
      </c>
      <c r="Q60" s="9">
        <v>0.6</v>
      </c>
      <c r="R60" s="9">
        <v>1</v>
      </c>
      <c r="S60" s="9">
        <v>0.8</v>
      </c>
      <c r="T60" s="9">
        <v>3</v>
      </c>
      <c r="U60" s="9">
        <v>0</v>
      </c>
      <c r="V60" s="9">
        <v>0</v>
      </c>
      <c r="W60" s="10">
        <v>11.99</v>
      </c>
      <c r="X60" s="5">
        <f xml:space="preserve"> Z60 + AA60 + (AB60*G60) + (AC60*H60) + (AD60*I60) + (AE60*J60) + (AF60*(K60/100)) + (AG60*(L60/100))+ (AH60*(M60))</f>
        <v>11.994</v>
      </c>
      <c r="Y60" s="1">
        <f>X60-W60</f>
        <v>3.9999999999995595E-3</v>
      </c>
      <c r="Z60">
        <f>U60</f>
        <v>0</v>
      </c>
      <c r="AA60">
        <f>V60</f>
        <v>0</v>
      </c>
      <c r="AB60">
        <f>N60</f>
        <v>1.2</v>
      </c>
      <c r="AC60">
        <f>O60</f>
        <v>0.5</v>
      </c>
      <c r="AD60">
        <f>P60</f>
        <v>0.8</v>
      </c>
      <c r="AE60">
        <f>Q60</f>
        <v>0.6</v>
      </c>
      <c r="AF60">
        <f>R60</f>
        <v>1</v>
      </c>
      <c r="AG60">
        <f>S60</f>
        <v>0.8</v>
      </c>
      <c r="AH60">
        <f t="shared" si="1"/>
        <v>3</v>
      </c>
    </row>
    <row r="61" spans="1:34" s="2" customFormat="1" hidden="1" outlineLevel="1" x14ac:dyDescent="0.3">
      <c r="A61" s="9" t="s">
        <v>33</v>
      </c>
      <c r="B61" s="9" t="s">
        <v>34</v>
      </c>
      <c r="C61" s="9" t="s">
        <v>35</v>
      </c>
      <c r="D61" s="9" t="s">
        <v>22</v>
      </c>
      <c r="E61" s="9">
        <v>0</v>
      </c>
      <c r="F61" s="9">
        <v>0</v>
      </c>
      <c r="G61" s="9">
        <v>6.5</v>
      </c>
      <c r="H61" s="9">
        <v>0</v>
      </c>
      <c r="I61" s="9">
        <v>1</v>
      </c>
      <c r="J61" s="9">
        <v>0</v>
      </c>
      <c r="K61" s="9">
        <v>37.700000000000003</v>
      </c>
      <c r="L61" s="9">
        <v>0</v>
      </c>
      <c r="M61" s="9">
        <v>1</v>
      </c>
      <c r="N61" s="9">
        <v>1.2</v>
      </c>
      <c r="O61" s="9">
        <v>0.5</v>
      </c>
      <c r="P61" s="9">
        <v>0.8</v>
      </c>
      <c r="Q61" s="9">
        <v>0.6</v>
      </c>
      <c r="R61" s="9">
        <v>1</v>
      </c>
      <c r="S61" s="9">
        <v>0.8</v>
      </c>
      <c r="T61" s="9">
        <v>3</v>
      </c>
      <c r="U61" s="9">
        <v>0</v>
      </c>
      <c r="V61" s="9">
        <v>0</v>
      </c>
      <c r="W61" s="9">
        <v>11.97</v>
      </c>
      <c r="X61">
        <f xml:space="preserve"> Z61 + AA61 + (AB61*G61) + (AC61*H61) + (AD61*I61) + (AE61*J61) + (AF61*(K61/100)) + (AG61*(L61/100))+ (AH61*(M61))</f>
        <v>11.977</v>
      </c>
      <c r="Y61" s="1">
        <f>X61-W61</f>
        <v>6.9999999999996732E-3</v>
      </c>
      <c r="Z61">
        <f>U61</f>
        <v>0</v>
      </c>
      <c r="AA61">
        <f>V61</f>
        <v>0</v>
      </c>
      <c r="AB61">
        <f>N61</f>
        <v>1.2</v>
      </c>
      <c r="AC61">
        <f>O61</f>
        <v>0.5</v>
      </c>
      <c r="AD61">
        <f>P61</f>
        <v>0.8</v>
      </c>
      <c r="AE61">
        <f>Q61</f>
        <v>0.6</v>
      </c>
      <c r="AF61">
        <f>R61</f>
        <v>1</v>
      </c>
      <c r="AG61">
        <f>S61</f>
        <v>0.8</v>
      </c>
      <c r="AH61" s="2">
        <f t="shared" si="1"/>
        <v>3</v>
      </c>
    </row>
    <row r="62" spans="1:34" s="2" customFormat="1" hidden="1" outlineLevel="1" x14ac:dyDescent="0.3">
      <c r="A62" s="9" t="s">
        <v>221</v>
      </c>
      <c r="B62" s="9" t="s">
        <v>350</v>
      </c>
      <c r="C62" s="9" t="s">
        <v>351</v>
      </c>
      <c r="D62" s="9" t="s">
        <v>22</v>
      </c>
      <c r="E62" s="9">
        <v>0</v>
      </c>
      <c r="F62" s="9">
        <v>0</v>
      </c>
      <c r="G62" s="9">
        <v>0.4</v>
      </c>
      <c r="H62" s="9">
        <v>2.71</v>
      </c>
      <c r="I62" s="9">
        <v>1</v>
      </c>
      <c r="J62" s="9">
        <v>12</v>
      </c>
      <c r="K62" s="9">
        <v>14.7</v>
      </c>
      <c r="L62" s="9">
        <v>42</v>
      </c>
      <c r="M62" s="9">
        <v>0.5</v>
      </c>
      <c r="N62" s="9">
        <v>1.2</v>
      </c>
      <c r="O62" s="9">
        <v>0.5</v>
      </c>
      <c r="P62" s="9">
        <v>0.8</v>
      </c>
      <c r="Q62" s="9">
        <v>0.6</v>
      </c>
      <c r="R62" s="9">
        <v>1</v>
      </c>
      <c r="S62" s="9">
        <v>0.8</v>
      </c>
      <c r="T62" s="9">
        <v>3</v>
      </c>
      <c r="U62" s="9">
        <v>0</v>
      </c>
      <c r="V62" s="9">
        <v>0</v>
      </c>
      <c r="W62" s="9">
        <v>11.81</v>
      </c>
      <c r="X62">
        <f xml:space="preserve"> Z62 + AA62 + (AB62*G62) + (AC62*H62) + (AD62*I62) + (AE62*J62) + (AF62*(K62/100)) + (AG62*(L62/100))+ (AH62*(M62))</f>
        <v>11.818</v>
      </c>
      <c r="Y62" s="1">
        <f>X62-W62</f>
        <v>7.9999999999991189E-3</v>
      </c>
      <c r="Z62">
        <f>U62</f>
        <v>0</v>
      </c>
      <c r="AA62">
        <f>V62</f>
        <v>0</v>
      </c>
      <c r="AB62">
        <f>N62</f>
        <v>1.2</v>
      </c>
      <c r="AC62">
        <f>O62</f>
        <v>0.5</v>
      </c>
      <c r="AD62">
        <f>P62</f>
        <v>0.8</v>
      </c>
      <c r="AE62">
        <f>Q62</f>
        <v>0.6</v>
      </c>
      <c r="AF62">
        <f>R62</f>
        <v>1</v>
      </c>
      <c r="AG62">
        <f>S62</f>
        <v>0.8</v>
      </c>
      <c r="AH62">
        <f t="shared" si="1"/>
        <v>3</v>
      </c>
    </row>
    <row r="63" spans="1:34" hidden="1" outlineLevel="1" x14ac:dyDescent="0.3">
      <c r="A63" s="9" t="s">
        <v>54</v>
      </c>
      <c r="B63" s="9" t="s">
        <v>154</v>
      </c>
      <c r="C63" s="9" t="s">
        <v>155</v>
      </c>
      <c r="D63" s="9" t="s">
        <v>22</v>
      </c>
      <c r="E63" s="9">
        <v>0</v>
      </c>
      <c r="F63" s="9">
        <v>0</v>
      </c>
      <c r="G63" s="9">
        <v>1.8</v>
      </c>
      <c r="H63" s="9">
        <v>2.77</v>
      </c>
      <c r="I63" s="9">
        <v>1</v>
      </c>
      <c r="J63" s="9">
        <v>6</v>
      </c>
      <c r="K63" s="9">
        <v>35</v>
      </c>
      <c r="L63" s="9">
        <v>44.7</v>
      </c>
      <c r="M63" s="9">
        <v>1</v>
      </c>
      <c r="N63" s="9">
        <v>1.2</v>
      </c>
      <c r="O63" s="9">
        <v>0.5</v>
      </c>
      <c r="P63" s="9">
        <v>0.8</v>
      </c>
      <c r="Q63" s="9">
        <v>0.6</v>
      </c>
      <c r="R63" s="9">
        <v>1</v>
      </c>
      <c r="S63" s="9">
        <v>0.8</v>
      </c>
      <c r="T63" s="9">
        <v>3</v>
      </c>
      <c r="U63" s="9">
        <v>0</v>
      </c>
      <c r="V63" s="9">
        <v>0</v>
      </c>
      <c r="W63" s="9">
        <v>11.64</v>
      </c>
      <c r="X63">
        <f xml:space="preserve"> Z63 + AA63 + (AB63*G63) + (AC63*H63) + (AD63*I63) + (AE63*J63) + (AF63*(K63/100)) + (AG63*(L63/100))+ (AH63*(M63))</f>
        <v>11.6526</v>
      </c>
      <c r="Y63" s="1">
        <f>X63-W63</f>
        <v>1.2599999999999056E-2</v>
      </c>
      <c r="Z63">
        <f>U63</f>
        <v>0</v>
      </c>
      <c r="AA63">
        <f>V63</f>
        <v>0</v>
      </c>
      <c r="AB63">
        <f>N63</f>
        <v>1.2</v>
      </c>
      <c r="AC63">
        <f>O63</f>
        <v>0.5</v>
      </c>
      <c r="AD63">
        <f>P63</f>
        <v>0.8</v>
      </c>
      <c r="AE63">
        <f>Q63</f>
        <v>0.6</v>
      </c>
      <c r="AF63">
        <f>R63</f>
        <v>1</v>
      </c>
      <c r="AG63">
        <f>S63</f>
        <v>0.8</v>
      </c>
      <c r="AH63">
        <f t="shared" si="1"/>
        <v>3</v>
      </c>
    </row>
    <row r="64" spans="1:34" s="2" customFormat="1" hidden="1" x14ac:dyDescent="0.3">
      <c r="A64" s="9" t="s">
        <v>661</v>
      </c>
      <c r="B64" s="9" t="s">
        <v>675</v>
      </c>
      <c r="C64" s="9" t="s">
        <v>676</v>
      </c>
      <c r="D64" s="9" t="s">
        <v>22</v>
      </c>
      <c r="E64" s="9">
        <v>0</v>
      </c>
      <c r="F64" s="9">
        <v>0</v>
      </c>
      <c r="G64" s="9">
        <v>7</v>
      </c>
      <c r="H64" s="9">
        <v>0</v>
      </c>
      <c r="I64" s="9">
        <v>1</v>
      </c>
      <c r="J64" s="9">
        <v>0</v>
      </c>
      <c r="K64" s="9">
        <v>40.5</v>
      </c>
      <c r="L64" s="9">
        <v>0</v>
      </c>
      <c r="M64" s="9">
        <v>0.66700000000000004</v>
      </c>
      <c r="N64" s="9">
        <v>1.2</v>
      </c>
      <c r="O64" s="9">
        <v>0.5</v>
      </c>
      <c r="P64" s="9">
        <v>0.8</v>
      </c>
      <c r="Q64" s="9">
        <v>0.6</v>
      </c>
      <c r="R64" s="9">
        <v>1</v>
      </c>
      <c r="S64" s="9">
        <v>0.8</v>
      </c>
      <c r="T64" s="9">
        <v>3</v>
      </c>
      <c r="U64" s="9">
        <v>0</v>
      </c>
      <c r="V64" s="9">
        <v>0</v>
      </c>
      <c r="W64" s="10">
        <v>11.58</v>
      </c>
      <c r="X64" s="5"/>
      <c r="Y64" s="1"/>
      <c r="Z64"/>
      <c r="AA64"/>
      <c r="AB64"/>
      <c r="AC64"/>
      <c r="AD64"/>
      <c r="AE64"/>
      <c r="AF64"/>
      <c r="AG64"/>
      <c r="AH64">
        <f t="shared" si="1"/>
        <v>3</v>
      </c>
    </row>
    <row r="65" spans="1:34" hidden="1" x14ac:dyDescent="0.3">
      <c r="A65" s="9" t="s">
        <v>221</v>
      </c>
      <c r="B65" s="9" t="s">
        <v>288</v>
      </c>
      <c r="C65" s="9" t="s">
        <v>289</v>
      </c>
      <c r="D65" s="9" t="s">
        <v>22</v>
      </c>
      <c r="E65" s="9">
        <v>0</v>
      </c>
      <c r="F65" s="9">
        <v>0</v>
      </c>
      <c r="G65" s="9">
        <v>2</v>
      </c>
      <c r="H65" s="9">
        <v>2.89</v>
      </c>
      <c r="I65" s="9">
        <v>1</v>
      </c>
      <c r="J65" s="9">
        <v>5</v>
      </c>
      <c r="K65" s="9">
        <v>55</v>
      </c>
      <c r="L65" s="9">
        <v>37</v>
      </c>
      <c r="M65" s="9">
        <v>1</v>
      </c>
      <c r="N65" s="9">
        <v>1.2</v>
      </c>
      <c r="O65" s="9">
        <v>0.5</v>
      </c>
      <c r="P65" s="9">
        <v>0.8</v>
      </c>
      <c r="Q65" s="9">
        <v>0.6</v>
      </c>
      <c r="R65" s="9">
        <v>1</v>
      </c>
      <c r="S65" s="9">
        <v>0.8</v>
      </c>
      <c r="T65" s="9">
        <v>3</v>
      </c>
      <c r="U65" s="9">
        <v>0</v>
      </c>
      <c r="V65" s="9">
        <v>0</v>
      </c>
      <c r="W65" s="9">
        <v>11.45</v>
      </c>
      <c r="X65">
        <f xml:space="preserve"> Z65 + AA65 + (AB65*G65) + (AC65*H65) + (AD65*I65) + (AE65*J65) + (AF65*(K65/100)) + (AG65*(L65/100))+ (AH65*(M65))</f>
        <v>11.491</v>
      </c>
      <c r="Y65" s="1">
        <f>X65-W65</f>
        <v>4.1000000000000369E-2</v>
      </c>
      <c r="Z65">
        <f>U65</f>
        <v>0</v>
      </c>
      <c r="AA65">
        <f>V65</f>
        <v>0</v>
      </c>
      <c r="AB65">
        <f>N65</f>
        <v>1.2</v>
      </c>
      <c r="AC65">
        <f>O65</f>
        <v>0.5</v>
      </c>
      <c r="AD65">
        <f>P65</f>
        <v>0.8</v>
      </c>
      <c r="AE65">
        <f>Q65</f>
        <v>0.6</v>
      </c>
      <c r="AF65">
        <f>R65</f>
        <v>1</v>
      </c>
      <c r="AG65">
        <f>S65</f>
        <v>0.8</v>
      </c>
      <c r="AH65">
        <f t="shared" si="1"/>
        <v>3</v>
      </c>
    </row>
    <row r="66" spans="1:34" hidden="1" x14ac:dyDescent="0.3">
      <c r="A66" s="9" t="s">
        <v>221</v>
      </c>
      <c r="B66" s="9" t="s">
        <v>356</v>
      </c>
      <c r="C66" s="9" t="s">
        <v>357</v>
      </c>
      <c r="D66" s="9" t="s">
        <v>22</v>
      </c>
      <c r="E66" s="9">
        <v>0</v>
      </c>
      <c r="F66" s="9">
        <v>0</v>
      </c>
      <c r="G66" s="9">
        <v>4.3</v>
      </c>
      <c r="H66" s="9">
        <v>2.71</v>
      </c>
      <c r="I66" s="9">
        <v>0</v>
      </c>
      <c r="J66" s="9">
        <v>4</v>
      </c>
      <c r="K66" s="9">
        <v>0</v>
      </c>
      <c r="L66" s="9">
        <v>32.4</v>
      </c>
      <c r="M66" s="9">
        <v>0.66700000000000004</v>
      </c>
      <c r="N66" s="9">
        <v>1.2</v>
      </c>
      <c r="O66" s="9">
        <v>0.5</v>
      </c>
      <c r="P66" s="9">
        <v>0.8</v>
      </c>
      <c r="Q66" s="9">
        <v>0.6</v>
      </c>
      <c r="R66" s="9">
        <v>1</v>
      </c>
      <c r="S66" s="9">
        <v>0.8</v>
      </c>
      <c r="T66" s="9">
        <v>3</v>
      </c>
      <c r="U66" s="9">
        <v>0</v>
      </c>
      <c r="V66" s="9">
        <v>0</v>
      </c>
      <c r="W66" s="10">
        <v>11.21</v>
      </c>
      <c r="X66" s="5">
        <f xml:space="preserve"> Z66 + AA66 + (AB66*G66) + (AC66*H66) + (AD66*I66) + (AE66*J66) + (AF66*(K66/100)) + (AG66*(L66/100))+ (AH66*(M66))</f>
        <v>11.1752</v>
      </c>
      <c r="Y66" s="1">
        <f>X66-W66</f>
        <v>-3.4800000000000608E-2</v>
      </c>
      <c r="Z66">
        <f>U66</f>
        <v>0</v>
      </c>
      <c r="AA66">
        <f>V66</f>
        <v>0</v>
      </c>
      <c r="AB66">
        <f>N66</f>
        <v>1.2</v>
      </c>
      <c r="AC66">
        <f>O66</f>
        <v>0.5</v>
      </c>
      <c r="AD66">
        <f>P66</f>
        <v>0.8</v>
      </c>
      <c r="AE66">
        <f>Q66</f>
        <v>0.6</v>
      </c>
      <c r="AF66">
        <f>R66</f>
        <v>1</v>
      </c>
      <c r="AG66">
        <f>S66</f>
        <v>0.8</v>
      </c>
      <c r="AH66">
        <f t="shared" si="1"/>
        <v>3</v>
      </c>
    </row>
    <row r="67" spans="1:34" hidden="1" x14ac:dyDescent="0.3">
      <c r="A67" s="9" t="s">
        <v>221</v>
      </c>
      <c r="B67" s="9" t="s">
        <v>237</v>
      </c>
      <c r="C67" s="9" t="s">
        <v>238</v>
      </c>
      <c r="D67" s="9" t="s">
        <v>22</v>
      </c>
      <c r="E67" s="9">
        <v>0</v>
      </c>
      <c r="F67" s="9">
        <v>0</v>
      </c>
      <c r="G67" s="9">
        <v>1.2</v>
      </c>
      <c r="H67" s="9">
        <v>3.4</v>
      </c>
      <c r="I67" s="9">
        <v>0</v>
      </c>
      <c r="J67" s="9">
        <v>11</v>
      </c>
      <c r="K67" s="9">
        <v>0</v>
      </c>
      <c r="L67" s="9">
        <v>36.200000000000003</v>
      </c>
      <c r="M67" s="9">
        <v>0.33300000000000002</v>
      </c>
      <c r="N67" s="9">
        <v>1.2</v>
      </c>
      <c r="O67" s="9">
        <v>0.5</v>
      </c>
      <c r="P67" s="9">
        <v>0.8</v>
      </c>
      <c r="Q67" s="9">
        <v>0.6</v>
      </c>
      <c r="R67" s="9">
        <v>1</v>
      </c>
      <c r="S67" s="9">
        <v>0.8</v>
      </c>
      <c r="T67" s="9">
        <v>3</v>
      </c>
      <c r="U67" s="9">
        <v>0</v>
      </c>
      <c r="V67" s="9">
        <v>0</v>
      </c>
      <c r="W67" s="9">
        <v>11.01</v>
      </c>
      <c r="X67">
        <f xml:space="preserve"> Z67 + AA67 + (AB67*G67) + (AC67*H67) + (AD67*I67) + (AE67*J67) + (AF67*(K67/100)) + (AG67*(L67/100))+ (AH67*(M67))</f>
        <v>11.028599999999999</v>
      </c>
      <c r="Y67" s="1">
        <f>X67-W67</f>
        <v>1.8599999999999284E-2</v>
      </c>
      <c r="Z67">
        <f>U67</f>
        <v>0</v>
      </c>
      <c r="AA67">
        <f>V67</f>
        <v>0</v>
      </c>
      <c r="AB67">
        <f>N67</f>
        <v>1.2</v>
      </c>
      <c r="AC67">
        <f>O67</f>
        <v>0.5</v>
      </c>
      <c r="AD67">
        <f>P67</f>
        <v>0.8</v>
      </c>
      <c r="AE67">
        <f>Q67</f>
        <v>0.6</v>
      </c>
      <c r="AF67">
        <f>R67</f>
        <v>1</v>
      </c>
      <c r="AG67">
        <f>S67</f>
        <v>0.8</v>
      </c>
      <c r="AH67">
        <f t="shared" ref="AH67:AH130" si="6">T67</f>
        <v>3</v>
      </c>
    </row>
    <row r="68" spans="1:34" hidden="1" x14ac:dyDescent="0.3">
      <c r="A68" s="9" t="s">
        <v>54</v>
      </c>
      <c r="B68" s="9" t="s">
        <v>72</v>
      </c>
      <c r="C68" s="9" t="s">
        <v>73</v>
      </c>
      <c r="D68" s="9" t="s">
        <v>22</v>
      </c>
      <c r="E68" s="9">
        <v>0</v>
      </c>
      <c r="F68" s="9">
        <v>0</v>
      </c>
      <c r="G68" s="9">
        <v>5.4</v>
      </c>
      <c r="H68" s="9">
        <v>0</v>
      </c>
      <c r="I68" s="9">
        <v>1</v>
      </c>
      <c r="J68" s="9">
        <v>3</v>
      </c>
      <c r="K68" s="9">
        <v>42.5</v>
      </c>
      <c r="L68" s="9">
        <v>47.1</v>
      </c>
      <c r="M68" s="9">
        <v>0.33300000000000002</v>
      </c>
      <c r="N68" s="9">
        <v>1.2</v>
      </c>
      <c r="O68" s="9">
        <v>0.5</v>
      </c>
      <c r="P68" s="9">
        <v>0.8</v>
      </c>
      <c r="Q68" s="9">
        <v>0.6</v>
      </c>
      <c r="R68" s="9">
        <v>1</v>
      </c>
      <c r="S68" s="9">
        <v>0.8</v>
      </c>
      <c r="T68" s="9">
        <v>3</v>
      </c>
      <c r="U68" s="9">
        <v>0</v>
      </c>
      <c r="V68" s="9">
        <v>0</v>
      </c>
      <c r="W68" s="9">
        <v>10.83</v>
      </c>
      <c r="X68">
        <f xml:space="preserve"> Z68 + AA68 + (AB68*G68) + (AC68*H68) + (AD68*I68) + (AE68*J68) + (AF68*(K68/100)) + (AG68*(L68/100))+ (AH68*(M68))</f>
        <v>10.880800000000001</v>
      </c>
      <c r="Y68" s="1">
        <f>X68-W68</f>
        <v>5.0800000000000622E-2</v>
      </c>
      <c r="Z68">
        <f>U68</f>
        <v>0</v>
      </c>
      <c r="AA68">
        <f>V68</f>
        <v>0</v>
      </c>
      <c r="AB68">
        <f>N68</f>
        <v>1.2</v>
      </c>
      <c r="AC68">
        <f>O68</f>
        <v>0.5</v>
      </c>
      <c r="AD68">
        <f>P68</f>
        <v>0.8</v>
      </c>
      <c r="AE68">
        <f>Q68</f>
        <v>0.6</v>
      </c>
      <c r="AF68">
        <f>R68</f>
        <v>1</v>
      </c>
      <c r="AG68">
        <f>S68</f>
        <v>0.8</v>
      </c>
      <c r="AH68">
        <f t="shared" ref="AH68" si="7">T68</f>
        <v>3</v>
      </c>
    </row>
    <row r="69" spans="1:34" s="2" customFormat="1" hidden="1" x14ac:dyDescent="0.3">
      <c r="A69" s="9" t="s">
        <v>54</v>
      </c>
      <c r="B69" s="9" t="s">
        <v>66</v>
      </c>
      <c r="C69" s="9" t="s">
        <v>67</v>
      </c>
      <c r="D69" s="9" t="s">
        <v>22</v>
      </c>
      <c r="E69" s="9">
        <v>0</v>
      </c>
      <c r="F69" s="9">
        <v>0</v>
      </c>
      <c r="G69" s="9">
        <v>3.6</v>
      </c>
      <c r="H69" s="9">
        <v>2.08</v>
      </c>
      <c r="I69" s="9">
        <v>1</v>
      </c>
      <c r="J69" s="9">
        <v>3</v>
      </c>
      <c r="K69" s="9">
        <v>43</v>
      </c>
      <c r="L69" s="9">
        <v>44.5</v>
      </c>
      <c r="M69" s="9">
        <v>0.66700000000000004</v>
      </c>
      <c r="N69" s="9">
        <v>1.2</v>
      </c>
      <c r="O69" s="9">
        <v>0.5</v>
      </c>
      <c r="P69" s="9">
        <v>0.8</v>
      </c>
      <c r="Q69" s="9">
        <v>0.6</v>
      </c>
      <c r="R69" s="9">
        <v>1</v>
      </c>
      <c r="S69" s="9">
        <v>0.8</v>
      </c>
      <c r="T69" s="9">
        <v>3</v>
      </c>
      <c r="U69" s="9">
        <v>0</v>
      </c>
      <c r="V69" s="9">
        <v>0</v>
      </c>
      <c r="W69" s="9">
        <v>10.71</v>
      </c>
      <c r="X69">
        <f xml:space="preserve"> Z69 + AA69 + (AB69*G69) + (AC69*H69) + (AD69*I69) + (AE69*J69) + (AF69*(K69/100)) + (AG69*(L69/100))+ (AH69*(M69))</f>
        <v>10.747</v>
      </c>
      <c r="Y69" s="1">
        <f>X69-W69</f>
        <v>3.6999999999999034E-2</v>
      </c>
      <c r="Z69">
        <f>U69</f>
        <v>0</v>
      </c>
      <c r="AA69">
        <f>V69</f>
        <v>0</v>
      </c>
      <c r="AB69">
        <f>N69</f>
        <v>1.2</v>
      </c>
      <c r="AC69">
        <f>O69</f>
        <v>0.5</v>
      </c>
      <c r="AD69">
        <f>P69</f>
        <v>0.8</v>
      </c>
      <c r="AE69">
        <f>Q69</f>
        <v>0.6</v>
      </c>
      <c r="AF69">
        <f>R69</f>
        <v>1</v>
      </c>
      <c r="AG69">
        <f>S69</f>
        <v>0.8</v>
      </c>
      <c r="AH69">
        <f t="shared" si="6"/>
        <v>3</v>
      </c>
    </row>
    <row r="70" spans="1:34" hidden="1" x14ac:dyDescent="0.3">
      <c r="A70" s="9" t="s">
        <v>176</v>
      </c>
      <c r="B70" s="9" t="s">
        <v>181</v>
      </c>
      <c r="C70" s="9" t="s">
        <v>182</v>
      </c>
      <c r="D70" s="9" t="s">
        <v>22</v>
      </c>
      <c r="E70" s="9">
        <v>0</v>
      </c>
      <c r="F70" s="9">
        <v>0</v>
      </c>
      <c r="G70" s="9">
        <v>5.4</v>
      </c>
      <c r="H70" s="9">
        <v>0</v>
      </c>
      <c r="I70" s="9">
        <v>1</v>
      </c>
      <c r="J70" s="9">
        <v>0</v>
      </c>
      <c r="K70" s="9">
        <v>35.799999999999997</v>
      </c>
      <c r="L70" s="9">
        <v>0</v>
      </c>
      <c r="M70" s="9">
        <v>1</v>
      </c>
      <c r="N70" s="9">
        <v>1.2</v>
      </c>
      <c r="O70" s="9">
        <v>0.5</v>
      </c>
      <c r="P70" s="9">
        <v>0.8</v>
      </c>
      <c r="Q70" s="9">
        <v>0.6</v>
      </c>
      <c r="R70" s="9">
        <v>1</v>
      </c>
      <c r="S70" s="9">
        <v>0.8</v>
      </c>
      <c r="T70" s="9">
        <v>3</v>
      </c>
      <c r="U70" s="9">
        <v>0</v>
      </c>
      <c r="V70" s="9">
        <v>0</v>
      </c>
      <c r="W70" s="9">
        <v>10.59</v>
      </c>
      <c r="X70">
        <f xml:space="preserve"> Z70 + AA70 + (AB70*G70) + (AC70*H70) + (AD70*I70) + (AE70*J70) + (AF70*(K70/100)) + (AG70*(L70/100))+ (AH70*(M70))</f>
        <v>10.638</v>
      </c>
      <c r="Y70" s="1">
        <f>X70-W70</f>
        <v>4.8000000000000043E-2</v>
      </c>
      <c r="Z70">
        <f>U70</f>
        <v>0</v>
      </c>
      <c r="AA70">
        <f>V70</f>
        <v>0</v>
      </c>
      <c r="AB70">
        <f>N70</f>
        <v>1.2</v>
      </c>
      <c r="AC70">
        <f>O70</f>
        <v>0.5</v>
      </c>
      <c r="AD70">
        <f>P70</f>
        <v>0.8</v>
      </c>
      <c r="AE70">
        <f>Q70</f>
        <v>0.6</v>
      </c>
      <c r="AF70">
        <f>R70</f>
        <v>1</v>
      </c>
      <c r="AG70">
        <f>S70</f>
        <v>0.8</v>
      </c>
      <c r="AH70">
        <f t="shared" si="6"/>
        <v>3</v>
      </c>
    </row>
    <row r="71" spans="1:34" hidden="1" x14ac:dyDescent="0.3">
      <c r="A71" s="9" t="s">
        <v>176</v>
      </c>
      <c r="B71" s="9" t="s">
        <v>183</v>
      </c>
      <c r="C71" s="9" t="s">
        <v>184</v>
      </c>
      <c r="D71" s="9" t="s">
        <v>22</v>
      </c>
      <c r="E71" s="9">
        <v>0</v>
      </c>
      <c r="F71" s="9">
        <v>0</v>
      </c>
      <c r="G71" s="9">
        <v>5.4</v>
      </c>
      <c r="H71" s="9">
        <v>0</v>
      </c>
      <c r="I71" s="9">
        <v>1</v>
      </c>
      <c r="J71" s="9">
        <v>0</v>
      </c>
      <c r="K71" s="9">
        <v>22.4</v>
      </c>
      <c r="L71" s="9">
        <v>0</v>
      </c>
      <c r="M71" s="9">
        <v>1</v>
      </c>
      <c r="N71" s="9">
        <v>1.2</v>
      </c>
      <c r="O71" s="9">
        <v>0.5</v>
      </c>
      <c r="P71" s="9">
        <v>0.8</v>
      </c>
      <c r="Q71" s="9">
        <v>0.6</v>
      </c>
      <c r="R71" s="9">
        <v>1</v>
      </c>
      <c r="S71" s="9">
        <v>0.8</v>
      </c>
      <c r="T71" s="9">
        <v>3</v>
      </c>
      <c r="U71" s="9">
        <v>0</v>
      </c>
      <c r="V71" s="9">
        <v>0</v>
      </c>
      <c r="W71" s="9">
        <v>10.45</v>
      </c>
      <c r="X71">
        <f xml:space="preserve"> Z71 + AA71 + (AB71*G71) + (AC71*H71) + (AD71*I71) + (AE71*J71) + (AF71*(K71/100)) + (AG71*(L71/100))+ (AH71*(M71))</f>
        <v>10.504000000000001</v>
      </c>
      <c r="Y71" s="1">
        <f>X71-W71</f>
        <v>5.4000000000002046E-2</v>
      </c>
      <c r="Z71">
        <f>U71</f>
        <v>0</v>
      </c>
      <c r="AA71">
        <f>V71</f>
        <v>0</v>
      </c>
      <c r="AB71">
        <f>N71</f>
        <v>1.2</v>
      </c>
      <c r="AC71">
        <f>O71</f>
        <v>0.5</v>
      </c>
      <c r="AD71">
        <f>P71</f>
        <v>0.8</v>
      </c>
      <c r="AE71">
        <f>Q71</f>
        <v>0.6</v>
      </c>
      <c r="AF71">
        <f>R71</f>
        <v>1</v>
      </c>
      <c r="AG71">
        <f>S71</f>
        <v>0.8</v>
      </c>
      <c r="AH71">
        <f t="shared" si="6"/>
        <v>3</v>
      </c>
    </row>
    <row r="72" spans="1:34" hidden="1" x14ac:dyDescent="0.3">
      <c r="A72" s="9" t="s">
        <v>176</v>
      </c>
      <c r="B72" s="9" t="s">
        <v>193</v>
      </c>
      <c r="C72" s="9" t="s">
        <v>194</v>
      </c>
      <c r="D72" s="9" t="s">
        <v>22</v>
      </c>
      <c r="E72" s="9">
        <v>0</v>
      </c>
      <c r="F72" s="9">
        <v>0</v>
      </c>
      <c r="G72" s="9">
        <v>5.4</v>
      </c>
      <c r="H72" s="9">
        <v>0</v>
      </c>
      <c r="I72" s="9">
        <v>1</v>
      </c>
      <c r="J72" s="9">
        <v>0</v>
      </c>
      <c r="K72" s="9">
        <v>22.4</v>
      </c>
      <c r="L72" s="9">
        <v>0</v>
      </c>
      <c r="M72" s="9">
        <v>1</v>
      </c>
      <c r="N72" s="9">
        <v>1.2</v>
      </c>
      <c r="O72" s="9">
        <v>0.5</v>
      </c>
      <c r="P72" s="9">
        <v>0.8</v>
      </c>
      <c r="Q72" s="9">
        <v>0.6</v>
      </c>
      <c r="R72" s="9">
        <v>1</v>
      </c>
      <c r="S72" s="9">
        <v>0.8</v>
      </c>
      <c r="T72" s="9">
        <v>3</v>
      </c>
      <c r="U72" s="9">
        <v>0</v>
      </c>
      <c r="V72" s="9">
        <v>0</v>
      </c>
      <c r="W72" s="9">
        <v>10.45</v>
      </c>
      <c r="X72">
        <f xml:space="preserve"> Z72 + AA72 + (AB72*G72) + (AC72*H72) + (AD72*I72) + (AE72*J72) + (AF72*(K72/100)) + (AG72*(L72/100))+ (AH72*(M72))</f>
        <v>10.504000000000001</v>
      </c>
      <c r="Y72" s="1">
        <f>X72-W72</f>
        <v>5.4000000000002046E-2</v>
      </c>
      <c r="Z72">
        <f>U72</f>
        <v>0</v>
      </c>
      <c r="AA72">
        <f>V72</f>
        <v>0</v>
      </c>
      <c r="AB72">
        <f>N72</f>
        <v>1.2</v>
      </c>
      <c r="AC72">
        <f>O72</f>
        <v>0.5</v>
      </c>
      <c r="AD72">
        <f>P72</f>
        <v>0.8</v>
      </c>
      <c r="AE72">
        <f>Q72</f>
        <v>0.6</v>
      </c>
      <c r="AF72">
        <f>R72</f>
        <v>1</v>
      </c>
      <c r="AG72">
        <f>S72</f>
        <v>0.8</v>
      </c>
      <c r="AH72">
        <f t="shared" ref="AH72" si="8">T72</f>
        <v>3</v>
      </c>
    </row>
    <row r="73" spans="1:34" hidden="1" x14ac:dyDescent="0.3">
      <c r="A73" s="9" t="s">
        <v>176</v>
      </c>
      <c r="B73" s="9" t="s">
        <v>202</v>
      </c>
      <c r="C73" s="9" t="s">
        <v>203</v>
      </c>
      <c r="D73" s="9" t="s">
        <v>22</v>
      </c>
      <c r="E73" s="9">
        <v>0</v>
      </c>
      <c r="F73" s="9">
        <v>0</v>
      </c>
      <c r="G73" s="9">
        <v>5.4</v>
      </c>
      <c r="H73" s="9">
        <v>0</v>
      </c>
      <c r="I73" s="9">
        <v>1</v>
      </c>
      <c r="J73" s="9">
        <v>0</v>
      </c>
      <c r="K73" s="9">
        <v>22.4</v>
      </c>
      <c r="L73" s="9">
        <v>0</v>
      </c>
      <c r="M73" s="9">
        <v>1</v>
      </c>
      <c r="N73" s="9">
        <v>1.2</v>
      </c>
      <c r="O73" s="9">
        <v>0.5</v>
      </c>
      <c r="P73" s="9">
        <v>0.8</v>
      </c>
      <c r="Q73" s="9">
        <v>0.6</v>
      </c>
      <c r="R73" s="9">
        <v>1</v>
      </c>
      <c r="S73" s="9">
        <v>0.8</v>
      </c>
      <c r="T73" s="9">
        <v>3</v>
      </c>
      <c r="U73" s="9">
        <v>0</v>
      </c>
      <c r="V73" s="9">
        <v>0</v>
      </c>
      <c r="W73" s="9">
        <v>10.45</v>
      </c>
      <c r="X73">
        <f xml:space="preserve"> Z73 + AA73 + (AB73*G73) + (AC73*H73) + (AD73*I73) + (AE73*J73) + (AF73*(K73/100)) + (AG73*(L73/100))+ (AH73*(M73))</f>
        <v>10.504000000000001</v>
      </c>
      <c r="Y73" s="1">
        <f>X73-W73</f>
        <v>5.4000000000002046E-2</v>
      </c>
      <c r="Z73">
        <f>U73</f>
        <v>0</v>
      </c>
      <c r="AA73">
        <f>V73</f>
        <v>0</v>
      </c>
      <c r="AB73">
        <f>N73</f>
        <v>1.2</v>
      </c>
      <c r="AC73">
        <f>O73</f>
        <v>0.5</v>
      </c>
      <c r="AD73">
        <f>P73</f>
        <v>0.8</v>
      </c>
      <c r="AE73">
        <f>Q73</f>
        <v>0.6</v>
      </c>
      <c r="AF73">
        <f>R73</f>
        <v>1</v>
      </c>
      <c r="AG73">
        <f>S73</f>
        <v>0.8</v>
      </c>
      <c r="AH73">
        <f t="shared" si="6"/>
        <v>3</v>
      </c>
    </row>
    <row r="74" spans="1:34" hidden="1" x14ac:dyDescent="0.3">
      <c r="A74" s="9" t="s">
        <v>533</v>
      </c>
      <c r="B74" s="9" t="s">
        <v>626</v>
      </c>
      <c r="C74" s="9" t="s">
        <v>627</v>
      </c>
      <c r="D74" s="9" t="s">
        <v>22</v>
      </c>
      <c r="E74" s="9">
        <v>0</v>
      </c>
      <c r="F74" s="9">
        <v>0</v>
      </c>
      <c r="G74" s="9">
        <v>2.2999999999999998</v>
      </c>
      <c r="H74" s="9">
        <v>0</v>
      </c>
      <c r="I74" s="9">
        <v>1</v>
      </c>
      <c r="J74" s="9">
        <v>5</v>
      </c>
      <c r="K74" s="9">
        <v>40.5</v>
      </c>
      <c r="L74" s="9">
        <v>41</v>
      </c>
      <c r="M74" s="9">
        <v>1</v>
      </c>
      <c r="N74" s="9">
        <v>1.2</v>
      </c>
      <c r="O74" s="9">
        <v>0.5</v>
      </c>
      <c r="P74" s="9">
        <v>0.8</v>
      </c>
      <c r="Q74" s="9">
        <v>0.6</v>
      </c>
      <c r="R74" s="9">
        <v>1</v>
      </c>
      <c r="S74" s="9">
        <v>0.8</v>
      </c>
      <c r="T74" s="9">
        <v>3</v>
      </c>
      <c r="U74" s="9">
        <v>0</v>
      </c>
      <c r="V74" s="9">
        <v>0</v>
      </c>
      <c r="W74" s="9">
        <v>10.32</v>
      </c>
      <c r="X74">
        <f xml:space="preserve"> Z74 + AA74 + (AB74*G74) + (AC74*H74) + (AD74*I74) + (AE74*J74) + (AF74*(K74/100)) + (AG74*(L74/100))+ (AH74*(M74))</f>
        <v>10.292999999999999</v>
      </c>
      <c r="Y74" s="1">
        <f>X74-W74</f>
        <v>-2.7000000000001023E-2</v>
      </c>
      <c r="Z74">
        <f>U74</f>
        <v>0</v>
      </c>
      <c r="AA74">
        <f>V74</f>
        <v>0</v>
      </c>
      <c r="AB74">
        <f>N74</f>
        <v>1.2</v>
      </c>
      <c r="AC74">
        <f>O74</f>
        <v>0.5</v>
      </c>
      <c r="AD74">
        <f>P74</f>
        <v>0.8</v>
      </c>
      <c r="AE74">
        <f>Q74</f>
        <v>0.6</v>
      </c>
      <c r="AF74">
        <f>R74</f>
        <v>1</v>
      </c>
      <c r="AG74">
        <f>S74</f>
        <v>0.8</v>
      </c>
      <c r="AH74">
        <f t="shared" si="6"/>
        <v>3</v>
      </c>
    </row>
    <row r="75" spans="1:34" hidden="1" x14ac:dyDescent="0.3">
      <c r="A75" s="9" t="s">
        <v>533</v>
      </c>
      <c r="B75" s="9" t="s">
        <v>624</v>
      </c>
      <c r="C75" s="9" t="s">
        <v>625</v>
      </c>
      <c r="D75" s="9" t="s">
        <v>22</v>
      </c>
      <c r="E75" s="9">
        <v>0</v>
      </c>
      <c r="F75" s="9">
        <v>0</v>
      </c>
      <c r="G75" s="9">
        <v>4.7</v>
      </c>
      <c r="H75" s="9">
        <v>0</v>
      </c>
      <c r="I75" s="9">
        <v>1</v>
      </c>
      <c r="J75" s="9">
        <v>4</v>
      </c>
      <c r="K75" s="9">
        <v>43.6</v>
      </c>
      <c r="L75" s="9">
        <v>39.5</v>
      </c>
      <c r="M75" s="9">
        <v>0.25</v>
      </c>
      <c r="N75" s="9">
        <v>1.2</v>
      </c>
      <c r="O75" s="9">
        <v>0.5</v>
      </c>
      <c r="P75" s="9">
        <v>0.8</v>
      </c>
      <c r="Q75" s="9">
        <v>0.6</v>
      </c>
      <c r="R75" s="9">
        <v>1</v>
      </c>
      <c r="S75" s="9">
        <v>0.8</v>
      </c>
      <c r="T75" s="9">
        <v>3</v>
      </c>
      <c r="U75" s="9">
        <v>0</v>
      </c>
      <c r="V75" s="9">
        <v>0</v>
      </c>
      <c r="W75" s="9">
        <v>10.28</v>
      </c>
      <c r="X75">
        <f xml:space="preserve"> Z75 + AA75 + (AB75*G75) + (AC75*H75) + (AD75*I75) + (AE75*J75) + (AF75*(K75/100)) + (AG75*(L75/100))+ (AH75*(M75))</f>
        <v>10.342000000000001</v>
      </c>
      <c r="Y75" s="1">
        <f>X75-W75</f>
        <v>6.2000000000001165E-2</v>
      </c>
      <c r="Z75">
        <f>U75</f>
        <v>0</v>
      </c>
      <c r="AA75">
        <f>V75</f>
        <v>0</v>
      </c>
      <c r="AB75">
        <f>N75</f>
        <v>1.2</v>
      </c>
      <c r="AC75">
        <f>O75</f>
        <v>0.5</v>
      </c>
      <c r="AD75">
        <f>P75</f>
        <v>0.8</v>
      </c>
      <c r="AE75">
        <f>Q75</f>
        <v>0.6</v>
      </c>
      <c r="AF75">
        <f>R75</f>
        <v>1</v>
      </c>
      <c r="AG75">
        <f>S75</f>
        <v>0.8</v>
      </c>
      <c r="AH75">
        <f t="shared" si="6"/>
        <v>3</v>
      </c>
    </row>
    <row r="76" spans="1:34" hidden="1" x14ac:dyDescent="0.3">
      <c r="A76" s="9" t="s">
        <v>533</v>
      </c>
      <c r="B76" s="9" t="s">
        <v>649</v>
      </c>
      <c r="C76" s="9" t="s">
        <v>650</v>
      </c>
      <c r="D76" s="9" t="s">
        <v>22</v>
      </c>
      <c r="E76" s="9">
        <v>0</v>
      </c>
      <c r="F76" s="9">
        <v>0</v>
      </c>
      <c r="G76" s="9">
        <v>0</v>
      </c>
      <c r="H76" s="9">
        <v>4.09</v>
      </c>
      <c r="I76" s="9">
        <v>1</v>
      </c>
      <c r="J76" s="9">
        <v>9</v>
      </c>
      <c r="K76" s="9">
        <v>21.8</v>
      </c>
      <c r="L76" s="9">
        <v>33.4</v>
      </c>
      <c r="M76" s="9">
        <v>0.5</v>
      </c>
      <c r="N76" s="9">
        <v>1.2</v>
      </c>
      <c r="O76" s="9">
        <v>0.5</v>
      </c>
      <c r="P76" s="9">
        <v>0.8</v>
      </c>
      <c r="Q76" s="9">
        <v>0.6</v>
      </c>
      <c r="R76" s="9">
        <v>1</v>
      </c>
      <c r="S76" s="9">
        <v>0.8</v>
      </c>
      <c r="T76" s="9">
        <v>3</v>
      </c>
      <c r="U76" s="9">
        <v>0</v>
      </c>
      <c r="V76" s="9">
        <v>0</v>
      </c>
      <c r="W76" s="9">
        <v>10.23</v>
      </c>
      <c r="X76"/>
      <c r="AH76">
        <f t="shared" si="6"/>
        <v>3</v>
      </c>
    </row>
    <row r="77" spans="1:34" hidden="1" x14ac:dyDescent="0.3">
      <c r="A77" s="9" t="s">
        <v>54</v>
      </c>
      <c r="B77" s="9" t="s">
        <v>166</v>
      </c>
      <c r="C77" s="9" t="s">
        <v>167</v>
      </c>
      <c r="D77" s="9" t="s">
        <v>22</v>
      </c>
      <c r="E77" s="9">
        <v>0</v>
      </c>
      <c r="F77" s="9">
        <v>0</v>
      </c>
      <c r="G77" s="9">
        <v>3.6</v>
      </c>
      <c r="H77" s="9">
        <v>1.61</v>
      </c>
      <c r="I77" s="9">
        <v>1</v>
      </c>
      <c r="J77" s="9">
        <v>4</v>
      </c>
      <c r="K77" s="9">
        <v>28.6</v>
      </c>
      <c r="L77" s="9">
        <v>42.7</v>
      </c>
      <c r="M77" s="9">
        <v>0.4</v>
      </c>
      <c r="N77" s="9">
        <v>1.2</v>
      </c>
      <c r="O77" s="9">
        <v>0.5</v>
      </c>
      <c r="P77" s="9">
        <v>0.8</v>
      </c>
      <c r="Q77" s="9">
        <v>0.6</v>
      </c>
      <c r="R77" s="9">
        <v>1</v>
      </c>
      <c r="S77" s="9">
        <v>0.8</v>
      </c>
      <c r="T77" s="9">
        <v>3</v>
      </c>
      <c r="U77" s="9">
        <v>0</v>
      </c>
      <c r="V77" s="9">
        <v>0</v>
      </c>
      <c r="W77" s="9">
        <v>10.119999999999999</v>
      </c>
      <c r="X77">
        <f xml:space="preserve"> Z77 + AA77 + (AB77*G77) + (AC77*H77) + (AD77*I77) + (AE77*J77) + (AF77*(K77/100)) + (AG77*(L77/100))+ (AH77*(M77))</f>
        <v>10.1526</v>
      </c>
      <c r="Y77" s="1">
        <f>X77-W77</f>
        <v>3.2600000000000406E-2</v>
      </c>
      <c r="Z77">
        <f>U77</f>
        <v>0</v>
      </c>
      <c r="AA77">
        <f>V77</f>
        <v>0</v>
      </c>
      <c r="AB77">
        <f>N77</f>
        <v>1.2</v>
      </c>
      <c r="AC77">
        <f>O77</f>
        <v>0.5</v>
      </c>
      <c r="AD77">
        <f>P77</f>
        <v>0.8</v>
      </c>
      <c r="AE77">
        <f>Q77</f>
        <v>0.6</v>
      </c>
      <c r="AF77">
        <f>R77</f>
        <v>1</v>
      </c>
      <c r="AG77">
        <f>S77</f>
        <v>0.8</v>
      </c>
      <c r="AH77">
        <f t="shared" si="6"/>
        <v>3</v>
      </c>
    </row>
    <row r="78" spans="1:34" hidden="1" x14ac:dyDescent="0.3">
      <c r="A78" s="9" t="s">
        <v>533</v>
      </c>
      <c r="B78" s="9" t="s">
        <v>577</v>
      </c>
      <c r="C78" s="9" t="s">
        <v>578</v>
      </c>
      <c r="D78" s="9" t="s">
        <v>22</v>
      </c>
      <c r="E78" s="9">
        <v>0</v>
      </c>
      <c r="F78" s="9">
        <v>0</v>
      </c>
      <c r="G78" s="9">
        <v>2.2999999999999998</v>
      </c>
      <c r="H78" s="9">
        <v>3.4</v>
      </c>
      <c r="I78" s="9">
        <v>1</v>
      </c>
      <c r="J78" s="9">
        <v>5</v>
      </c>
      <c r="K78" s="9">
        <v>29.9</v>
      </c>
      <c r="L78" s="9">
        <v>41.7</v>
      </c>
      <c r="M78" s="9">
        <v>0.4</v>
      </c>
      <c r="N78" s="9">
        <v>1.2</v>
      </c>
      <c r="O78" s="9">
        <v>0.5</v>
      </c>
      <c r="P78" s="9">
        <v>0.8</v>
      </c>
      <c r="Q78" s="9">
        <v>0.6</v>
      </c>
      <c r="R78" s="9">
        <v>1</v>
      </c>
      <c r="S78" s="9">
        <v>0.8</v>
      </c>
      <c r="T78" s="9">
        <v>3</v>
      </c>
      <c r="U78" s="9">
        <v>0</v>
      </c>
      <c r="V78" s="9">
        <v>0</v>
      </c>
      <c r="W78" s="10">
        <v>10.119999999999999</v>
      </c>
      <c r="X78" s="5">
        <f xml:space="preserve"> Z78 + AA78 + (AB78*G78) + (AC78*H78) + (AD78*I78) + (AE78*J78) + (AF78*(K78/100)) + (AG78*(L78/100))+ (AH78*(M78))</f>
        <v>10.092600000000001</v>
      </c>
      <c r="Y78" s="1">
        <f>X78-W78</f>
        <v>-2.7399999999998315E-2</v>
      </c>
      <c r="Z78">
        <f>U78</f>
        <v>0</v>
      </c>
      <c r="AA78">
        <f>V78</f>
        <v>0</v>
      </c>
      <c r="AB78">
        <f>N78</f>
        <v>1.2</v>
      </c>
      <c r="AC78">
        <f>O78</f>
        <v>0.5</v>
      </c>
      <c r="AD78">
        <f>P78</f>
        <v>0.8</v>
      </c>
      <c r="AE78">
        <f>Q78</f>
        <v>0.6</v>
      </c>
      <c r="AF78">
        <f>R78</f>
        <v>1</v>
      </c>
      <c r="AG78">
        <f>S78</f>
        <v>0.8</v>
      </c>
      <c r="AH78">
        <f t="shared" si="6"/>
        <v>3</v>
      </c>
    </row>
    <row r="79" spans="1:34" x14ac:dyDescent="0.3">
      <c r="A79" s="9" t="s">
        <v>398</v>
      </c>
      <c r="B79" s="9" t="s">
        <v>414</v>
      </c>
      <c r="C79" s="9" t="s">
        <v>415</v>
      </c>
      <c r="D79" s="9" t="s">
        <v>22</v>
      </c>
      <c r="E79" s="9">
        <v>0</v>
      </c>
      <c r="F79" s="9">
        <v>0</v>
      </c>
      <c r="G79" s="9">
        <v>3.1</v>
      </c>
      <c r="H79" s="9">
        <v>2.56</v>
      </c>
      <c r="I79" s="9">
        <v>1</v>
      </c>
      <c r="J79" s="9">
        <v>2</v>
      </c>
      <c r="K79" s="9">
        <v>69.400000000000006</v>
      </c>
      <c r="L79" s="9">
        <v>29</v>
      </c>
      <c r="M79" s="9">
        <v>0.66700000000000004</v>
      </c>
      <c r="N79" s="9">
        <v>1.2</v>
      </c>
      <c r="O79" s="9">
        <v>0.5</v>
      </c>
      <c r="P79" s="9">
        <v>0.8</v>
      </c>
      <c r="Q79" s="9">
        <v>0.6</v>
      </c>
      <c r="R79" s="9">
        <v>1</v>
      </c>
      <c r="S79" s="9">
        <v>0.8</v>
      </c>
      <c r="T79" s="9">
        <v>3</v>
      </c>
      <c r="U79" s="9">
        <v>0</v>
      </c>
      <c r="V79" s="9">
        <v>0</v>
      </c>
      <c r="W79" s="9">
        <v>9.99</v>
      </c>
      <c r="X79">
        <f xml:space="preserve"> Z79 + AA79 + (AB79*G79) + (AC79*H79) + (AD79*I79) + (AE79*J79) + (AF79*(K79/100)) + (AG79*(L79/100))+ (AH79*(M79))</f>
        <v>9.9269999999999996</v>
      </c>
      <c r="Y79" s="1">
        <f>X79-W79</f>
        <v>-6.3000000000000611E-2</v>
      </c>
      <c r="Z79">
        <f>U79</f>
        <v>0</v>
      </c>
      <c r="AA79">
        <f>V79</f>
        <v>0</v>
      </c>
      <c r="AB79">
        <f>N79</f>
        <v>1.2</v>
      </c>
      <c r="AC79">
        <f>O79</f>
        <v>0.5</v>
      </c>
      <c r="AD79">
        <f>P79</f>
        <v>0.8</v>
      </c>
      <c r="AE79">
        <f>Q79</f>
        <v>0.6</v>
      </c>
      <c r="AF79">
        <f>R79</f>
        <v>1</v>
      </c>
      <c r="AG79">
        <f>S79</f>
        <v>0.8</v>
      </c>
      <c r="AH79">
        <f t="shared" si="6"/>
        <v>3</v>
      </c>
    </row>
    <row r="80" spans="1:34" hidden="1" x14ac:dyDescent="0.3">
      <c r="A80" s="9" t="s">
        <v>533</v>
      </c>
      <c r="B80" s="9" t="s">
        <v>571</v>
      </c>
      <c r="C80" s="9" t="s">
        <v>572</v>
      </c>
      <c r="D80" s="9" t="s">
        <v>22</v>
      </c>
      <c r="E80" s="9">
        <v>0</v>
      </c>
      <c r="F80" s="9">
        <v>0</v>
      </c>
      <c r="G80" s="9">
        <v>4.7</v>
      </c>
      <c r="H80" s="9">
        <v>0</v>
      </c>
      <c r="I80" s="9">
        <v>1</v>
      </c>
      <c r="J80" s="9">
        <v>3</v>
      </c>
      <c r="K80" s="9">
        <v>43.6</v>
      </c>
      <c r="L80" s="9">
        <v>42.7</v>
      </c>
      <c r="M80" s="9">
        <v>0.33300000000000002</v>
      </c>
      <c r="N80" s="9">
        <v>1.2</v>
      </c>
      <c r="O80" s="9">
        <v>0.5</v>
      </c>
      <c r="P80" s="9">
        <v>0.8</v>
      </c>
      <c r="Q80" s="9">
        <v>0.6</v>
      </c>
      <c r="R80" s="9">
        <v>1</v>
      </c>
      <c r="S80" s="9">
        <v>0.8</v>
      </c>
      <c r="T80" s="9">
        <v>3</v>
      </c>
      <c r="U80" s="9">
        <v>0</v>
      </c>
      <c r="V80" s="9">
        <v>0</v>
      </c>
      <c r="W80" s="9">
        <v>9.9600000000000009</v>
      </c>
      <c r="X80">
        <f xml:space="preserve"> Z80 + AA80 + (AB80*G80) + (AC80*H80) + (AD80*I80) + (AE80*J80) + (AF80*(K80/100)) + (AG80*(L80/100))+ (AH80*(M80))</f>
        <v>10.016599999999999</v>
      </c>
      <c r="Y80" s="1">
        <f>X80-W80</f>
        <v>5.6599999999997763E-2</v>
      </c>
      <c r="Z80">
        <f>U80</f>
        <v>0</v>
      </c>
      <c r="AA80">
        <f>V80</f>
        <v>0</v>
      </c>
      <c r="AB80">
        <f>N80</f>
        <v>1.2</v>
      </c>
      <c r="AC80">
        <f>O80</f>
        <v>0.5</v>
      </c>
      <c r="AD80">
        <f>P80</f>
        <v>0.8</v>
      </c>
      <c r="AE80">
        <f>Q80</f>
        <v>0.6</v>
      </c>
      <c r="AF80">
        <f>R80</f>
        <v>1</v>
      </c>
      <c r="AG80">
        <f>S80</f>
        <v>0.8</v>
      </c>
      <c r="AH80">
        <f t="shared" si="6"/>
        <v>3</v>
      </c>
    </row>
    <row r="81" spans="1:34" hidden="1" x14ac:dyDescent="0.3">
      <c r="A81" s="9" t="s">
        <v>221</v>
      </c>
      <c r="B81" s="9" t="s">
        <v>340</v>
      </c>
      <c r="C81" s="9" t="s">
        <v>341</v>
      </c>
      <c r="D81" s="9" t="s">
        <v>22</v>
      </c>
      <c r="E81" s="9">
        <v>0</v>
      </c>
      <c r="F81" s="9">
        <v>0</v>
      </c>
      <c r="G81" s="9">
        <v>5.0999999999999996</v>
      </c>
      <c r="H81" s="9">
        <v>3.99</v>
      </c>
      <c r="I81" s="9">
        <v>1</v>
      </c>
      <c r="J81" s="9">
        <v>0</v>
      </c>
      <c r="K81" s="9">
        <v>24.1</v>
      </c>
      <c r="L81" s="9">
        <v>0</v>
      </c>
      <c r="M81" s="9">
        <v>0.222</v>
      </c>
      <c r="N81" s="9">
        <v>1.2</v>
      </c>
      <c r="O81" s="9">
        <v>0.5</v>
      </c>
      <c r="P81" s="9">
        <v>0.8</v>
      </c>
      <c r="Q81" s="9">
        <v>0.6</v>
      </c>
      <c r="R81" s="9">
        <v>1</v>
      </c>
      <c r="S81" s="9">
        <v>0.8</v>
      </c>
      <c r="T81" s="9">
        <v>3</v>
      </c>
      <c r="U81" s="9">
        <v>0</v>
      </c>
      <c r="V81" s="9">
        <v>0</v>
      </c>
      <c r="W81" s="10">
        <v>9.84</v>
      </c>
      <c r="X81" s="5">
        <f xml:space="preserve"> Z81 + AA81 + (AB81*G81) + (AC81*H81) + (AD81*I81) + (AE81*J81) + (AF81*(K81/100)) + (AG81*(L81/100))+ (AH81*(M81))</f>
        <v>9.8219999999999992</v>
      </c>
      <c r="Y81" s="1">
        <f>X81-W81</f>
        <v>-1.8000000000000682E-2</v>
      </c>
      <c r="Z81">
        <f>U81</f>
        <v>0</v>
      </c>
      <c r="AA81">
        <f>V81</f>
        <v>0</v>
      </c>
      <c r="AB81">
        <f>N81</f>
        <v>1.2</v>
      </c>
      <c r="AC81">
        <f>O81</f>
        <v>0.5</v>
      </c>
      <c r="AD81">
        <f>P81</f>
        <v>0.8</v>
      </c>
      <c r="AE81">
        <f>Q81</f>
        <v>0.6</v>
      </c>
      <c r="AF81">
        <f>R81</f>
        <v>1</v>
      </c>
      <c r="AG81">
        <f>S81</f>
        <v>0.8</v>
      </c>
      <c r="AH81">
        <f t="shared" si="6"/>
        <v>3</v>
      </c>
    </row>
    <row r="82" spans="1:34" hidden="1" x14ac:dyDescent="0.3">
      <c r="A82" s="9" t="s">
        <v>533</v>
      </c>
      <c r="B82" s="9" t="s">
        <v>622</v>
      </c>
      <c r="C82" s="9" t="s">
        <v>623</v>
      </c>
      <c r="D82" s="9" t="s">
        <v>22</v>
      </c>
      <c r="E82" s="9">
        <v>0</v>
      </c>
      <c r="F82" s="9">
        <v>0</v>
      </c>
      <c r="G82" s="9">
        <v>4.7</v>
      </c>
      <c r="H82" s="9">
        <v>1.61</v>
      </c>
      <c r="I82" s="9">
        <v>1</v>
      </c>
      <c r="J82" s="9">
        <v>2</v>
      </c>
      <c r="K82" s="9">
        <v>32.6</v>
      </c>
      <c r="L82" s="9">
        <v>40.299999999999997</v>
      </c>
      <c r="M82" s="9">
        <v>0.222</v>
      </c>
      <c r="N82" s="9">
        <v>1.2</v>
      </c>
      <c r="O82" s="9">
        <v>0.5</v>
      </c>
      <c r="P82" s="9">
        <v>0.8</v>
      </c>
      <c r="Q82" s="9">
        <v>0.6</v>
      </c>
      <c r="R82" s="9">
        <v>1</v>
      </c>
      <c r="S82" s="9">
        <v>0.8</v>
      </c>
      <c r="T82" s="9">
        <v>3</v>
      </c>
      <c r="U82" s="9">
        <v>0</v>
      </c>
      <c r="V82" s="9">
        <v>0</v>
      </c>
      <c r="W82" s="10">
        <v>9.6999999999999993</v>
      </c>
      <c r="X82" s="5">
        <f xml:space="preserve"> Z82 + AA82 + (AB82*G82) + (AC82*H82) + (AD82*I82) + (AE82*J82) + (AF82*(K82/100)) + (AG82*(L82/100))+ (AH82*(M82))</f>
        <v>9.7593999999999994</v>
      </c>
      <c r="Y82" s="1">
        <f>X82-W82</f>
        <v>5.9400000000000119E-2</v>
      </c>
      <c r="Z82">
        <f>U82</f>
        <v>0</v>
      </c>
      <c r="AA82">
        <f>V82</f>
        <v>0</v>
      </c>
      <c r="AB82">
        <f>N82</f>
        <v>1.2</v>
      </c>
      <c r="AC82">
        <f>O82</f>
        <v>0.5</v>
      </c>
      <c r="AD82">
        <f>P82</f>
        <v>0.8</v>
      </c>
      <c r="AE82">
        <f>Q82</f>
        <v>0.6</v>
      </c>
      <c r="AF82">
        <f>R82</f>
        <v>1</v>
      </c>
      <c r="AG82">
        <f>S82</f>
        <v>0.8</v>
      </c>
      <c r="AH82">
        <f t="shared" si="6"/>
        <v>3</v>
      </c>
    </row>
    <row r="83" spans="1:34" hidden="1" x14ac:dyDescent="0.3">
      <c r="A83" s="9" t="s">
        <v>221</v>
      </c>
      <c r="B83" s="9" t="s">
        <v>264</v>
      </c>
      <c r="C83" s="9" t="s">
        <v>265</v>
      </c>
      <c r="D83" s="9" t="s">
        <v>22</v>
      </c>
      <c r="E83" s="9">
        <v>0</v>
      </c>
      <c r="F83" s="9">
        <v>0</v>
      </c>
      <c r="G83" s="9">
        <v>1.6</v>
      </c>
      <c r="H83" s="9">
        <v>2.2999999999999998</v>
      </c>
      <c r="I83" s="9">
        <v>2</v>
      </c>
      <c r="J83" s="9">
        <v>2</v>
      </c>
      <c r="K83" s="9">
        <v>42.4</v>
      </c>
      <c r="L83" s="9">
        <v>51.4</v>
      </c>
      <c r="M83" s="9">
        <v>1</v>
      </c>
      <c r="N83" s="9">
        <v>1.2</v>
      </c>
      <c r="O83" s="9">
        <v>0.5</v>
      </c>
      <c r="P83" s="9">
        <v>0.8</v>
      </c>
      <c r="Q83" s="9">
        <v>0.6</v>
      </c>
      <c r="R83" s="9">
        <v>1</v>
      </c>
      <c r="S83" s="9">
        <v>0.8</v>
      </c>
      <c r="T83" s="9">
        <v>3</v>
      </c>
      <c r="U83" s="9">
        <v>0</v>
      </c>
      <c r="V83" s="9">
        <v>0</v>
      </c>
      <c r="W83" s="9">
        <v>9.68</v>
      </c>
      <c r="X83">
        <f xml:space="preserve"> Z83 + AA83 + (AB83*G83) + (AC83*H83) + (AD83*I83) + (AE83*J83) + (AF83*(K83/100)) + (AG83*(L83/100))+ (AH83*(M83))</f>
        <v>9.7052000000000014</v>
      </c>
      <c r="Y83" s="1">
        <f>X83-W83</f>
        <v>2.5200000000001666E-2</v>
      </c>
      <c r="Z83">
        <f>U83</f>
        <v>0</v>
      </c>
      <c r="AA83">
        <f>V83</f>
        <v>0</v>
      </c>
      <c r="AB83">
        <f>N83</f>
        <v>1.2</v>
      </c>
      <c r="AC83">
        <f>O83</f>
        <v>0.5</v>
      </c>
      <c r="AD83">
        <f>P83</f>
        <v>0.8</v>
      </c>
      <c r="AE83">
        <f>Q83</f>
        <v>0.6</v>
      </c>
      <c r="AF83">
        <f>R83</f>
        <v>1</v>
      </c>
      <c r="AG83">
        <f>S83</f>
        <v>0.8</v>
      </c>
      <c r="AH83">
        <f t="shared" si="6"/>
        <v>3</v>
      </c>
    </row>
    <row r="84" spans="1:34" x14ac:dyDescent="0.3">
      <c r="A84" s="9" t="s">
        <v>398</v>
      </c>
      <c r="B84" s="9" t="s">
        <v>408</v>
      </c>
      <c r="C84" s="9" t="s">
        <v>409</v>
      </c>
      <c r="D84" s="9" t="s">
        <v>22</v>
      </c>
      <c r="E84" s="9">
        <v>0</v>
      </c>
      <c r="F84" s="9">
        <v>0</v>
      </c>
      <c r="G84" s="9">
        <v>2.8</v>
      </c>
      <c r="H84" s="9">
        <v>3.3</v>
      </c>
      <c r="I84" s="9">
        <v>0</v>
      </c>
      <c r="J84" s="9">
        <v>5</v>
      </c>
      <c r="K84" s="9">
        <v>0</v>
      </c>
      <c r="L84" s="9">
        <v>43.6</v>
      </c>
      <c r="M84" s="9">
        <v>0.4</v>
      </c>
      <c r="N84" s="9">
        <v>1.2</v>
      </c>
      <c r="O84" s="9">
        <v>0.5</v>
      </c>
      <c r="P84" s="9">
        <v>0.8</v>
      </c>
      <c r="Q84" s="9">
        <v>0.6</v>
      </c>
      <c r="R84" s="9">
        <v>1</v>
      </c>
      <c r="S84" s="9">
        <v>0.8</v>
      </c>
      <c r="T84" s="9">
        <v>3</v>
      </c>
      <c r="U84" s="9">
        <v>0</v>
      </c>
      <c r="V84" s="9">
        <v>0</v>
      </c>
      <c r="W84" s="9">
        <v>9.5</v>
      </c>
      <c r="X84">
        <f xml:space="preserve"> Z84 + AA84 + (AB84*G84) + (AC84*H84) + (AD84*I84) + (AE84*J84) + (AF84*(K84/100)) + (AG84*(L84/100))+ (AH84*(M84))</f>
        <v>9.5588000000000015</v>
      </c>
      <c r="Y84" s="1">
        <f>X84-W84</f>
        <v>5.8800000000001518E-2</v>
      </c>
      <c r="Z84">
        <f t="shared" ref="Z84:Z85" si="9">U84</f>
        <v>0</v>
      </c>
      <c r="AA84">
        <f t="shared" ref="AA84:AA85" si="10">V84</f>
        <v>0</v>
      </c>
      <c r="AB84">
        <f t="shared" ref="AB84:AB85" si="11">N84</f>
        <v>1.2</v>
      </c>
      <c r="AC84">
        <f t="shared" ref="AC84:AC85" si="12">O84</f>
        <v>0.5</v>
      </c>
      <c r="AD84">
        <f t="shared" ref="AD84:AD85" si="13">P84</f>
        <v>0.8</v>
      </c>
      <c r="AE84">
        <f t="shared" ref="AE84:AE85" si="14">Q84</f>
        <v>0.6</v>
      </c>
      <c r="AF84">
        <f t="shared" ref="AF84:AF85" si="15">R84</f>
        <v>1</v>
      </c>
      <c r="AG84">
        <f t="shared" ref="AG84:AG85" si="16">S84</f>
        <v>0.8</v>
      </c>
      <c r="AH84">
        <f t="shared" si="6"/>
        <v>3</v>
      </c>
    </row>
    <row r="85" spans="1:34" x14ac:dyDescent="0.3">
      <c r="A85" s="9" t="s">
        <v>398</v>
      </c>
      <c r="B85" s="9" t="s">
        <v>492</v>
      </c>
      <c r="C85" s="9" t="s">
        <v>493</v>
      </c>
      <c r="D85" s="9" t="s">
        <v>22</v>
      </c>
      <c r="E85" s="9">
        <v>0</v>
      </c>
      <c r="F85" s="9">
        <v>0</v>
      </c>
      <c r="G85" s="9">
        <v>0</v>
      </c>
      <c r="H85" s="9">
        <v>3.97</v>
      </c>
      <c r="I85" s="9">
        <v>2</v>
      </c>
      <c r="J85" s="9">
        <v>7</v>
      </c>
      <c r="K85" s="9">
        <v>31.4</v>
      </c>
      <c r="L85" s="9">
        <v>39.9</v>
      </c>
      <c r="M85" s="9">
        <v>0.33300000000000002</v>
      </c>
      <c r="N85" s="9">
        <v>1.2</v>
      </c>
      <c r="O85" s="9">
        <v>0.5</v>
      </c>
      <c r="P85" s="9">
        <v>0.8</v>
      </c>
      <c r="Q85" s="9">
        <v>0.6</v>
      </c>
      <c r="R85" s="9">
        <v>1</v>
      </c>
      <c r="S85" s="9">
        <v>0.8</v>
      </c>
      <c r="T85" s="9">
        <v>3</v>
      </c>
      <c r="U85" s="9">
        <v>0</v>
      </c>
      <c r="V85" s="9">
        <v>0</v>
      </c>
      <c r="W85" s="9">
        <v>9.42</v>
      </c>
      <c r="X85">
        <f xml:space="preserve"> Z85 + AA85 + (AB85*G85) + (AC85*H85) + (AD85*I85) + (AE85*J85) + (AF85*(K85/100)) + (AG85*(L85/100))+ (AH85*(M85))</f>
        <v>9.4172000000000011</v>
      </c>
      <c r="Y85" s="1">
        <f>X85-W85</f>
        <v>-2.7999999999988034E-3</v>
      </c>
      <c r="Z85">
        <f t="shared" si="9"/>
        <v>0</v>
      </c>
      <c r="AA85">
        <f t="shared" si="10"/>
        <v>0</v>
      </c>
      <c r="AB85">
        <f t="shared" si="11"/>
        <v>1.2</v>
      </c>
      <c r="AC85">
        <f t="shared" si="12"/>
        <v>0.5</v>
      </c>
      <c r="AD85">
        <f t="shared" si="13"/>
        <v>0.8</v>
      </c>
      <c r="AE85">
        <f t="shared" si="14"/>
        <v>0.6</v>
      </c>
      <c r="AF85">
        <f t="shared" si="15"/>
        <v>1</v>
      </c>
      <c r="AG85">
        <f t="shared" si="16"/>
        <v>0.8</v>
      </c>
      <c r="AH85">
        <f t="shared" si="6"/>
        <v>3</v>
      </c>
    </row>
    <row r="86" spans="1:34" hidden="1" x14ac:dyDescent="0.3">
      <c r="A86" s="9" t="s">
        <v>533</v>
      </c>
      <c r="B86" s="9" t="s">
        <v>553</v>
      </c>
      <c r="C86" s="9" t="s">
        <v>554</v>
      </c>
      <c r="D86" s="9" t="s">
        <v>22</v>
      </c>
      <c r="E86" s="9">
        <v>0</v>
      </c>
      <c r="F86" s="9">
        <v>0</v>
      </c>
      <c r="G86" s="9">
        <v>2.2999999999999998</v>
      </c>
      <c r="H86" s="9">
        <v>3.4</v>
      </c>
      <c r="I86" s="9">
        <v>0</v>
      </c>
      <c r="J86" s="9">
        <v>6</v>
      </c>
      <c r="K86" s="9">
        <v>0</v>
      </c>
      <c r="L86" s="9">
        <v>38.6</v>
      </c>
      <c r="M86" s="9">
        <v>0.33300000000000002</v>
      </c>
      <c r="N86" s="9">
        <v>1.2</v>
      </c>
      <c r="O86" s="9">
        <v>0.5</v>
      </c>
      <c r="P86" s="9">
        <v>0.8</v>
      </c>
      <c r="Q86" s="9">
        <v>0.6</v>
      </c>
      <c r="R86" s="9">
        <v>1</v>
      </c>
      <c r="S86" s="9">
        <v>0.8</v>
      </c>
      <c r="T86" s="9">
        <v>3</v>
      </c>
      <c r="U86" s="9">
        <v>0</v>
      </c>
      <c r="V86" s="9">
        <v>0</v>
      </c>
      <c r="W86" s="10">
        <v>9.4</v>
      </c>
      <c r="X86" s="5">
        <f xml:space="preserve"> Z86 + AA86 + (AB86*G86) + (AC86*H86) + (AD86*I86) + (AE86*J86) + (AF86*(K86/100)) + (AG86*(L86/100))+ (AH86*(M86))</f>
        <v>9.367799999999999</v>
      </c>
      <c r="Y86" s="1">
        <f>X86-W86</f>
        <v>-3.2200000000001339E-2</v>
      </c>
      <c r="Z86">
        <f>U86</f>
        <v>0</v>
      </c>
      <c r="AA86">
        <f>V86</f>
        <v>0</v>
      </c>
      <c r="AB86">
        <f>N86</f>
        <v>1.2</v>
      </c>
      <c r="AC86">
        <f>O86</f>
        <v>0.5</v>
      </c>
      <c r="AD86">
        <f>P86</f>
        <v>0.8</v>
      </c>
      <c r="AE86">
        <f>Q86</f>
        <v>0.6</v>
      </c>
      <c r="AF86">
        <f>R86</f>
        <v>1</v>
      </c>
      <c r="AG86">
        <f>S86</f>
        <v>0.8</v>
      </c>
      <c r="AH86">
        <f t="shared" si="6"/>
        <v>3</v>
      </c>
    </row>
    <row r="87" spans="1:34" hidden="1" x14ac:dyDescent="0.3">
      <c r="A87" s="9" t="s">
        <v>54</v>
      </c>
      <c r="B87" s="9" t="s">
        <v>84</v>
      </c>
      <c r="C87" s="9" t="s">
        <v>85</v>
      </c>
      <c r="D87" s="9" t="s">
        <v>22</v>
      </c>
      <c r="E87" s="9">
        <v>0</v>
      </c>
      <c r="F87" s="9">
        <v>0</v>
      </c>
      <c r="G87" s="9">
        <v>3.6</v>
      </c>
      <c r="H87" s="9">
        <v>1.95</v>
      </c>
      <c r="I87" s="9">
        <v>1</v>
      </c>
      <c r="J87" s="9">
        <v>2</v>
      </c>
      <c r="K87" s="9">
        <v>29.5</v>
      </c>
      <c r="L87" s="9">
        <v>38.700000000000003</v>
      </c>
      <c r="M87" s="9">
        <v>0.5</v>
      </c>
      <c r="N87" s="9">
        <v>1.2</v>
      </c>
      <c r="O87" s="9">
        <v>0.5</v>
      </c>
      <c r="P87" s="9">
        <v>0.8</v>
      </c>
      <c r="Q87" s="9">
        <v>0.6</v>
      </c>
      <c r="R87" s="9">
        <v>1</v>
      </c>
      <c r="S87" s="9">
        <v>0.8</v>
      </c>
      <c r="T87" s="9">
        <v>3</v>
      </c>
      <c r="U87" s="9">
        <v>0</v>
      </c>
      <c r="V87" s="9">
        <v>0</v>
      </c>
      <c r="W87" s="9">
        <v>9.36</v>
      </c>
      <c r="X87" s="6">
        <f xml:space="preserve"> Z87 + AA87 + (AB87*G87) + (AC87*H87) + (AD87*I87) + (AE87*J87) + (AF87*(K87/100)) + (AG87*(L87/100))+ (AH87*(M87))</f>
        <v>17.0246</v>
      </c>
      <c r="Y87" s="7">
        <f>X87-W87</f>
        <v>7.6646000000000001</v>
      </c>
      <c r="Z87" s="6">
        <f>U87</f>
        <v>0</v>
      </c>
      <c r="AA87" s="6">
        <f>V87</f>
        <v>0</v>
      </c>
      <c r="AB87" s="6">
        <f>N87</f>
        <v>1.2</v>
      </c>
      <c r="AC87" s="6">
        <v>4</v>
      </c>
      <c r="AD87" s="6">
        <f>P87</f>
        <v>0.8</v>
      </c>
      <c r="AE87" s="6">
        <v>1</v>
      </c>
      <c r="AF87" s="6">
        <f>R87</f>
        <v>1</v>
      </c>
      <c r="AG87" s="6">
        <f>S87</f>
        <v>0.8</v>
      </c>
      <c r="AH87">
        <f t="shared" si="6"/>
        <v>3</v>
      </c>
    </row>
    <row r="88" spans="1:34" hidden="1" x14ac:dyDescent="0.3">
      <c r="A88" s="9" t="s">
        <v>533</v>
      </c>
      <c r="B88" s="9" t="s">
        <v>607</v>
      </c>
      <c r="C88" s="9" t="s">
        <v>608</v>
      </c>
      <c r="D88" s="9" t="s">
        <v>22</v>
      </c>
      <c r="E88" s="9">
        <v>0</v>
      </c>
      <c r="F88" s="9">
        <v>0</v>
      </c>
      <c r="G88" s="9">
        <v>4.7</v>
      </c>
      <c r="H88" s="9">
        <v>0</v>
      </c>
      <c r="I88" s="9">
        <v>1</v>
      </c>
      <c r="J88" s="9">
        <v>2</v>
      </c>
      <c r="K88" s="9">
        <v>43.6</v>
      </c>
      <c r="L88" s="9">
        <v>42.1</v>
      </c>
      <c r="M88" s="9">
        <v>0.33300000000000002</v>
      </c>
      <c r="N88" s="9">
        <v>1.2</v>
      </c>
      <c r="O88" s="9">
        <v>0.5</v>
      </c>
      <c r="P88" s="9">
        <v>0.8</v>
      </c>
      <c r="Q88" s="9">
        <v>0.6</v>
      </c>
      <c r="R88" s="9">
        <v>1</v>
      </c>
      <c r="S88" s="9">
        <v>0.8</v>
      </c>
      <c r="T88" s="9">
        <v>3</v>
      </c>
      <c r="U88" s="9">
        <v>0</v>
      </c>
      <c r="V88" s="9">
        <v>0</v>
      </c>
      <c r="W88" s="9">
        <v>9.35</v>
      </c>
      <c r="X88">
        <f xml:space="preserve"> Z88 + AA88 + (AB88*G88) + (AC88*H88) + (AD88*I88) + (AE88*J88) + (AF88*(K88/100)) + (AG88*(L88/100))+ (AH88*(M88))</f>
        <v>9.4118000000000013</v>
      </c>
      <c r="Y88" s="1">
        <f>X88-W88</f>
        <v>6.1800000000001631E-2</v>
      </c>
      <c r="Z88">
        <f>U88</f>
        <v>0</v>
      </c>
      <c r="AA88">
        <f>V88</f>
        <v>0</v>
      </c>
      <c r="AB88">
        <f>N88</f>
        <v>1.2</v>
      </c>
      <c r="AC88">
        <f>O88</f>
        <v>0.5</v>
      </c>
      <c r="AD88">
        <f>P88</f>
        <v>0.8</v>
      </c>
      <c r="AE88">
        <f>Q88</f>
        <v>0.6</v>
      </c>
      <c r="AF88">
        <f>R88</f>
        <v>1</v>
      </c>
      <c r="AG88">
        <f>S88</f>
        <v>0.8</v>
      </c>
      <c r="AH88">
        <f t="shared" si="6"/>
        <v>3</v>
      </c>
    </row>
    <row r="89" spans="1:34" hidden="1" x14ac:dyDescent="0.3">
      <c r="A89" s="9" t="s">
        <v>533</v>
      </c>
      <c r="B89" s="9" t="s">
        <v>603</v>
      </c>
      <c r="C89" s="9" t="s">
        <v>604</v>
      </c>
      <c r="D89" s="9" t="s">
        <v>22</v>
      </c>
      <c r="E89" s="9">
        <v>0</v>
      </c>
      <c r="F89" s="9">
        <v>0</v>
      </c>
      <c r="G89" s="9">
        <v>0</v>
      </c>
      <c r="H89" s="9">
        <v>0</v>
      </c>
      <c r="I89" s="9">
        <v>2</v>
      </c>
      <c r="J89" s="9">
        <v>9</v>
      </c>
      <c r="K89" s="9">
        <v>46.1</v>
      </c>
      <c r="L89" s="9">
        <v>37.299999999999997</v>
      </c>
      <c r="M89" s="9">
        <v>0.5</v>
      </c>
      <c r="N89" s="9">
        <v>1.2</v>
      </c>
      <c r="O89" s="9">
        <v>0.5</v>
      </c>
      <c r="P89" s="9">
        <v>0.8</v>
      </c>
      <c r="Q89" s="9">
        <v>0.6</v>
      </c>
      <c r="R89" s="9">
        <v>1</v>
      </c>
      <c r="S89" s="9">
        <v>0.8</v>
      </c>
      <c r="T89" s="9">
        <v>3</v>
      </c>
      <c r="U89" s="9">
        <v>0</v>
      </c>
      <c r="V89" s="9">
        <v>0</v>
      </c>
      <c r="W89" s="9">
        <v>9.26</v>
      </c>
      <c r="X89">
        <f xml:space="preserve"> Z89 + AA89 + (AB89*G89) + (AC89*H89) + (AD89*I89) + (AE89*J89) + (AF89*(K89/100)) + (AG89*(L89/100))+ (AH89*(M89))</f>
        <v>9.2593999999999994</v>
      </c>
      <c r="Y89" s="1">
        <f>X89-W89</f>
        <v>-6.0000000000037801E-4</v>
      </c>
      <c r="Z89">
        <f>U89</f>
        <v>0</v>
      </c>
      <c r="AA89">
        <f>V89</f>
        <v>0</v>
      </c>
      <c r="AB89">
        <f>N89</f>
        <v>1.2</v>
      </c>
      <c r="AC89">
        <f>O89</f>
        <v>0.5</v>
      </c>
      <c r="AD89">
        <f>P89</f>
        <v>0.8</v>
      </c>
      <c r="AE89">
        <f>Q89</f>
        <v>0.6</v>
      </c>
      <c r="AF89">
        <f>R89</f>
        <v>1</v>
      </c>
      <c r="AG89">
        <f>S89</f>
        <v>0.8</v>
      </c>
      <c r="AH89">
        <f t="shared" si="6"/>
        <v>3</v>
      </c>
    </row>
    <row r="90" spans="1:34" hidden="1" x14ac:dyDescent="0.3">
      <c r="A90" s="9" t="s">
        <v>533</v>
      </c>
      <c r="B90" s="9" t="s">
        <v>575</v>
      </c>
      <c r="C90" s="9" t="s">
        <v>576</v>
      </c>
      <c r="D90" s="9" t="s">
        <v>22</v>
      </c>
      <c r="E90" s="9">
        <v>0</v>
      </c>
      <c r="F90" s="9">
        <v>0</v>
      </c>
      <c r="G90" s="9">
        <v>4.7</v>
      </c>
      <c r="H90" s="9">
        <v>0</v>
      </c>
      <c r="I90" s="9">
        <v>1</v>
      </c>
      <c r="J90" s="9">
        <v>2</v>
      </c>
      <c r="K90" s="9">
        <v>43.6</v>
      </c>
      <c r="L90" s="9">
        <v>45.1</v>
      </c>
      <c r="M90" s="9">
        <v>0.222</v>
      </c>
      <c r="N90" s="9">
        <v>1.2</v>
      </c>
      <c r="O90" s="9">
        <v>0.5</v>
      </c>
      <c r="P90" s="9">
        <v>0.8</v>
      </c>
      <c r="Q90" s="9">
        <v>0.6</v>
      </c>
      <c r="R90" s="9">
        <v>1</v>
      </c>
      <c r="S90" s="9">
        <v>0.8</v>
      </c>
      <c r="T90" s="9">
        <v>3</v>
      </c>
      <c r="U90" s="9">
        <v>0</v>
      </c>
      <c r="V90" s="9">
        <v>0</v>
      </c>
      <c r="W90" s="9">
        <v>9.0399999999999991</v>
      </c>
      <c r="X90">
        <f xml:space="preserve"> Z90 + AA90 + (AB90*G90) + (AC90*H90) + (AD90*I90) + (AE90*J90) + (AF90*(K90/100)) + (AG90*(L90/100))+ (AH90*(M90))</f>
        <v>9.1028000000000002</v>
      </c>
      <c r="Y90" s="1">
        <f>X90-W90</f>
        <v>6.2800000000001077E-2</v>
      </c>
      <c r="Z90">
        <f>U90</f>
        <v>0</v>
      </c>
      <c r="AA90">
        <f>V90</f>
        <v>0</v>
      </c>
      <c r="AB90">
        <f>N90</f>
        <v>1.2</v>
      </c>
      <c r="AC90">
        <f>O90</f>
        <v>0.5</v>
      </c>
      <c r="AD90">
        <f>P90</f>
        <v>0.8</v>
      </c>
      <c r="AE90">
        <f>Q90</f>
        <v>0.6</v>
      </c>
      <c r="AF90">
        <f>R90</f>
        <v>1</v>
      </c>
      <c r="AG90">
        <f>S90</f>
        <v>0.8</v>
      </c>
      <c r="AH90">
        <f t="shared" ref="AH90:AH92" si="17">T90</f>
        <v>3</v>
      </c>
    </row>
    <row r="91" spans="1:34" x14ac:dyDescent="0.3">
      <c r="A91" s="9" t="s">
        <v>398</v>
      </c>
      <c r="B91" s="9" t="s">
        <v>504</v>
      </c>
      <c r="C91" s="9" t="s">
        <v>505</v>
      </c>
      <c r="D91" s="9" t="s">
        <v>22</v>
      </c>
      <c r="E91" s="9">
        <v>0</v>
      </c>
      <c r="F91" s="9">
        <v>0</v>
      </c>
      <c r="G91" s="9">
        <v>3.5</v>
      </c>
      <c r="H91" s="9">
        <v>3.18</v>
      </c>
      <c r="I91" s="9">
        <v>1</v>
      </c>
      <c r="J91" s="9">
        <v>0</v>
      </c>
      <c r="K91" s="9">
        <v>34.1</v>
      </c>
      <c r="L91" s="9">
        <v>0</v>
      </c>
      <c r="M91" s="9">
        <v>0.66700000000000004</v>
      </c>
      <c r="N91" s="9">
        <v>1.2</v>
      </c>
      <c r="O91" s="9">
        <v>0.5</v>
      </c>
      <c r="P91" s="9">
        <v>0.8</v>
      </c>
      <c r="Q91" s="9">
        <v>0.6</v>
      </c>
      <c r="R91" s="9">
        <v>1</v>
      </c>
      <c r="S91" s="9">
        <v>0.8</v>
      </c>
      <c r="T91" s="9">
        <v>3</v>
      </c>
      <c r="U91" s="9">
        <v>0</v>
      </c>
      <c r="V91" s="9">
        <v>0</v>
      </c>
      <c r="W91" s="9">
        <v>8.98</v>
      </c>
      <c r="X91">
        <f xml:space="preserve"> Z91 + AA91 + (AB91*G91) + (AC91*H91) + (AD91*I91) + (AE91*J91) + (AF91*(K91/100)) + (AG91*(L91/100))+ (AH91*(M91))</f>
        <v>8.9320000000000004</v>
      </c>
      <c r="Y91" s="1">
        <f>X91-W91</f>
        <v>-4.8000000000000043E-2</v>
      </c>
      <c r="Z91">
        <f t="shared" ref="Z91:Z92" si="18">U91</f>
        <v>0</v>
      </c>
      <c r="AA91">
        <f t="shared" ref="AA91:AA92" si="19">V91</f>
        <v>0</v>
      </c>
      <c r="AB91">
        <f t="shared" ref="AB91:AB92" si="20">N91</f>
        <v>1.2</v>
      </c>
      <c r="AC91">
        <f t="shared" ref="AC91:AC92" si="21">O91</f>
        <v>0.5</v>
      </c>
      <c r="AD91">
        <f t="shared" ref="AD91:AD92" si="22">P91</f>
        <v>0.8</v>
      </c>
      <c r="AE91">
        <f t="shared" ref="AE91:AE92" si="23">Q91</f>
        <v>0.6</v>
      </c>
      <c r="AF91">
        <f t="shared" ref="AF91:AF92" si="24">R91</f>
        <v>1</v>
      </c>
      <c r="AG91">
        <f t="shared" ref="AG91:AG92" si="25">S91</f>
        <v>0.8</v>
      </c>
      <c r="AH91">
        <f t="shared" si="17"/>
        <v>3</v>
      </c>
    </row>
    <row r="92" spans="1:34" x14ac:dyDescent="0.3">
      <c r="A92" s="9" t="s">
        <v>398</v>
      </c>
      <c r="B92" s="9" t="s">
        <v>446</v>
      </c>
      <c r="C92" s="9" t="s">
        <v>447</v>
      </c>
      <c r="D92" s="9" t="s">
        <v>22</v>
      </c>
      <c r="E92" s="9">
        <v>0</v>
      </c>
      <c r="F92" s="9">
        <v>0</v>
      </c>
      <c r="G92" s="9">
        <v>1.6</v>
      </c>
      <c r="H92" s="9">
        <v>3.3</v>
      </c>
      <c r="I92" s="9">
        <v>1</v>
      </c>
      <c r="J92" s="9">
        <v>2</v>
      </c>
      <c r="K92" s="9">
        <v>13.9</v>
      </c>
      <c r="L92" s="9">
        <v>34.5</v>
      </c>
      <c r="M92" s="9">
        <v>1</v>
      </c>
      <c r="N92" s="9">
        <v>1.2</v>
      </c>
      <c r="O92" s="9">
        <v>0.5</v>
      </c>
      <c r="P92" s="9">
        <v>0.8</v>
      </c>
      <c r="Q92" s="9">
        <v>0.6</v>
      </c>
      <c r="R92" s="9">
        <v>1</v>
      </c>
      <c r="S92" s="9">
        <v>0.8</v>
      </c>
      <c r="T92" s="9">
        <v>3</v>
      </c>
      <c r="U92" s="9">
        <v>0</v>
      </c>
      <c r="V92" s="9">
        <v>0</v>
      </c>
      <c r="W92" s="10">
        <v>8.9499999999999993</v>
      </c>
      <c r="X92" s="5">
        <f xml:space="preserve"> Z92 + AA92 + (AB92*G92) + (AC92*H92) + (AD92*I92) + (AE92*J92) + (AF92*(K92/100)) + (AG92*(L92/100))+ (AH92*(M92))</f>
        <v>8.9849999999999994</v>
      </c>
      <c r="Y92" s="1">
        <f>X92-W92</f>
        <v>3.5000000000000142E-2</v>
      </c>
      <c r="Z92">
        <f t="shared" si="18"/>
        <v>0</v>
      </c>
      <c r="AA92">
        <f t="shared" si="19"/>
        <v>0</v>
      </c>
      <c r="AB92">
        <f t="shared" si="20"/>
        <v>1.2</v>
      </c>
      <c r="AC92">
        <f t="shared" si="21"/>
        <v>0.5</v>
      </c>
      <c r="AD92">
        <f t="shared" si="22"/>
        <v>0.8</v>
      </c>
      <c r="AE92">
        <f t="shared" si="23"/>
        <v>0.6</v>
      </c>
      <c r="AF92">
        <f t="shared" si="24"/>
        <v>1</v>
      </c>
      <c r="AG92">
        <f t="shared" si="25"/>
        <v>0.8</v>
      </c>
      <c r="AH92">
        <f t="shared" si="17"/>
        <v>3</v>
      </c>
    </row>
    <row r="93" spans="1:34" hidden="1" x14ac:dyDescent="0.3">
      <c r="A93" s="9" t="s">
        <v>661</v>
      </c>
      <c r="B93" s="9" t="s">
        <v>673</v>
      </c>
      <c r="C93" s="9" t="s">
        <v>674</v>
      </c>
      <c r="D93" s="9" t="s">
        <v>22</v>
      </c>
      <c r="E93" s="9">
        <v>0</v>
      </c>
      <c r="F93" s="9">
        <v>0</v>
      </c>
      <c r="G93" s="9">
        <v>4.7</v>
      </c>
      <c r="H93" s="9">
        <v>0</v>
      </c>
      <c r="I93" s="9">
        <v>1</v>
      </c>
      <c r="J93" s="9">
        <v>2</v>
      </c>
      <c r="K93" s="9">
        <v>43.6</v>
      </c>
      <c r="L93" s="9">
        <v>44.6</v>
      </c>
      <c r="M93" s="9">
        <v>0.182</v>
      </c>
      <c r="N93" s="9">
        <v>1.2</v>
      </c>
      <c r="O93" s="9">
        <v>0.5</v>
      </c>
      <c r="P93" s="9">
        <v>0.8</v>
      </c>
      <c r="Q93" s="9">
        <v>0.6</v>
      </c>
      <c r="R93" s="9">
        <v>1</v>
      </c>
      <c r="S93" s="9">
        <v>0.8</v>
      </c>
      <c r="T93" s="9">
        <v>3</v>
      </c>
      <c r="U93" s="9">
        <v>0</v>
      </c>
      <c r="V93" s="9">
        <v>0</v>
      </c>
      <c r="W93" s="10">
        <v>8.92</v>
      </c>
      <c r="AH93">
        <f t="shared" si="6"/>
        <v>3</v>
      </c>
    </row>
    <row r="94" spans="1:34" hidden="1" x14ac:dyDescent="0.3">
      <c r="A94" s="9" t="s">
        <v>533</v>
      </c>
      <c r="B94" s="9" t="s">
        <v>613</v>
      </c>
      <c r="C94" s="9" t="s">
        <v>614</v>
      </c>
      <c r="D94" s="9" t="s">
        <v>22</v>
      </c>
      <c r="E94" s="9">
        <v>0</v>
      </c>
      <c r="F94" s="9">
        <v>0</v>
      </c>
      <c r="G94" s="9">
        <v>4.7</v>
      </c>
      <c r="H94" s="9">
        <v>0</v>
      </c>
      <c r="I94" s="9">
        <v>1</v>
      </c>
      <c r="J94" s="9">
        <v>2</v>
      </c>
      <c r="K94" s="9">
        <v>43.6</v>
      </c>
      <c r="L94" s="9">
        <v>38.299999999999997</v>
      </c>
      <c r="M94" s="9">
        <v>0.182</v>
      </c>
      <c r="N94" s="9">
        <v>1.2</v>
      </c>
      <c r="O94" s="9">
        <v>0.5</v>
      </c>
      <c r="P94" s="9">
        <v>0.8</v>
      </c>
      <c r="Q94" s="9">
        <v>0.6</v>
      </c>
      <c r="R94" s="9">
        <v>1</v>
      </c>
      <c r="S94" s="9">
        <v>0.8</v>
      </c>
      <c r="T94" s="9">
        <v>3</v>
      </c>
      <c r="U94" s="9">
        <v>0</v>
      </c>
      <c r="V94" s="9">
        <v>0</v>
      </c>
      <c r="W94" s="10">
        <v>8.8699999999999992</v>
      </c>
      <c r="X94" s="5">
        <f xml:space="preserve"> Z94 + AA94 + (AB94*G94) + (AC94*H94) + (AD94*I94) + (AE94*J94) + (AF94*(K94/100)) + (AG94*(L94/100))+ (AH94*(M94))</f>
        <v>8.9283999999999999</v>
      </c>
      <c r="Y94" s="1">
        <f>X94-W94</f>
        <v>5.8400000000000674E-2</v>
      </c>
      <c r="Z94">
        <f>U94</f>
        <v>0</v>
      </c>
      <c r="AA94">
        <f>V94</f>
        <v>0</v>
      </c>
      <c r="AB94">
        <f>N94</f>
        <v>1.2</v>
      </c>
      <c r="AC94">
        <f>O94</f>
        <v>0.5</v>
      </c>
      <c r="AD94">
        <f>P94</f>
        <v>0.8</v>
      </c>
      <c r="AE94">
        <f>Q94</f>
        <v>0.6</v>
      </c>
      <c r="AF94">
        <f>R94</f>
        <v>1</v>
      </c>
      <c r="AG94">
        <f>S94</f>
        <v>0.8</v>
      </c>
      <c r="AH94">
        <f t="shared" si="6"/>
        <v>3</v>
      </c>
    </row>
    <row r="95" spans="1:34" hidden="1" x14ac:dyDescent="0.3">
      <c r="A95" s="9" t="s">
        <v>533</v>
      </c>
      <c r="B95" s="9" t="s">
        <v>581</v>
      </c>
      <c r="C95" s="9" t="s">
        <v>582</v>
      </c>
      <c r="D95" s="9" t="s">
        <v>22</v>
      </c>
      <c r="E95" s="9">
        <v>0</v>
      </c>
      <c r="F95" s="9">
        <v>0</v>
      </c>
      <c r="G95" s="9">
        <v>4.7</v>
      </c>
      <c r="H95" s="9">
        <v>0</v>
      </c>
      <c r="I95" s="9">
        <v>1</v>
      </c>
      <c r="J95" s="9">
        <v>2</v>
      </c>
      <c r="K95" s="9">
        <v>43.6</v>
      </c>
      <c r="L95" s="9">
        <v>42.5</v>
      </c>
      <c r="M95" s="9">
        <v>0.16700000000000001</v>
      </c>
      <c r="N95" s="9">
        <v>1.2</v>
      </c>
      <c r="O95" s="9">
        <v>0.5</v>
      </c>
      <c r="P95" s="9">
        <v>0.8</v>
      </c>
      <c r="Q95" s="9">
        <v>0.6</v>
      </c>
      <c r="R95" s="9">
        <v>1</v>
      </c>
      <c r="S95" s="9">
        <v>0.8</v>
      </c>
      <c r="T95" s="9">
        <v>3</v>
      </c>
      <c r="U95" s="9">
        <v>0</v>
      </c>
      <c r="V95" s="9">
        <v>0</v>
      </c>
      <c r="W95" s="9">
        <v>8.86</v>
      </c>
      <c r="X95">
        <f xml:space="preserve"> Z95 + AA95 + (AB95*G95) + (AC95*H95) + (AD95*I95) + (AE95*J95) + (AF95*(K95/100)) + (AG95*(L95/100))+ (AH95*(M95))</f>
        <v>8.9169999999999998</v>
      </c>
      <c r="Y95" s="1">
        <f>X95-W95</f>
        <v>5.7000000000000384E-2</v>
      </c>
      <c r="Z95">
        <f>U95</f>
        <v>0</v>
      </c>
      <c r="AA95">
        <f>V95</f>
        <v>0</v>
      </c>
      <c r="AB95">
        <f>N95</f>
        <v>1.2</v>
      </c>
      <c r="AC95">
        <f>O95</f>
        <v>0.5</v>
      </c>
      <c r="AD95">
        <f>P95</f>
        <v>0.8</v>
      </c>
      <c r="AE95">
        <f>Q95</f>
        <v>0.6</v>
      </c>
      <c r="AF95">
        <f>R95</f>
        <v>1</v>
      </c>
      <c r="AG95">
        <f>S95</f>
        <v>0.8</v>
      </c>
      <c r="AH95">
        <f t="shared" si="6"/>
        <v>3</v>
      </c>
    </row>
    <row r="96" spans="1:34" hidden="1" x14ac:dyDescent="0.3">
      <c r="A96" s="9" t="s">
        <v>221</v>
      </c>
      <c r="B96" s="9" t="s">
        <v>318</v>
      </c>
      <c r="C96" s="9" t="s">
        <v>319</v>
      </c>
      <c r="D96" s="9" t="s">
        <v>22</v>
      </c>
      <c r="E96" s="9">
        <v>0</v>
      </c>
      <c r="F96" s="9">
        <v>0</v>
      </c>
      <c r="G96" s="9">
        <v>0.8</v>
      </c>
      <c r="H96" s="9">
        <v>3.61</v>
      </c>
      <c r="I96" s="9">
        <v>1</v>
      </c>
      <c r="J96" s="9">
        <v>5</v>
      </c>
      <c r="K96" s="9">
        <v>44.2</v>
      </c>
      <c r="L96" s="9">
        <v>41.8</v>
      </c>
      <c r="M96" s="9">
        <v>0.5</v>
      </c>
      <c r="N96" s="9">
        <v>1.2</v>
      </c>
      <c r="O96" s="9">
        <v>0.5</v>
      </c>
      <c r="P96" s="9">
        <v>0.8</v>
      </c>
      <c r="Q96" s="9">
        <v>0.6</v>
      </c>
      <c r="R96" s="9">
        <v>1</v>
      </c>
      <c r="S96" s="9">
        <v>0.8</v>
      </c>
      <c r="T96" s="9">
        <v>3</v>
      </c>
      <c r="U96" s="9">
        <v>0</v>
      </c>
      <c r="V96" s="9">
        <v>0</v>
      </c>
      <c r="W96" s="9">
        <v>8.83</v>
      </c>
      <c r="X96">
        <f xml:space="preserve"> Z96 + AA96 + (AB96*G96) + (AC96*H96) + (AD96*I96) + (AE96*J96) + (AF96*(K96/100)) + (AG96*(L96/100))+ (AH96*(M96))</f>
        <v>8.8414000000000001</v>
      </c>
      <c r="Y96" s="1">
        <f>X96-W96</f>
        <v>1.1400000000000077E-2</v>
      </c>
      <c r="Z96">
        <f>U96</f>
        <v>0</v>
      </c>
      <c r="AA96">
        <f>V96</f>
        <v>0</v>
      </c>
      <c r="AB96">
        <f>N96</f>
        <v>1.2</v>
      </c>
      <c r="AC96">
        <f>O96</f>
        <v>0.5</v>
      </c>
      <c r="AD96">
        <f>P96</f>
        <v>0.8</v>
      </c>
      <c r="AE96">
        <f>Q96</f>
        <v>0.6</v>
      </c>
      <c r="AF96">
        <f>R96</f>
        <v>1</v>
      </c>
      <c r="AG96">
        <f>S96</f>
        <v>0.8</v>
      </c>
      <c r="AH96">
        <f t="shared" si="6"/>
        <v>3</v>
      </c>
    </row>
    <row r="97" spans="1:34" hidden="1" x14ac:dyDescent="0.3">
      <c r="A97" s="9" t="s">
        <v>221</v>
      </c>
      <c r="B97" s="9" t="s">
        <v>268</v>
      </c>
      <c r="C97" s="9" t="s">
        <v>269</v>
      </c>
      <c r="D97" s="9" t="s">
        <v>22</v>
      </c>
      <c r="E97" s="9">
        <v>0</v>
      </c>
      <c r="F97" s="9">
        <v>0</v>
      </c>
      <c r="G97" s="9">
        <v>2.8</v>
      </c>
      <c r="H97" s="9">
        <v>2.56</v>
      </c>
      <c r="I97" s="9">
        <v>1</v>
      </c>
      <c r="J97" s="9">
        <v>3</v>
      </c>
      <c r="K97" s="9">
        <v>44.2</v>
      </c>
      <c r="L97" s="9">
        <v>37.9</v>
      </c>
      <c r="M97" s="9">
        <v>0.28599999999999998</v>
      </c>
      <c r="N97" s="9">
        <v>1.2</v>
      </c>
      <c r="O97" s="9">
        <v>0.5</v>
      </c>
      <c r="P97" s="9">
        <v>0.8</v>
      </c>
      <c r="Q97" s="9">
        <v>0.6</v>
      </c>
      <c r="R97" s="9">
        <v>1</v>
      </c>
      <c r="S97" s="9">
        <v>0.8</v>
      </c>
      <c r="T97" s="9">
        <v>3</v>
      </c>
      <c r="U97" s="9">
        <v>0</v>
      </c>
      <c r="V97" s="9">
        <v>0</v>
      </c>
      <c r="W97" s="10">
        <v>8.7899999999999991</v>
      </c>
      <c r="X97" s="5">
        <f xml:space="preserve"> Z97 + AA97 + (AB97*G97) + (AC97*H97) + (AD97*I97) + (AE97*J97) + (AF97*(K97/100)) + (AG97*(L97/100))+ (AH97*(M97))</f>
        <v>8.8431999999999995</v>
      </c>
      <c r="Y97" s="1">
        <f>X97-W97</f>
        <v>5.3200000000000358E-2</v>
      </c>
      <c r="Z97">
        <f>U97</f>
        <v>0</v>
      </c>
      <c r="AA97">
        <f>V97</f>
        <v>0</v>
      </c>
      <c r="AB97">
        <f>N97</f>
        <v>1.2</v>
      </c>
      <c r="AC97">
        <f>O97</f>
        <v>0.5</v>
      </c>
      <c r="AD97">
        <f>P97</f>
        <v>0.8</v>
      </c>
      <c r="AE97">
        <f>Q97</f>
        <v>0.6</v>
      </c>
      <c r="AF97">
        <f>R97</f>
        <v>1</v>
      </c>
      <c r="AG97">
        <f>S97</f>
        <v>0.8</v>
      </c>
      <c r="AH97">
        <f t="shared" si="6"/>
        <v>3</v>
      </c>
    </row>
    <row r="98" spans="1:34" hidden="1" x14ac:dyDescent="0.3">
      <c r="A98" s="9" t="s">
        <v>533</v>
      </c>
      <c r="B98" s="9" t="s">
        <v>551</v>
      </c>
      <c r="C98" s="9" t="s">
        <v>552</v>
      </c>
      <c r="D98" s="9" t="s">
        <v>22</v>
      </c>
      <c r="E98" s="9">
        <v>0</v>
      </c>
      <c r="F98" s="9">
        <v>0</v>
      </c>
      <c r="G98" s="9">
        <v>0</v>
      </c>
      <c r="H98" s="9">
        <v>0</v>
      </c>
      <c r="I98" s="9">
        <v>2</v>
      </c>
      <c r="J98" s="9">
        <v>9</v>
      </c>
      <c r="K98" s="9">
        <v>46.1</v>
      </c>
      <c r="L98" s="9">
        <v>38.700000000000003</v>
      </c>
      <c r="M98" s="9">
        <v>0.33300000000000002</v>
      </c>
      <c r="N98" s="9">
        <v>1.2</v>
      </c>
      <c r="O98" s="9">
        <v>0.5</v>
      </c>
      <c r="P98" s="9">
        <v>0.8</v>
      </c>
      <c r="Q98" s="9">
        <v>0.6</v>
      </c>
      <c r="R98" s="9">
        <v>1</v>
      </c>
      <c r="S98" s="9">
        <v>0.8</v>
      </c>
      <c r="T98" s="9">
        <v>3</v>
      </c>
      <c r="U98" s="9">
        <v>0</v>
      </c>
      <c r="V98" s="9">
        <v>0</v>
      </c>
      <c r="W98" s="10">
        <v>8.77</v>
      </c>
      <c r="X98" s="5">
        <f xml:space="preserve"> Z98 + AA98 + (AB98*G98) + (AC98*H98) + (AD98*I98) + (AE98*J98) + (AF98*(K98/100)) + (AG98*(L98/100))+ (AH98*(M98))</f>
        <v>8.7696000000000005</v>
      </c>
      <c r="Y98" s="1">
        <f>X98-W98</f>
        <v>-3.9999999999906777E-4</v>
      </c>
      <c r="Z98">
        <f>U98</f>
        <v>0</v>
      </c>
      <c r="AA98">
        <f>V98</f>
        <v>0</v>
      </c>
      <c r="AB98">
        <f>N98</f>
        <v>1.2</v>
      </c>
      <c r="AC98">
        <f>O98</f>
        <v>0.5</v>
      </c>
      <c r="AD98">
        <f>P98</f>
        <v>0.8</v>
      </c>
      <c r="AE98">
        <f>Q98</f>
        <v>0.6</v>
      </c>
      <c r="AF98">
        <f>R98</f>
        <v>1</v>
      </c>
      <c r="AG98">
        <f>S98</f>
        <v>0.8</v>
      </c>
      <c r="AH98">
        <f t="shared" si="6"/>
        <v>3</v>
      </c>
    </row>
    <row r="99" spans="1:34" hidden="1" x14ac:dyDescent="0.3">
      <c r="A99" s="9" t="s">
        <v>533</v>
      </c>
      <c r="B99" s="9" t="s">
        <v>634</v>
      </c>
      <c r="C99" s="9" t="s">
        <v>635</v>
      </c>
      <c r="D99" s="9" t="s">
        <v>22</v>
      </c>
      <c r="E99" s="9">
        <v>0</v>
      </c>
      <c r="F99" s="9">
        <v>0</v>
      </c>
      <c r="G99" s="9">
        <v>0</v>
      </c>
      <c r="H99" s="9">
        <v>3.09</v>
      </c>
      <c r="I99" s="9">
        <v>2</v>
      </c>
      <c r="J99" s="9">
        <v>6</v>
      </c>
      <c r="K99" s="9">
        <v>46.9</v>
      </c>
      <c r="L99" s="9">
        <v>42.1</v>
      </c>
      <c r="M99" s="9">
        <v>0.4</v>
      </c>
      <c r="N99" s="9">
        <v>1.2</v>
      </c>
      <c r="O99" s="9">
        <v>0.5</v>
      </c>
      <c r="P99" s="9">
        <v>0.8</v>
      </c>
      <c r="Q99" s="9">
        <v>0.6</v>
      </c>
      <c r="R99" s="9">
        <v>1</v>
      </c>
      <c r="S99" s="9">
        <v>0.8</v>
      </c>
      <c r="T99" s="9">
        <v>3</v>
      </c>
      <c r="U99" s="9">
        <v>0</v>
      </c>
      <c r="V99" s="9">
        <v>0</v>
      </c>
      <c r="W99" s="9">
        <v>8.75</v>
      </c>
      <c r="X99">
        <f xml:space="preserve"> Z99 + AA99 + (AB99*G99) + (AC99*H99) + (AD99*I99) + (AE99*J99) + (AF99*(K99/100)) + (AG99*(L99/100))+ (AH99*(M99))</f>
        <v>8.7507999999999999</v>
      </c>
      <c r="Y99" s="1">
        <f>X99-W99</f>
        <v>7.9999999999991189E-4</v>
      </c>
      <c r="Z99">
        <f>U99</f>
        <v>0</v>
      </c>
      <c r="AA99">
        <f>V99</f>
        <v>0</v>
      </c>
      <c r="AB99">
        <f>N99</f>
        <v>1.2</v>
      </c>
      <c r="AC99">
        <f>O99</f>
        <v>0.5</v>
      </c>
      <c r="AD99">
        <f>P99</f>
        <v>0.8</v>
      </c>
      <c r="AE99">
        <f>Q99</f>
        <v>0.6</v>
      </c>
      <c r="AF99">
        <f>R99</f>
        <v>1</v>
      </c>
      <c r="AG99">
        <f>S99</f>
        <v>0.8</v>
      </c>
      <c r="AH99">
        <f t="shared" si="6"/>
        <v>3</v>
      </c>
    </row>
    <row r="100" spans="1:34" hidden="1" x14ac:dyDescent="0.3">
      <c r="A100" s="9" t="s">
        <v>533</v>
      </c>
      <c r="B100" s="9" t="s">
        <v>659</v>
      </c>
      <c r="C100" s="9" t="s">
        <v>660</v>
      </c>
      <c r="D100" s="9" t="s">
        <v>22</v>
      </c>
      <c r="E100" s="9">
        <v>0</v>
      </c>
      <c r="F100" s="9">
        <v>0</v>
      </c>
      <c r="G100" s="9">
        <v>0</v>
      </c>
      <c r="H100" s="9">
        <v>3.61</v>
      </c>
      <c r="I100" s="9">
        <v>0</v>
      </c>
      <c r="J100" s="9">
        <v>6</v>
      </c>
      <c r="K100" s="9">
        <v>0</v>
      </c>
      <c r="L100" s="9">
        <v>42.1</v>
      </c>
      <c r="M100" s="9">
        <v>1</v>
      </c>
      <c r="N100" s="9">
        <v>1.2</v>
      </c>
      <c r="O100" s="9">
        <v>0.5</v>
      </c>
      <c r="P100" s="9">
        <v>0.8</v>
      </c>
      <c r="Q100" s="9">
        <v>0.6</v>
      </c>
      <c r="R100" s="9">
        <v>1</v>
      </c>
      <c r="S100" s="9">
        <v>0.8</v>
      </c>
      <c r="T100" s="9">
        <v>3</v>
      </c>
      <c r="U100" s="9">
        <v>0</v>
      </c>
      <c r="V100" s="9">
        <v>0</v>
      </c>
      <c r="W100" s="9">
        <v>8.74</v>
      </c>
      <c r="X100"/>
      <c r="AH100">
        <f t="shared" si="6"/>
        <v>3</v>
      </c>
    </row>
    <row r="101" spans="1:34" hidden="1" x14ac:dyDescent="0.3">
      <c r="A101" s="9" t="s">
        <v>533</v>
      </c>
      <c r="B101" s="9" t="s">
        <v>579</v>
      </c>
      <c r="C101" s="9" t="s">
        <v>580</v>
      </c>
      <c r="D101" s="9" t="s">
        <v>22</v>
      </c>
      <c r="E101" s="9">
        <v>0</v>
      </c>
      <c r="F101" s="9">
        <v>0</v>
      </c>
      <c r="G101" s="9">
        <v>4.7</v>
      </c>
      <c r="H101" s="9">
        <v>0</v>
      </c>
      <c r="I101" s="9">
        <v>1</v>
      </c>
      <c r="J101" s="9">
        <v>2</v>
      </c>
      <c r="K101" s="9">
        <v>43.6</v>
      </c>
      <c r="L101" s="9">
        <v>39</v>
      </c>
      <c r="M101" s="9">
        <v>0.13300000000000001</v>
      </c>
      <c r="N101" s="9">
        <v>1.2</v>
      </c>
      <c r="O101" s="9">
        <v>0.5</v>
      </c>
      <c r="P101" s="9">
        <v>0.8</v>
      </c>
      <c r="Q101" s="9">
        <v>0.6</v>
      </c>
      <c r="R101" s="9">
        <v>1</v>
      </c>
      <c r="S101" s="9">
        <v>0.8</v>
      </c>
      <c r="T101" s="9">
        <v>3</v>
      </c>
      <c r="U101" s="9">
        <v>0</v>
      </c>
      <c r="V101" s="9">
        <v>0</v>
      </c>
      <c r="W101" s="10">
        <v>8.73</v>
      </c>
      <c r="X101" s="5">
        <f xml:space="preserve"> Z101 + AA101 + (AB101*G101) + (AC101*H101) + (AD101*I101) + (AE101*J101) + (AF101*(K101/100)) + (AG101*(L101/100))+ (AH101*(M101))</f>
        <v>8.786999999999999</v>
      </c>
      <c r="Y101" s="1">
        <f>X101-W101</f>
        <v>5.6999999999998607E-2</v>
      </c>
      <c r="Z101">
        <f>U101</f>
        <v>0</v>
      </c>
      <c r="AA101">
        <f>V101</f>
        <v>0</v>
      </c>
      <c r="AB101">
        <f>N101</f>
        <v>1.2</v>
      </c>
      <c r="AC101">
        <f>O101</f>
        <v>0.5</v>
      </c>
      <c r="AD101">
        <f>P101</f>
        <v>0.8</v>
      </c>
      <c r="AE101">
        <f>Q101</f>
        <v>0.6</v>
      </c>
      <c r="AF101">
        <f>R101</f>
        <v>1</v>
      </c>
      <c r="AG101">
        <f>S101</f>
        <v>0.8</v>
      </c>
      <c r="AH101">
        <f t="shared" si="6"/>
        <v>3</v>
      </c>
    </row>
    <row r="102" spans="1:34" x14ac:dyDescent="0.3">
      <c r="A102" s="9" t="s">
        <v>398</v>
      </c>
      <c r="B102" s="9" t="s">
        <v>422</v>
      </c>
      <c r="C102" s="9" t="s">
        <v>423</v>
      </c>
      <c r="D102" s="9" t="s">
        <v>22</v>
      </c>
      <c r="E102" s="9">
        <v>0</v>
      </c>
      <c r="F102" s="9">
        <v>0</v>
      </c>
      <c r="G102" s="9">
        <v>2.8</v>
      </c>
      <c r="H102" s="9">
        <v>2.48</v>
      </c>
      <c r="I102" s="9">
        <v>1</v>
      </c>
      <c r="J102" s="9">
        <v>0</v>
      </c>
      <c r="K102" s="9">
        <v>34.1</v>
      </c>
      <c r="L102" s="9">
        <v>0</v>
      </c>
      <c r="M102" s="9">
        <v>1</v>
      </c>
      <c r="N102" s="9">
        <v>1.2</v>
      </c>
      <c r="O102" s="9">
        <v>0.5</v>
      </c>
      <c r="P102" s="9">
        <v>0.8</v>
      </c>
      <c r="Q102" s="9">
        <v>0.6</v>
      </c>
      <c r="R102" s="9">
        <v>1</v>
      </c>
      <c r="S102" s="9">
        <v>0.8</v>
      </c>
      <c r="T102" s="9">
        <v>3</v>
      </c>
      <c r="U102" s="9">
        <v>0</v>
      </c>
      <c r="V102" s="9">
        <v>0</v>
      </c>
      <c r="W102" s="9">
        <v>8.69</v>
      </c>
      <c r="X102">
        <f xml:space="preserve"> Z102 + AA102 + (AB102*G102) + (AC102*H102) + (AD102*I102) + (AE102*J102) + (AF102*(K102/100)) + (AG102*(L102/100))+ (AH102*(M102))</f>
        <v>8.7409999999999997</v>
      </c>
      <c r="Y102" s="1">
        <f>X102-W102</f>
        <v>5.1000000000000156E-2</v>
      </c>
      <c r="Z102">
        <f>U102</f>
        <v>0</v>
      </c>
      <c r="AA102">
        <f>V102</f>
        <v>0</v>
      </c>
      <c r="AB102">
        <f>N102</f>
        <v>1.2</v>
      </c>
      <c r="AC102">
        <f>O102</f>
        <v>0.5</v>
      </c>
      <c r="AD102">
        <f>P102</f>
        <v>0.8</v>
      </c>
      <c r="AE102">
        <f>Q102</f>
        <v>0.6</v>
      </c>
      <c r="AF102">
        <f>R102</f>
        <v>1</v>
      </c>
      <c r="AG102">
        <f>S102</f>
        <v>0.8</v>
      </c>
      <c r="AH102">
        <f t="shared" si="6"/>
        <v>3</v>
      </c>
    </row>
    <row r="103" spans="1:34" hidden="1" x14ac:dyDescent="0.3">
      <c r="A103" s="9" t="s">
        <v>533</v>
      </c>
      <c r="B103" s="9" t="s">
        <v>611</v>
      </c>
      <c r="C103" s="9" t="s">
        <v>612</v>
      </c>
      <c r="D103" s="9" t="s">
        <v>22</v>
      </c>
      <c r="E103" s="9">
        <v>0</v>
      </c>
      <c r="F103" s="9">
        <v>0</v>
      </c>
      <c r="G103" s="9">
        <v>4.7</v>
      </c>
      <c r="H103" s="9">
        <v>0</v>
      </c>
      <c r="I103" s="9">
        <v>1</v>
      </c>
      <c r="J103" s="9">
        <v>2</v>
      </c>
      <c r="K103" s="9">
        <v>43.6</v>
      </c>
      <c r="L103" s="9">
        <v>37</v>
      </c>
      <c r="M103" s="9">
        <v>0.125</v>
      </c>
      <c r="N103" s="9">
        <v>1.2</v>
      </c>
      <c r="O103" s="9">
        <v>0.5</v>
      </c>
      <c r="P103" s="9">
        <v>0.8</v>
      </c>
      <c r="Q103" s="9">
        <v>0.6</v>
      </c>
      <c r="R103" s="9">
        <v>1</v>
      </c>
      <c r="S103" s="9">
        <v>0.8</v>
      </c>
      <c r="T103" s="9">
        <v>3</v>
      </c>
      <c r="U103" s="9">
        <v>0</v>
      </c>
      <c r="V103" s="9">
        <v>0</v>
      </c>
      <c r="W103" s="9">
        <v>8.69</v>
      </c>
      <c r="X103">
        <f xml:space="preserve"> Z103 + AA103 + (AB103*G103) + (AC103*H103) + (AD103*I103) + (AE103*J103) + (AF103*(K103/100)) + (AG103*(L103/100))+ (AH103*(M103))</f>
        <v>8.7469999999999999</v>
      </c>
      <c r="Y103" s="1">
        <f>X103-W103</f>
        <v>5.7000000000000384E-2</v>
      </c>
      <c r="Z103">
        <f>U103</f>
        <v>0</v>
      </c>
      <c r="AA103">
        <f>V103</f>
        <v>0</v>
      </c>
      <c r="AB103">
        <f>N103</f>
        <v>1.2</v>
      </c>
      <c r="AC103">
        <f>O103</f>
        <v>0.5</v>
      </c>
      <c r="AD103">
        <f>P103</f>
        <v>0.8</v>
      </c>
      <c r="AE103">
        <f>Q103</f>
        <v>0.6</v>
      </c>
      <c r="AF103">
        <f>R103</f>
        <v>1</v>
      </c>
      <c r="AG103">
        <f>S103</f>
        <v>0.8</v>
      </c>
      <c r="AH103">
        <f t="shared" si="6"/>
        <v>3</v>
      </c>
    </row>
    <row r="104" spans="1:34" hidden="1" x14ac:dyDescent="0.3">
      <c r="A104" s="9" t="s">
        <v>533</v>
      </c>
      <c r="B104" s="9" t="s">
        <v>599</v>
      </c>
      <c r="C104" s="9" t="s">
        <v>600</v>
      </c>
      <c r="D104" s="9" t="s">
        <v>22</v>
      </c>
      <c r="E104" s="9">
        <v>0</v>
      </c>
      <c r="F104" s="9">
        <v>0</v>
      </c>
      <c r="G104" s="9">
        <v>0</v>
      </c>
      <c r="H104" s="9">
        <v>0</v>
      </c>
      <c r="I104" s="9">
        <v>2</v>
      </c>
      <c r="J104" s="9">
        <v>8</v>
      </c>
      <c r="K104" s="9">
        <v>46.1</v>
      </c>
      <c r="L104" s="9">
        <v>36.200000000000003</v>
      </c>
      <c r="M104" s="9">
        <v>0.5</v>
      </c>
      <c r="N104" s="9">
        <v>1.2</v>
      </c>
      <c r="O104" s="9">
        <v>0.5</v>
      </c>
      <c r="P104" s="9">
        <v>0.8</v>
      </c>
      <c r="Q104" s="9">
        <v>0.6</v>
      </c>
      <c r="R104" s="9">
        <v>1</v>
      </c>
      <c r="S104" s="9">
        <v>0.8</v>
      </c>
      <c r="T104" s="9">
        <v>3</v>
      </c>
      <c r="U104" s="9">
        <v>0</v>
      </c>
      <c r="V104" s="9">
        <v>0</v>
      </c>
      <c r="W104" s="10">
        <v>8.65</v>
      </c>
      <c r="X104" s="5">
        <f xml:space="preserve"> Z104 + AA104 + (AB104*G104) + (AC104*H104) + (AD104*I104) + (AE104*J104) + (AF104*(K104/100)) + (AG104*(L104/100))+ (AH104*(M104))</f>
        <v>8.6506000000000007</v>
      </c>
      <c r="Y104" s="1">
        <f>X104-W104</f>
        <v>6.0000000000037801E-4</v>
      </c>
      <c r="Z104">
        <f>U104</f>
        <v>0</v>
      </c>
      <c r="AA104">
        <f>V104</f>
        <v>0</v>
      </c>
      <c r="AB104">
        <f>N104</f>
        <v>1.2</v>
      </c>
      <c r="AC104">
        <f>O104</f>
        <v>0.5</v>
      </c>
      <c r="AD104">
        <f>P104</f>
        <v>0.8</v>
      </c>
      <c r="AE104">
        <f>Q104</f>
        <v>0.6</v>
      </c>
      <c r="AF104">
        <f>R104</f>
        <v>1</v>
      </c>
      <c r="AG104">
        <f>S104</f>
        <v>0.8</v>
      </c>
      <c r="AH104">
        <f t="shared" si="6"/>
        <v>3</v>
      </c>
    </row>
    <row r="105" spans="1:34" hidden="1" x14ac:dyDescent="0.3">
      <c r="A105" s="9" t="s">
        <v>33</v>
      </c>
      <c r="B105" s="9" t="s">
        <v>40</v>
      </c>
      <c r="C105" s="9" t="s">
        <v>41</v>
      </c>
      <c r="D105" s="9" t="s">
        <v>22</v>
      </c>
      <c r="E105" s="9">
        <v>0</v>
      </c>
      <c r="F105" s="9">
        <v>0</v>
      </c>
      <c r="G105" s="9">
        <v>3.9</v>
      </c>
      <c r="H105" s="9">
        <v>0</v>
      </c>
      <c r="I105" s="9">
        <v>1</v>
      </c>
      <c r="J105" s="9">
        <v>0</v>
      </c>
      <c r="K105" s="9">
        <v>17</v>
      </c>
      <c r="L105" s="9">
        <v>0</v>
      </c>
      <c r="M105" s="9">
        <v>1</v>
      </c>
      <c r="N105" s="9">
        <v>1.2</v>
      </c>
      <c r="O105" s="9">
        <v>0.5</v>
      </c>
      <c r="P105" s="9">
        <v>0.8</v>
      </c>
      <c r="Q105" s="9">
        <v>0.6</v>
      </c>
      <c r="R105" s="9">
        <v>1</v>
      </c>
      <c r="S105" s="9">
        <v>0.8</v>
      </c>
      <c r="T105" s="9">
        <v>3</v>
      </c>
      <c r="U105" s="9">
        <v>0</v>
      </c>
      <c r="V105" s="9">
        <v>0</v>
      </c>
      <c r="W105" s="9">
        <v>8.64</v>
      </c>
      <c r="X105">
        <f xml:space="preserve"> Z105 + AA105 + (AB105*G105) + (AC105*H105) + (AD105*I105) + (AE105*J105) + (AF105*(K105/100)) + (AG105*(L105/100))+ (AH105*(M105))</f>
        <v>8.6499999999999986</v>
      </c>
      <c r="Y105" s="1">
        <f>X105-W105</f>
        <v>9.9999999999980105E-3</v>
      </c>
      <c r="Z105">
        <f>U105</f>
        <v>0</v>
      </c>
      <c r="AA105">
        <f>V105</f>
        <v>0</v>
      </c>
      <c r="AB105">
        <f>N105</f>
        <v>1.2</v>
      </c>
      <c r="AC105">
        <f>O105</f>
        <v>0.5</v>
      </c>
      <c r="AD105">
        <f>P105</f>
        <v>0.8</v>
      </c>
      <c r="AE105">
        <f>Q105</f>
        <v>0.6</v>
      </c>
      <c r="AF105">
        <f>R105</f>
        <v>1</v>
      </c>
      <c r="AG105">
        <f>S105</f>
        <v>0.8</v>
      </c>
      <c r="AH105">
        <f t="shared" si="6"/>
        <v>3</v>
      </c>
    </row>
    <row r="106" spans="1:34" hidden="1" x14ac:dyDescent="0.3">
      <c r="A106" s="9" t="s">
        <v>221</v>
      </c>
      <c r="B106" s="9" t="s">
        <v>382</v>
      </c>
      <c r="C106" s="9" t="s">
        <v>383</v>
      </c>
      <c r="D106" s="9" t="s">
        <v>22</v>
      </c>
      <c r="E106" s="9">
        <v>0</v>
      </c>
      <c r="F106" s="9">
        <v>0</v>
      </c>
      <c r="G106" s="9">
        <v>1.2</v>
      </c>
      <c r="H106" s="9">
        <v>4.29</v>
      </c>
      <c r="I106" s="9">
        <v>3</v>
      </c>
      <c r="J106" s="9">
        <v>2</v>
      </c>
      <c r="K106" s="9">
        <v>35.5</v>
      </c>
      <c r="L106" s="9">
        <v>31.6</v>
      </c>
      <c r="M106" s="9">
        <v>0.28599999999999998</v>
      </c>
      <c r="N106" s="9">
        <v>1.2</v>
      </c>
      <c r="O106" s="9">
        <v>0.5</v>
      </c>
      <c r="P106" s="9">
        <v>0.8</v>
      </c>
      <c r="Q106" s="9">
        <v>0.6</v>
      </c>
      <c r="R106" s="9">
        <v>1</v>
      </c>
      <c r="S106" s="9">
        <v>0.8</v>
      </c>
      <c r="T106" s="9">
        <v>3</v>
      </c>
      <c r="U106" s="9">
        <v>0</v>
      </c>
      <c r="V106" s="9">
        <v>0</v>
      </c>
      <c r="W106" s="9">
        <v>8.6300000000000008</v>
      </c>
      <c r="X106">
        <f xml:space="preserve"> Z106 + AA106 + (AB106*G106) + (AC106*H106) + (AD106*I106) + (AE106*J106) + (AF106*(K106/100)) + (AG106*(L106/100))+ (AH106*(M106))</f>
        <v>8.6508000000000003</v>
      </c>
      <c r="Y106" s="1">
        <f>X106-W106</f>
        <v>2.0799999999999486E-2</v>
      </c>
      <c r="Z106">
        <f>U106</f>
        <v>0</v>
      </c>
      <c r="AA106">
        <f>V106</f>
        <v>0</v>
      </c>
      <c r="AB106">
        <f>N106</f>
        <v>1.2</v>
      </c>
      <c r="AC106">
        <f>O106</f>
        <v>0.5</v>
      </c>
      <c r="AD106">
        <f>P106</f>
        <v>0.8</v>
      </c>
      <c r="AE106">
        <f>Q106</f>
        <v>0.6</v>
      </c>
      <c r="AF106">
        <f>R106</f>
        <v>1</v>
      </c>
      <c r="AG106">
        <f>S106</f>
        <v>0.8</v>
      </c>
      <c r="AH106">
        <f t="shared" si="6"/>
        <v>3</v>
      </c>
    </row>
    <row r="107" spans="1:34" hidden="1" x14ac:dyDescent="0.3">
      <c r="A107" s="9" t="s">
        <v>221</v>
      </c>
      <c r="B107" s="9" t="s">
        <v>322</v>
      </c>
      <c r="C107" s="9" t="s">
        <v>323</v>
      </c>
      <c r="D107" s="9" t="s">
        <v>22</v>
      </c>
      <c r="E107" s="9">
        <v>0</v>
      </c>
      <c r="F107" s="9">
        <v>0</v>
      </c>
      <c r="G107" s="9">
        <v>2</v>
      </c>
      <c r="H107" s="9">
        <v>2.94</v>
      </c>
      <c r="I107" s="9">
        <v>0</v>
      </c>
      <c r="J107" s="9">
        <v>6</v>
      </c>
      <c r="K107" s="9">
        <v>0</v>
      </c>
      <c r="L107" s="9">
        <v>41</v>
      </c>
      <c r="M107" s="9">
        <v>0.28599999999999998</v>
      </c>
      <c r="N107" s="9">
        <v>1.2</v>
      </c>
      <c r="O107" s="9">
        <v>0.5</v>
      </c>
      <c r="P107" s="9">
        <v>0.8</v>
      </c>
      <c r="Q107" s="9">
        <v>0.6</v>
      </c>
      <c r="R107" s="9">
        <v>1</v>
      </c>
      <c r="S107" s="9">
        <v>0.8</v>
      </c>
      <c r="T107" s="9">
        <v>3</v>
      </c>
      <c r="U107" s="9">
        <v>0</v>
      </c>
      <c r="V107" s="9">
        <v>0</v>
      </c>
      <c r="W107" s="10">
        <v>8.6199999999999992</v>
      </c>
      <c r="X107" s="5">
        <f xml:space="preserve"> Z107 + AA107 + (AB107*G107) + (AC107*H107) + (AD107*I107) + (AE107*J107) + (AF107*(K107/100)) + (AG107*(L107/100))+ (AH107*(M107))</f>
        <v>8.6560000000000006</v>
      </c>
      <c r="Y107" s="1">
        <f>X107-W107</f>
        <v>3.6000000000001364E-2</v>
      </c>
      <c r="Z107">
        <f>U107</f>
        <v>0</v>
      </c>
      <c r="AA107">
        <f>V107</f>
        <v>0</v>
      </c>
      <c r="AB107">
        <f>N107</f>
        <v>1.2</v>
      </c>
      <c r="AC107">
        <f>O107</f>
        <v>0.5</v>
      </c>
      <c r="AD107">
        <f>P107</f>
        <v>0.8</v>
      </c>
      <c r="AE107">
        <f>Q107</f>
        <v>0.6</v>
      </c>
      <c r="AF107">
        <f>R107</f>
        <v>1</v>
      </c>
      <c r="AG107">
        <f>S107</f>
        <v>0.8</v>
      </c>
      <c r="AH107">
        <f t="shared" si="6"/>
        <v>3</v>
      </c>
    </row>
    <row r="108" spans="1:34" hidden="1" x14ac:dyDescent="0.3">
      <c r="A108" s="9" t="s">
        <v>533</v>
      </c>
      <c r="B108" s="9" t="s">
        <v>537</v>
      </c>
      <c r="C108" s="9" t="s">
        <v>538</v>
      </c>
      <c r="D108" s="9" t="s">
        <v>22</v>
      </c>
      <c r="E108" s="9">
        <v>0</v>
      </c>
      <c r="F108" s="9">
        <v>0</v>
      </c>
      <c r="G108" s="9">
        <v>2.2999999999999998</v>
      </c>
      <c r="H108" s="9">
        <v>0</v>
      </c>
      <c r="I108" s="9">
        <v>0</v>
      </c>
      <c r="J108" s="9">
        <v>4</v>
      </c>
      <c r="K108" s="9">
        <v>0</v>
      </c>
      <c r="L108" s="9">
        <v>43.5</v>
      </c>
      <c r="M108" s="9">
        <v>1</v>
      </c>
      <c r="N108" s="9">
        <v>1.2</v>
      </c>
      <c r="O108" s="9">
        <v>0.5</v>
      </c>
      <c r="P108" s="9">
        <v>0.8</v>
      </c>
      <c r="Q108" s="9">
        <v>0.6</v>
      </c>
      <c r="R108" s="9">
        <v>1</v>
      </c>
      <c r="S108" s="9">
        <v>0.8</v>
      </c>
      <c r="T108" s="9">
        <v>3</v>
      </c>
      <c r="U108" s="9">
        <v>0</v>
      </c>
      <c r="V108" s="9">
        <v>0</v>
      </c>
      <c r="W108" s="10">
        <v>8.5399999999999991</v>
      </c>
      <c r="X108" s="5">
        <f xml:space="preserve"> Z108 + AA108 + (AB108*G108) + (AC108*H108) + (AD108*I108) + (AE108*J108) + (AF108*(K108/100)) + (AG108*(L108/100))+ (AH108*(M108))</f>
        <v>8.5079999999999991</v>
      </c>
      <c r="Y108" s="1">
        <f>X108-W108</f>
        <v>-3.2000000000000028E-2</v>
      </c>
      <c r="Z108">
        <f>U108</f>
        <v>0</v>
      </c>
      <c r="AA108">
        <f>V108</f>
        <v>0</v>
      </c>
      <c r="AB108">
        <f>N108</f>
        <v>1.2</v>
      </c>
      <c r="AC108">
        <f>O108</f>
        <v>0.5</v>
      </c>
      <c r="AD108">
        <f>P108</f>
        <v>0.8</v>
      </c>
      <c r="AE108">
        <f>Q108</f>
        <v>0.6</v>
      </c>
      <c r="AF108">
        <f>R108</f>
        <v>1</v>
      </c>
      <c r="AG108">
        <f>S108</f>
        <v>0.8</v>
      </c>
      <c r="AH108">
        <f t="shared" si="6"/>
        <v>3</v>
      </c>
    </row>
    <row r="109" spans="1:34" hidden="1" x14ac:dyDescent="0.3">
      <c r="A109" s="9" t="s">
        <v>221</v>
      </c>
      <c r="B109" s="9" t="s">
        <v>274</v>
      </c>
      <c r="C109" s="9" t="s">
        <v>275</v>
      </c>
      <c r="D109" s="9" t="s">
        <v>22</v>
      </c>
      <c r="E109" s="9">
        <v>0</v>
      </c>
      <c r="F109" s="9">
        <v>0</v>
      </c>
      <c r="G109" s="9">
        <v>1.2</v>
      </c>
      <c r="H109" s="9">
        <v>0</v>
      </c>
      <c r="I109" s="9">
        <v>2</v>
      </c>
      <c r="J109" s="9">
        <v>3</v>
      </c>
      <c r="K109" s="9">
        <v>34.700000000000003</v>
      </c>
      <c r="L109" s="9">
        <v>37.9</v>
      </c>
      <c r="M109" s="9">
        <v>1</v>
      </c>
      <c r="N109" s="9">
        <v>1.2</v>
      </c>
      <c r="O109" s="9">
        <v>0.5</v>
      </c>
      <c r="P109" s="9">
        <v>0.8</v>
      </c>
      <c r="Q109" s="9">
        <v>0.6</v>
      </c>
      <c r="R109" s="9">
        <v>1</v>
      </c>
      <c r="S109" s="9">
        <v>0.8</v>
      </c>
      <c r="T109" s="9">
        <v>3</v>
      </c>
      <c r="U109" s="9">
        <v>0</v>
      </c>
      <c r="V109" s="9">
        <v>0</v>
      </c>
      <c r="W109" s="10">
        <v>8.4700000000000006</v>
      </c>
      <c r="X109" s="5">
        <f xml:space="preserve"> Z109 + AA109 + (AB109*G109) + (AC109*H109) + (AD109*I109) + (AE109*J109) + (AF109*(K109/100)) + (AG109*(L109/100))+ (AH109*(M109))</f>
        <v>8.4902000000000015</v>
      </c>
      <c r="Y109" s="1">
        <f>X109-W109</f>
        <v>2.0200000000000884E-2</v>
      </c>
      <c r="Z109">
        <f>U109</f>
        <v>0</v>
      </c>
      <c r="AA109">
        <f>V109</f>
        <v>0</v>
      </c>
      <c r="AB109">
        <f>N109</f>
        <v>1.2</v>
      </c>
      <c r="AC109">
        <f>O109</f>
        <v>0.5</v>
      </c>
      <c r="AD109">
        <f>P109</f>
        <v>0.8</v>
      </c>
      <c r="AE109">
        <f>Q109</f>
        <v>0.6</v>
      </c>
      <c r="AF109">
        <f>R109</f>
        <v>1</v>
      </c>
      <c r="AG109">
        <f>S109</f>
        <v>0.8</v>
      </c>
      <c r="AH109">
        <f t="shared" si="6"/>
        <v>3</v>
      </c>
    </row>
    <row r="110" spans="1:34" hidden="1" x14ac:dyDescent="0.3">
      <c r="A110" s="9" t="s">
        <v>221</v>
      </c>
      <c r="B110" s="9" t="s">
        <v>248</v>
      </c>
      <c r="C110" s="9" t="s">
        <v>249</v>
      </c>
      <c r="D110" s="9" t="s">
        <v>22</v>
      </c>
      <c r="E110" s="9">
        <v>0</v>
      </c>
      <c r="F110" s="9">
        <v>0</v>
      </c>
      <c r="G110" s="9">
        <v>0.4</v>
      </c>
      <c r="H110" s="9">
        <v>3.09</v>
      </c>
      <c r="I110" s="9">
        <v>1</v>
      </c>
      <c r="J110" s="9">
        <v>6</v>
      </c>
      <c r="K110" s="9">
        <v>25</v>
      </c>
      <c r="L110" s="9">
        <v>32.799999999999997</v>
      </c>
      <c r="M110" s="9">
        <v>0.5</v>
      </c>
      <c r="N110" s="9">
        <v>1.2</v>
      </c>
      <c r="O110" s="9">
        <v>0.5</v>
      </c>
      <c r="P110" s="9">
        <v>0.8</v>
      </c>
      <c r="Q110" s="9">
        <v>0.6</v>
      </c>
      <c r="R110" s="9">
        <v>1</v>
      </c>
      <c r="S110" s="9">
        <v>0.8</v>
      </c>
      <c r="T110" s="9">
        <v>3</v>
      </c>
      <c r="U110" s="9">
        <v>0</v>
      </c>
      <c r="V110" s="9">
        <v>0</v>
      </c>
      <c r="W110" s="10">
        <v>8.43</v>
      </c>
      <c r="X110" s="5">
        <f xml:space="preserve"> Z110 + AA110 + (AB110*G110) + (AC110*H110) + (AD110*I110) + (AE110*J110) + (AF110*(K110/100)) + (AG110*(L110/100))+ (AH110*(M110))</f>
        <v>8.4374000000000002</v>
      </c>
      <c r="Y110" s="1">
        <f>X110-W110</f>
        <v>7.4000000000005173E-3</v>
      </c>
      <c r="Z110">
        <f>U110</f>
        <v>0</v>
      </c>
      <c r="AA110">
        <f>V110</f>
        <v>0</v>
      </c>
      <c r="AB110">
        <f>N110</f>
        <v>1.2</v>
      </c>
      <c r="AC110">
        <f>O110</f>
        <v>0.5</v>
      </c>
      <c r="AD110">
        <f>P110</f>
        <v>0.8</v>
      </c>
      <c r="AE110">
        <f>Q110</f>
        <v>0.6</v>
      </c>
      <c r="AF110">
        <f>R110</f>
        <v>1</v>
      </c>
      <c r="AG110">
        <f>S110</f>
        <v>0.8</v>
      </c>
      <c r="AH110">
        <f t="shared" si="6"/>
        <v>3</v>
      </c>
    </row>
    <row r="111" spans="1:34" hidden="1" x14ac:dyDescent="0.3">
      <c r="A111" s="9" t="s">
        <v>221</v>
      </c>
      <c r="B111" s="9" t="s">
        <v>346</v>
      </c>
      <c r="C111" s="9" t="s">
        <v>347</v>
      </c>
      <c r="D111" s="9" t="s">
        <v>22</v>
      </c>
      <c r="E111" s="9">
        <v>0</v>
      </c>
      <c r="F111" s="9">
        <v>0</v>
      </c>
      <c r="G111" s="9">
        <v>2.4</v>
      </c>
      <c r="H111" s="9">
        <v>1.79</v>
      </c>
      <c r="I111" s="9">
        <v>0</v>
      </c>
      <c r="J111" s="9">
        <v>4</v>
      </c>
      <c r="K111" s="9">
        <v>0</v>
      </c>
      <c r="L111" s="9">
        <v>37.200000000000003</v>
      </c>
      <c r="M111" s="9">
        <v>0.66700000000000004</v>
      </c>
      <c r="N111" s="9">
        <v>1.2</v>
      </c>
      <c r="O111" s="9">
        <v>0.5</v>
      </c>
      <c r="P111" s="9">
        <v>0.8</v>
      </c>
      <c r="Q111" s="9">
        <v>0.6</v>
      </c>
      <c r="R111" s="9">
        <v>1</v>
      </c>
      <c r="S111" s="9">
        <v>0.8</v>
      </c>
      <c r="T111" s="9">
        <v>3</v>
      </c>
      <c r="U111" s="9">
        <v>0</v>
      </c>
      <c r="V111" s="9">
        <v>0</v>
      </c>
      <c r="W111" s="10">
        <v>8.43</v>
      </c>
      <c r="X111" s="5">
        <f xml:space="preserve"> Z111 + AA111 + (AB111*G111) + (AC111*H111) + (AD111*I111) + (AE111*J111) + (AF111*(K111/100)) + (AG111*(L111/100))+ (AH111*(M111))</f>
        <v>8.4736000000000011</v>
      </c>
      <c r="Y111" s="1">
        <f>X111-W111</f>
        <v>4.3600000000001415E-2</v>
      </c>
      <c r="Z111">
        <f>U111</f>
        <v>0</v>
      </c>
      <c r="AA111">
        <f>V111</f>
        <v>0</v>
      </c>
      <c r="AB111">
        <f>N111</f>
        <v>1.2</v>
      </c>
      <c r="AC111">
        <f>O111</f>
        <v>0.5</v>
      </c>
      <c r="AD111">
        <f>P111</f>
        <v>0.8</v>
      </c>
      <c r="AE111">
        <f>Q111</f>
        <v>0.6</v>
      </c>
      <c r="AF111">
        <f>R111</f>
        <v>1</v>
      </c>
      <c r="AG111">
        <f>S111</f>
        <v>0.8</v>
      </c>
      <c r="AH111">
        <f t="shared" si="6"/>
        <v>3</v>
      </c>
    </row>
    <row r="112" spans="1:34" hidden="1" x14ac:dyDescent="0.3">
      <c r="A112" s="9" t="s">
        <v>221</v>
      </c>
      <c r="B112" s="9" t="s">
        <v>231</v>
      </c>
      <c r="C112" s="9" t="s">
        <v>232</v>
      </c>
      <c r="D112" s="9" t="s">
        <v>22</v>
      </c>
      <c r="E112" s="9">
        <v>0</v>
      </c>
      <c r="F112" s="9">
        <v>0</v>
      </c>
      <c r="G112" s="9">
        <v>1.2</v>
      </c>
      <c r="H112" s="9">
        <v>4.78</v>
      </c>
      <c r="I112" s="9">
        <v>1</v>
      </c>
      <c r="J112" s="9">
        <v>4</v>
      </c>
      <c r="K112" s="9">
        <v>44.2</v>
      </c>
      <c r="L112" s="9">
        <v>40.1</v>
      </c>
      <c r="M112" s="9">
        <v>0.182</v>
      </c>
      <c r="N112" s="9">
        <v>1.2</v>
      </c>
      <c r="O112" s="9">
        <v>0.5</v>
      </c>
      <c r="P112" s="9">
        <v>0.8</v>
      </c>
      <c r="Q112" s="9">
        <v>0.6</v>
      </c>
      <c r="R112" s="9">
        <v>1</v>
      </c>
      <c r="S112" s="9">
        <v>0.8</v>
      </c>
      <c r="T112" s="9">
        <v>3</v>
      </c>
      <c r="U112" s="9">
        <v>0</v>
      </c>
      <c r="V112" s="9">
        <v>0</v>
      </c>
      <c r="W112" s="10">
        <v>8.32</v>
      </c>
      <c r="X112" s="5">
        <f xml:space="preserve"> Z112 + AA112 + (AB112*G112) + (AC112*H112) + (AD112*I112) + (AE112*J112) + (AF112*(K112/100)) + (AG112*(L112/100))+ (AH112*(M112))</f>
        <v>8.3387999999999991</v>
      </c>
      <c r="Y112" s="1">
        <f>X112-W112</f>
        <v>1.8799999999998818E-2</v>
      </c>
      <c r="Z112">
        <f>U112</f>
        <v>0</v>
      </c>
      <c r="AA112">
        <f>V112</f>
        <v>0</v>
      </c>
      <c r="AB112">
        <f>N112</f>
        <v>1.2</v>
      </c>
      <c r="AC112">
        <f>O112</f>
        <v>0.5</v>
      </c>
      <c r="AD112">
        <f>P112</f>
        <v>0.8</v>
      </c>
      <c r="AE112">
        <f>Q112</f>
        <v>0.6</v>
      </c>
      <c r="AF112">
        <f>R112</f>
        <v>1</v>
      </c>
      <c r="AG112">
        <f>S112</f>
        <v>0.8</v>
      </c>
      <c r="AH112">
        <f t="shared" si="6"/>
        <v>3</v>
      </c>
    </row>
    <row r="113" spans="1:34" hidden="1" x14ac:dyDescent="0.3">
      <c r="A113" s="9" t="s">
        <v>176</v>
      </c>
      <c r="B113" s="9" t="s">
        <v>200</v>
      </c>
      <c r="C113" s="9" t="s">
        <v>201</v>
      </c>
      <c r="D113" s="9" t="s">
        <v>22</v>
      </c>
      <c r="E113" s="9">
        <v>0</v>
      </c>
      <c r="F113" s="9">
        <v>0</v>
      </c>
      <c r="G113" s="9">
        <v>3.6</v>
      </c>
      <c r="H113" s="9">
        <v>0</v>
      </c>
      <c r="I113" s="9">
        <v>1</v>
      </c>
      <c r="J113" s="9">
        <v>0</v>
      </c>
      <c r="K113" s="9">
        <v>22.4</v>
      </c>
      <c r="L113" s="9">
        <v>0</v>
      </c>
      <c r="M113" s="9">
        <v>1</v>
      </c>
      <c r="N113" s="9">
        <v>1.2</v>
      </c>
      <c r="O113" s="9">
        <v>0.5</v>
      </c>
      <c r="P113" s="9">
        <v>0.8</v>
      </c>
      <c r="Q113" s="9">
        <v>0.6</v>
      </c>
      <c r="R113" s="9">
        <v>1</v>
      </c>
      <c r="S113" s="9">
        <v>0.8</v>
      </c>
      <c r="T113" s="9">
        <v>3</v>
      </c>
      <c r="U113" s="9">
        <v>0</v>
      </c>
      <c r="V113" s="9">
        <v>0</v>
      </c>
      <c r="W113" s="9">
        <v>8.31</v>
      </c>
      <c r="X113">
        <f xml:space="preserve"> Z113 + AA113 + (AB113*G113) + (AC113*H113) + (AD113*I113) + (AE113*J113) + (AF113*(K113/100)) + (AG113*(L113/100))+ (AH113*(M113))</f>
        <v>8.3440000000000012</v>
      </c>
      <c r="Y113" s="1">
        <f>X113-W113</f>
        <v>3.4000000000000696E-2</v>
      </c>
      <c r="Z113">
        <f>U113</f>
        <v>0</v>
      </c>
      <c r="AA113">
        <f>V113</f>
        <v>0</v>
      </c>
      <c r="AB113">
        <f>N113</f>
        <v>1.2</v>
      </c>
      <c r="AC113">
        <f>O113</f>
        <v>0.5</v>
      </c>
      <c r="AD113">
        <f>P113</f>
        <v>0.8</v>
      </c>
      <c r="AE113">
        <f>Q113</f>
        <v>0.6</v>
      </c>
      <c r="AF113">
        <f>R113</f>
        <v>1</v>
      </c>
      <c r="AG113">
        <f>S113</f>
        <v>0.8</v>
      </c>
      <c r="AH113">
        <f t="shared" si="6"/>
        <v>3</v>
      </c>
    </row>
    <row r="114" spans="1:34" hidden="1" x14ac:dyDescent="0.3">
      <c r="A114" s="9" t="s">
        <v>176</v>
      </c>
      <c r="B114" s="9" t="s">
        <v>210</v>
      </c>
      <c r="C114" s="9" t="s">
        <v>211</v>
      </c>
      <c r="D114" s="9" t="s">
        <v>22</v>
      </c>
      <c r="E114" s="9">
        <v>0</v>
      </c>
      <c r="F114" s="9">
        <v>0</v>
      </c>
      <c r="G114" s="9">
        <v>3.6</v>
      </c>
      <c r="H114" s="9">
        <v>0</v>
      </c>
      <c r="I114" s="9">
        <v>1</v>
      </c>
      <c r="J114" s="9">
        <v>0</v>
      </c>
      <c r="K114" s="9">
        <v>22.4</v>
      </c>
      <c r="L114" s="9">
        <v>0</v>
      </c>
      <c r="M114" s="9">
        <v>1</v>
      </c>
      <c r="N114" s="9">
        <v>1.2</v>
      </c>
      <c r="O114" s="9">
        <v>0.5</v>
      </c>
      <c r="P114" s="9">
        <v>0.8</v>
      </c>
      <c r="Q114" s="9">
        <v>0.6</v>
      </c>
      <c r="R114" s="9">
        <v>1</v>
      </c>
      <c r="S114" s="9">
        <v>0.8</v>
      </c>
      <c r="T114" s="9">
        <v>3</v>
      </c>
      <c r="U114" s="9">
        <v>0</v>
      </c>
      <c r="V114" s="9">
        <v>0</v>
      </c>
      <c r="W114" s="10">
        <v>8.31</v>
      </c>
      <c r="X114" s="5">
        <f xml:space="preserve"> Z114 + AA114 + (AB114*G114) + (AC114*H114) + (AD114*I114) + (AE114*J114) + (AF114*(K114/100)) + (AG114*(L114/100))+ (AH114*(M114))</f>
        <v>8.3440000000000012</v>
      </c>
      <c r="Y114" s="1">
        <f>X114-W114</f>
        <v>3.4000000000000696E-2</v>
      </c>
      <c r="Z114">
        <f>U114</f>
        <v>0</v>
      </c>
      <c r="AA114">
        <f>V114</f>
        <v>0</v>
      </c>
      <c r="AB114">
        <f>N114</f>
        <v>1.2</v>
      </c>
      <c r="AC114">
        <f>O114</f>
        <v>0.5</v>
      </c>
      <c r="AD114">
        <f>P114</f>
        <v>0.8</v>
      </c>
      <c r="AE114">
        <f>Q114</f>
        <v>0.6</v>
      </c>
      <c r="AF114">
        <f>R114</f>
        <v>1</v>
      </c>
      <c r="AG114">
        <f>S114</f>
        <v>0.8</v>
      </c>
      <c r="AH114">
        <f t="shared" si="6"/>
        <v>3</v>
      </c>
    </row>
    <row r="115" spans="1:34" hidden="1" x14ac:dyDescent="0.3">
      <c r="A115" s="9" t="s">
        <v>176</v>
      </c>
      <c r="B115" s="9" t="s">
        <v>216</v>
      </c>
      <c r="C115" s="9" t="s">
        <v>217</v>
      </c>
      <c r="D115" s="9" t="s">
        <v>22</v>
      </c>
      <c r="E115" s="9">
        <v>0</v>
      </c>
      <c r="F115" s="9">
        <v>0</v>
      </c>
      <c r="G115" s="9">
        <v>3.6</v>
      </c>
      <c r="H115" s="9">
        <v>0</v>
      </c>
      <c r="I115" s="9">
        <v>1</v>
      </c>
      <c r="J115" s="9">
        <v>0</v>
      </c>
      <c r="K115" s="9">
        <v>22.4</v>
      </c>
      <c r="L115" s="9">
        <v>0</v>
      </c>
      <c r="M115" s="9">
        <v>1</v>
      </c>
      <c r="N115" s="9">
        <v>1.2</v>
      </c>
      <c r="O115" s="9">
        <v>0.5</v>
      </c>
      <c r="P115" s="9">
        <v>0.8</v>
      </c>
      <c r="Q115" s="9">
        <v>0.6</v>
      </c>
      <c r="R115" s="9">
        <v>1</v>
      </c>
      <c r="S115" s="9">
        <v>0.8</v>
      </c>
      <c r="T115" s="9">
        <v>3</v>
      </c>
      <c r="U115" s="9">
        <v>0</v>
      </c>
      <c r="V115" s="9">
        <v>0</v>
      </c>
      <c r="W115" s="9">
        <v>8.31</v>
      </c>
      <c r="X115">
        <f xml:space="preserve"> Z115 + AA115 + (AB115*G115) + (AC115*H115) + (AD115*I115) + (AE115*J115) + (AF115*(K115/100)) + (AG115*(L115/100))+ (AH115*(M115))</f>
        <v>8.3440000000000012</v>
      </c>
      <c r="Y115" s="1">
        <f>X115-W115</f>
        <v>3.4000000000000696E-2</v>
      </c>
      <c r="Z115">
        <f>U115</f>
        <v>0</v>
      </c>
      <c r="AA115">
        <f>V115</f>
        <v>0</v>
      </c>
      <c r="AB115">
        <f>N115</f>
        <v>1.2</v>
      </c>
      <c r="AC115">
        <f>O115</f>
        <v>0.5</v>
      </c>
      <c r="AD115">
        <f>P115</f>
        <v>0.8</v>
      </c>
      <c r="AE115">
        <f>Q115</f>
        <v>0.6</v>
      </c>
      <c r="AF115">
        <f>R115</f>
        <v>1</v>
      </c>
      <c r="AG115">
        <f>S115</f>
        <v>0.8</v>
      </c>
      <c r="AH115">
        <f t="shared" si="6"/>
        <v>3</v>
      </c>
    </row>
    <row r="116" spans="1:34" hidden="1" x14ac:dyDescent="0.3">
      <c r="A116" s="9" t="s">
        <v>221</v>
      </c>
      <c r="B116" s="9" t="s">
        <v>358</v>
      </c>
      <c r="C116" s="9" t="s">
        <v>359</v>
      </c>
      <c r="D116" s="9" t="s">
        <v>22</v>
      </c>
      <c r="E116" s="9">
        <v>0</v>
      </c>
      <c r="F116" s="9">
        <v>0</v>
      </c>
      <c r="G116" s="9">
        <v>3.1</v>
      </c>
      <c r="H116" s="9">
        <v>2.83</v>
      </c>
      <c r="I116" s="9">
        <v>1</v>
      </c>
      <c r="J116" s="9">
        <v>0</v>
      </c>
      <c r="K116" s="9">
        <v>30.9</v>
      </c>
      <c r="L116" s="9">
        <v>0</v>
      </c>
      <c r="M116" s="9">
        <v>0.66700000000000004</v>
      </c>
      <c r="N116" s="9">
        <v>1.2</v>
      </c>
      <c r="O116" s="9">
        <v>0.5</v>
      </c>
      <c r="P116" s="9">
        <v>0.8</v>
      </c>
      <c r="Q116" s="9">
        <v>0.6</v>
      </c>
      <c r="R116" s="9">
        <v>1</v>
      </c>
      <c r="S116" s="9">
        <v>0.8</v>
      </c>
      <c r="T116" s="9">
        <v>3</v>
      </c>
      <c r="U116" s="9">
        <v>0</v>
      </c>
      <c r="V116" s="9">
        <v>0</v>
      </c>
      <c r="W116" s="9">
        <v>8.31</v>
      </c>
      <c r="X116">
        <f xml:space="preserve"> Z116 + AA116 + (AB116*G116) + (AC116*H116) + (AD116*I116) + (AE116*J116) + (AF116*(K116/100)) + (AG116*(L116/100))+ (AH116*(M116))</f>
        <v>8.245000000000001</v>
      </c>
      <c r="Y116" s="1">
        <f>X116-W116</f>
        <v>-6.4999999999999503E-2</v>
      </c>
      <c r="Z116">
        <f>U116</f>
        <v>0</v>
      </c>
      <c r="AA116">
        <f>V116</f>
        <v>0</v>
      </c>
      <c r="AB116">
        <f>N116</f>
        <v>1.2</v>
      </c>
      <c r="AC116">
        <f>O116</f>
        <v>0.5</v>
      </c>
      <c r="AD116">
        <f>P116</f>
        <v>0.8</v>
      </c>
      <c r="AE116">
        <f>Q116</f>
        <v>0.6</v>
      </c>
      <c r="AF116">
        <f>R116</f>
        <v>1</v>
      </c>
      <c r="AG116">
        <f>S116</f>
        <v>0.8</v>
      </c>
      <c r="AH116">
        <f t="shared" si="6"/>
        <v>3</v>
      </c>
    </row>
    <row r="117" spans="1:34" hidden="1" x14ac:dyDescent="0.3">
      <c r="A117" s="9" t="s">
        <v>221</v>
      </c>
      <c r="B117" s="9" t="s">
        <v>312</v>
      </c>
      <c r="C117" s="9" t="s">
        <v>313</v>
      </c>
      <c r="D117" s="9" t="s">
        <v>22</v>
      </c>
      <c r="E117" s="9">
        <v>0</v>
      </c>
      <c r="F117" s="9">
        <v>0</v>
      </c>
      <c r="G117" s="9">
        <v>2</v>
      </c>
      <c r="H117" s="9">
        <v>4.26</v>
      </c>
      <c r="I117" s="9">
        <v>0</v>
      </c>
      <c r="J117" s="9">
        <v>5</v>
      </c>
      <c r="K117" s="9">
        <v>0</v>
      </c>
      <c r="L117" s="9">
        <v>25.9</v>
      </c>
      <c r="M117" s="9">
        <v>0.2</v>
      </c>
      <c r="N117" s="9">
        <v>1.2</v>
      </c>
      <c r="O117" s="9">
        <v>0.5</v>
      </c>
      <c r="P117" s="9">
        <v>0.8</v>
      </c>
      <c r="Q117" s="9">
        <v>0.6</v>
      </c>
      <c r="R117" s="9">
        <v>1</v>
      </c>
      <c r="S117" s="9">
        <v>0.8</v>
      </c>
      <c r="T117" s="9">
        <v>3</v>
      </c>
      <c r="U117" s="9">
        <v>0</v>
      </c>
      <c r="V117" s="9">
        <v>0</v>
      </c>
      <c r="W117" s="10">
        <v>8.3000000000000007</v>
      </c>
      <c r="X117" s="5">
        <f xml:space="preserve"> Z117 + AA117 + (AB117*G117) + (AC117*H117) + (AD117*I117) + (AE117*J117) + (AF117*(K117/100)) + (AG117*(L117/100))+ (AH117*(M117))</f>
        <v>8.3371999999999993</v>
      </c>
      <c r="Y117" s="1">
        <f>X117-W117</f>
        <v>3.7199999999998568E-2</v>
      </c>
      <c r="Z117">
        <f>U117</f>
        <v>0</v>
      </c>
      <c r="AA117">
        <f>V117</f>
        <v>0</v>
      </c>
      <c r="AB117">
        <f>N117</f>
        <v>1.2</v>
      </c>
      <c r="AC117">
        <f>O117</f>
        <v>0.5</v>
      </c>
      <c r="AD117">
        <f>P117</f>
        <v>0.8</v>
      </c>
      <c r="AE117">
        <f>Q117</f>
        <v>0.6</v>
      </c>
      <c r="AF117">
        <f>R117</f>
        <v>1</v>
      </c>
      <c r="AG117">
        <f>S117</f>
        <v>0.8</v>
      </c>
      <c r="AH117">
        <f t="shared" si="6"/>
        <v>3</v>
      </c>
    </row>
    <row r="118" spans="1:34" x14ac:dyDescent="0.3">
      <c r="A118" s="9" t="s">
        <v>398</v>
      </c>
      <c r="B118" s="9" t="s">
        <v>420</v>
      </c>
      <c r="C118" s="9" t="s">
        <v>421</v>
      </c>
      <c r="D118" s="9" t="s">
        <v>22</v>
      </c>
      <c r="E118" s="9">
        <v>0</v>
      </c>
      <c r="F118" s="9">
        <v>0</v>
      </c>
      <c r="G118" s="9">
        <v>4.7</v>
      </c>
      <c r="H118" s="9">
        <v>0</v>
      </c>
      <c r="I118" s="9">
        <v>1</v>
      </c>
      <c r="J118" s="9">
        <v>2</v>
      </c>
      <c r="K118" s="9">
        <v>11.9</v>
      </c>
      <c r="L118" s="9">
        <v>26.8</v>
      </c>
      <c r="M118" s="9">
        <v>9.5000000000000001E-2</v>
      </c>
      <c r="N118" s="9">
        <v>1.2</v>
      </c>
      <c r="O118" s="9">
        <v>0.5</v>
      </c>
      <c r="P118" s="9">
        <v>0.8</v>
      </c>
      <c r="Q118" s="9">
        <v>0.6</v>
      </c>
      <c r="R118" s="9">
        <v>1</v>
      </c>
      <c r="S118" s="9">
        <v>0.8</v>
      </c>
      <c r="T118" s="9">
        <v>3</v>
      </c>
      <c r="U118" s="9">
        <v>0</v>
      </c>
      <c r="V118" s="9">
        <v>0</v>
      </c>
      <c r="W118" s="10">
        <v>8.2899999999999991</v>
      </c>
      <c r="X118" s="5">
        <f xml:space="preserve"> Z118 + AA118 + (AB118*G118) + (AC118*H118) + (AD118*I118) + (AE118*J118) + (AF118*(K118/100)) + (AG118*(L118/100))+ (AH118*(M118))</f>
        <v>8.2584</v>
      </c>
      <c r="Y118" s="1">
        <f>X118-W118</f>
        <v>-3.1599999999999184E-2</v>
      </c>
      <c r="Z118">
        <f>U118</f>
        <v>0</v>
      </c>
      <c r="AA118">
        <f>V118</f>
        <v>0</v>
      </c>
      <c r="AB118">
        <f>N118</f>
        <v>1.2</v>
      </c>
      <c r="AC118">
        <f>O118</f>
        <v>0.5</v>
      </c>
      <c r="AD118">
        <f>P118</f>
        <v>0.8</v>
      </c>
      <c r="AE118">
        <f>Q118</f>
        <v>0.6</v>
      </c>
      <c r="AF118">
        <f>R118</f>
        <v>1</v>
      </c>
      <c r="AG118">
        <f>S118</f>
        <v>0.8</v>
      </c>
      <c r="AH118">
        <f t="shared" si="6"/>
        <v>3</v>
      </c>
    </row>
    <row r="119" spans="1:34" x14ac:dyDescent="0.3">
      <c r="A119" s="9" t="s">
        <v>398</v>
      </c>
      <c r="B119" s="9" t="s">
        <v>486</v>
      </c>
      <c r="C119" s="9" t="s">
        <v>487</v>
      </c>
      <c r="D119" s="9" t="s">
        <v>22</v>
      </c>
      <c r="E119" s="9">
        <v>0</v>
      </c>
      <c r="F119" s="9">
        <v>0</v>
      </c>
      <c r="G119" s="9">
        <v>0</v>
      </c>
      <c r="H119" s="9">
        <v>4.2300000000000004</v>
      </c>
      <c r="I119" s="9">
        <v>2</v>
      </c>
      <c r="J119" s="9">
        <v>5</v>
      </c>
      <c r="K119" s="9">
        <v>21.1</v>
      </c>
      <c r="L119" s="9">
        <v>45.4</v>
      </c>
      <c r="M119" s="9">
        <v>0.33300000000000002</v>
      </c>
      <c r="N119" s="9">
        <v>1.2</v>
      </c>
      <c r="O119" s="9">
        <v>0.5</v>
      </c>
      <c r="P119" s="9">
        <v>0.8</v>
      </c>
      <c r="Q119" s="9">
        <v>0.6</v>
      </c>
      <c r="R119" s="9">
        <v>1</v>
      </c>
      <c r="S119" s="9">
        <v>0.8</v>
      </c>
      <c r="T119" s="9">
        <v>3</v>
      </c>
      <c r="U119" s="9">
        <v>0</v>
      </c>
      <c r="V119" s="9">
        <v>0</v>
      </c>
      <c r="W119" s="9">
        <v>8.2899999999999991</v>
      </c>
      <c r="X119">
        <f xml:space="preserve"> Z119 + AA119 + (AB119*G119) + (AC119*H119) + (AD119*I119) + (AE119*J119) + (AF119*(K119/100)) + (AG119*(L119/100))+ (AH119*(M119))</f>
        <v>8.2881999999999998</v>
      </c>
      <c r="Y119" s="3">
        <f>X119-W119</f>
        <v>-1.7999999999993577E-3</v>
      </c>
      <c r="Z119">
        <f>U119</f>
        <v>0</v>
      </c>
      <c r="AA119">
        <f>V119</f>
        <v>0</v>
      </c>
      <c r="AB119">
        <f>N119</f>
        <v>1.2</v>
      </c>
      <c r="AC119">
        <f>O119</f>
        <v>0.5</v>
      </c>
      <c r="AD119">
        <f>P119</f>
        <v>0.8</v>
      </c>
      <c r="AE119">
        <f>Q119</f>
        <v>0.6</v>
      </c>
      <c r="AF119">
        <f>R119</f>
        <v>1</v>
      </c>
      <c r="AG119">
        <f>S119</f>
        <v>0.8</v>
      </c>
      <c r="AH119">
        <f t="shared" si="6"/>
        <v>3</v>
      </c>
    </row>
    <row r="120" spans="1:34" x14ac:dyDescent="0.3">
      <c r="A120" s="9" t="s">
        <v>398</v>
      </c>
      <c r="B120" s="9" t="s">
        <v>516</v>
      </c>
      <c r="C120" s="9" t="s">
        <v>517</v>
      </c>
      <c r="D120" s="9" t="s">
        <v>22</v>
      </c>
      <c r="E120" s="9">
        <v>0</v>
      </c>
      <c r="F120" s="9">
        <v>0</v>
      </c>
      <c r="G120" s="9">
        <v>2.4</v>
      </c>
      <c r="H120" s="9">
        <v>1.79</v>
      </c>
      <c r="I120" s="9">
        <v>2</v>
      </c>
      <c r="J120" s="9">
        <v>2</v>
      </c>
      <c r="K120" s="9">
        <v>36.4</v>
      </c>
      <c r="L120" s="9">
        <v>21.7</v>
      </c>
      <c r="M120" s="9">
        <v>0.4</v>
      </c>
      <c r="N120" s="9">
        <v>1.2</v>
      </c>
      <c r="O120" s="9">
        <v>0.5</v>
      </c>
      <c r="P120" s="9">
        <v>0.8</v>
      </c>
      <c r="Q120" s="9">
        <v>0.6</v>
      </c>
      <c r="R120" s="9">
        <v>1</v>
      </c>
      <c r="S120" s="9">
        <v>0.8</v>
      </c>
      <c r="T120" s="9">
        <v>3</v>
      </c>
      <c r="U120" s="9">
        <v>0</v>
      </c>
      <c r="V120" s="9">
        <v>0</v>
      </c>
      <c r="W120" s="10">
        <v>8.27</v>
      </c>
      <c r="X120" s="5">
        <f xml:space="preserve"> Z120 + AA120 + (AB120*G120) + (AC120*H120) + (AD120*I120) + (AE120*J120) + (AF120*(K120/100)) + (AG120*(L120/100))+ (AH120*(M120))</f>
        <v>8.3125999999999998</v>
      </c>
      <c r="Y120" s="1">
        <f>X120-W120</f>
        <v>4.2600000000000193E-2</v>
      </c>
      <c r="Z120">
        <f>U120</f>
        <v>0</v>
      </c>
      <c r="AA120">
        <f>V120</f>
        <v>0</v>
      </c>
      <c r="AB120">
        <f>N120</f>
        <v>1.2</v>
      </c>
      <c r="AC120">
        <f>O120</f>
        <v>0.5</v>
      </c>
      <c r="AD120">
        <f>P120</f>
        <v>0.8</v>
      </c>
      <c r="AE120">
        <f>Q120</f>
        <v>0.6</v>
      </c>
      <c r="AF120">
        <f>R120</f>
        <v>1</v>
      </c>
      <c r="AG120">
        <f>S120</f>
        <v>0.8</v>
      </c>
      <c r="AH120">
        <f t="shared" si="6"/>
        <v>3</v>
      </c>
    </row>
    <row r="121" spans="1:34" hidden="1" x14ac:dyDescent="0.3">
      <c r="A121" s="9" t="s">
        <v>51</v>
      </c>
      <c r="B121" s="9" t="s">
        <v>52</v>
      </c>
      <c r="C121" s="9" t="s">
        <v>53</v>
      </c>
      <c r="D121" s="9" t="s">
        <v>22</v>
      </c>
      <c r="E121" s="9">
        <v>0</v>
      </c>
      <c r="F121" s="9">
        <v>0</v>
      </c>
      <c r="G121" s="9">
        <v>2</v>
      </c>
      <c r="H121" s="9">
        <v>0</v>
      </c>
      <c r="I121" s="9">
        <v>1</v>
      </c>
      <c r="J121" s="9">
        <v>4</v>
      </c>
      <c r="K121" s="9">
        <v>34.1</v>
      </c>
      <c r="L121" s="9">
        <v>46</v>
      </c>
      <c r="M121" s="9">
        <v>0.66700000000000004</v>
      </c>
      <c r="N121" s="9">
        <v>1.2</v>
      </c>
      <c r="O121" s="9">
        <v>0.5</v>
      </c>
      <c r="P121" s="9">
        <v>0.8</v>
      </c>
      <c r="Q121" s="9">
        <v>0.6</v>
      </c>
      <c r="R121" s="9">
        <v>1</v>
      </c>
      <c r="S121" s="9">
        <v>0.8</v>
      </c>
      <c r="T121" s="9">
        <v>3</v>
      </c>
      <c r="U121" s="9">
        <v>0</v>
      </c>
      <c r="V121" s="9">
        <v>0</v>
      </c>
      <c r="W121" s="10">
        <v>8.26</v>
      </c>
      <c r="X121" s="5">
        <f xml:space="preserve"> Z121 + AA121 + (AB121*G121) + (AC121*H121) + (AD121*I121) + (AE121*J121) + (AF121*(K121/100)) + (AG121*(L121/100))+ (AH121*(M121))</f>
        <v>8.31</v>
      </c>
      <c r="Y121" s="1">
        <f>X121-W121</f>
        <v>5.0000000000000711E-2</v>
      </c>
      <c r="Z121">
        <f>U121</f>
        <v>0</v>
      </c>
      <c r="AA121">
        <f>V121</f>
        <v>0</v>
      </c>
      <c r="AB121">
        <f>N121</f>
        <v>1.2</v>
      </c>
      <c r="AC121">
        <f>O121</f>
        <v>0.5</v>
      </c>
      <c r="AD121">
        <f>P121</f>
        <v>0.8</v>
      </c>
      <c r="AE121">
        <f>Q121</f>
        <v>0.6</v>
      </c>
      <c r="AF121">
        <f>R121</f>
        <v>1</v>
      </c>
      <c r="AG121">
        <f>S121</f>
        <v>0.8</v>
      </c>
      <c r="AH121">
        <f t="shared" ref="AH121" si="26">T121</f>
        <v>3</v>
      </c>
    </row>
    <row r="122" spans="1:34" hidden="1" x14ac:dyDescent="0.3">
      <c r="A122" s="9" t="s">
        <v>221</v>
      </c>
      <c r="B122" s="9" t="s">
        <v>260</v>
      </c>
      <c r="C122" s="9" t="s">
        <v>261</v>
      </c>
      <c r="D122" s="9" t="s">
        <v>22</v>
      </c>
      <c r="E122" s="9">
        <v>0</v>
      </c>
      <c r="F122" s="9">
        <v>0</v>
      </c>
      <c r="G122" s="9">
        <v>2.4</v>
      </c>
      <c r="H122" s="9">
        <v>2.89</v>
      </c>
      <c r="I122" s="9">
        <v>0</v>
      </c>
      <c r="J122" s="9">
        <v>5</v>
      </c>
      <c r="K122" s="9">
        <v>0</v>
      </c>
      <c r="L122" s="9">
        <v>37.700000000000003</v>
      </c>
      <c r="M122" s="9">
        <v>0.222</v>
      </c>
      <c r="N122" s="9">
        <v>1.2</v>
      </c>
      <c r="O122" s="9">
        <v>0.5</v>
      </c>
      <c r="P122" s="9">
        <v>0.8</v>
      </c>
      <c r="Q122" s="9">
        <v>0.6</v>
      </c>
      <c r="R122" s="9">
        <v>1</v>
      </c>
      <c r="S122" s="9">
        <v>0.8</v>
      </c>
      <c r="T122" s="9">
        <v>3</v>
      </c>
      <c r="U122" s="9">
        <v>0</v>
      </c>
      <c r="V122" s="9">
        <v>0</v>
      </c>
      <c r="W122" s="9">
        <v>8.25</v>
      </c>
      <c r="X122">
        <f xml:space="preserve"> Z122 + AA122 + (AB122*G122) + (AC122*H122) + (AD122*I122) + (AE122*J122) + (AF122*(K122/100)) + (AG122*(L122/100))+ (AH122*(M122))</f>
        <v>8.2926000000000002</v>
      </c>
      <c r="Y122" s="1">
        <f>X122-W122</f>
        <v>4.2600000000000193E-2</v>
      </c>
      <c r="Z122">
        <f>U122</f>
        <v>0</v>
      </c>
      <c r="AA122">
        <f>V122</f>
        <v>0</v>
      </c>
      <c r="AB122">
        <f>N122</f>
        <v>1.2</v>
      </c>
      <c r="AC122">
        <f>O122</f>
        <v>0.5</v>
      </c>
      <c r="AD122">
        <f>P122</f>
        <v>0.8</v>
      </c>
      <c r="AE122">
        <f>Q122</f>
        <v>0.6</v>
      </c>
      <c r="AF122">
        <f>R122</f>
        <v>1</v>
      </c>
      <c r="AG122">
        <f>S122</f>
        <v>0.8</v>
      </c>
      <c r="AH122">
        <f t="shared" si="6"/>
        <v>3</v>
      </c>
    </row>
    <row r="123" spans="1:34" hidden="1" x14ac:dyDescent="0.3">
      <c r="A123" s="9" t="s">
        <v>221</v>
      </c>
      <c r="B123" s="9" t="s">
        <v>376</v>
      </c>
      <c r="C123" s="9" t="s">
        <v>377</v>
      </c>
      <c r="D123" s="9" t="s">
        <v>22</v>
      </c>
      <c r="E123" s="9">
        <v>0</v>
      </c>
      <c r="F123" s="9">
        <v>0</v>
      </c>
      <c r="G123" s="9">
        <v>2</v>
      </c>
      <c r="H123" s="9">
        <v>2.2999999999999998</v>
      </c>
      <c r="I123" s="9">
        <v>1</v>
      </c>
      <c r="J123" s="9">
        <v>2</v>
      </c>
      <c r="K123" s="9">
        <v>44.2</v>
      </c>
      <c r="L123" s="9">
        <v>26.3</v>
      </c>
      <c r="M123" s="9">
        <v>0.66700000000000004</v>
      </c>
      <c r="N123" s="9">
        <v>1.2</v>
      </c>
      <c r="O123" s="9">
        <v>0.5</v>
      </c>
      <c r="P123" s="9">
        <v>0.8</v>
      </c>
      <c r="Q123" s="9">
        <v>0.6</v>
      </c>
      <c r="R123" s="9">
        <v>1</v>
      </c>
      <c r="S123" s="9">
        <v>0.8</v>
      </c>
      <c r="T123" s="9">
        <v>3</v>
      </c>
      <c r="U123" s="9">
        <v>0</v>
      </c>
      <c r="V123" s="9">
        <v>0</v>
      </c>
      <c r="W123" s="9">
        <v>8.17</v>
      </c>
      <c r="X123">
        <f xml:space="preserve"> Z123 + AA123 + (AB123*G123) + (AC123*H123) + (AD123*I123) + (AE123*J123) + (AF123*(K123/100)) + (AG123*(L123/100))+ (AH123*(M123))</f>
        <v>8.2034000000000002</v>
      </c>
      <c r="Y123" s="1">
        <f>X123-W123</f>
        <v>3.3400000000000318E-2</v>
      </c>
      <c r="Z123">
        <f>U123</f>
        <v>0</v>
      </c>
      <c r="AA123">
        <f>V123</f>
        <v>0</v>
      </c>
      <c r="AB123">
        <f>N123</f>
        <v>1.2</v>
      </c>
      <c r="AC123">
        <f>O123</f>
        <v>0.5</v>
      </c>
      <c r="AD123">
        <f>P123</f>
        <v>0.8</v>
      </c>
      <c r="AE123">
        <f>Q123</f>
        <v>0.6</v>
      </c>
      <c r="AF123">
        <f>R123</f>
        <v>1</v>
      </c>
      <c r="AG123">
        <f>S123</f>
        <v>0.8</v>
      </c>
      <c r="AH123">
        <f t="shared" si="6"/>
        <v>3</v>
      </c>
    </row>
    <row r="124" spans="1:34" hidden="1" x14ac:dyDescent="0.3">
      <c r="A124" s="9" t="s">
        <v>54</v>
      </c>
      <c r="B124" s="9" t="s">
        <v>58</v>
      </c>
      <c r="C124" s="9" t="s">
        <v>59</v>
      </c>
      <c r="D124" s="9" t="s">
        <v>22</v>
      </c>
      <c r="E124" s="9">
        <v>0</v>
      </c>
      <c r="F124" s="9">
        <v>0</v>
      </c>
      <c r="G124" s="9">
        <v>1.8</v>
      </c>
      <c r="H124" s="9">
        <v>2.83</v>
      </c>
      <c r="I124" s="9">
        <v>1</v>
      </c>
      <c r="J124" s="9">
        <v>4</v>
      </c>
      <c r="K124" s="9">
        <v>43</v>
      </c>
      <c r="L124" s="9">
        <v>45.2</v>
      </c>
      <c r="M124" s="9">
        <v>0.182</v>
      </c>
      <c r="N124" s="9">
        <v>1.2</v>
      </c>
      <c r="O124" s="9">
        <v>0.5</v>
      </c>
      <c r="P124" s="9">
        <v>0.8</v>
      </c>
      <c r="Q124" s="9">
        <v>0.6</v>
      </c>
      <c r="R124" s="9">
        <v>1</v>
      </c>
      <c r="S124" s="9">
        <v>0.8</v>
      </c>
      <c r="T124" s="9">
        <v>3</v>
      </c>
      <c r="U124" s="9">
        <v>0</v>
      </c>
      <c r="V124" s="9">
        <v>0</v>
      </c>
      <c r="W124" s="9">
        <v>8.1</v>
      </c>
      <c r="X124">
        <f xml:space="preserve"> Z124 + AA124 + (AB124*G124) + (AC124*H124) + (AD124*I124) + (AE124*J124) + (AF124*(K124/100)) + (AG124*(L124/100))+ (AH124*(M124))</f>
        <v>8.1126000000000005</v>
      </c>
      <c r="Y124" s="1">
        <f>X124-W124</f>
        <v>1.2600000000000833E-2</v>
      </c>
      <c r="Z124">
        <f>U124</f>
        <v>0</v>
      </c>
      <c r="AA124">
        <f>V124</f>
        <v>0</v>
      </c>
      <c r="AB124">
        <f>N124</f>
        <v>1.2</v>
      </c>
      <c r="AC124">
        <f>O124</f>
        <v>0.5</v>
      </c>
      <c r="AD124">
        <f>P124</f>
        <v>0.8</v>
      </c>
      <c r="AE124">
        <f>Q124</f>
        <v>0.6</v>
      </c>
      <c r="AF124">
        <f>R124</f>
        <v>1</v>
      </c>
      <c r="AG124">
        <f>S124</f>
        <v>0.8</v>
      </c>
      <c r="AH124">
        <f t="shared" si="6"/>
        <v>3</v>
      </c>
    </row>
    <row r="125" spans="1:34" hidden="1" x14ac:dyDescent="0.3">
      <c r="A125" s="9" t="s">
        <v>54</v>
      </c>
      <c r="B125" s="9" t="s">
        <v>146</v>
      </c>
      <c r="C125" s="9" t="s">
        <v>147</v>
      </c>
      <c r="D125" s="9" t="s">
        <v>22</v>
      </c>
      <c r="E125" s="9">
        <v>0</v>
      </c>
      <c r="F125" s="9">
        <v>0</v>
      </c>
      <c r="G125" s="9">
        <v>3.6</v>
      </c>
      <c r="H125" s="9">
        <v>0</v>
      </c>
      <c r="I125" s="9">
        <v>1</v>
      </c>
      <c r="J125" s="9">
        <v>3</v>
      </c>
      <c r="K125" s="9">
        <v>41.7</v>
      </c>
      <c r="L125" s="9">
        <v>36</v>
      </c>
      <c r="M125" s="9">
        <v>0.14299999999999999</v>
      </c>
      <c r="N125" s="9">
        <v>1.2</v>
      </c>
      <c r="O125" s="9">
        <v>0.5</v>
      </c>
      <c r="P125" s="9">
        <v>0.8</v>
      </c>
      <c r="Q125" s="9">
        <v>0.6</v>
      </c>
      <c r="R125" s="9">
        <v>1</v>
      </c>
      <c r="S125" s="9">
        <v>0.8</v>
      </c>
      <c r="T125" s="9">
        <v>3</v>
      </c>
      <c r="U125" s="9">
        <v>0</v>
      </c>
      <c r="V125" s="9">
        <v>0</v>
      </c>
      <c r="W125" s="10">
        <v>8.02</v>
      </c>
      <c r="X125" s="5">
        <f xml:space="preserve"> Z125 + AA125 + (AB125*G125) + (AC125*H125) + (AD125*I125) + (AE125*J125) + (AF125*(K125/100)) + (AG125*(L125/100))+ (AH125*(M125))</f>
        <v>8.0540000000000003</v>
      </c>
      <c r="Y125" s="1">
        <f>X125-W125</f>
        <v>3.4000000000000696E-2</v>
      </c>
      <c r="Z125">
        <f>U125</f>
        <v>0</v>
      </c>
      <c r="AA125">
        <f>V125</f>
        <v>0</v>
      </c>
      <c r="AB125">
        <f>N125</f>
        <v>1.2</v>
      </c>
      <c r="AC125">
        <f>O125</f>
        <v>0.5</v>
      </c>
      <c r="AD125">
        <f>P125</f>
        <v>0.8</v>
      </c>
      <c r="AE125">
        <f>Q125</f>
        <v>0.6</v>
      </c>
      <c r="AF125">
        <f>R125</f>
        <v>1</v>
      </c>
      <c r="AG125">
        <f>S125</f>
        <v>0.8</v>
      </c>
      <c r="AH125">
        <f t="shared" si="6"/>
        <v>3</v>
      </c>
    </row>
    <row r="126" spans="1:34" hidden="1" x14ac:dyDescent="0.3">
      <c r="A126" s="9" t="s">
        <v>221</v>
      </c>
      <c r="B126" s="9" t="s">
        <v>330</v>
      </c>
      <c r="C126" s="9" t="s">
        <v>331</v>
      </c>
      <c r="D126" s="9" t="s">
        <v>22</v>
      </c>
      <c r="E126" s="9">
        <v>0</v>
      </c>
      <c r="F126" s="9">
        <v>0</v>
      </c>
      <c r="G126" s="9">
        <v>0.4</v>
      </c>
      <c r="H126" s="9">
        <v>3</v>
      </c>
      <c r="I126" s="9">
        <v>2</v>
      </c>
      <c r="J126" s="9">
        <v>5</v>
      </c>
      <c r="K126" s="9">
        <v>38</v>
      </c>
      <c r="L126" s="9">
        <v>38.299999999999997</v>
      </c>
      <c r="M126" s="9">
        <v>0.25</v>
      </c>
      <c r="N126" s="9">
        <v>1.2</v>
      </c>
      <c r="O126" s="9">
        <v>0.5</v>
      </c>
      <c r="P126" s="9">
        <v>0.8</v>
      </c>
      <c r="Q126" s="9">
        <v>0.6</v>
      </c>
      <c r="R126" s="9">
        <v>1</v>
      </c>
      <c r="S126" s="9">
        <v>0.8</v>
      </c>
      <c r="T126" s="9">
        <v>3</v>
      </c>
      <c r="U126" s="9">
        <v>0</v>
      </c>
      <c r="V126" s="9">
        <v>0</v>
      </c>
      <c r="W126" s="10">
        <v>8.01</v>
      </c>
      <c r="X126" s="5">
        <f xml:space="preserve"> Z126 + AA126 + (AB126*G126) + (AC126*H126) + (AD126*I126) + (AE126*J126) + (AF126*(K126/100)) + (AG126*(L126/100))+ (AH126*(M126))</f>
        <v>8.0164000000000009</v>
      </c>
      <c r="Y126" s="1">
        <f>X126-W126</f>
        <v>6.4000000000010715E-3</v>
      </c>
      <c r="Z126">
        <f>U126</f>
        <v>0</v>
      </c>
      <c r="AA126">
        <f>V126</f>
        <v>0</v>
      </c>
      <c r="AB126">
        <f>N126</f>
        <v>1.2</v>
      </c>
      <c r="AC126">
        <f>O126</f>
        <v>0.5</v>
      </c>
      <c r="AD126">
        <f>P126</f>
        <v>0.8</v>
      </c>
      <c r="AE126">
        <f>Q126</f>
        <v>0.6</v>
      </c>
      <c r="AF126">
        <f>R126</f>
        <v>1</v>
      </c>
      <c r="AG126">
        <f>S126</f>
        <v>0.8</v>
      </c>
      <c r="AH126">
        <f t="shared" si="6"/>
        <v>3</v>
      </c>
    </row>
    <row r="127" spans="1:34" hidden="1" x14ac:dyDescent="0.3">
      <c r="A127" s="9" t="s">
        <v>221</v>
      </c>
      <c r="B127" s="9" t="s">
        <v>334</v>
      </c>
      <c r="C127" s="9" t="s">
        <v>335</v>
      </c>
      <c r="D127" s="9" t="s">
        <v>22</v>
      </c>
      <c r="E127" s="9">
        <v>0</v>
      </c>
      <c r="F127" s="9">
        <v>0</v>
      </c>
      <c r="G127" s="9">
        <v>1.2</v>
      </c>
      <c r="H127" s="9">
        <v>3.26</v>
      </c>
      <c r="I127" s="9">
        <v>1</v>
      </c>
      <c r="J127" s="9">
        <v>3</v>
      </c>
      <c r="K127" s="9">
        <v>55</v>
      </c>
      <c r="L127" s="9">
        <v>36.200000000000003</v>
      </c>
      <c r="M127" s="9">
        <v>0.5</v>
      </c>
      <c r="N127" s="9">
        <v>1.2</v>
      </c>
      <c r="O127" s="9">
        <v>0.5</v>
      </c>
      <c r="P127" s="9">
        <v>0.8</v>
      </c>
      <c r="Q127" s="9">
        <v>0.6</v>
      </c>
      <c r="R127" s="9">
        <v>1</v>
      </c>
      <c r="S127" s="9">
        <v>0.8</v>
      </c>
      <c r="T127" s="9">
        <v>3</v>
      </c>
      <c r="U127" s="9">
        <v>0</v>
      </c>
      <c r="V127" s="9">
        <v>0</v>
      </c>
      <c r="W127" s="9">
        <v>7.99</v>
      </c>
      <c r="X127">
        <f xml:space="preserve"> Z127 + AA127 + (AB127*G127) + (AC127*H127) + (AD127*I127) + (AE127*J127) + (AF127*(K127/100)) + (AG127*(L127/100))+ (AH127*(M127))</f>
        <v>8.0095999999999989</v>
      </c>
      <c r="Y127" s="1">
        <f>X127-W127</f>
        <v>1.959999999999873E-2</v>
      </c>
      <c r="Z127">
        <f>U127</f>
        <v>0</v>
      </c>
      <c r="AA127">
        <f>V127</f>
        <v>0</v>
      </c>
      <c r="AB127">
        <f>N127</f>
        <v>1.2</v>
      </c>
      <c r="AC127">
        <f>O127</f>
        <v>0.5</v>
      </c>
      <c r="AD127">
        <f>P127</f>
        <v>0.8</v>
      </c>
      <c r="AE127">
        <f>Q127</f>
        <v>0.6</v>
      </c>
      <c r="AF127">
        <f>R127</f>
        <v>1</v>
      </c>
      <c r="AG127">
        <f>S127</f>
        <v>0.8</v>
      </c>
      <c r="AH127">
        <f t="shared" si="6"/>
        <v>3</v>
      </c>
    </row>
    <row r="128" spans="1:34" hidden="1" x14ac:dyDescent="0.3">
      <c r="A128" s="9" t="s">
        <v>533</v>
      </c>
      <c r="B128" s="9" t="s">
        <v>638</v>
      </c>
      <c r="C128" s="9" t="s">
        <v>639</v>
      </c>
      <c r="D128" s="9" t="s">
        <v>22</v>
      </c>
      <c r="E128" s="9">
        <v>0</v>
      </c>
      <c r="F128" s="9">
        <v>0</v>
      </c>
      <c r="G128" s="9">
        <v>0</v>
      </c>
      <c r="H128" s="9">
        <v>3</v>
      </c>
      <c r="I128" s="9">
        <v>2</v>
      </c>
      <c r="J128" s="9">
        <v>5</v>
      </c>
      <c r="K128" s="9">
        <v>46.1</v>
      </c>
      <c r="L128" s="9">
        <v>37.5</v>
      </c>
      <c r="M128" s="9">
        <v>0.33300000000000002</v>
      </c>
      <c r="N128" s="9">
        <v>1.2</v>
      </c>
      <c r="O128" s="9">
        <v>0.5</v>
      </c>
      <c r="P128" s="9">
        <v>0.8</v>
      </c>
      <c r="Q128" s="9">
        <v>0.6</v>
      </c>
      <c r="R128" s="9">
        <v>1</v>
      </c>
      <c r="S128" s="9">
        <v>0.8</v>
      </c>
      <c r="T128" s="9">
        <v>3</v>
      </c>
      <c r="U128" s="9">
        <v>0</v>
      </c>
      <c r="V128" s="9">
        <v>0</v>
      </c>
      <c r="W128" s="9">
        <v>7.86</v>
      </c>
      <c r="X128">
        <f xml:space="preserve"> Z128 + AA128 + (AB128*G128) + (AC128*H128) + (AD128*I128) + (AE128*J128) + (AF128*(K128/100)) + (AG128*(L128/100))+ (AH128*(M128))</f>
        <v>7.8599999999999994</v>
      </c>
      <c r="Y128" s="1">
        <f>X128-W128</f>
        <v>0</v>
      </c>
      <c r="Z128">
        <f>U128</f>
        <v>0</v>
      </c>
      <c r="AA128">
        <f>V128</f>
        <v>0</v>
      </c>
      <c r="AB128">
        <f>N128</f>
        <v>1.2</v>
      </c>
      <c r="AC128">
        <f>O128</f>
        <v>0.5</v>
      </c>
      <c r="AD128">
        <f>P128</f>
        <v>0.8</v>
      </c>
      <c r="AE128">
        <f>Q128</f>
        <v>0.6</v>
      </c>
      <c r="AF128">
        <f>R128</f>
        <v>1</v>
      </c>
      <c r="AG128">
        <f>S128</f>
        <v>0.8</v>
      </c>
      <c r="AH128">
        <f t="shared" si="6"/>
        <v>3</v>
      </c>
    </row>
    <row r="129" spans="1:34" hidden="1" x14ac:dyDescent="0.3">
      <c r="A129" s="9" t="s">
        <v>533</v>
      </c>
      <c r="B129" s="9" t="s">
        <v>632</v>
      </c>
      <c r="C129" s="9" t="s">
        <v>633</v>
      </c>
      <c r="D129" s="9" t="s">
        <v>22</v>
      </c>
      <c r="E129" s="9">
        <v>0</v>
      </c>
      <c r="F129" s="9">
        <v>0</v>
      </c>
      <c r="G129" s="9">
        <v>0</v>
      </c>
      <c r="H129" s="9">
        <v>1.61</v>
      </c>
      <c r="I129" s="9">
        <v>2</v>
      </c>
      <c r="J129" s="9">
        <v>7</v>
      </c>
      <c r="K129" s="9">
        <v>46.1</v>
      </c>
      <c r="L129" s="9">
        <v>37.799999999999997</v>
      </c>
      <c r="M129" s="9">
        <v>0.154</v>
      </c>
      <c r="N129" s="9">
        <v>1.2</v>
      </c>
      <c r="O129" s="9">
        <v>0.5</v>
      </c>
      <c r="P129" s="9">
        <v>0.8</v>
      </c>
      <c r="Q129" s="9">
        <v>0.6</v>
      </c>
      <c r="R129" s="9">
        <v>1</v>
      </c>
      <c r="S129" s="9">
        <v>0.8</v>
      </c>
      <c r="T129" s="9">
        <v>3</v>
      </c>
      <c r="U129" s="9">
        <v>0</v>
      </c>
      <c r="V129" s="9">
        <v>0</v>
      </c>
      <c r="W129" s="10">
        <v>7.83</v>
      </c>
      <c r="X129" s="5">
        <f xml:space="preserve"> Z129 + AA129 + (AB129*G129) + (AC129*H129) + (AD129*I129) + (AE129*J129) + (AF129*(K129/100)) + (AG129*(L129/100))+ (AH129*(M129))</f>
        <v>7.8304000000000009</v>
      </c>
      <c r="Y129" s="1">
        <f>X129-W129</f>
        <v>4.0000000000084412E-4</v>
      </c>
      <c r="Z129">
        <f>U129</f>
        <v>0</v>
      </c>
      <c r="AA129">
        <f>V129</f>
        <v>0</v>
      </c>
      <c r="AB129">
        <f>N129</f>
        <v>1.2</v>
      </c>
      <c r="AC129">
        <f>O129</f>
        <v>0.5</v>
      </c>
      <c r="AD129">
        <f>P129</f>
        <v>0.8</v>
      </c>
      <c r="AE129">
        <f>Q129</f>
        <v>0.6</v>
      </c>
      <c r="AF129">
        <f>R129</f>
        <v>1</v>
      </c>
      <c r="AG129">
        <f>S129</f>
        <v>0.8</v>
      </c>
      <c r="AH129">
        <f t="shared" si="6"/>
        <v>3</v>
      </c>
    </row>
    <row r="130" spans="1:34" x14ac:dyDescent="0.3">
      <c r="A130" s="9" t="s">
        <v>398</v>
      </c>
      <c r="B130" s="9" t="s">
        <v>436</v>
      </c>
      <c r="C130" s="9" t="s">
        <v>437</v>
      </c>
      <c r="D130" s="9" t="s">
        <v>22</v>
      </c>
      <c r="E130" s="9">
        <v>0</v>
      </c>
      <c r="F130" s="9">
        <v>0</v>
      </c>
      <c r="G130" s="9">
        <v>2</v>
      </c>
      <c r="H130" s="9">
        <v>1.95</v>
      </c>
      <c r="I130" s="9">
        <v>0</v>
      </c>
      <c r="J130" s="9">
        <v>2</v>
      </c>
      <c r="K130" s="9">
        <v>0</v>
      </c>
      <c r="L130" s="9">
        <v>34.5</v>
      </c>
      <c r="M130" s="9">
        <v>1</v>
      </c>
      <c r="N130" s="9">
        <v>1.2</v>
      </c>
      <c r="O130" s="9">
        <v>0.5</v>
      </c>
      <c r="P130" s="9">
        <v>0.8</v>
      </c>
      <c r="Q130" s="9">
        <v>0.6</v>
      </c>
      <c r="R130" s="9">
        <v>1</v>
      </c>
      <c r="S130" s="9">
        <v>0.8</v>
      </c>
      <c r="T130" s="9">
        <v>3</v>
      </c>
      <c r="U130" s="9">
        <v>0</v>
      </c>
      <c r="V130" s="9">
        <v>0</v>
      </c>
      <c r="W130" s="9">
        <v>7.81</v>
      </c>
      <c r="X130">
        <f xml:space="preserve"> Z130 + AA130 + (AB130*G130) + (AC130*H130) + (AD130*I130) + (AE130*J130) + (AF130*(K130/100)) + (AG130*(L130/100))+ (AH130*(M130))</f>
        <v>7.851</v>
      </c>
      <c r="Y130" s="1">
        <f>X130-W130</f>
        <v>4.1000000000000369E-2</v>
      </c>
      <c r="Z130">
        <f>U130</f>
        <v>0</v>
      </c>
      <c r="AA130">
        <f>V130</f>
        <v>0</v>
      </c>
      <c r="AB130">
        <f>N130</f>
        <v>1.2</v>
      </c>
      <c r="AC130">
        <f>O130</f>
        <v>0.5</v>
      </c>
      <c r="AD130">
        <f>P130</f>
        <v>0.8</v>
      </c>
      <c r="AE130">
        <f>Q130</f>
        <v>0.6</v>
      </c>
      <c r="AF130">
        <f>R130</f>
        <v>1</v>
      </c>
      <c r="AG130">
        <f>S130</f>
        <v>0.8</v>
      </c>
      <c r="AH130">
        <f t="shared" si="6"/>
        <v>3</v>
      </c>
    </row>
    <row r="131" spans="1:34" hidden="1" x14ac:dyDescent="0.3">
      <c r="A131" s="9" t="s">
        <v>533</v>
      </c>
      <c r="B131" s="9" t="s">
        <v>636</v>
      </c>
      <c r="C131" s="9" t="s">
        <v>637</v>
      </c>
      <c r="D131" s="9" t="s">
        <v>22</v>
      </c>
      <c r="E131" s="9">
        <v>0</v>
      </c>
      <c r="F131" s="9">
        <v>0</v>
      </c>
      <c r="G131" s="9">
        <v>0</v>
      </c>
      <c r="H131" s="9">
        <v>2.89</v>
      </c>
      <c r="I131" s="9">
        <v>1</v>
      </c>
      <c r="J131" s="9">
        <v>7</v>
      </c>
      <c r="K131" s="9">
        <v>37</v>
      </c>
      <c r="L131" s="9">
        <v>44.3</v>
      </c>
      <c r="M131" s="9">
        <v>0.2</v>
      </c>
      <c r="N131" s="9">
        <v>1.2</v>
      </c>
      <c r="O131" s="9">
        <v>0.5</v>
      </c>
      <c r="P131" s="9">
        <v>0.8</v>
      </c>
      <c r="Q131" s="9">
        <v>0.6</v>
      </c>
      <c r="R131" s="9">
        <v>1</v>
      </c>
      <c r="S131" s="9">
        <v>0.8</v>
      </c>
      <c r="T131" s="9">
        <v>3</v>
      </c>
      <c r="U131" s="9">
        <v>0</v>
      </c>
      <c r="V131" s="9">
        <v>0</v>
      </c>
      <c r="W131" s="9">
        <v>7.77</v>
      </c>
      <c r="X131">
        <f xml:space="preserve"> Z131 + AA131 + (AB131*G131) + (AC131*H131) + (AD131*I131) + (AE131*J131) + (AF131*(K131/100)) + (AG131*(L131/100))+ (AH131*(M131))</f>
        <v>7.769400000000001</v>
      </c>
      <c r="Y131" s="3">
        <f>X131-W131</f>
        <v>-5.9999999999860165E-4</v>
      </c>
      <c r="Z131">
        <f>U131</f>
        <v>0</v>
      </c>
      <c r="AA131">
        <f>V131</f>
        <v>0</v>
      </c>
      <c r="AB131">
        <f>N131</f>
        <v>1.2</v>
      </c>
      <c r="AC131">
        <f>O131</f>
        <v>0.5</v>
      </c>
      <c r="AD131">
        <f>P131</f>
        <v>0.8</v>
      </c>
      <c r="AE131">
        <f>Q131</f>
        <v>0.6</v>
      </c>
      <c r="AF131">
        <f>R131</f>
        <v>1</v>
      </c>
      <c r="AG131">
        <f>S131</f>
        <v>0.8</v>
      </c>
      <c r="AH131">
        <f t="shared" ref="AH131:AH194" si="27">T131</f>
        <v>3</v>
      </c>
    </row>
    <row r="132" spans="1:34" hidden="1" x14ac:dyDescent="0.3">
      <c r="A132" s="9" t="s">
        <v>54</v>
      </c>
      <c r="B132" s="9" t="s">
        <v>64</v>
      </c>
      <c r="C132" s="9" t="s">
        <v>65</v>
      </c>
      <c r="D132" s="9" t="s">
        <v>22</v>
      </c>
      <c r="E132" s="9">
        <v>0</v>
      </c>
      <c r="F132" s="9">
        <v>0</v>
      </c>
      <c r="G132" s="9">
        <v>1.8</v>
      </c>
      <c r="H132" s="9">
        <v>0</v>
      </c>
      <c r="I132" s="9">
        <v>2</v>
      </c>
      <c r="J132" s="9">
        <v>2</v>
      </c>
      <c r="K132" s="9">
        <v>46.5</v>
      </c>
      <c r="L132" s="9">
        <v>40.5</v>
      </c>
      <c r="M132" s="9">
        <v>0.66700000000000004</v>
      </c>
      <c r="N132" s="9">
        <v>1.2</v>
      </c>
      <c r="O132" s="9">
        <v>0.5</v>
      </c>
      <c r="P132" s="9">
        <v>0.8</v>
      </c>
      <c r="Q132" s="9">
        <v>0.6</v>
      </c>
      <c r="R132" s="9">
        <v>1</v>
      </c>
      <c r="S132" s="9">
        <v>0.8</v>
      </c>
      <c r="T132" s="9">
        <v>3</v>
      </c>
      <c r="U132" s="9">
        <v>0</v>
      </c>
      <c r="V132" s="9">
        <v>0</v>
      </c>
      <c r="W132" s="9">
        <v>7.73</v>
      </c>
      <c r="X132">
        <f xml:space="preserve"> Z132 + AA132 + (AB132*G132) + (AC132*H132) + (AD132*I132) + (AE132*J132) + (AF132*(K132/100)) + (AG132*(L132/100))+ (AH132*(M132))</f>
        <v>7.75</v>
      </c>
      <c r="Y132" s="1">
        <f>X132-W132</f>
        <v>1.9999999999999574E-2</v>
      </c>
      <c r="Z132">
        <f>U132</f>
        <v>0</v>
      </c>
      <c r="AA132">
        <f>V132</f>
        <v>0</v>
      </c>
      <c r="AB132">
        <f>N132</f>
        <v>1.2</v>
      </c>
      <c r="AC132">
        <f>O132</f>
        <v>0.5</v>
      </c>
      <c r="AD132">
        <f>P132</f>
        <v>0.8</v>
      </c>
      <c r="AE132">
        <f>Q132</f>
        <v>0.6</v>
      </c>
      <c r="AF132">
        <f>R132</f>
        <v>1</v>
      </c>
      <c r="AG132">
        <f>S132</f>
        <v>0.8</v>
      </c>
      <c r="AH132">
        <f t="shared" si="27"/>
        <v>3</v>
      </c>
    </row>
    <row r="133" spans="1:34" hidden="1" x14ac:dyDescent="0.3">
      <c r="A133" s="9" t="s">
        <v>221</v>
      </c>
      <c r="B133" s="9" t="s">
        <v>280</v>
      </c>
      <c r="C133" s="9" t="s">
        <v>281</v>
      </c>
      <c r="D133" s="9" t="s">
        <v>22</v>
      </c>
      <c r="E133" s="9">
        <v>0</v>
      </c>
      <c r="F133" s="9">
        <v>0</v>
      </c>
      <c r="G133" s="9">
        <v>2.4</v>
      </c>
      <c r="H133" s="9">
        <v>0.69</v>
      </c>
      <c r="I133" s="9">
        <v>0</v>
      </c>
      <c r="J133" s="9">
        <v>2</v>
      </c>
      <c r="K133" s="9">
        <v>0</v>
      </c>
      <c r="L133" s="9">
        <v>42.2</v>
      </c>
      <c r="M133" s="9">
        <v>1</v>
      </c>
      <c r="N133" s="9">
        <v>1.2</v>
      </c>
      <c r="O133" s="9">
        <v>0.5</v>
      </c>
      <c r="P133" s="9">
        <v>0.8</v>
      </c>
      <c r="Q133" s="9">
        <v>0.6</v>
      </c>
      <c r="R133" s="9">
        <v>1</v>
      </c>
      <c r="S133" s="9">
        <v>0.8</v>
      </c>
      <c r="T133" s="9">
        <v>3</v>
      </c>
      <c r="U133" s="9">
        <v>0</v>
      </c>
      <c r="V133" s="9">
        <v>0</v>
      </c>
      <c r="W133" s="10">
        <v>7.72</v>
      </c>
      <c r="X133" s="5">
        <f xml:space="preserve"> Z133 + AA133 + (AB133*G133) + (AC133*H133) + (AD133*I133) + (AE133*J133) + (AF133*(K133/100)) + (AG133*(L133/100))+ (AH133*(M133))</f>
        <v>7.7625999999999999</v>
      </c>
      <c r="Y133" s="1">
        <f>X133-W133</f>
        <v>4.2600000000000193E-2</v>
      </c>
      <c r="Z133">
        <f>U133</f>
        <v>0</v>
      </c>
      <c r="AA133">
        <f>V133</f>
        <v>0</v>
      </c>
      <c r="AB133">
        <f>N133</f>
        <v>1.2</v>
      </c>
      <c r="AC133">
        <f>O133</f>
        <v>0.5</v>
      </c>
      <c r="AD133">
        <f>P133</f>
        <v>0.8</v>
      </c>
      <c r="AE133">
        <f>Q133</f>
        <v>0.6</v>
      </c>
      <c r="AF133">
        <f>R133</f>
        <v>1</v>
      </c>
      <c r="AG133">
        <f>S133</f>
        <v>0.8</v>
      </c>
      <c r="AH133">
        <f t="shared" si="27"/>
        <v>3</v>
      </c>
    </row>
    <row r="134" spans="1:34" hidden="1" x14ac:dyDescent="0.3">
      <c r="A134" s="9" t="s">
        <v>221</v>
      </c>
      <c r="B134" s="9" t="s">
        <v>338</v>
      </c>
      <c r="C134" s="9" t="s">
        <v>339</v>
      </c>
      <c r="D134" s="9" t="s">
        <v>22</v>
      </c>
      <c r="E134" s="9">
        <v>0</v>
      </c>
      <c r="F134" s="9">
        <v>0</v>
      </c>
      <c r="G134" s="9">
        <v>2</v>
      </c>
      <c r="H134" s="9">
        <v>2.2000000000000002</v>
      </c>
      <c r="I134" s="9">
        <v>1</v>
      </c>
      <c r="J134" s="9">
        <v>0</v>
      </c>
      <c r="K134" s="9">
        <v>45.2</v>
      </c>
      <c r="L134" s="9">
        <v>0</v>
      </c>
      <c r="M134" s="9">
        <v>1</v>
      </c>
      <c r="N134" s="9">
        <v>1.2</v>
      </c>
      <c r="O134" s="9">
        <v>0.5</v>
      </c>
      <c r="P134" s="9">
        <v>0.8</v>
      </c>
      <c r="Q134" s="9">
        <v>0.6</v>
      </c>
      <c r="R134" s="9">
        <v>1</v>
      </c>
      <c r="S134" s="9">
        <v>0.8</v>
      </c>
      <c r="T134" s="9">
        <v>3</v>
      </c>
      <c r="U134" s="9">
        <v>0</v>
      </c>
      <c r="V134" s="9">
        <v>0</v>
      </c>
      <c r="W134" s="10">
        <v>7.71</v>
      </c>
      <c r="X134" s="5">
        <f xml:space="preserve"> Z134 + AA134 + (AB134*G134) + (AC134*H134) + (AD134*I134) + (AE134*J134) + (AF134*(K134/100)) + (AG134*(L134/100))+ (AH134*(M134))</f>
        <v>7.7519999999999998</v>
      </c>
      <c r="Y134" s="1">
        <f>X134-W134</f>
        <v>4.1999999999999815E-2</v>
      </c>
      <c r="Z134">
        <f>U134</f>
        <v>0</v>
      </c>
      <c r="AA134">
        <f>V134</f>
        <v>0</v>
      </c>
      <c r="AB134">
        <f>N134</f>
        <v>1.2</v>
      </c>
      <c r="AC134">
        <f>O134</f>
        <v>0.5</v>
      </c>
      <c r="AD134">
        <f>P134</f>
        <v>0.8</v>
      </c>
      <c r="AE134">
        <f>Q134</f>
        <v>0.6</v>
      </c>
      <c r="AF134">
        <f>R134</f>
        <v>1</v>
      </c>
      <c r="AG134">
        <f>S134</f>
        <v>0.8</v>
      </c>
      <c r="AH134">
        <f t="shared" si="27"/>
        <v>3</v>
      </c>
    </row>
    <row r="135" spans="1:34" hidden="1" x14ac:dyDescent="0.3">
      <c r="A135" s="9" t="s">
        <v>221</v>
      </c>
      <c r="B135" s="9" t="s">
        <v>239</v>
      </c>
      <c r="C135" s="9" t="s">
        <v>240</v>
      </c>
      <c r="D135" s="9" t="s">
        <v>22</v>
      </c>
      <c r="E135" s="9">
        <v>0</v>
      </c>
      <c r="F135" s="9">
        <v>0</v>
      </c>
      <c r="G135" s="9">
        <v>1.2</v>
      </c>
      <c r="H135" s="9">
        <v>1.1000000000000001</v>
      </c>
      <c r="I135" s="9">
        <v>2</v>
      </c>
      <c r="J135" s="9">
        <v>3</v>
      </c>
      <c r="K135" s="9">
        <v>45.9</v>
      </c>
      <c r="L135" s="9">
        <v>37.9</v>
      </c>
      <c r="M135" s="9">
        <v>0.5</v>
      </c>
      <c r="N135" s="9">
        <v>1.2</v>
      </c>
      <c r="O135" s="9">
        <v>0.5</v>
      </c>
      <c r="P135" s="9">
        <v>0.8</v>
      </c>
      <c r="Q135" s="9">
        <v>0.6</v>
      </c>
      <c r="R135" s="9">
        <v>1</v>
      </c>
      <c r="S135" s="9">
        <v>0.8</v>
      </c>
      <c r="T135" s="9">
        <v>3</v>
      </c>
      <c r="U135" s="9">
        <v>0</v>
      </c>
      <c r="V135" s="9">
        <v>0</v>
      </c>
      <c r="W135" s="9">
        <v>7.63</v>
      </c>
      <c r="X135">
        <f xml:space="preserve"> Z135 + AA135 + (AB135*G135) + (AC135*H135) + (AD135*I135) + (AE135*J135) + (AF135*(K135/100)) + (AG135*(L135/100))+ (AH135*(M135))</f>
        <v>7.6521999999999997</v>
      </c>
      <c r="Y135" s="1">
        <f>X135-W135</f>
        <v>2.2199999999999775E-2</v>
      </c>
      <c r="Z135">
        <f>U135</f>
        <v>0</v>
      </c>
      <c r="AA135">
        <f>V135</f>
        <v>0</v>
      </c>
      <c r="AB135">
        <f>N135</f>
        <v>1.2</v>
      </c>
      <c r="AC135">
        <f>O135</f>
        <v>0.5</v>
      </c>
      <c r="AD135">
        <f>P135</f>
        <v>0.8</v>
      </c>
      <c r="AE135">
        <f>Q135</f>
        <v>0.6</v>
      </c>
      <c r="AF135">
        <f>R135</f>
        <v>1</v>
      </c>
      <c r="AG135">
        <f>S135</f>
        <v>0.8</v>
      </c>
      <c r="AH135">
        <f t="shared" si="27"/>
        <v>3</v>
      </c>
    </row>
    <row r="136" spans="1:34" hidden="1" x14ac:dyDescent="0.3">
      <c r="A136" s="9" t="s">
        <v>221</v>
      </c>
      <c r="B136" s="9" t="s">
        <v>386</v>
      </c>
      <c r="C136" s="9" t="s">
        <v>387</v>
      </c>
      <c r="D136" s="9" t="s">
        <v>22</v>
      </c>
      <c r="E136" s="9">
        <v>0</v>
      </c>
      <c r="F136" s="9">
        <v>0</v>
      </c>
      <c r="G136" s="9">
        <v>0.4</v>
      </c>
      <c r="H136" s="9">
        <v>4.7699999999999996</v>
      </c>
      <c r="I136" s="9">
        <v>2</v>
      </c>
      <c r="J136" s="9">
        <v>3</v>
      </c>
      <c r="K136" s="9">
        <v>53.6</v>
      </c>
      <c r="L136" s="9">
        <v>33.299999999999997</v>
      </c>
      <c r="M136" s="9">
        <v>0.16700000000000001</v>
      </c>
      <c r="N136" s="9">
        <v>1.2</v>
      </c>
      <c r="O136" s="9">
        <v>0.5</v>
      </c>
      <c r="P136" s="9">
        <v>0.8</v>
      </c>
      <c r="Q136" s="9">
        <v>0.6</v>
      </c>
      <c r="R136" s="9">
        <v>1</v>
      </c>
      <c r="S136" s="9">
        <v>0.8</v>
      </c>
      <c r="T136" s="9">
        <v>3</v>
      </c>
      <c r="U136" s="9">
        <v>0</v>
      </c>
      <c r="V136" s="9">
        <v>0</v>
      </c>
      <c r="W136" s="10">
        <v>7.56</v>
      </c>
      <c r="X136" s="5">
        <f xml:space="preserve"> Z136 + AA136 + (AB136*G136) + (AC136*H136) + (AD136*I136) + (AE136*J136) + (AF136*(K136/100)) + (AG136*(L136/100))+ (AH136*(M136))</f>
        <v>7.5684000000000005</v>
      </c>
      <c r="Y136" s="1">
        <f>X136-W136</f>
        <v>8.4000000000008512E-3</v>
      </c>
      <c r="Z136">
        <f>U136</f>
        <v>0</v>
      </c>
      <c r="AA136">
        <f>V136</f>
        <v>0</v>
      </c>
      <c r="AB136">
        <f>N136</f>
        <v>1.2</v>
      </c>
      <c r="AC136">
        <f>O136</f>
        <v>0.5</v>
      </c>
      <c r="AD136">
        <f>P136</f>
        <v>0.8</v>
      </c>
      <c r="AE136">
        <f>Q136</f>
        <v>0.6</v>
      </c>
      <c r="AF136">
        <f>R136</f>
        <v>1</v>
      </c>
      <c r="AG136">
        <f>S136</f>
        <v>0.8</v>
      </c>
      <c r="AH136">
        <f t="shared" si="27"/>
        <v>3</v>
      </c>
    </row>
    <row r="137" spans="1:34" hidden="1" x14ac:dyDescent="0.3">
      <c r="A137" s="9" t="s">
        <v>533</v>
      </c>
      <c r="B137" s="9" t="s">
        <v>595</v>
      </c>
      <c r="C137" s="9" t="s">
        <v>596</v>
      </c>
      <c r="D137" s="9" t="s">
        <v>22</v>
      </c>
      <c r="E137" s="9">
        <v>0</v>
      </c>
      <c r="F137" s="9">
        <v>0</v>
      </c>
      <c r="G137" s="9">
        <v>0</v>
      </c>
      <c r="H137" s="9">
        <v>0</v>
      </c>
      <c r="I137" s="9">
        <v>2</v>
      </c>
      <c r="J137" s="9">
        <v>5</v>
      </c>
      <c r="K137" s="9">
        <v>48.8</v>
      </c>
      <c r="L137" s="9">
        <v>40.9</v>
      </c>
      <c r="M137" s="9">
        <v>0.66700000000000004</v>
      </c>
      <c r="N137" s="9">
        <v>1.2</v>
      </c>
      <c r="O137" s="9">
        <v>0.5</v>
      </c>
      <c r="P137" s="9">
        <v>0.8</v>
      </c>
      <c r="Q137" s="9">
        <v>0.6</v>
      </c>
      <c r="R137" s="9">
        <v>1</v>
      </c>
      <c r="S137" s="9">
        <v>0.8</v>
      </c>
      <c r="T137" s="9">
        <v>3</v>
      </c>
      <c r="U137" s="9">
        <v>0</v>
      </c>
      <c r="V137" s="9">
        <v>0</v>
      </c>
      <c r="W137" s="9">
        <v>7.42</v>
      </c>
      <c r="X137">
        <f xml:space="preserve"> Z137 + AA137 + (AB137*G137) + (AC137*H137) + (AD137*I137) + (AE137*J137) + (AF137*(K137/100)) + (AG137*(L137/100))+ (AH137*(M137))</f>
        <v>7.4161999999999999</v>
      </c>
      <c r="Y137" s="1">
        <f>X137-W137</f>
        <v>-3.8000000000000256E-3</v>
      </c>
      <c r="Z137">
        <f>U137</f>
        <v>0</v>
      </c>
      <c r="AA137">
        <f>V137</f>
        <v>0</v>
      </c>
      <c r="AB137">
        <f>N137</f>
        <v>1.2</v>
      </c>
      <c r="AC137">
        <f>O137</f>
        <v>0.5</v>
      </c>
      <c r="AD137">
        <f>P137</f>
        <v>0.8</v>
      </c>
      <c r="AE137">
        <f>Q137</f>
        <v>0.6</v>
      </c>
      <c r="AF137">
        <f>R137</f>
        <v>1</v>
      </c>
      <c r="AG137">
        <f>S137</f>
        <v>0.8</v>
      </c>
      <c r="AH137">
        <f t="shared" si="27"/>
        <v>3</v>
      </c>
    </row>
    <row r="138" spans="1:34" hidden="1" x14ac:dyDescent="0.3">
      <c r="A138" s="9" t="s">
        <v>221</v>
      </c>
      <c r="B138" s="9" t="s">
        <v>360</v>
      </c>
      <c r="C138" s="9" t="s">
        <v>361</v>
      </c>
      <c r="D138" s="9" t="s">
        <v>22</v>
      </c>
      <c r="E138" s="9">
        <v>0</v>
      </c>
      <c r="F138" s="9">
        <v>0</v>
      </c>
      <c r="G138" s="9">
        <v>0.4</v>
      </c>
      <c r="H138" s="9">
        <v>3.61</v>
      </c>
      <c r="I138" s="9">
        <v>3</v>
      </c>
      <c r="J138" s="9">
        <v>2</v>
      </c>
      <c r="K138" s="9">
        <v>28.6</v>
      </c>
      <c r="L138" s="9">
        <v>25.1</v>
      </c>
      <c r="M138" s="9">
        <v>0.33300000000000002</v>
      </c>
      <c r="N138" s="9">
        <v>1.2</v>
      </c>
      <c r="O138" s="9">
        <v>0.5</v>
      </c>
      <c r="P138" s="9">
        <v>0.8</v>
      </c>
      <c r="Q138" s="9">
        <v>0.6</v>
      </c>
      <c r="R138" s="9">
        <v>1</v>
      </c>
      <c r="S138" s="9">
        <v>0.8</v>
      </c>
      <c r="T138" s="9">
        <v>3</v>
      </c>
      <c r="U138" s="9">
        <v>0</v>
      </c>
      <c r="V138" s="9">
        <v>0</v>
      </c>
      <c r="W138" s="9">
        <v>7.36</v>
      </c>
      <c r="X138">
        <f xml:space="preserve"> Z138 + AA138 + (AB138*G138) + (AC138*H138) + (AD138*I138) + (AE138*J138) + (AF138*(K138/100)) + (AG138*(L138/100))+ (AH138*(M138))</f>
        <v>7.3708000000000009</v>
      </c>
      <c r="Y138" s="1">
        <f>X138-W138</f>
        <v>1.0800000000000587E-2</v>
      </c>
      <c r="Z138">
        <f>U138</f>
        <v>0</v>
      </c>
      <c r="AA138">
        <f>V138</f>
        <v>0</v>
      </c>
      <c r="AB138">
        <f>N138</f>
        <v>1.2</v>
      </c>
      <c r="AC138">
        <f>O138</f>
        <v>0.5</v>
      </c>
      <c r="AD138">
        <f>P138</f>
        <v>0.8</v>
      </c>
      <c r="AE138">
        <f>Q138</f>
        <v>0.6</v>
      </c>
      <c r="AF138">
        <f>R138</f>
        <v>1</v>
      </c>
      <c r="AG138">
        <f>S138</f>
        <v>0.8</v>
      </c>
      <c r="AH138">
        <f t="shared" si="27"/>
        <v>3</v>
      </c>
    </row>
    <row r="139" spans="1:34" hidden="1" x14ac:dyDescent="0.3">
      <c r="A139" s="9" t="s">
        <v>221</v>
      </c>
      <c r="B139" s="9" t="s">
        <v>270</v>
      </c>
      <c r="C139" s="9" t="s">
        <v>271</v>
      </c>
      <c r="D139" s="9" t="s">
        <v>22</v>
      </c>
      <c r="E139" s="9">
        <v>0</v>
      </c>
      <c r="F139" s="9">
        <v>0</v>
      </c>
      <c r="G139" s="9">
        <v>2</v>
      </c>
      <c r="H139" s="9">
        <v>2.94</v>
      </c>
      <c r="I139" s="9">
        <v>1</v>
      </c>
      <c r="J139" s="9">
        <v>2</v>
      </c>
      <c r="K139" s="9">
        <v>31.4</v>
      </c>
      <c r="L139" s="9">
        <v>25.9</v>
      </c>
      <c r="M139" s="9">
        <v>0.33300000000000002</v>
      </c>
      <c r="N139" s="9">
        <v>1.2</v>
      </c>
      <c r="O139" s="9">
        <v>0.5</v>
      </c>
      <c r="P139" s="9">
        <v>0.8</v>
      </c>
      <c r="Q139" s="9">
        <v>0.6</v>
      </c>
      <c r="R139" s="9">
        <v>1</v>
      </c>
      <c r="S139" s="9">
        <v>0.8</v>
      </c>
      <c r="T139" s="9">
        <v>3</v>
      </c>
      <c r="U139" s="9">
        <v>0</v>
      </c>
      <c r="V139" s="9">
        <v>0</v>
      </c>
      <c r="W139" s="9">
        <v>7.35</v>
      </c>
      <c r="X139">
        <f xml:space="preserve"> Z139 + AA139 + (AB139*G139) + (AC139*H139) + (AD139*I139) + (AE139*J139) + (AF139*(K139/100)) + (AG139*(L139/100))+ (AH139*(M139))</f>
        <v>7.3902000000000001</v>
      </c>
      <c r="Y139" s="1">
        <f>X139-W139</f>
        <v>4.0200000000000458E-2</v>
      </c>
      <c r="Z139">
        <f>U139</f>
        <v>0</v>
      </c>
      <c r="AA139">
        <f>V139</f>
        <v>0</v>
      </c>
      <c r="AB139">
        <f>N139</f>
        <v>1.2</v>
      </c>
      <c r="AC139">
        <f>O139</f>
        <v>0.5</v>
      </c>
      <c r="AD139">
        <f>P139</f>
        <v>0.8</v>
      </c>
      <c r="AE139">
        <f>Q139</f>
        <v>0.6</v>
      </c>
      <c r="AF139">
        <f>R139</f>
        <v>1</v>
      </c>
      <c r="AG139">
        <f>S139</f>
        <v>0.8</v>
      </c>
      <c r="AH139">
        <f t="shared" si="27"/>
        <v>3</v>
      </c>
    </row>
    <row r="140" spans="1:34" x14ac:dyDescent="0.3">
      <c r="A140" s="9" t="s">
        <v>398</v>
      </c>
      <c r="B140" s="9" t="s">
        <v>484</v>
      </c>
      <c r="C140" s="9" t="s">
        <v>485</v>
      </c>
      <c r="D140" s="9" t="s">
        <v>22</v>
      </c>
      <c r="E140" s="9">
        <v>0</v>
      </c>
      <c r="F140" s="9">
        <v>0</v>
      </c>
      <c r="G140" s="9">
        <v>0</v>
      </c>
      <c r="H140" s="9">
        <v>1.79</v>
      </c>
      <c r="I140" s="9">
        <v>0</v>
      </c>
      <c r="J140" s="9">
        <v>8</v>
      </c>
      <c r="K140" s="9">
        <v>0</v>
      </c>
      <c r="L140" s="9">
        <v>49.4</v>
      </c>
      <c r="M140" s="9">
        <v>0.4</v>
      </c>
      <c r="N140" s="9">
        <v>1.2</v>
      </c>
      <c r="O140" s="9">
        <v>0.5</v>
      </c>
      <c r="P140" s="9">
        <v>0.8</v>
      </c>
      <c r="Q140" s="9">
        <v>0.6</v>
      </c>
      <c r="R140" s="9">
        <v>1</v>
      </c>
      <c r="S140" s="9">
        <v>0.8</v>
      </c>
      <c r="T140" s="9">
        <v>3</v>
      </c>
      <c r="U140" s="9">
        <v>0</v>
      </c>
      <c r="V140" s="9">
        <v>0</v>
      </c>
      <c r="W140" s="9">
        <v>7.29</v>
      </c>
      <c r="X140">
        <f xml:space="preserve"> Z140 + AA140 + (AB140*G140) + (AC140*H140) + (AD140*I140) + (AE140*J140) + (AF140*(K140/100)) + (AG140*(L140/100))+ (AH140*(M140))</f>
        <v>7.2902000000000005</v>
      </c>
      <c r="Y140" s="1">
        <f>X140-W140</f>
        <v>2.0000000000042206E-4</v>
      </c>
      <c r="Z140">
        <f>U140</f>
        <v>0</v>
      </c>
      <c r="AA140">
        <f>V140</f>
        <v>0</v>
      </c>
      <c r="AB140">
        <f>N140</f>
        <v>1.2</v>
      </c>
      <c r="AC140">
        <f>O140</f>
        <v>0.5</v>
      </c>
      <c r="AD140">
        <f>P140</f>
        <v>0.8</v>
      </c>
      <c r="AE140">
        <f>Q140</f>
        <v>0.6</v>
      </c>
      <c r="AF140">
        <f>R140</f>
        <v>1</v>
      </c>
      <c r="AG140">
        <f>S140</f>
        <v>0.8</v>
      </c>
      <c r="AH140">
        <f t="shared" si="27"/>
        <v>3</v>
      </c>
    </row>
    <row r="141" spans="1:34" hidden="1" x14ac:dyDescent="0.3">
      <c r="A141" s="9" t="s">
        <v>533</v>
      </c>
      <c r="B141" s="9" t="s">
        <v>585</v>
      </c>
      <c r="C141" s="9" t="s">
        <v>586</v>
      </c>
      <c r="D141" s="9" t="s">
        <v>22</v>
      </c>
      <c r="E141" s="9">
        <v>0</v>
      </c>
      <c r="F141" s="9">
        <v>0</v>
      </c>
      <c r="G141" s="9">
        <v>0</v>
      </c>
      <c r="H141" s="9">
        <v>0</v>
      </c>
      <c r="I141" s="9">
        <v>2</v>
      </c>
      <c r="J141" s="9">
        <v>7</v>
      </c>
      <c r="K141" s="9">
        <v>46.1</v>
      </c>
      <c r="L141" s="9">
        <v>39.4</v>
      </c>
      <c r="M141" s="9">
        <v>0.2</v>
      </c>
      <c r="N141" s="9">
        <v>1.2</v>
      </c>
      <c r="O141" s="9">
        <v>0.5</v>
      </c>
      <c r="P141" s="9">
        <v>0.8</v>
      </c>
      <c r="Q141" s="9">
        <v>0.6</v>
      </c>
      <c r="R141" s="9">
        <v>1</v>
      </c>
      <c r="S141" s="9">
        <v>0.8</v>
      </c>
      <c r="T141" s="9">
        <v>3</v>
      </c>
      <c r="U141" s="9">
        <v>0</v>
      </c>
      <c r="V141" s="9">
        <v>0</v>
      </c>
      <c r="W141" s="9">
        <v>7.18</v>
      </c>
      <c r="X141">
        <f xml:space="preserve"> Z141 + AA141 + (AB141*G141) + (AC141*H141) + (AD141*I141) + (AE141*J141) + (AF141*(K141/100)) + (AG141*(L141/100))+ (AH141*(M141))</f>
        <v>7.1762000000000015</v>
      </c>
      <c r="Y141" s="1">
        <f>X141-W141</f>
        <v>-3.7999999999982492E-3</v>
      </c>
      <c r="Z141">
        <f>U141</f>
        <v>0</v>
      </c>
      <c r="AA141">
        <f>V141</f>
        <v>0</v>
      </c>
      <c r="AB141">
        <f>N141</f>
        <v>1.2</v>
      </c>
      <c r="AC141">
        <f>O141</f>
        <v>0.5</v>
      </c>
      <c r="AD141">
        <f>P141</f>
        <v>0.8</v>
      </c>
      <c r="AE141">
        <f>Q141</f>
        <v>0.6</v>
      </c>
      <c r="AF141">
        <f>R141</f>
        <v>1</v>
      </c>
      <c r="AG141">
        <f>S141</f>
        <v>0.8</v>
      </c>
      <c r="AH141">
        <f t="shared" si="27"/>
        <v>3</v>
      </c>
    </row>
    <row r="142" spans="1:34" hidden="1" x14ac:dyDescent="0.3">
      <c r="A142" s="9" t="s">
        <v>221</v>
      </c>
      <c r="B142" s="9" t="s">
        <v>266</v>
      </c>
      <c r="C142" s="9" t="s">
        <v>267</v>
      </c>
      <c r="D142" s="9" t="s">
        <v>22</v>
      </c>
      <c r="E142" s="9">
        <v>0</v>
      </c>
      <c r="F142" s="9">
        <v>0</v>
      </c>
      <c r="G142" s="9">
        <v>2</v>
      </c>
      <c r="H142" s="9">
        <v>3.47</v>
      </c>
      <c r="I142" s="9">
        <v>0</v>
      </c>
      <c r="J142" s="9">
        <v>3</v>
      </c>
      <c r="K142" s="9">
        <v>0</v>
      </c>
      <c r="L142" s="9">
        <v>34.9</v>
      </c>
      <c r="M142" s="9">
        <v>0.33300000000000002</v>
      </c>
      <c r="N142" s="9">
        <v>1.2</v>
      </c>
      <c r="O142" s="9">
        <v>0.5</v>
      </c>
      <c r="P142" s="9">
        <v>0.8</v>
      </c>
      <c r="Q142" s="9">
        <v>0.6</v>
      </c>
      <c r="R142" s="9">
        <v>1</v>
      </c>
      <c r="S142" s="9">
        <v>0.8</v>
      </c>
      <c r="T142" s="9">
        <v>3</v>
      </c>
      <c r="U142" s="9">
        <v>0</v>
      </c>
      <c r="V142" s="9">
        <v>0</v>
      </c>
      <c r="W142" s="9">
        <v>7.17</v>
      </c>
      <c r="X142">
        <f xml:space="preserve"> Z142 + AA142 + (AB142*G142) + (AC142*H142) + (AD142*I142) + (AE142*J142) + (AF142*(K142/100)) + (AG142*(L142/100))+ (AH142*(M142))</f>
        <v>7.2132000000000005</v>
      </c>
      <c r="Y142" s="1">
        <f>X142-W142</f>
        <v>4.3200000000000571E-2</v>
      </c>
      <c r="Z142">
        <f>U142</f>
        <v>0</v>
      </c>
      <c r="AA142">
        <f>V142</f>
        <v>0</v>
      </c>
      <c r="AB142">
        <f>N142</f>
        <v>1.2</v>
      </c>
      <c r="AC142">
        <f>O142</f>
        <v>0.5</v>
      </c>
      <c r="AD142">
        <f>P142</f>
        <v>0.8</v>
      </c>
      <c r="AE142">
        <f>Q142</f>
        <v>0.6</v>
      </c>
      <c r="AF142">
        <f>R142</f>
        <v>1</v>
      </c>
      <c r="AG142">
        <f>S142</f>
        <v>0.8</v>
      </c>
      <c r="AH142">
        <f t="shared" si="27"/>
        <v>3</v>
      </c>
    </row>
    <row r="143" spans="1:34" hidden="1" x14ac:dyDescent="0.3">
      <c r="A143" s="9" t="s">
        <v>221</v>
      </c>
      <c r="B143" s="9" t="s">
        <v>229</v>
      </c>
      <c r="C143" s="9" t="s">
        <v>230</v>
      </c>
      <c r="D143" s="9" t="s">
        <v>22</v>
      </c>
      <c r="E143" s="9">
        <v>0</v>
      </c>
      <c r="F143" s="9">
        <v>0</v>
      </c>
      <c r="G143" s="9">
        <v>1.6</v>
      </c>
      <c r="H143" s="9">
        <v>1.39</v>
      </c>
      <c r="I143" s="9">
        <v>1</v>
      </c>
      <c r="J143" s="9">
        <v>2</v>
      </c>
      <c r="K143" s="9">
        <v>14.7</v>
      </c>
      <c r="L143" s="9">
        <v>51.4</v>
      </c>
      <c r="M143" s="9">
        <v>0.66700000000000004</v>
      </c>
      <c r="N143" s="9">
        <v>1.2</v>
      </c>
      <c r="O143" s="9">
        <v>0.5</v>
      </c>
      <c r="P143" s="9">
        <v>0.8</v>
      </c>
      <c r="Q143" s="9">
        <v>0.6</v>
      </c>
      <c r="R143" s="9">
        <v>1</v>
      </c>
      <c r="S143" s="9">
        <v>0.8</v>
      </c>
      <c r="T143" s="9">
        <v>3</v>
      </c>
      <c r="U143" s="9">
        <v>0</v>
      </c>
      <c r="V143" s="9">
        <v>0</v>
      </c>
      <c r="W143" s="10">
        <v>7.14</v>
      </c>
      <c r="X143" s="5">
        <f xml:space="preserve"> Z143 + AA143 + (AB143*G143) + (AC143*H143) + (AD143*I143) + (AE143*J143) + (AF143*(K143/100)) + (AG143*(L143/100))+ (AH143*(M143))</f>
        <v>7.1742000000000008</v>
      </c>
      <c r="Y143" s="1">
        <f>X143-W143</f>
        <v>3.4200000000001118E-2</v>
      </c>
      <c r="Z143">
        <f>U143</f>
        <v>0</v>
      </c>
      <c r="AA143">
        <f>V143</f>
        <v>0</v>
      </c>
      <c r="AB143">
        <f>N143</f>
        <v>1.2</v>
      </c>
      <c r="AC143">
        <f>O143</f>
        <v>0.5</v>
      </c>
      <c r="AD143">
        <f>P143</f>
        <v>0.8</v>
      </c>
      <c r="AE143">
        <f>Q143</f>
        <v>0.6</v>
      </c>
      <c r="AF143">
        <f>R143</f>
        <v>1</v>
      </c>
      <c r="AG143">
        <f>S143</f>
        <v>0.8</v>
      </c>
      <c r="AH143">
        <f t="shared" si="27"/>
        <v>3</v>
      </c>
    </row>
    <row r="144" spans="1:34" hidden="1" x14ac:dyDescent="0.3">
      <c r="A144" s="9" t="s">
        <v>221</v>
      </c>
      <c r="B144" s="9" t="s">
        <v>368</v>
      </c>
      <c r="C144" s="9" t="s">
        <v>369</v>
      </c>
      <c r="D144" s="9" t="s">
        <v>22</v>
      </c>
      <c r="E144" s="9">
        <v>0</v>
      </c>
      <c r="F144" s="9">
        <v>0</v>
      </c>
      <c r="G144" s="9">
        <v>0.4</v>
      </c>
      <c r="H144" s="9">
        <v>3.89</v>
      </c>
      <c r="I144" s="9">
        <v>4</v>
      </c>
      <c r="J144" s="9">
        <v>0</v>
      </c>
      <c r="K144" s="9">
        <v>31.4</v>
      </c>
      <c r="L144" s="9">
        <v>0</v>
      </c>
      <c r="M144" s="9">
        <v>0.4</v>
      </c>
      <c r="N144" s="9">
        <v>1.2</v>
      </c>
      <c r="O144" s="9">
        <v>0.5</v>
      </c>
      <c r="P144" s="9">
        <v>0.8</v>
      </c>
      <c r="Q144" s="9">
        <v>0.6</v>
      </c>
      <c r="R144" s="9">
        <v>1</v>
      </c>
      <c r="S144" s="9">
        <v>0.8</v>
      </c>
      <c r="T144" s="9">
        <v>3</v>
      </c>
      <c r="U144" s="9">
        <v>0</v>
      </c>
      <c r="V144" s="9">
        <v>0</v>
      </c>
      <c r="W144" s="10">
        <v>7.13</v>
      </c>
      <c r="X144" s="5">
        <f xml:space="preserve"> Z144 + AA144 + (AB144*G144) + (AC144*H144) + (AD144*I144) + (AE144*J144) + (AF144*(K144/100)) + (AG144*(L144/100))+ (AH144*(M144))</f>
        <v>7.1390000000000002</v>
      </c>
      <c r="Y144" s="1">
        <f>X144-W144</f>
        <v>9.0000000000003411E-3</v>
      </c>
      <c r="Z144">
        <f>U144</f>
        <v>0</v>
      </c>
      <c r="AA144">
        <f>V144</f>
        <v>0</v>
      </c>
      <c r="AB144">
        <f>N144</f>
        <v>1.2</v>
      </c>
      <c r="AC144">
        <f>O144</f>
        <v>0.5</v>
      </c>
      <c r="AD144">
        <f>P144</f>
        <v>0.8</v>
      </c>
      <c r="AE144">
        <f>Q144</f>
        <v>0.6</v>
      </c>
      <c r="AF144">
        <f>R144</f>
        <v>1</v>
      </c>
      <c r="AG144">
        <f>S144</f>
        <v>0.8</v>
      </c>
      <c r="AH144">
        <f t="shared" si="27"/>
        <v>3</v>
      </c>
    </row>
    <row r="145" spans="1:34" x14ac:dyDescent="0.3">
      <c r="A145" s="9" t="s">
        <v>398</v>
      </c>
      <c r="B145" s="9" t="s">
        <v>438</v>
      </c>
      <c r="C145" s="9" t="s">
        <v>439</v>
      </c>
      <c r="D145" s="9" t="s">
        <v>22</v>
      </c>
      <c r="E145" s="9">
        <v>0</v>
      </c>
      <c r="F145" s="9">
        <v>0</v>
      </c>
      <c r="G145" s="9">
        <v>1.2</v>
      </c>
      <c r="H145" s="9">
        <v>2.71</v>
      </c>
      <c r="I145" s="9">
        <v>0</v>
      </c>
      <c r="J145" s="9">
        <v>2</v>
      </c>
      <c r="K145" s="9">
        <v>0</v>
      </c>
      <c r="L145" s="9">
        <v>17.3</v>
      </c>
      <c r="M145" s="9">
        <v>1</v>
      </c>
      <c r="N145" s="9">
        <v>1.2</v>
      </c>
      <c r="O145" s="9">
        <v>0.5</v>
      </c>
      <c r="P145" s="9">
        <v>0.8</v>
      </c>
      <c r="Q145" s="9">
        <v>0.6</v>
      </c>
      <c r="R145" s="9">
        <v>1</v>
      </c>
      <c r="S145" s="9">
        <v>0.8</v>
      </c>
      <c r="T145" s="9">
        <v>3</v>
      </c>
      <c r="U145" s="9">
        <v>0</v>
      </c>
      <c r="V145" s="9">
        <v>0</v>
      </c>
      <c r="W145" s="9">
        <v>7.11</v>
      </c>
      <c r="X145">
        <f xml:space="preserve"> Z145 + AA145 + (AB145*G145) + (AC145*H145) + (AD145*I145) + (AE145*J145) + (AF145*(K145/100)) + (AG145*(L145/100))+ (AH145*(M145))</f>
        <v>7.1334</v>
      </c>
      <c r="Y145" s="1">
        <f>X145-W145</f>
        <v>2.3399999999999643E-2</v>
      </c>
      <c r="Z145">
        <f>U145</f>
        <v>0</v>
      </c>
      <c r="AA145">
        <f>V145</f>
        <v>0</v>
      </c>
      <c r="AB145">
        <f>N145</f>
        <v>1.2</v>
      </c>
      <c r="AC145">
        <f>O145</f>
        <v>0.5</v>
      </c>
      <c r="AD145">
        <f>P145</f>
        <v>0.8</v>
      </c>
      <c r="AE145">
        <f>Q145</f>
        <v>0.6</v>
      </c>
      <c r="AF145">
        <f>R145</f>
        <v>1</v>
      </c>
      <c r="AG145">
        <f>S145</f>
        <v>0.8</v>
      </c>
      <c r="AH145">
        <f t="shared" si="27"/>
        <v>3</v>
      </c>
    </row>
    <row r="146" spans="1:34" hidden="1" x14ac:dyDescent="0.3">
      <c r="A146" s="9" t="s">
        <v>221</v>
      </c>
      <c r="B146" s="9" t="s">
        <v>332</v>
      </c>
      <c r="C146" s="9" t="s">
        <v>333</v>
      </c>
      <c r="D146" s="9" t="s">
        <v>22</v>
      </c>
      <c r="E146" s="9">
        <v>0</v>
      </c>
      <c r="F146" s="9">
        <v>0</v>
      </c>
      <c r="G146" s="9">
        <v>0.8</v>
      </c>
      <c r="H146" s="9">
        <v>5.42</v>
      </c>
      <c r="I146" s="9">
        <v>1</v>
      </c>
      <c r="J146" s="9">
        <v>2</v>
      </c>
      <c r="K146" s="9">
        <v>65.900000000000006</v>
      </c>
      <c r="L146" s="9">
        <v>23.4</v>
      </c>
      <c r="M146" s="9">
        <v>0.2</v>
      </c>
      <c r="N146" s="9">
        <v>1.2</v>
      </c>
      <c r="O146" s="9">
        <v>0.5</v>
      </c>
      <c r="P146" s="9">
        <v>0.8</v>
      </c>
      <c r="Q146" s="9">
        <v>0.6</v>
      </c>
      <c r="R146" s="9">
        <v>1</v>
      </c>
      <c r="S146" s="9">
        <v>0.8</v>
      </c>
      <c r="T146" s="9">
        <v>3</v>
      </c>
      <c r="U146" s="9">
        <v>0</v>
      </c>
      <c r="V146" s="9">
        <v>0</v>
      </c>
      <c r="W146" s="10">
        <v>7.1</v>
      </c>
      <c r="X146" s="5">
        <f xml:space="preserve"> Z146 + AA146 + (AB146*G146) + (AC146*H146) + (AD146*I146) + (AE146*J146) + (AF146*(K146/100)) + (AG146*(L146/100))+ (AH146*(M146))</f>
        <v>7.1161999999999992</v>
      </c>
      <c r="Y146" s="1">
        <f>X146-W146</f>
        <v>1.6199999999999548E-2</v>
      </c>
      <c r="Z146">
        <f>U146</f>
        <v>0</v>
      </c>
      <c r="AA146">
        <f>V146</f>
        <v>0</v>
      </c>
      <c r="AB146">
        <f>N146</f>
        <v>1.2</v>
      </c>
      <c r="AC146">
        <f>O146</f>
        <v>0.5</v>
      </c>
      <c r="AD146">
        <f>P146</f>
        <v>0.8</v>
      </c>
      <c r="AE146">
        <f>Q146</f>
        <v>0.6</v>
      </c>
      <c r="AF146">
        <f>R146</f>
        <v>1</v>
      </c>
      <c r="AG146">
        <f>S146</f>
        <v>0.8</v>
      </c>
      <c r="AH146">
        <f t="shared" si="27"/>
        <v>3</v>
      </c>
    </row>
    <row r="147" spans="1:34" hidden="1" x14ac:dyDescent="0.3">
      <c r="A147" s="9" t="s">
        <v>221</v>
      </c>
      <c r="B147" s="9" t="s">
        <v>374</v>
      </c>
      <c r="C147" s="9" t="s">
        <v>375</v>
      </c>
      <c r="D147" s="9" t="s">
        <v>22</v>
      </c>
      <c r="E147" s="9">
        <v>0</v>
      </c>
      <c r="F147" s="9">
        <v>0</v>
      </c>
      <c r="G147" s="9">
        <v>1.2</v>
      </c>
      <c r="H147" s="9">
        <v>2.2999999999999998</v>
      </c>
      <c r="I147" s="9">
        <v>0</v>
      </c>
      <c r="J147" s="9">
        <v>2</v>
      </c>
      <c r="K147" s="9">
        <v>0</v>
      </c>
      <c r="L147" s="9">
        <v>39.6</v>
      </c>
      <c r="M147" s="9">
        <v>1</v>
      </c>
      <c r="N147" s="9">
        <v>1.2</v>
      </c>
      <c r="O147" s="9">
        <v>0.5</v>
      </c>
      <c r="P147" s="9">
        <v>0.8</v>
      </c>
      <c r="Q147" s="9">
        <v>0.6</v>
      </c>
      <c r="R147" s="9">
        <v>1</v>
      </c>
      <c r="S147" s="9">
        <v>0.8</v>
      </c>
      <c r="T147" s="9">
        <v>3</v>
      </c>
      <c r="U147" s="9">
        <v>0</v>
      </c>
      <c r="V147" s="9">
        <v>0</v>
      </c>
      <c r="W147" s="9">
        <v>7.09</v>
      </c>
      <c r="X147">
        <f xml:space="preserve"> Z147 + AA147 + (AB147*G147) + (AC147*H147) + (AD147*I147) + (AE147*J147) + (AF147*(K147/100)) + (AG147*(L147/100))+ (AH147*(M147))</f>
        <v>7.1067999999999998</v>
      </c>
      <c r="Y147" s="1">
        <f>X147-W147</f>
        <v>1.6799999999999926E-2</v>
      </c>
      <c r="Z147">
        <f>U147</f>
        <v>0</v>
      </c>
      <c r="AA147">
        <f>V147</f>
        <v>0</v>
      </c>
      <c r="AB147">
        <f>N147</f>
        <v>1.2</v>
      </c>
      <c r="AC147">
        <f>O147</f>
        <v>0.5</v>
      </c>
      <c r="AD147">
        <f>P147</f>
        <v>0.8</v>
      </c>
      <c r="AE147">
        <f>Q147</f>
        <v>0.6</v>
      </c>
      <c r="AF147">
        <f>R147</f>
        <v>1</v>
      </c>
      <c r="AG147">
        <f>S147</f>
        <v>0.8</v>
      </c>
      <c r="AH147">
        <f t="shared" si="27"/>
        <v>3</v>
      </c>
    </row>
    <row r="148" spans="1:34" hidden="1" x14ac:dyDescent="0.3">
      <c r="A148" s="9" t="s">
        <v>221</v>
      </c>
      <c r="B148" s="9" t="s">
        <v>290</v>
      </c>
      <c r="C148" s="9" t="s">
        <v>291</v>
      </c>
      <c r="D148" s="9" t="s">
        <v>22</v>
      </c>
      <c r="E148" s="9">
        <v>0</v>
      </c>
      <c r="F148" s="9">
        <v>0</v>
      </c>
      <c r="G148" s="9">
        <v>1.6</v>
      </c>
      <c r="H148" s="9">
        <v>2.4</v>
      </c>
      <c r="I148" s="9">
        <v>2</v>
      </c>
      <c r="J148" s="9">
        <v>0</v>
      </c>
      <c r="K148" s="9">
        <v>37.5</v>
      </c>
      <c r="L148" s="9">
        <v>0</v>
      </c>
      <c r="M148" s="9">
        <v>0.66700000000000004</v>
      </c>
      <c r="N148" s="9">
        <v>1.2</v>
      </c>
      <c r="O148" s="9">
        <v>0.5</v>
      </c>
      <c r="P148" s="9">
        <v>0.8</v>
      </c>
      <c r="Q148" s="9">
        <v>0.6</v>
      </c>
      <c r="R148" s="9">
        <v>1</v>
      </c>
      <c r="S148" s="9">
        <v>0.8</v>
      </c>
      <c r="T148" s="9">
        <v>3</v>
      </c>
      <c r="U148" s="9">
        <v>0</v>
      </c>
      <c r="V148" s="9">
        <v>0</v>
      </c>
      <c r="W148" s="10">
        <v>7.06</v>
      </c>
      <c r="X148" s="5">
        <f xml:space="preserve"> Z148 + AA148 + (AB148*G148) + (AC148*H148) + (AD148*I148) + (AE148*J148) + (AF148*(K148/100)) + (AG148*(L148/100))+ (AH148*(M148))</f>
        <v>7.096000000000001</v>
      </c>
      <c r="Y148" s="1">
        <f>X148-W148</f>
        <v>3.6000000000001364E-2</v>
      </c>
      <c r="Z148">
        <f>U148</f>
        <v>0</v>
      </c>
      <c r="AA148">
        <f>V148</f>
        <v>0</v>
      </c>
      <c r="AB148">
        <f>N148</f>
        <v>1.2</v>
      </c>
      <c r="AC148">
        <f>O148</f>
        <v>0.5</v>
      </c>
      <c r="AD148">
        <f>P148</f>
        <v>0.8</v>
      </c>
      <c r="AE148">
        <f>Q148</f>
        <v>0.6</v>
      </c>
      <c r="AF148">
        <f>R148</f>
        <v>1</v>
      </c>
      <c r="AG148">
        <f>S148</f>
        <v>0.8</v>
      </c>
      <c r="AH148">
        <f t="shared" si="27"/>
        <v>3</v>
      </c>
    </row>
    <row r="149" spans="1:34" hidden="1" x14ac:dyDescent="0.3">
      <c r="A149" s="9" t="s">
        <v>221</v>
      </c>
      <c r="B149" s="9" t="s">
        <v>348</v>
      </c>
      <c r="C149" s="9" t="s">
        <v>349</v>
      </c>
      <c r="D149" s="9" t="s">
        <v>22</v>
      </c>
      <c r="E149" s="9">
        <v>0</v>
      </c>
      <c r="F149" s="9">
        <v>0</v>
      </c>
      <c r="G149" s="9">
        <v>0.4</v>
      </c>
      <c r="H149" s="9">
        <v>4.04</v>
      </c>
      <c r="I149" s="9">
        <v>4</v>
      </c>
      <c r="J149" s="9">
        <v>0</v>
      </c>
      <c r="K149" s="9">
        <v>26.5</v>
      </c>
      <c r="L149" s="9">
        <v>0</v>
      </c>
      <c r="M149" s="9">
        <v>0.33300000000000002</v>
      </c>
      <c r="N149" s="9">
        <v>1.2</v>
      </c>
      <c r="O149" s="9">
        <v>0.5</v>
      </c>
      <c r="P149" s="9">
        <v>0.8</v>
      </c>
      <c r="Q149" s="9">
        <v>0.6</v>
      </c>
      <c r="R149" s="9">
        <v>1</v>
      </c>
      <c r="S149" s="9">
        <v>0.8</v>
      </c>
      <c r="T149" s="9">
        <v>3</v>
      </c>
      <c r="U149" s="9">
        <v>0</v>
      </c>
      <c r="V149" s="9">
        <v>0</v>
      </c>
      <c r="W149" s="9">
        <v>6.96</v>
      </c>
      <c r="X149">
        <f xml:space="preserve"> Z149 + AA149 + (AB149*G149) + (AC149*H149) + (AD149*I149) + (AE149*J149) + (AF149*(K149/100)) + (AG149*(L149/100))+ (AH149*(M149))</f>
        <v>6.9640000000000004</v>
      </c>
      <c r="Y149" s="1">
        <f>X149-W149</f>
        <v>4.0000000000004476E-3</v>
      </c>
      <c r="Z149">
        <f>U149</f>
        <v>0</v>
      </c>
      <c r="AA149">
        <f>V149</f>
        <v>0</v>
      </c>
      <c r="AB149">
        <f>N149</f>
        <v>1.2</v>
      </c>
      <c r="AC149">
        <f>O149</f>
        <v>0.5</v>
      </c>
      <c r="AD149">
        <f>P149</f>
        <v>0.8</v>
      </c>
      <c r="AE149">
        <f>Q149</f>
        <v>0.6</v>
      </c>
      <c r="AF149">
        <f>R149</f>
        <v>1</v>
      </c>
      <c r="AG149">
        <f>S149</f>
        <v>0.8</v>
      </c>
      <c r="AH149">
        <f t="shared" si="27"/>
        <v>3</v>
      </c>
    </row>
    <row r="150" spans="1:34" x14ac:dyDescent="0.3">
      <c r="A150" s="9" t="s">
        <v>398</v>
      </c>
      <c r="B150" s="9" t="s">
        <v>496</v>
      </c>
      <c r="C150" s="9" t="s">
        <v>497</v>
      </c>
      <c r="D150" s="9" t="s">
        <v>22</v>
      </c>
      <c r="E150" s="9">
        <v>0</v>
      </c>
      <c r="F150" s="9">
        <v>0</v>
      </c>
      <c r="G150" s="9">
        <v>0.4</v>
      </c>
      <c r="H150" s="9">
        <v>3.26</v>
      </c>
      <c r="I150" s="9">
        <v>1</v>
      </c>
      <c r="J150" s="9">
        <v>5</v>
      </c>
      <c r="K150" s="9">
        <v>42</v>
      </c>
      <c r="L150" s="9">
        <v>37.200000000000003</v>
      </c>
      <c r="M150" s="9">
        <v>0.105</v>
      </c>
      <c r="N150" s="9">
        <v>1.2</v>
      </c>
      <c r="O150" s="9">
        <v>0.5</v>
      </c>
      <c r="P150" s="9">
        <v>0.8</v>
      </c>
      <c r="Q150" s="9">
        <v>0.6</v>
      </c>
      <c r="R150" s="9">
        <v>1</v>
      </c>
      <c r="S150" s="9">
        <v>0.8</v>
      </c>
      <c r="T150" s="9">
        <v>3</v>
      </c>
      <c r="U150" s="9">
        <v>0</v>
      </c>
      <c r="V150" s="9">
        <v>0</v>
      </c>
      <c r="W150" s="9">
        <v>6.93</v>
      </c>
      <c r="X150">
        <f xml:space="preserve"> Z150 + AA150 + (AB150*G150) + (AC150*H150) + (AD150*I150) + (AE150*J150) + (AF150*(K150/100)) + (AG150*(L150/100))+ (AH150*(M150))</f>
        <v>6.9426000000000005</v>
      </c>
      <c r="Y150" s="1">
        <f>X150-W150</f>
        <v>1.2600000000000833E-2</v>
      </c>
      <c r="Z150">
        <f>U150</f>
        <v>0</v>
      </c>
      <c r="AA150">
        <f>V150</f>
        <v>0</v>
      </c>
      <c r="AB150">
        <f>N150</f>
        <v>1.2</v>
      </c>
      <c r="AC150">
        <f>O150</f>
        <v>0.5</v>
      </c>
      <c r="AD150">
        <f>P150</f>
        <v>0.8</v>
      </c>
      <c r="AE150">
        <f>Q150</f>
        <v>0.6</v>
      </c>
      <c r="AF150">
        <f>R150</f>
        <v>1</v>
      </c>
      <c r="AG150">
        <f>S150</f>
        <v>0.8</v>
      </c>
      <c r="AH150">
        <f t="shared" si="27"/>
        <v>3</v>
      </c>
    </row>
    <row r="151" spans="1:34" hidden="1" x14ac:dyDescent="0.3">
      <c r="A151" s="9" t="s">
        <v>533</v>
      </c>
      <c r="B151" s="9" t="s">
        <v>642</v>
      </c>
      <c r="C151" s="9" t="s">
        <v>643</v>
      </c>
      <c r="D151" s="9" t="s">
        <v>22</v>
      </c>
      <c r="E151" s="9">
        <v>0</v>
      </c>
      <c r="F151" s="9">
        <v>0</v>
      </c>
      <c r="G151" s="9">
        <v>0</v>
      </c>
      <c r="H151" s="9">
        <v>3</v>
      </c>
      <c r="I151" s="9">
        <v>1</v>
      </c>
      <c r="J151" s="9">
        <v>5</v>
      </c>
      <c r="K151" s="9">
        <v>30.4</v>
      </c>
      <c r="L151" s="9">
        <v>41</v>
      </c>
      <c r="M151" s="9">
        <v>0.33300000000000002</v>
      </c>
      <c r="N151" s="9">
        <v>1.2</v>
      </c>
      <c r="O151" s="9">
        <v>0.5</v>
      </c>
      <c r="P151" s="9">
        <v>0.8</v>
      </c>
      <c r="Q151" s="9">
        <v>0.6</v>
      </c>
      <c r="R151" s="9">
        <v>1</v>
      </c>
      <c r="S151" s="9">
        <v>0.8</v>
      </c>
      <c r="T151" s="9">
        <v>3</v>
      </c>
      <c r="U151" s="9">
        <v>0</v>
      </c>
      <c r="V151" s="9">
        <v>0</v>
      </c>
      <c r="W151" s="9">
        <v>6.93</v>
      </c>
      <c r="X151"/>
      <c r="AH151">
        <f t="shared" si="27"/>
        <v>3</v>
      </c>
    </row>
    <row r="152" spans="1:34" hidden="1" x14ac:dyDescent="0.3">
      <c r="A152" s="9" t="s">
        <v>221</v>
      </c>
      <c r="B152" s="9" t="s">
        <v>384</v>
      </c>
      <c r="C152" s="9" t="s">
        <v>385</v>
      </c>
      <c r="D152" s="9" t="s">
        <v>22</v>
      </c>
      <c r="E152" s="9">
        <v>0</v>
      </c>
      <c r="F152" s="9">
        <v>0</v>
      </c>
      <c r="G152" s="9">
        <v>1.2</v>
      </c>
      <c r="H152" s="9">
        <v>1.61</v>
      </c>
      <c r="I152" s="9">
        <v>3</v>
      </c>
      <c r="J152" s="9">
        <v>0</v>
      </c>
      <c r="K152" s="9">
        <v>27.5</v>
      </c>
      <c r="L152" s="9">
        <v>0</v>
      </c>
      <c r="M152" s="9">
        <v>0.66700000000000004</v>
      </c>
      <c r="N152" s="9">
        <v>1.2</v>
      </c>
      <c r="O152" s="9">
        <v>0.5</v>
      </c>
      <c r="P152" s="9">
        <v>0.8</v>
      </c>
      <c r="Q152" s="9">
        <v>0.6</v>
      </c>
      <c r="R152" s="9">
        <v>1</v>
      </c>
      <c r="S152" s="9">
        <v>0.8</v>
      </c>
      <c r="T152" s="9">
        <v>3</v>
      </c>
      <c r="U152" s="9">
        <v>0</v>
      </c>
      <c r="V152" s="9">
        <v>0</v>
      </c>
      <c r="W152" s="9">
        <v>6.9</v>
      </c>
      <c r="X152">
        <f xml:space="preserve"> Z152 + AA152 + (AB152*G152) + (AC152*H152) + (AD152*I152) + (AE152*J152) + (AF152*(K152/100)) + (AG152*(L152/100))+ (AH152*(M152))</f>
        <v>6.9210000000000012</v>
      </c>
      <c r="Y152" s="1">
        <f>X152-W152</f>
        <v>2.1000000000000796E-2</v>
      </c>
      <c r="Z152">
        <f>U152</f>
        <v>0</v>
      </c>
      <c r="AA152">
        <f>V152</f>
        <v>0</v>
      </c>
      <c r="AB152">
        <f>N152</f>
        <v>1.2</v>
      </c>
      <c r="AC152">
        <f>O152</f>
        <v>0.5</v>
      </c>
      <c r="AD152">
        <f>P152</f>
        <v>0.8</v>
      </c>
      <c r="AE152">
        <f>Q152</f>
        <v>0.6</v>
      </c>
      <c r="AF152">
        <f>R152</f>
        <v>1</v>
      </c>
      <c r="AG152">
        <f>S152</f>
        <v>0.8</v>
      </c>
      <c r="AH152">
        <f t="shared" si="27"/>
        <v>3</v>
      </c>
    </row>
    <row r="153" spans="1:34" hidden="1" x14ac:dyDescent="0.3">
      <c r="A153" s="9" t="s">
        <v>54</v>
      </c>
      <c r="B153" s="9" t="s">
        <v>158</v>
      </c>
      <c r="C153" s="9" t="s">
        <v>159</v>
      </c>
      <c r="D153" s="9" t="s">
        <v>22</v>
      </c>
      <c r="E153" s="9">
        <v>0</v>
      </c>
      <c r="F153" s="9">
        <v>0</v>
      </c>
      <c r="G153" s="9">
        <v>0</v>
      </c>
      <c r="H153" s="9">
        <v>0.69</v>
      </c>
      <c r="I153" s="9">
        <v>3</v>
      </c>
      <c r="J153" s="9">
        <v>3</v>
      </c>
      <c r="K153" s="9">
        <v>44.4</v>
      </c>
      <c r="L153" s="9">
        <v>47.2</v>
      </c>
      <c r="M153" s="9">
        <v>0.5</v>
      </c>
      <c r="N153" s="9">
        <v>1.2</v>
      </c>
      <c r="O153" s="9">
        <v>0.5</v>
      </c>
      <c r="P153" s="9">
        <v>0.8</v>
      </c>
      <c r="Q153" s="9">
        <v>0.6</v>
      </c>
      <c r="R153" s="9">
        <v>1</v>
      </c>
      <c r="S153" s="9">
        <v>0.8</v>
      </c>
      <c r="T153" s="9">
        <v>3</v>
      </c>
      <c r="U153" s="9">
        <v>0</v>
      </c>
      <c r="V153" s="9">
        <v>0</v>
      </c>
      <c r="W153" s="9">
        <v>6.87</v>
      </c>
      <c r="X153">
        <f xml:space="preserve"> Z153 + AA153 + (AB153*G153) + (AC153*H153) + (AD153*I153) + (AE153*J153) + (AF153*(K153/100)) + (AG153*(L153/100))+ (AH153*(M153))</f>
        <v>6.8666</v>
      </c>
      <c r="Y153" s="1">
        <f>X153-W153</f>
        <v>-3.4000000000000696E-3</v>
      </c>
      <c r="Z153">
        <f>U153</f>
        <v>0</v>
      </c>
      <c r="AA153">
        <f>V153</f>
        <v>0</v>
      </c>
      <c r="AB153">
        <f>N153</f>
        <v>1.2</v>
      </c>
      <c r="AC153">
        <f>O153</f>
        <v>0.5</v>
      </c>
      <c r="AD153">
        <f>P153</f>
        <v>0.8</v>
      </c>
      <c r="AE153">
        <f>Q153</f>
        <v>0.6</v>
      </c>
      <c r="AF153">
        <f>R153</f>
        <v>1</v>
      </c>
      <c r="AG153">
        <f>S153</f>
        <v>0.8</v>
      </c>
      <c r="AH153">
        <f t="shared" si="27"/>
        <v>3</v>
      </c>
    </row>
    <row r="154" spans="1:34" hidden="1" x14ac:dyDescent="0.3">
      <c r="A154" s="9" t="s">
        <v>221</v>
      </c>
      <c r="B154" s="9" t="s">
        <v>394</v>
      </c>
      <c r="C154" s="9" t="s">
        <v>395</v>
      </c>
      <c r="D154" s="9" t="s">
        <v>22</v>
      </c>
      <c r="E154" s="9">
        <v>0</v>
      </c>
      <c r="F154" s="9">
        <v>0</v>
      </c>
      <c r="G154" s="9">
        <v>0.8</v>
      </c>
      <c r="H154" s="9">
        <v>2.2999999999999998</v>
      </c>
      <c r="I154" s="9">
        <v>1</v>
      </c>
      <c r="J154" s="9">
        <v>4</v>
      </c>
      <c r="K154" s="9">
        <v>44.2</v>
      </c>
      <c r="L154" s="9">
        <v>31</v>
      </c>
      <c r="M154" s="9">
        <v>0.28599999999999998</v>
      </c>
      <c r="N154" s="9">
        <v>1.2</v>
      </c>
      <c r="O154" s="9">
        <v>0.5</v>
      </c>
      <c r="P154" s="9">
        <v>0.8</v>
      </c>
      <c r="Q154" s="9">
        <v>0.6</v>
      </c>
      <c r="R154" s="9">
        <v>1</v>
      </c>
      <c r="S154" s="9">
        <v>0.8</v>
      </c>
      <c r="T154" s="9">
        <v>3</v>
      </c>
      <c r="U154" s="9">
        <v>0</v>
      </c>
      <c r="V154" s="9">
        <v>0</v>
      </c>
      <c r="W154" s="10">
        <v>6.84</v>
      </c>
      <c r="X154" s="5">
        <f xml:space="preserve"> Z154 + AA154 + (AB154*G154) + (AC154*H154) + (AD154*I154) + (AE154*J154) + (AF154*(K154/100)) + (AG154*(L154/100))+ (AH154*(M154))</f>
        <v>6.8580000000000005</v>
      </c>
      <c r="Y154" s="1">
        <f>X154-W154</f>
        <v>1.8000000000000682E-2</v>
      </c>
      <c r="Z154">
        <f>U154</f>
        <v>0</v>
      </c>
      <c r="AA154">
        <f>V154</f>
        <v>0</v>
      </c>
      <c r="AB154">
        <f>N154</f>
        <v>1.2</v>
      </c>
      <c r="AC154">
        <f>O154</f>
        <v>0.5</v>
      </c>
      <c r="AD154">
        <f>P154</f>
        <v>0.8</v>
      </c>
      <c r="AE154">
        <f>Q154</f>
        <v>0.6</v>
      </c>
      <c r="AF154">
        <f>R154</f>
        <v>1</v>
      </c>
      <c r="AG154">
        <f>S154</f>
        <v>0.8</v>
      </c>
      <c r="AH154">
        <f t="shared" si="27"/>
        <v>3</v>
      </c>
    </row>
    <row r="155" spans="1:34" hidden="1" x14ac:dyDescent="0.3">
      <c r="A155" s="9" t="s">
        <v>221</v>
      </c>
      <c r="B155" s="9" t="s">
        <v>344</v>
      </c>
      <c r="C155" s="9" t="s">
        <v>345</v>
      </c>
      <c r="D155" s="9" t="s">
        <v>22</v>
      </c>
      <c r="E155" s="9">
        <v>0</v>
      </c>
      <c r="F155" s="9">
        <v>0</v>
      </c>
      <c r="G155" s="9">
        <v>0.4</v>
      </c>
      <c r="H155" s="9">
        <v>3.53</v>
      </c>
      <c r="I155" s="9">
        <v>1</v>
      </c>
      <c r="J155" s="9">
        <v>2</v>
      </c>
      <c r="K155" s="9">
        <v>44.2</v>
      </c>
      <c r="L155" s="9">
        <v>19.399999999999999</v>
      </c>
      <c r="M155" s="9">
        <v>0.66700000000000004</v>
      </c>
      <c r="N155" s="9">
        <v>1.2</v>
      </c>
      <c r="O155" s="9">
        <v>0.5</v>
      </c>
      <c r="P155" s="9">
        <v>0.8</v>
      </c>
      <c r="Q155" s="9">
        <v>0.6</v>
      </c>
      <c r="R155" s="9">
        <v>1</v>
      </c>
      <c r="S155" s="9">
        <v>0.8</v>
      </c>
      <c r="T155" s="9">
        <v>3</v>
      </c>
      <c r="U155" s="9">
        <v>0</v>
      </c>
      <c r="V155" s="9">
        <v>0</v>
      </c>
      <c r="W155" s="10">
        <v>6.83</v>
      </c>
      <c r="X155" s="5">
        <f xml:space="preserve"> Z155 + AA155 + (AB155*G155) + (AC155*H155) + (AD155*I155) + (AE155*J155) + (AF155*(K155/100)) + (AG155*(L155/100))+ (AH155*(M155))</f>
        <v>6.8432000000000004</v>
      </c>
      <c r="Y155" s="1">
        <f>X155-W155</f>
        <v>1.3200000000000323E-2</v>
      </c>
      <c r="Z155">
        <f>U155</f>
        <v>0</v>
      </c>
      <c r="AA155">
        <f>V155</f>
        <v>0</v>
      </c>
      <c r="AB155">
        <f>N155</f>
        <v>1.2</v>
      </c>
      <c r="AC155">
        <f>O155</f>
        <v>0.5</v>
      </c>
      <c r="AD155">
        <f>P155</f>
        <v>0.8</v>
      </c>
      <c r="AE155">
        <f>Q155</f>
        <v>0.6</v>
      </c>
      <c r="AF155">
        <f>R155</f>
        <v>1</v>
      </c>
      <c r="AG155">
        <f>S155</f>
        <v>0.8</v>
      </c>
      <c r="AH155">
        <f t="shared" si="27"/>
        <v>3</v>
      </c>
    </row>
    <row r="156" spans="1:34" x14ac:dyDescent="0.3">
      <c r="A156" s="9" t="s">
        <v>398</v>
      </c>
      <c r="B156" s="9" t="s">
        <v>510</v>
      </c>
      <c r="C156" s="9" t="s">
        <v>511</v>
      </c>
      <c r="D156" s="9" t="s">
        <v>22</v>
      </c>
      <c r="E156" s="9">
        <v>0</v>
      </c>
      <c r="F156" s="9">
        <v>0</v>
      </c>
      <c r="G156" s="9">
        <v>1.6</v>
      </c>
      <c r="H156" s="9">
        <v>2.4</v>
      </c>
      <c r="I156" s="9">
        <v>1</v>
      </c>
      <c r="J156" s="9">
        <v>2</v>
      </c>
      <c r="K156" s="9">
        <v>69.400000000000006</v>
      </c>
      <c r="L156" s="9">
        <v>34.5</v>
      </c>
      <c r="M156" s="9">
        <v>0.25</v>
      </c>
      <c r="N156" s="9">
        <v>1.2</v>
      </c>
      <c r="O156" s="9">
        <v>0.5</v>
      </c>
      <c r="P156" s="9">
        <v>0.8</v>
      </c>
      <c r="Q156" s="9">
        <v>0.6</v>
      </c>
      <c r="R156" s="9">
        <v>1</v>
      </c>
      <c r="S156" s="9">
        <v>0.8</v>
      </c>
      <c r="T156" s="9">
        <v>3</v>
      </c>
      <c r="U156" s="9">
        <v>0</v>
      </c>
      <c r="V156" s="9">
        <v>0</v>
      </c>
      <c r="W156" s="9">
        <v>6.81</v>
      </c>
      <c r="X156">
        <f xml:space="preserve"> Z156 + AA156 + (AB156*G156) + (AC156*H156) + (AD156*I156) + (AE156*J156) + (AF156*(K156/100)) + (AG156*(L156/100))+ (AH156*(M156))</f>
        <v>6.84</v>
      </c>
      <c r="Y156" s="1">
        <f>X156-W156</f>
        <v>3.0000000000000249E-2</v>
      </c>
      <c r="Z156">
        <f>U156</f>
        <v>0</v>
      </c>
      <c r="AA156">
        <f>V156</f>
        <v>0</v>
      </c>
      <c r="AB156">
        <f>N156</f>
        <v>1.2</v>
      </c>
      <c r="AC156">
        <f>O156</f>
        <v>0.5</v>
      </c>
      <c r="AD156">
        <f>P156</f>
        <v>0.8</v>
      </c>
      <c r="AE156">
        <f>Q156</f>
        <v>0.6</v>
      </c>
      <c r="AF156">
        <f>R156</f>
        <v>1</v>
      </c>
      <c r="AG156">
        <f>S156</f>
        <v>0.8</v>
      </c>
      <c r="AH156">
        <f t="shared" si="27"/>
        <v>3</v>
      </c>
    </row>
    <row r="157" spans="1:34" hidden="1" x14ac:dyDescent="0.3">
      <c r="A157" s="9" t="s">
        <v>533</v>
      </c>
      <c r="B157" s="9" t="s">
        <v>545</v>
      </c>
      <c r="C157" s="9" t="s">
        <v>546</v>
      </c>
      <c r="D157" s="9" t="s">
        <v>22</v>
      </c>
      <c r="E157" s="9">
        <v>0</v>
      </c>
      <c r="F157" s="9">
        <v>0</v>
      </c>
      <c r="G157" s="9">
        <v>2.2999999999999998</v>
      </c>
      <c r="H157" s="9">
        <v>0</v>
      </c>
      <c r="I157" s="9">
        <v>1</v>
      </c>
      <c r="J157" s="9">
        <v>2</v>
      </c>
      <c r="K157" s="9">
        <v>44.3</v>
      </c>
      <c r="L157" s="9">
        <v>46.5</v>
      </c>
      <c r="M157" s="9">
        <v>0.4</v>
      </c>
      <c r="N157" s="9">
        <v>1.2</v>
      </c>
      <c r="O157" s="9">
        <v>0.5</v>
      </c>
      <c r="P157" s="9">
        <v>0.8</v>
      </c>
      <c r="Q157" s="9">
        <v>0.6</v>
      </c>
      <c r="R157" s="9">
        <v>1</v>
      </c>
      <c r="S157" s="9">
        <v>0.8</v>
      </c>
      <c r="T157" s="9">
        <v>3</v>
      </c>
      <c r="U157" s="9">
        <v>0</v>
      </c>
      <c r="V157" s="9">
        <v>0</v>
      </c>
      <c r="W157" s="9">
        <v>6.81</v>
      </c>
      <c r="X157">
        <f xml:space="preserve"> Z157 + AA157 + (AB157*G157) + (AC157*H157) + (AD157*I157) + (AE157*J157) + (AF157*(K157/100)) + (AG157*(L157/100))+ (AH157*(M157))</f>
        <v>6.7749999999999995</v>
      </c>
      <c r="Y157" s="1">
        <f>X157-W157</f>
        <v>-3.5000000000000142E-2</v>
      </c>
      <c r="Z157">
        <f>U157</f>
        <v>0</v>
      </c>
      <c r="AA157">
        <f>V157</f>
        <v>0</v>
      </c>
      <c r="AB157">
        <f>N157</f>
        <v>1.2</v>
      </c>
      <c r="AC157">
        <f>O157</f>
        <v>0.5</v>
      </c>
      <c r="AD157">
        <f>P157</f>
        <v>0.8</v>
      </c>
      <c r="AE157">
        <f>Q157</f>
        <v>0.6</v>
      </c>
      <c r="AF157">
        <f>R157</f>
        <v>1</v>
      </c>
      <c r="AG157">
        <f>S157</f>
        <v>0.8</v>
      </c>
      <c r="AH157">
        <f t="shared" si="27"/>
        <v>3</v>
      </c>
    </row>
    <row r="158" spans="1:34" hidden="1" x14ac:dyDescent="0.3">
      <c r="A158" s="9" t="s">
        <v>218</v>
      </c>
      <c r="B158" s="9" t="s">
        <v>219</v>
      </c>
      <c r="C158" s="9" t="s">
        <v>220</v>
      </c>
      <c r="D158" s="9" t="s">
        <v>22</v>
      </c>
      <c r="E158" s="9">
        <v>0</v>
      </c>
      <c r="F158" s="9">
        <v>0</v>
      </c>
      <c r="G158" s="9">
        <v>2.4</v>
      </c>
      <c r="H158" s="9">
        <v>0</v>
      </c>
      <c r="I158" s="9">
        <v>1</v>
      </c>
      <c r="J158" s="9">
        <v>0</v>
      </c>
      <c r="K158" s="9">
        <v>16.7</v>
      </c>
      <c r="L158" s="9">
        <v>0</v>
      </c>
      <c r="M158" s="9">
        <v>1</v>
      </c>
      <c r="N158" s="9">
        <v>1.2</v>
      </c>
      <c r="O158" s="9">
        <v>0.5</v>
      </c>
      <c r="P158" s="9">
        <v>0.8</v>
      </c>
      <c r="Q158" s="9">
        <v>0.6</v>
      </c>
      <c r="R158" s="9">
        <v>1</v>
      </c>
      <c r="S158" s="9">
        <v>0.8</v>
      </c>
      <c r="T158" s="9">
        <v>3</v>
      </c>
      <c r="U158" s="9">
        <v>0</v>
      </c>
      <c r="V158" s="9">
        <v>0</v>
      </c>
      <c r="W158" s="10">
        <v>6.8</v>
      </c>
      <c r="X158" s="5">
        <f xml:space="preserve"> Z158 + AA158 + (AB158*G158) + (AC158*H158) + (AD158*I158) + (AE158*J158) + (AF158*(K158/100)) + (AG158*(L158/100))+ (AH158*(M158))</f>
        <v>6.8469999999999995</v>
      </c>
      <c r="Y158" s="1">
        <f>X158-W158</f>
        <v>4.6999999999999709E-2</v>
      </c>
      <c r="Z158">
        <f>U158</f>
        <v>0</v>
      </c>
      <c r="AA158">
        <f>V158</f>
        <v>0</v>
      </c>
      <c r="AB158">
        <f>N158</f>
        <v>1.2</v>
      </c>
      <c r="AC158">
        <f>O158</f>
        <v>0.5</v>
      </c>
      <c r="AD158">
        <f>P158</f>
        <v>0.8</v>
      </c>
      <c r="AE158">
        <f>Q158</f>
        <v>0.6</v>
      </c>
      <c r="AF158">
        <f>R158</f>
        <v>1</v>
      </c>
      <c r="AG158">
        <f>S158</f>
        <v>0.8</v>
      </c>
      <c r="AH158">
        <f t="shared" si="27"/>
        <v>3</v>
      </c>
    </row>
    <row r="159" spans="1:34" hidden="1" x14ac:dyDescent="0.3">
      <c r="A159" s="9" t="s">
        <v>533</v>
      </c>
      <c r="B159" s="9" t="s">
        <v>597</v>
      </c>
      <c r="C159" s="9" t="s">
        <v>598</v>
      </c>
      <c r="D159" s="9" t="s">
        <v>22</v>
      </c>
      <c r="E159" s="9">
        <v>0</v>
      </c>
      <c r="F159" s="9">
        <v>0</v>
      </c>
      <c r="G159" s="9">
        <v>0</v>
      </c>
      <c r="H159" s="9">
        <v>0</v>
      </c>
      <c r="I159" s="9">
        <v>2</v>
      </c>
      <c r="J159" s="9">
        <v>4</v>
      </c>
      <c r="K159" s="9">
        <v>48.8</v>
      </c>
      <c r="L159" s="9">
        <v>39.200000000000003</v>
      </c>
      <c r="M159" s="9">
        <v>0.66700000000000004</v>
      </c>
      <c r="N159" s="9">
        <v>1.2</v>
      </c>
      <c r="O159" s="9">
        <v>0.5</v>
      </c>
      <c r="P159" s="9">
        <v>0.8</v>
      </c>
      <c r="Q159" s="9">
        <v>0.6</v>
      </c>
      <c r="R159" s="9">
        <v>1</v>
      </c>
      <c r="S159" s="9">
        <v>0.8</v>
      </c>
      <c r="T159" s="9">
        <v>3</v>
      </c>
      <c r="U159" s="9">
        <v>0</v>
      </c>
      <c r="V159" s="9">
        <v>0</v>
      </c>
      <c r="W159" s="10">
        <v>6.8</v>
      </c>
      <c r="X159" s="5">
        <f xml:space="preserve"> Z159 + AA159 + (AB159*G159) + (AC159*H159) + (AD159*I159) + (AE159*J159) + (AF159*(K159/100)) + (AG159*(L159/100))+ (AH159*(M159))</f>
        <v>6.8026</v>
      </c>
      <c r="Y159" s="1">
        <f>X159-W159</f>
        <v>2.6000000000001577E-3</v>
      </c>
      <c r="Z159">
        <f>U159</f>
        <v>0</v>
      </c>
      <c r="AA159">
        <f>V159</f>
        <v>0</v>
      </c>
      <c r="AB159">
        <f>N159</f>
        <v>1.2</v>
      </c>
      <c r="AC159">
        <f>O159</f>
        <v>0.5</v>
      </c>
      <c r="AD159">
        <f>P159</f>
        <v>0.8</v>
      </c>
      <c r="AE159">
        <f>Q159</f>
        <v>0.6</v>
      </c>
      <c r="AF159">
        <f>R159</f>
        <v>1</v>
      </c>
      <c r="AG159">
        <f>S159</f>
        <v>0.8</v>
      </c>
      <c r="AH159">
        <f t="shared" si="27"/>
        <v>3</v>
      </c>
    </row>
    <row r="160" spans="1:34" x14ac:dyDescent="0.3">
      <c r="A160" s="9" t="s">
        <v>398</v>
      </c>
      <c r="B160" s="9" t="s">
        <v>498</v>
      </c>
      <c r="C160" s="9" t="s">
        <v>499</v>
      </c>
      <c r="D160" s="9" t="s">
        <v>22</v>
      </c>
      <c r="E160" s="9">
        <v>0</v>
      </c>
      <c r="F160" s="9">
        <v>0</v>
      </c>
      <c r="G160" s="9">
        <v>0</v>
      </c>
      <c r="H160" s="9">
        <v>1.61</v>
      </c>
      <c r="I160" s="9">
        <v>1</v>
      </c>
      <c r="J160" s="9">
        <v>2</v>
      </c>
      <c r="K160" s="9">
        <v>69.400000000000006</v>
      </c>
      <c r="L160" s="9">
        <v>34.5</v>
      </c>
      <c r="M160" s="9">
        <v>1</v>
      </c>
      <c r="N160" s="9">
        <v>1.2</v>
      </c>
      <c r="O160" s="9">
        <v>0.5</v>
      </c>
      <c r="P160" s="9">
        <v>0.8</v>
      </c>
      <c r="Q160" s="9">
        <v>0.6</v>
      </c>
      <c r="R160" s="9">
        <v>1</v>
      </c>
      <c r="S160" s="9">
        <v>0.8</v>
      </c>
      <c r="T160" s="9">
        <v>3</v>
      </c>
      <c r="U160" s="9">
        <v>0</v>
      </c>
      <c r="V160" s="9">
        <v>0</v>
      </c>
      <c r="W160" s="10">
        <v>6.77</v>
      </c>
      <c r="X160" s="5">
        <f xml:space="preserve"> Z160 + AA160 + (AB160*G160) + (AC160*H160) + (AD160*I160) + (AE160*J160) + (AF160*(K160/100)) + (AG160*(L160/100))+ (AH160*(M160))</f>
        <v>6.7749999999999995</v>
      </c>
      <c r="Y160" s="1">
        <f>X160-W160</f>
        <v>4.9999999999998934E-3</v>
      </c>
      <c r="Z160">
        <f>U160</f>
        <v>0</v>
      </c>
      <c r="AA160">
        <f>V160</f>
        <v>0</v>
      </c>
      <c r="AB160">
        <f>N160</f>
        <v>1.2</v>
      </c>
      <c r="AC160">
        <f>O160</f>
        <v>0.5</v>
      </c>
      <c r="AD160">
        <f>P160</f>
        <v>0.8</v>
      </c>
      <c r="AE160">
        <f>Q160</f>
        <v>0.6</v>
      </c>
      <c r="AF160">
        <f>R160</f>
        <v>1</v>
      </c>
      <c r="AG160">
        <f>S160</f>
        <v>0.8</v>
      </c>
      <c r="AH160">
        <f t="shared" si="27"/>
        <v>3</v>
      </c>
    </row>
    <row r="161" spans="1:34" hidden="1" x14ac:dyDescent="0.3">
      <c r="A161" s="9" t="s">
        <v>221</v>
      </c>
      <c r="B161" s="9" t="s">
        <v>278</v>
      </c>
      <c r="C161" s="9" t="s">
        <v>279</v>
      </c>
      <c r="D161" s="9" t="s">
        <v>22</v>
      </c>
      <c r="E161" s="9">
        <v>0</v>
      </c>
      <c r="F161" s="9">
        <v>0</v>
      </c>
      <c r="G161" s="9">
        <v>0.8</v>
      </c>
      <c r="H161" s="9">
        <v>0.69</v>
      </c>
      <c r="I161" s="9">
        <v>1</v>
      </c>
      <c r="J161" s="9">
        <v>6</v>
      </c>
      <c r="K161" s="9">
        <v>6.2</v>
      </c>
      <c r="L161" s="9">
        <v>37</v>
      </c>
      <c r="M161" s="9">
        <v>0.222</v>
      </c>
      <c r="N161" s="9">
        <v>1.2</v>
      </c>
      <c r="O161" s="9">
        <v>0.5</v>
      </c>
      <c r="P161" s="9">
        <v>0.8</v>
      </c>
      <c r="Q161" s="9">
        <v>0.6</v>
      </c>
      <c r="R161" s="9">
        <v>1</v>
      </c>
      <c r="S161" s="9">
        <v>0.8</v>
      </c>
      <c r="T161" s="9">
        <v>3</v>
      </c>
      <c r="U161" s="9">
        <v>0</v>
      </c>
      <c r="V161" s="9">
        <v>0</v>
      </c>
      <c r="W161" s="9">
        <v>6.72</v>
      </c>
      <c r="X161">
        <f xml:space="preserve"> Z161 + AA161 + (AB161*G161) + (AC161*H161) + (AD161*I161) + (AE161*J161) + (AF161*(K161/100)) + (AG161*(L161/100))+ (AH161*(M161))</f>
        <v>6.729000000000001</v>
      </c>
      <c r="Y161" s="1">
        <f>X161-W161</f>
        <v>9.0000000000012292E-3</v>
      </c>
      <c r="Z161">
        <f>U161</f>
        <v>0</v>
      </c>
      <c r="AA161">
        <f>V161</f>
        <v>0</v>
      </c>
      <c r="AB161">
        <f>N161</f>
        <v>1.2</v>
      </c>
      <c r="AC161">
        <f>O161</f>
        <v>0.5</v>
      </c>
      <c r="AD161">
        <f>P161</f>
        <v>0.8</v>
      </c>
      <c r="AE161">
        <f>Q161</f>
        <v>0.6</v>
      </c>
      <c r="AF161">
        <f>R161</f>
        <v>1</v>
      </c>
      <c r="AG161">
        <f>S161</f>
        <v>0.8</v>
      </c>
      <c r="AH161">
        <f t="shared" si="27"/>
        <v>3</v>
      </c>
    </row>
    <row r="162" spans="1:34" hidden="1" x14ac:dyDescent="0.3">
      <c r="A162" s="9" t="s">
        <v>221</v>
      </c>
      <c r="B162" s="9" t="s">
        <v>241</v>
      </c>
      <c r="C162" s="9" t="s">
        <v>242</v>
      </c>
      <c r="D162" s="9" t="s">
        <v>22</v>
      </c>
      <c r="E162" s="9">
        <v>0</v>
      </c>
      <c r="F162" s="9">
        <v>0</v>
      </c>
      <c r="G162" s="9">
        <v>0.8</v>
      </c>
      <c r="H162" s="9">
        <v>4.01</v>
      </c>
      <c r="I162" s="9">
        <v>1</v>
      </c>
      <c r="J162" s="9">
        <v>3</v>
      </c>
      <c r="K162" s="9">
        <v>10.6</v>
      </c>
      <c r="L162" s="9">
        <v>24.7</v>
      </c>
      <c r="M162" s="9">
        <v>0.28599999999999998</v>
      </c>
      <c r="N162" s="9">
        <v>1.2</v>
      </c>
      <c r="O162" s="9">
        <v>0.5</v>
      </c>
      <c r="P162" s="9">
        <v>0.8</v>
      </c>
      <c r="Q162" s="9">
        <v>0.6</v>
      </c>
      <c r="R162" s="9">
        <v>1</v>
      </c>
      <c r="S162" s="9">
        <v>0.8</v>
      </c>
      <c r="T162" s="9">
        <v>3</v>
      </c>
      <c r="U162" s="9">
        <v>0</v>
      </c>
      <c r="V162" s="9">
        <v>0</v>
      </c>
      <c r="W162" s="9">
        <v>6.71</v>
      </c>
      <c r="X162">
        <f xml:space="preserve"> Z162 + AA162 + (AB162*G162) + (AC162*H162) + (AD162*I162) + (AE162*J162) + (AF162*(K162/100)) + (AG162*(L162/100))+ (AH162*(M162))</f>
        <v>6.7265999999999986</v>
      </c>
      <c r="Y162" s="1">
        <f>X162-W162</f>
        <v>1.6599999999998616E-2</v>
      </c>
      <c r="Z162">
        <f>U162</f>
        <v>0</v>
      </c>
      <c r="AA162">
        <f>V162</f>
        <v>0</v>
      </c>
      <c r="AB162">
        <f>N162</f>
        <v>1.2</v>
      </c>
      <c r="AC162">
        <f>O162</f>
        <v>0.5</v>
      </c>
      <c r="AD162">
        <f>P162</f>
        <v>0.8</v>
      </c>
      <c r="AE162">
        <f>Q162</f>
        <v>0.6</v>
      </c>
      <c r="AF162">
        <f>R162</f>
        <v>1</v>
      </c>
      <c r="AG162">
        <f>S162</f>
        <v>0.8</v>
      </c>
      <c r="AH162">
        <f t="shared" si="27"/>
        <v>3</v>
      </c>
    </row>
    <row r="163" spans="1:34" hidden="1" x14ac:dyDescent="0.3">
      <c r="A163" s="9" t="s">
        <v>221</v>
      </c>
      <c r="B163" s="9" t="s">
        <v>296</v>
      </c>
      <c r="C163" s="9" t="s">
        <v>297</v>
      </c>
      <c r="D163" s="9" t="s">
        <v>22</v>
      </c>
      <c r="E163" s="9">
        <v>0</v>
      </c>
      <c r="F163" s="9">
        <v>0</v>
      </c>
      <c r="G163" s="9">
        <v>0.8</v>
      </c>
      <c r="H163" s="9">
        <v>1.1000000000000001</v>
      </c>
      <c r="I163" s="9">
        <v>1</v>
      </c>
      <c r="J163" s="9">
        <v>4</v>
      </c>
      <c r="K163" s="9">
        <v>24</v>
      </c>
      <c r="L163" s="9">
        <v>30.1</v>
      </c>
      <c r="M163" s="9">
        <v>0.5</v>
      </c>
      <c r="N163" s="9">
        <v>1.2</v>
      </c>
      <c r="O163" s="9">
        <v>0.5</v>
      </c>
      <c r="P163" s="9">
        <v>0.8</v>
      </c>
      <c r="Q163" s="9">
        <v>0.6</v>
      </c>
      <c r="R163" s="9">
        <v>1</v>
      </c>
      <c r="S163" s="9">
        <v>0.8</v>
      </c>
      <c r="T163" s="9">
        <v>3</v>
      </c>
      <c r="U163" s="9">
        <v>0</v>
      </c>
      <c r="V163" s="9">
        <v>0</v>
      </c>
      <c r="W163" s="10">
        <v>6.67</v>
      </c>
      <c r="X163" s="5">
        <f xml:space="preserve"> Z163 + AA163 + (AB163*G163) + (AC163*H163) + (AD163*I163) + (AE163*J163) + (AF163*(K163/100)) + (AG163*(L163/100))+ (AH163*(M163))</f>
        <v>6.6908000000000003</v>
      </c>
      <c r="Y163" s="1">
        <f>X163-W163</f>
        <v>2.0800000000000374E-2</v>
      </c>
      <c r="Z163">
        <f>U163</f>
        <v>0</v>
      </c>
      <c r="AA163">
        <f>V163</f>
        <v>0</v>
      </c>
      <c r="AB163">
        <f>N163</f>
        <v>1.2</v>
      </c>
      <c r="AC163">
        <f>O163</f>
        <v>0.5</v>
      </c>
      <c r="AD163">
        <f>P163</f>
        <v>0.8</v>
      </c>
      <c r="AE163">
        <f>Q163</f>
        <v>0.6</v>
      </c>
      <c r="AF163">
        <f>R163</f>
        <v>1</v>
      </c>
      <c r="AG163">
        <f>S163</f>
        <v>0.8</v>
      </c>
      <c r="AH163">
        <f t="shared" si="27"/>
        <v>3</v>
      </c>
    </row>
    <row r="164" spans="1:34" x14ac:dyDescent="0.3">
      <c r="A164" s="9" t="s">
        <v>398</v>
      </c>
      <c r="B164" s="9" t="s">
        <v>502</v>
      </c>
      <c r="C164" s="9" t="s">
        <v>503</v>
      </c>
      <c r="D164" s="9" t="s">
        <v>22</v>
      </c>
      <c r="E164" s="9">
        <v>0</v>
      </c>
      <c r="F164" s="9">
        <v>0</v>
      </c>
      <c r="G164" s="9">
        <v>0</v>
      </c>
      <c r="H164" s="9">
        <v>1.39</v>
      </c>
      <c r="I164" s="9">
        <v>1</v>
      </c>
      <c r="J164" s="9">
        <v>2</v>
      </c>
      <c r="K164" s="9">
        <v>69.400000000000006</v>
      </c>
      <c r="L164" s="9">
        <v>34.5</v>
      </c>
      <c r="M164" s="9">
        <v>1</v>
      </c>
      <c r="N164" s="9">
        <v>1.2</v>
      </c>
      <c r="O164" s="9">
        <v>0.5</v>
      </c>
      <c r="P164" s="9">
        <v>0.8</v>
      </c>
      <c r="Q164" s="9">
        <v>0.6</v>
      </c>
      <c r="R164" s="9">
        <v>1</v>
      </c>
      <c r="S164" s="9">
        <v>0.8</v>
      </c>
      <c r="T164" s="9">
        <v>3</v>
      </c>
      <c r="U164" s="9">
        <v>0</v>
      </c>
      <c r="V164" s="9">
        <v>0</v>
      </c>
      <c r="W164" s="9">
        <v>6.66</v>
      </c>
      <c r="X164">
        <f xml:space="preserve"> Z164 + AA164 + (AB164*G164) + (AC164*H164) + (AD164*I164) + (AE164*J164) + (AF164*(K164/100)) + (AG164*(L164/100))+ (AH164*(M164))</f>
        <v>6.665</v>
      </c>
      <c r="Y164" s="1">
        <f>X164-W164</f>
        <v>4.9999999999998934E-3</v>
      </c>
      <c r="Z164">
        <f>U164</f>
        <v>0</v>
      </c>
      <c r="AA164">
        <f>V164</f>
        <v>0</v>
      </c>
      <c r="AB164">
        <f>N164</f>
        <v>1.2</v>
      </c>
      <c r="AC164">
        <f>O164</f>
        <v>0.5</v>
      </c>
      <c r="AD164">
        <f>P164</f>
        <v>0.8</v>
      </c>
      <c r="AE164">
        <f>Q164</f>
        <v>0.6</v>
      </c>
      <c r="AF164">
        <f>R164</f>
        <v>1</v>
      </c>
      <c r="AG164">
        <f>S164</f>
        <v>0.8</v>
      </c>
      <c r="AH164">
        <f t="shared" si="27"/>
        <v>3</v>
      </c>
    </row>
    <row r="165" spans="1:34" hidden="1" x14ac:dyDescent="0.3">
      <c r="A165" s="9" t="s">
        <v>533</v>
      </c>
      <c r="B165" s="9" t="s">
        <v>567</v>
      </c>
      <c r="C165" s="9" t="s">
        <v>568</v>
      </c>
      <c r="D165" s="9" t="s">
        <v>22</v>
      </c>
      <c r="E165" s="9">
        <v>0</v>
      </c>
      <c r="F165" s="9">
        <v>0</v>
      </c>
      <c r="G165" s="9">
        <v>0</v>
      </c>
      <c r="H165" s="9">
        <v>0.69</v>
      </c>
      <c r="I165" s="9">
        <v>2</v>
      </c>
      <c r="J165" s="9">
        <v>4</v>
      </c>
      <c r="K165" s="9">
        <v>48.8</v>
      </c>
      <c r="L165" s="9">
        <v>41.1</v>
      </c>
      <c r="M165" s="9">
        <v>0.5</v>
      </c>
      <c r="N165" s="9">
        <v>1.2</v>
      </c>
      <c r="O165" s="9">
        <v>0.5</v>
      </c>
      <c r="P165" s="9">
        <v>0.8</v>
      </c>
      <c r="Q165" s="9">
        <v>0.6</v>
      </c>
      <c r="R165" s="9">
        <v>1</v>
      </c>
      <c r="S165" s="9">
        <v>0.8</v>
      </c>
      <c r="T165" s="9">
        <v>3</v>
      </c>
      <c r="U165" s="9">
        <v>0</v>
      </c>
      <c r="V165" s="9">
        <v>0</v>
      </c>
      <c r="W165" s="9">
        <v>6.66</v>
      </c>
      <c r="X165">
        <f xml:space="preserve"> Z165 + AA165 + (AB165*G165) + (AC165*H165) + (AD165*I165) + (AE165*J165) + (AF165*(K165/100)) + (AG165*(L165/100))+ (AH165*(M165))</f>
        <v>6.6618000000000004</v>
      </c>
      <c r="Y165" s="1">
        <f>X165-W165</f>
        <v>1.8000000000002458E-3</v>
      </c>
      <c r="Z165">
        <f>U165</f>
        <v>0</v>
      </c>
      <c r="AA165">
        <f>V165</f>
        <v>0</v>
      </c>
      <c r="AB165">
        <f>N165</f>
        <v>1.2</v>
      </c>
      <c r="AC165">
        <f>O165</f>
        <v>0.5</v>
      </c>
      <c r="AD165">
        <f>P165</f>
        <v>0.8</v>
      </c>
      <c r="AE165">
        <f>Q165</f>
        <v>0.6</v>
      </c>
      <c r="AF165">
        <f>R165</f>
        <v>1</v>
      </c>
      <c r="AG165">
        <f>S165</f>
        <v>0.8</v>
      </c>
      <c r="AH165">
        <f t="shared" si="27"/>
        <v>3</v>
      </c>
    </row>
    <row r="166" spans="1:34" hidden="1" x14ac:dyDescent="0.3">
      <c r="A166" s="9" t="s">
        <v>176</v>
      </c>
      <c r="B166" s="9" t="s">
        <v>188</v>
      </c>
      <c r="C166" s="9" t="s">
        <v>189</v>
      </c>
      <c r="D166" s="9" t="s">
        <v>22</v>
      </c>
      <c r="E166" s="9">
        <v>0</v>
      </c>
      <c r="F166" s="9">
        <v>0</v>
      </c>
      <c r="G166" s="9">
        <v>1.8</v>
      </c>
      <c r="H166" s="9">
        <v>3.53</v>
      </c>
      <c r="I166" s="9">
        <v>0</v>
      </c>
      <c r="J166" s="9">
        <v>2</v>
      </c>
      <c r="K166" s="9">
        <v>0</v>
      </c>
      <c r="L166" s="9">
        <v>38.9</v>
      </c>
      <c r="M166" s="9">
        <v>0.4</v>
      </c>
      <c r="N166" s="9">
        <v>1.2</v>
      </c>
      <c r="O166" s="9">
        <v>0.5</v>
      </c>
      <c r="P166" s="9">
        <v>0.8</v>
      </c>
      <c r="Q166" s="9">
        <v>0.6</v>
      </c>
      <c r="R166" s="9">
        <v>1</v>
      </c>
      <c r="S166" s="9">
        <v>0.8</v>
      </c>
      <c r="T166" s="9">
        <v>3</v>
      </c>
      <c r="U166" s="9">
        <v>0</v>
      </c>
      <c r="V166" s="9">
        <v>0</v>
      </c>
      <c r="W166" s="9">
        <v>6.62</v>
      </c>
      <c r="X166">
        <f xml:space="preserve"> Z166 + AA166 + (AB166*G166) + (AC166*H166) + (AD166*I166) + (AE166*J166) + (AF166*(K166/100)) + (AG166*(L166/100))+ (AH166*(M166))</f>
        <v>6.6362000000000005</v>
      </c>
      <c r="Y166" s="1">
        <f>X166-W166</f>
        <v>1.6200000000000436E-2</v>
      </c>
      <c r="Z166">
        <f>U166</f>
        <v>0</v>
      </c>
      <c r="AA166">
        <f>V166</f>
        <v>0</v>
      </c>
      <c r="AB166">
        <f>N166</f>
        <v>1.2</v>
      </c>
      <c r="AC166">
        <f>O166</f>
        <v>0.5</v>
      </c>
      <c r="AD166">
        <f>P166</f>
        <v>0.8</v>
      </c>
      <c r="AE166">
        <f>Q166</f>
        <v>0.6</v>
      </c>
      <c r="AF166">
        <f>R166</f>
        <v>1</v>
      </c>
      <c r="AG166">
        <f>S166</f>
        <v>0.8</v>
      </c>
      <c r="AH166">
        <f t="shared" si="27"/>
        <v>3</v>
      </c>
    </row>
    <row r="167" spans="1:34" hidden="1" x14ac:dyDescent="0.3">
      <c r="A167" s="9" t="s">
        <v>54</v>
      </c>
      <c r="B167" s="9" t="s">
        <v>164</v>
      </c>
      <c r="C167" s="9" t="s">
        <v>165</v>
      </c>
      <c r="D167" s="9" t="s">
        <v>22</v>
      </c>
      <c r="E167" s="9">
        <v>0</v>
      </c>
      <c r="F167" s="9">
        <v>0</v>
      </c>
      <c r="G167" s="9">
        <v>0</v>
      </c>
      <c r="H167" s="9">
        <v>0</v>
      </c>
      <c r="I167" s="9">
        <v>1</v>
      </c>
      <c r="J167" s="9">
        <v>5</v>
      </c>
      <c r="K167" s="9">
        <v>43</v>
      </c>
      <c r="L167" s="9">
        <v>43</v>
      </c>
      <c r="M167" s="9">
        <v>0.66700000000000004</v>
      </c>
      <c r="N167" s="9">
        <v>1.2</v>
      </c>
      <c r="O167" s="9">
        <v>0.5</v>
      </c>
      <c r="P167" s="9">
        <v>0.8</v>
      </c>
      <c r="Q167" s="9">
        <v>0.6</v>
      </c>
      <c r="R167" s="9">
        <v>1</v>
      </c>
      <c r="S167" s="9">
        <v>0.8</v>
      </c>
      <c r="T167" s="9">
        <v>3</v>
      </c>
      <c r="U167" s="9">
        <v>0</v>
      </c>
      <c r="V167" s="9">
        <v>0</v>
      </c>
      <c r="W167" s="9">
        <v>6.57</v>
      </c>
      <c r="X167">
        <f xml:space="preserve"> Z167 + AA167 + (AB167*G167) + (AC167*H167) + (AD167*I167) + (AE167*J167) + (AF167*(K167/100)) + (AG167*(L167/100))+ (AH167*(M167))</f>
        <v>6.5750000000000002</v>
      </c>
      <c r="Y167" s="1">
        <f>X167-W167</f>
        <v>4.9999999999998934E-3</v>
      </c>
      <c r="Z167">
        <f>U167</f>
        <v>0</v>
      </c>
      <c r="AA167">
        <f>V167</f>
        <v>0</v>
      </c>
      <c r="AB167">
        <f>N167</f>
        <v>1.2</v>
      </c>
      <c r="AC167">
        <f>O167</f>
        <v>0.5</v>
      </c>
      <c r="AD167">
        <f>P167</f>
        <v>0.8</v>
      </c>
      <c r="AE167">
        <f>Q167</f>
        <v>0.6</v>
      </c>
      <c r="AF167">
        <f>R167</f>
        <v>1</v>
      </c>
      <c r="AG167">
        <f>S167</f>
        <v>0.8</v>
      </c>
      <c r="AH167">
        <f t="shared" si="27"/>
        <v>3</v>
      </c>
    </row>
    <row r="168" spans="1:34" hidden="1" x14ac:dyDescent="0.3">
      <c r="A168" s="9" t="s">
        <v>221</v>
      </c>
      <c r="B168" s="9" t="s">
        <v>250</v>
      </c>
      <c r="C168" s="9" t="s">
        <v>251</v>
      </c>
      <c r="D168" s="9" t="s">
        <v>22</v>
      </c>
      <c r="E168" s="9">
        <v>0</v>
      </c>
      <c r="F168" s="9">
        <v>0</v>
      </c>
      <c r="G168" s="9">
        <v>1.6</v>
      </c>
      <c r="H168" s="9">
        <v>3.33</v>
      </c>
      <c r="I168" s="9">
        <v>0</v>
      </c>
      <c r="J168" s="9">
        <v>2</v>
      </c>
      <c r="K168" s="9">
        <v>0</v>
      </c>
      <c r="L168" s="9">
        <v>34.9</v>
      </c>
      <c r="M168" s="9">
        <v>0.5</v>
      </c>
      <c r="N168" s="9">
        <v>1.2</v>
      </c>
      <c r="O168" s="9">
        <v>0.5</v>
      </c>
      <c r="P168" s="9">
        <v>0.8</v>
      </c>
      <c r="Q168" s="9">
        <v>0.6</v>
      </c>
      <c r="R168" s="9">
        <v>1</v>
      </c>
      <c r="S168" s="9">
        <v>0.8</v>
      </c>
      <c r="T168" s="9">
        <v>3</v>
      </c>
      <c r="U168" s="9">
        <v>0</v>
      </c>
      <c r="V168" s="9">
        <v>0</v>
      </c>
      <c r="W168" s="10">
        <v>6.54</v>
      </c>
      <c r="X168" s="5">
        <f xml:space="preserve"> Z168 + AA168 + (AB168*G168) + (AC168*H168) + (AD168*I168) + (AE168*J168) + (AF168*(K168/100)) + (AG168*(L168/100))+ (AH168*(M168))</f>
        <v>6.5642000000000005</v>
      </c>
      <c r="Y168" s="1">
        <f>X168-W168</f>
        <v>2.4200000000000443E-2</v>
      </c>
      <c r="Z168">
        <f>U168</f>
        <v>0</v>
      </c>
      <c r="AA168">
        <f>V168</f>
        <v>0</v>
      </c>
      <c r="AB168">
        <f>N168</f>
        <v>1.2</v>
      </c>
      <c r="AC168">
        <f>O168</f>
        <v>0.5</v>
      </c>
      <c r="AD168">
        <f>P168</f>
        <v>0.8</v>
      </c>
      <c r="AE168">
        <f>Q168</f>
        <v>0.6</v>
      </c>
      <c r="AF168">
        <f>R168</f>
        <v>1</v>
      </c>
      <c r="AG168">
        <f>S168</f>
        <v>0.8</v>
      </c>
      <c r="AH168">
        <f t="shared" si="27"/>
        <v>3</v>
      </c>
    </row>
    <row r="169" spans="1:34" hidden="1" x14ac:dyDescent="0.3">
      <c r="A169" s="9" t="s">
        <v>221</v>
      </c>
      <c r="B169" s="9" t="s">
        <v>306</v>
      </c>
      <c r="C169" s="9" t="s">
        <v>307</v>
      </c>
      <c r="D169" s="9" t="s">
        <v>22</v>
      </c>
      <c r="E169" s="9">
        <v>0</v>
      </c>
      <c r="F169" s="9">
        <v>0</v>
      </c>
      <c r="G169" s="9">
        <v>0.8</v>
      </c>
      <c r="H169" s="9">
        <v>3.33</v>
      </c>
      <c r="I169" s="9">
        <v>2</v>
      </c>
      <c r="J169" s="9">
        <v>0</v>
      </c>
      <c r="K169" s="9">
        <v>30.9</v>
      </c>
      <c r="L169" s="9">
        <v>0</v>
      </c>
      <c r="M169" s="9">
        <v>0.66700000000000004</v>
      </c>
      <c r="N169" s="9">
        <v>1.2</v>
      </c>
      <c r="O169" s="9">
        <v>0.5</v>
      </c>
      <c r="P169" s="9">
        <v>0.8</v>
      </c>
      <c r="Q169" s="9">
        <v>0.6</v>
      </c>
      <c r="R169" s="9">
        <v>1</v>
      </c>
      <c r="S169" s="9">
        <v>0.8</v>
      </c>
      <c r="T169" s="9">
        <v>3</v>
      </c>
      <c r="U169" s="9">
        <v>0</v>
      </c>
      <c r="V169" s="9">
        <v>0</v>
      </c>
      <c r="W169" s="10">
        <v>6.52</v>
      </c>
      <c r="X169" s="5">
        <f xml:space="preserve"> Z169 + AA169 + (AB169*G169) + (AC169*H169) + (AD169*I169) + (AE169*J169) + (AF169*(K169/100)) + (AG169*(L169/100))+ (AH169*(M169))</f>
        <v>6.5350000000000001</v>
      </c>
      <c r="Y169" s="1">
        <f>X169-W169</f>
        <v>1.5000000000000568E-2</v>
      </c>
      <c r="Z169">
        <f>U169</f>
        <v>0</v>
      </c>
      <c r="AA169">
        <f>V169</f>
        <v>0</v>
      </c>
      <c r="AB169">
        <f>N169</f>
        <v>1.2</v>
      </c>
      <c r="AC169">
        <f>O169</f>
        <v>0.5</v>
      </c>
      <c r="AD169">
        <f>P169</f>
        <v>0.8</v>
      </c>
      <c r="AE169">
        <f>Q169</f>
        <v>0.6</v>
      </c>
      <c r="AF169">
        <f>R169</f>
        <v>1</v>
      </c>
      <c r="AG169">
        <f>S169</f>
        <v>0.8</v>
      </c>
      <c r="AH169">
        <f t="shared" si="27"/>
        <v>3</v>
      </c>
    </row>
    <row r="170" spans="1:34" hidden="1" x14ac:dyDescent="0.3">
      <c r="A170" s="9" t="s">
        <v>54</v>
      </c>
      <c r="B170" s="9" t="s">
        <v>168</v>
      </c>
      <c r="C170" s="9" t="s">
        <v>169</v>
      </c>
      <c r="D170" s="9" t="s">
        <v>22</v>
      </c>
      <c r="E170" s="9">
        <v>0</v>
      </c>
      <c r="F170" s="9">
        <v>0</v>
      </c>
      <c r="G170" s="9">
        <v>0</v>
      </c>
      <c r="H170" s="9">
        <v>1.1000000000000001</v>
      </c>
      <c r="I170" s="9">
        <v>1</v>
      </c>
      <c r="J170" s="9">
        <v>4</v>
      </c>
      <c r="K170" s="9">
        <v>38.9</v>
      </c>
      <c r="L170" s="9">
        <v>42.7</v>
      </c>
      <c r="M170" s="9">
        <v>0.66700000000000004</v>
      </c>
      <c r="N170" s="9">
        <v>1.2</v>
      </c>
      <c r="O170" s="9">
        <v>0.5</v>
      </c>
      <c r="P170" s="9">
        <v>0.8</v>
      </c>
      <c r="Q170" s="9">
        <v>0.6</v>
      </c>
      <c r="R170" s="9">
        <v>1</v>
      </c>
      <c r="S170" s="9">
        <v>0.8</v>
      </c>
      <c r="T170" s="9">
        <v>3</v>
      </c>
      <c r="U170" s="9">
        <v>0</v>
      </c>
      <c r="V170" s="9">
        <v>0</v>
      </c>
      <c r="W170" s="10">
        <v>6.48</v>
      </c>
      <c r="X170" s="5">
        <f xml:space="preserve"> Z170 + AA170 + (AB170*G170) + (AC170*H170) + (AD170*I170) + (AE170*J170) + (AF170*(K170/100)) + (AG170*(L170/100))+ (AH170*(M170))</f>
        <v>6.4816000000000003</v>
      </c>
      <c r="Y170" s="1">
        <f>X170-W170</f>
        <v>1.5999999999998238E-3</v>
      </c>
      <c r="Z170">
        <f>U170</f>
        <v>0</v>
      </c>
      <c r="AA170">
        <f>V170</f>
        <v>0</v>
      </c>
      <c r="AB170">
        <f>N170</f>
        <v>1.2</v>
      </c>
      <c r="AC170">
        <f>O170</f>
        <v>0.5</v>
      </c>
      <c r="AD170">
        <f>P170</f>
        <v>0.8</v>
      </c>
      <c r="AE170">
        <f>Q170</f>
        <v>0.6</v>
      </c>
      <c r="AF170">
        <f>R170</f>
        <v>1</v>
      </c>
      <c r="AG170">
        <f>S170</f>
        <v>0.8</v>
      </c>
      <c r="AH170">
        <f t="shared" si="27"/>
        <v>3</v>
      </c>
    </row>
    <row r="171" spans="1:34" hidden="1" x14ac:dyDescent="0.3">
      <c r="A171" s="9" t="s">
        <v>221</v>
      </c>
      <c r="B171" s="9" t="s">
        <v>254</v>
      </c>
      <c r="C171" s="9" t="s">
        <v>255</v>
      </c>
      <c r="D171" s="9" t="s">
        <v>22</v>
      </c>
      <c r="E171" s="9">
        <v>0</v>
      </c>
      <c r="F171" s="9">
        <v>0</v>
      </c>
      <c r="G171" s="9">
        <v>0.8</v>
      </c>
      <c r="H171" s="9">
        <v>3.33</v>
      </c>
      <c r="I171" s="9">
        <v>1</v>
      </c>
      <c r="J171" s="9">
        <v>2</v>
      </c>
      <c r="K171" s="9">
        <v>44.2</v>
      </c>
      <c r="L171" s="9">
        <v>51.4</v>
      </c>
      <c r="M171" s="9">
        <v>0.33300000000000002</v>
      </c>
      <c r="N171" s="9">
        <v>1.2</v>
      </c>
      <c r="O171" s="9">
        <v>0.5</v>
      </c>
      <c r="P171" s="9">
        <v>0.8</v>
      </c>
      <c r="Q171" s="9">
        <v>0.6</v>
      </c>
      <c r="R171" s="9">
        <v>1</v>
      </c>
      <c r="S171" s="9">
        <v>0.8</v>
      </c>
      <c r="T171" s="9">
        <v>3</v>
      </c>
      <c r="U171" s="9">
        <v>0</v>
      </c>
      <c r="V171" s="9">
        <v>0</v>
      </c>
      <c r="W171" s="9">
        <v>6.46</v>
      </c>
      <c r="X171">
        <f xml:space="preserve"> Z171 + AA171 + (AB171*G171) + (AC171*H171) + (AD171*I171) + (AE171*J171) + (AF171*(K171/100)) + (AG171*(L171/100))+ (AH171*(M171))</f>
        <v>6.4771999999999998</v>
      </c>
      <c r="Y171" s="1">
        <f>X171-W171</f>
        <v>1.7199999999999882E-2</v>
      </c>
      <c r="Z171">
        <f>U171</f>
        <v>0</v>
      </c>
      <c r="AA171">
        <f>V171</f>
        <v>0</v>
      </c>
      <c r="AB171">
        <f>N171</f>
        <v>1.2</v>
      </c>
      <c r="AC171">
        <f>O171</f>
        <v>0.5</v>
      </c>
      <c r="AD171">
        <f>P171</f>
        <v>0.8</v>
      </c>
      <c r="AE171">
        <f>Q171</f>
        <v>0.6</v>
      </c>
      <c r="AF171">
        <f>R171</f>
        <v>1</v>
      </c>
      <c r="AG171">
        <f>S171</f>
        <v>0.8</v>
      </c>
      <c r="AH171">
        <f t="shared" si="27"/>
        <v>3</v>
      </c>
    </row>
    <row r="172" spans="1:34" hidden="1" x14ac:dyDescent="0.3">
      <c r="A172" s="9" t="s">
        <v>221</v>
      </c>
      <c r="B172" s="9" t="s">
        <v>276</v>
      </c>
      <c r="C172" s="9" t="s">
        <v>277</v>
      </c>
      <c r="D172" s="9" t="s">
        <v>22</v>
      </c>
      <c r="E172" s="9">
        <v>0</v>
      </c>
      <c r="F172" s="9">
        <v>0</v>
      </c>
      <c r="G172" s="9">
        <v>1.2</v>
      </c>
      <c r="H172" s="9">
        <v>3</v>
      </c>
      <c r="I172" s="9">
        <v>1</v>
      </c>
      <c r="J172" s="9">
        <v>2</v>
      </c>
      <c r="K172" s="9">
        <v>23.3</v>
      </c>
      <c r="L172" s="9">
        <v>12.2</v>
      </c>
      <c r="M172" s="9">
        <v>0.4</v>
      </c>
      <c r="N172" s="9">
        <v>1.2</v>
      </c>
      <c r="O172" s="9">
        <v>0.5</v>
      </c>
      <c r="P172" s="9">
        <v>0.8</v>
      </c>
      <c r="Q172" s="9">
        <v>0.6</v>
      </c>
      <c r="R172" s="9">
        <v>1</v>
      </c>
      <c r="S172" s="9">
        <v>0.8</v>
      </c>
      <c r="T172" s="9">
        <v>3</v>
      </c>
      <c r="U172" s="9">
        <v>0</v>
      </c>
      <c r="V172" s="9">
        <v>0</v>
      </c>
      <c r="W172" s="10">
        <v>6.45</v>
      </c>
      <c r="X172" s="5">
        <f xml:space="preserve"> Z172 + AA172 + (AB172*G172) + (AC172*H172) + (AD172*I172) + (AE172*J172) + (AF172*(K172/100)) + (AG172*(L172/100))+ (AH172*(M172))</f>
        <v>6.4706000000000001</v>
      </c>
      <c r="Y172" s="3">
        <f>X172-W172</f>
        <v>2.0599999999999952E-2</v>
      </c>
      <c r="Z172">
        <f>U172</f>
        <v>0</v>
      </c>
      <c r="AA172">
        <f>V172</f>
        <v>0</v>
      </c>
      <c r="AB172">
        <f>N172</f>
        <v>1.2</v>
      </c>
      <c r="AC172">
        <f>O172</f>
        <v>0.5</v>
      </c>
      <c r="AD172">
        <f>P172</f>
        <v>0.8</v>
      </c>
      <c r="AE172">
        <f>Q172</f>
        <v>0.6</v>
      </c>
      <c r="AF172">
        <f>R172</f>
        <v>1</v>
      </c>
      <c r="AG172">
        <f>S172</f>
        <v>0.8</v>
      </c>
      <c r="AH172">
        <f t="shared" si="27"/>
        <v>3</v>
      </c>
    </row>
    <row r="173" spans="1:34" x14ac:dyDescent="0.3">
      <c r="A173" s="9" t="s">
        <v>398</v>
      </c>
      <c r="B173" s="9" t="s">
        <v>508</v>
      </c>
      <c r="C173" s="9" t="s">
        <v>509</v>
      </c>
      <c r="D173" s="9" t="s">
        <v>22</v>
      </c>
      <c r="E173" s="9">
        <v>0</v>
      </c>
      <c r="F173" s="9">
        <v>0</v>
      </c>
      <c r="G173" s="9">
        <v>0</v>
      </c>
      <c r="H173" s="9">
        <v>2.83</v>
      </c>
      <c r="I173" s="9">
        <v>1</v>
      </c>
      <c r="J173" s="9">
        <v>2</v>
      </c>
      <c r="K173" s="9">
        <v>69.400000000000006</v>
      </c>
      <c r="L173" s="9">
        <v>34.5</v>
      </c>
      <c r="M173" s="9">
        <v>0.66700000000000004</v>
      </c>
      <c r="N173" s="9">
        <v>1.2</v>
      </c>
      <c r="O173" s="9">
        <v>0.5</v>
      </c>
      <c r="P173" s="9">
        <v>0.8</v>
      </c>
      <c r="Q173" s="9">
        <v>0.6</v>
      </c>
      <c r="R173" s="9">
        <v>1</v>
      </c>
      <c r="S173" s="9">
        <v>0.8</v>
      </c>
      <c r="T173" s="9">
        <v>3</v>
      </c>
      <c r="U173" s="9">
        <v>0</v>
      </c>
      <c r="V173" s="9">
        <v>0</v>
      </c>
      <c r="W173" s="9">
        <v>6.39</v>
      </c>
      <c r="X173">
        <f xml:space="preserve"> Z173 + AA173 + (AB173*G173) + (AC173*H173) + (AD173*I173) + (AE173*J173) + (AF173*(K173/100)) + (AG173*(L173/100))+ (AH173*(M173))</f>
        <v>6.3860000000000001</v>
      </c>
      <c r="Y173" s="1">
        <f>X173-W173</f>
        <v>-3.9999999999995595E-3</v>
      </c>
      <c r="Z173">
        <f>U173</f>
        <v>0</v>
      </c>
      <c r="AA173">
        <f>V173</f>
        <v>0</v>
      </c>
      <c r="AB173">
        <f>N173</f>
        <v>1.2</v>
      </c>
      <c r="AC173">
        <f>O173</f>
        <v>0.5</v>
      </c>
      <c r="AD173">
        <f>P173</f>
        <v>0.8</v>
      </c>
      <c r="AE173">
        <f>Q173</f>
        <v>0.6</v>
      </c>
      <c r="AF173">
        <f>R173</f>
        <v>1</v>
      </c>
      <c r="AG173">
        <f>S173</f>
        <v>0.8</v>
      </c>
      <c r="AH173">
        <f t="shared" si="27"/>
        <v>3</v>
      </c>
    </row>
    <row r="174" spans="1:34" hidden="1" x14ac:dyDescent="0.3">
      <c r="A174" s="9" t="s">
        <v>221</v>
      </c>
      <c r="B174" s="9" t="s">
        <v>298</v>
      </c>
      <c r="C174" s="9" t="s">
        <v>299</v>
      </c>
      <c r="D174" s="9" t="s">
        <v>22</v>
      </c>
      <c r="E174" s="9">
        <v>0</v>
      </c>
      <c r="F174" s="9">
        <v>0</v>
      </c>
      <c r="G174" s="9">
        <v>1.2</v>
      </c>
      <c r="H174" s="9">
        <v>0</v>
      </c>
      <c r="I174" s="9">
        <v>1</v>
      </c>
      <c r="J174" s="9">
        <v>4</v>
      </c>
      <c r="K174" s="9">
        <v>44.2</v>
      </c>
      <c r="L174" s="9">
        <v>35.9</v>
      </c>
      <c r="M174" s="9">
        <v>0.33300000000000002</v>
      </c>
      <c r="N174" s="9">
        <v>1.2</v>
      </c>
      <c r="O174" s="9">
        <v>0.5</v>
      </c>
      <c r="P174" s="9">
        <v>0.8</v>
      </c>
      <c r="Q174" s="9">
        <v>0.6</v>
      </c>
      <c r="R174" s="9">
        <v>1</v>
      </c>
      <c r="S174" s="9">
        <v>0.8</v>
      </c>
      <c r="T174" s="9">
        <v>3</v>
      </c>
      <c r="U174" s="9">
        <v>0</v>
      </c>
      <c r="V174" s="9">
        <v>0</v>
      </c>
      <c r="W174" s="9">
        <v>6.35</v>
      </c>
      <c r="X174">
        <f xml:space="preserve"> Z174 + AA174 + (AB174*G174) + (AC174*H174) + (AD174*I174) + (AE174*J174) + (AF174*(K174/100)) + (AG174*(L174/100))+ (AH174*(M174))</f>
        <v>6.3682000000000016</v>
      </c>
      <c r="Y174" s="1">
        <f>X174-W174</f>
        <v>1.8200000000001992E-2</v>
      </c>
      <c r="Z174">
        <f>U174</f>
        <v>0</v>
      </c>
      <c r="AA174">
        <f>V174</f>
        <v>0</v>
      </c>
      <c r="AB174">
        <f>N174</f>
        <v>1.2</v>
      </c>
      <c r="AC174">
        <f>O174</f>
        <v>0.5</v>
      </c>
      <c r="AD174">
        <f>P174</f>
        <v>0.8</v>
      </c>
      <c r="AE174">
        <f>Q174</f>
        <v>0.6</v>
      </c>
      <c r="AF174">
        <f>R174</f>
        <v>1</v>
      </c>
      <c r="AG174">
        <f>S174</f>
        <v>0.8</v>
      </c>
      <c r="AH174">
        <f t="shared" si="27"/>
        <v>3</v>
      </c>
    </row>
    <row r="175" spans="1:34" hidden="1" x14ac:dyDescent="0.3">
      <c r="A175" s="9" t="s">
        <v>221</v>
      </c>
      <c r="B175" s="9" t="s">
        <v>310</v>
      </c>
      <c r="C175" s="9" t="s">
        <v>311</v>
      </c>
      <c r="D175" s="9" t="s">
        <v>22</v>
      </c>
      <c r="E175" s="9">
        <v>0</v>
      </c>
      <c r="F175" s="9">
        <v>0</v>
      </c>
      <c r="G175" s="9">
        <v>1.2</v>
      </c>
      <c r="H175" s="9">
        <v>0.69</v>
      </c>
      <c r="I175" s="9">
        <v>0</v>
      </c>
      <c r="J175" s="9">
        <v>2</v>
      </c>
      <c r="K175" s="9">
        <v>0</v>
      </c>
      <c r="L175" s="9">
        <v>48.4</v>
      </c>
      <c r="M175" s="9">
        <v>1</v>
      </c>
      <c r="N175" s="9">
        <v>1.2</v>
      </c>
      <c r="O175" s="9">
        <v>0.5</v>
      </c>
      <c r="P175" s="9">
        <v>0.8</v>
      </c>
      <c r="Q175" s="9">
        <v>0.6</v>
      </c>
      <c r="R175" s="9">
        <v>1</v>
      </c>
      <c r="S175" s="9">
        <v>0.8</v>
      </c>
      <c r="T175" s="9">
        <v>3</v>
      </c>
      <c r="U175" s="9">
        <v>0</v>
      </c>
      <c r="V175" s="9">
        <v>0</v>
      </c>
      <c r="W175" s="9">
        <v>6.35</v>
      </c>
      <c r="X175">
        <f xml:space="preserve"> Z175 + AA175 + (AB175*G175) + (AC175*H175) + (AD175*I175) + (AE175*J175) + (AF175*(K175/100)) + (AG175*(L175/100))+ (AH175*(M175))</f>
        <v>6.3721999999999994</v>
      </c>
      <c r="Y175" s="1">
        <f>X175-W175</f>
        <v>2.2199999999999775E-2</v>
      </c>
      <c r="Z175">
        <f>U175</f>
        <v>0</v>
      </c>
      <c r="AA175">
        <f>V175</f>
        <v>0</v>
      </c>
      <c r="AB175">
        <f>N175</f>
        <v>1.2</v>
      </c>
      <c r="AC175">
        <f>O175</f>
        <v>0.5</v>
      </c>
      <c r="AD175">
        <f>P175</f>
        <v>0.8</v>
      </c>
      <c r="AE175">
        <f>Q175</f>
        <v>0.6</v>
      </c>
      <c r="AF175">
        <f>R175</f>
        <v>1</v>
      </c>
      <c r="AG175">
        <f>S175</f>
        <v>0.8</v>
      </c>
      <c r="AH175">
        <f t="shared" si="27"/>
        <v>3</v>
      </c>
    </row>
    <row r="176" spans="1:34" hidden="1" x14ac:dyDescent="0.3">
      <c r="A176" s="9" t="s">
        <v>221</v>
      </c>
      <c r="B176" s="9" t="s">
        <v>352</v>
      </c>
      <c r="C176" s="9" t="s">
        <v>353</v>
      </c>
      <c r="D176" s="9" t="s">
        <v>22</v>
      </c>
      <c r="E176" s="9">
        <v>0</v>
      </c>
      <c r="F176" s="9">
        <v>0</v>
      </c>
      <c r="G176" s="9">
        <v>0.4</v>
      </c>
      <c r="H176" s="9">
        <v>2.83</v>
      </c>
      <c r="I176" s="9">
        <v>2</v>
      </c>
      <c r="J176" s="9">
        <v>3</v>
      </c>
      <c r="K176" s="9">
        <v>26.6</v>
      </c>
      <c r="L176" s="9">
        <v>40.4</v>
      </c>
      <c r="M176" s="9">
        <v>0.154</v>
      </c>
      <c r="N176" s="9">
        <v>1.2</v>
      </c>
      <c r="O176" s="9">
        <v>0.5</v>
      </c>
      <c r="P176" s="9">
        <v>0.8</v>
      </c>
      <c r="Q176" s="9">
        <v>0.6</v>
      </c>
      <c r="R176" s="9">
        <v>1</v>
      </c>
      <c r="S176" s="9">
        <v>0.8</v>
      </c>
      <c r="T176" s="9">
        <v>3</v>
      </c>
      <c r="U176" s="9">
        <v>0</v>
      </c>
      <c r="V176" s="9">
        <v>0</v>
      </c>
      <c r="W176" s="10">
        <v>6.34</v>
      </c>
      <c r="X176" s="5">
        <f xml:space="preserve"> Z176 + AA176 + (AB176*G176) + (AC176*H176) + (AD176*I176) + (AE176*J176) + (AF176*(K176/100)) + (AG176*(L176/100))+ (AH176*(M176))</f>
        <v>6.3461999999999996</v>
      </c>
      <c r="Y176" s="1">
        <f>X176-W176</f>
        <v>6.1999999999997613E-3</v>
      </c>
      <c r="Z176">
        <f>U176</f>
        <v>0</v>
      </c>
      <c r="AA176">
        <f>V176</f>
        <v>0</v>
      </c>
      <c r="AB176">
        <f>N176</f>
        <v>1.2</v>
      </c>
      <c r="AC176">
        <f>O176</f>
        <v>0.5</v>
      </c>
      <c r="AD176">
        <f>P176</f>
        <v>0.8</v>
      </c>
      <c r="AE176">
        <f>Q176</f>
        <v>0.6</v>
      </c>
      <c r="AF176">
        <f>R176</f>
        <v>1</v>
      </c>
      <c r="AG176">
        <f>S176</f>
        <v>0.8</v>
      </c>
      <c r="AH176">
        <f t="shared" si="27"/>
        <v>3</v>
      </c>
    </row>
    <row r="177" spans="1:34" hidden="1" x14ac:dyDescent="0.3">
      <c r="A177" s="9" t="s">
        <v>221</v>
      </c>
      <c r="B177" s="9" t="s">
        <v>252</v>
      </c>
      <c r="C177" s="9" t="s">
        <v>253</v>
      </c>
      <c r="D177" s="9" t="s">
        <v>22</v>
      </c>
      <c r="E177" s="9">
        <v>0</v>
      </c>
      <c r="F177" s="9">
        <v>0</v>
      </c>
      <c r="G177" s="9">
        <v>1.6</v>
      </c>
      <c r="H177" s="9">
        <v>0.69</v>
      </c>
      <c r="I177" s="9">
        <v>1</v>
      </c>
      <c r="J177" s="9">
        <v>0</v>
      </c>
      <c r="K177" s="9">
        <v>28.2</v>
      </c>
      <c r="L177" s="9">
        <v>0</v>
      </c>
      <c r="M177" s="9">
        <v>1</v>
      </c>
      <c r="N177" s="9">
        <v>1.2</v>
      </c>
      <c r="O177" s="9">
        <v>0.5</v>
      </c>
      <c r="P177" s="9">
        <v>0.8</v>
      </c>
      <c r="Q177" s="9">
        <v>0.6</v>
      </c>
      <c r="R177" s="9">
        <v>1</v>
      </c>
      <c r="S177" s="9">
        <v>0.8</v>
      </c>
      <c r="T177" s="9">
        <v>3</v>
      </c>
      <c r="U177" s="9">
        <v>0</v>
      </c>
      <c r="V177" s="9">
        <v>0</v>
      </c>
      <c r="W177" s="10">
        <v>6.32</v>
      </c>
      <c r="X177" s="5">
        <f xml:space="preserve"> Z177 + AA177 + (AB177*G177) + (AC177*H177) + (AD177*I177) + (AE177*J177) + (AF177*(K177/100)) + (AG177*(L177/100))+ (AH177*(M177))</f>
        <v>6.3469999999999995</v>
      </c>
      <c r="Y177" s="1">
        <f>X177-W177</f>
        <v>2.6999999999999247E-2</v>
      </c>
      <c r="Z177">
        <f>U177</f>
        <v>0</v>
      </c>
      <c r="AA177">
        <f>V177</f>
        <v>0</v>
      </c>
      <c r="AB177">
        <f>N177</f>
        <v>1.2</v>
      </c>
      <c r="AC177">
        <f>O177</f>
        <v>0.5</v>
      </c>
      <c r="AD177">
        <f>P177</f>
        <v>0.8</v>
      </c>
      <c r="AE177">
        <f>Q177</f>
        <v>0.6</v>
      </c>
      <c r="AF177">
        <f>R177</f>
        <v>1</v>
      </c>
      <c r="AG177">
        <f>S177</f>
        <v>0.8</v>
      </c>
      <c r="AH177">
        <f t="shared" si="27"/>
        <v>3</v>
      </c>
    </row>
    <row r="178" spans="1:34" hidden="1" x14ac:dyDescent="0.3">
      <c r="A178" s="9" t="s">
        <v>533</v>
      </c>
      <c r="B178" s="9" t="s">
        <v>655</v>
      </c>
      <c r="C178" s="9" t="s">
        <v>656</v>
      </c>
      <c r="D178" s="9" t="s">
        <v>22</v>
      </c>
      <c r="E178" s="9">
        <v>0</v>
      </c>
      <c r="F178" s="9">
        <v>0</v>
      </c>
      <c r="G178" s="9">
        <v>0</v>
      </c>
      <c r="H178" s="9">
        <v>1.39</v>
      </c>
      <c r="I178" s="9">
        <v>1</v>
      </c>
      <c r="J178" s="9">
        <v>2</v>
      </c>
      <c r="K178" s="9">
        <v>30.4</v>
      </c>
      <c r="L178" s="9">
        <v>38.6</v>
      </c>
      <c r="M178" s="9">
        <v>1</v>
      </c>
      <c r="N178" s="9">
        <v>1.2</v>
      </c>
      <c r="O178" s="9">
        <v>0.5</v>
      </c>
      <c r="P178" s="9">
        <v>0.8</v>
      </c>
      <c r="Q178" s="9">
        <v>0.6</v>
      </c>
      <c r="R178" s="9">
        <v>1</v>
      </c>
      <c r="S178" s="9">
        <v>0.8</v>
      </c>
      <c r="T178" s="9">
        <v>3</v>
      </c>
      <c r="U178" s="9">
        <v>0</v>
      </c>
      <c r="V178" s="9">
        <v>0</v>
      </c>
      <c r="W178" s="9">
        <v>6.31</v>
      </c>
      <c r="X178"/>
      <c r="AH178">
        <f t="shared" si="27"/>
        <v>3</v>
      </c>
    </row>
    <row r="179" spans="1:34" hidden="1" x14ac:dyDescent="0.3">
      <c r="A179" s="9" t="s">
        <v>221</v>
      </c>
      <c r="B179" s="9" t="s">
        <v>294</v>
      </c>
      <c r="C179" s="9" t="s">
        <v>295</v>
      </c>
      <c r="D179" s="9" t="s">
        <v>22</v>
      </c>
      <c r="E179" s="9">
        <v>0</v>
      </c>
      <c r="F179" s="9">
        <v>0</v>
      </c>
      <c r="G179" s="9">
        <v>1.6</v>
      </c>
      <c r="H179" s="9">
        <v>2.71</v>
      </c>
      <c r="I179" s="9">
        <v>1</v>
      </c>
      <c r="J179" s="9">
        <v>0</v>
      </c>
      <c r="K179" s="9">
        <v>24.1</v>
      </c>
      <c r="L179" s="9">
        <v>0</v>
      </c>
      <c r="M179" s="9">
        <v>0.66700000000000004</v>
      </c>
      <c r="N179" s="9">
        <v>1.2</v>
      </c>
      <c r="O179" s="9">
        <v>0.5</v>
      </c>
      <c r="P179" s="9">
        <v>0.8</v>
      </c>
      <c r="Q179" s="9">
        <v>0.6</v>
      </c>
      <c r="R179" s="9">
        <v>1</v>
      </c>
      <c r="S179" s="9">
        <v>0.8</v>
      </c>
      <c r="T179" s="9">
        <v>3</v>
      </c>
      <c r="U179" s="9">
        <v>0</v>
      </c>
      <c r="V179" s="9">
        <v>0</v>
      </c>
      <c r="W179" s="10">
        <v>6.29</v>
      </c>
      <c r="X179" s="5">
        <f xml:space="preserve"> Z179 + AA179 + (AB179*G179) + (AC179*H179) + (AD179*I179) + (AE179*J179) + (AF179*(K179/100)) + (AG179*(L179/100))+ (AH179*(M179))</f>
        <v>6.3170000000000002</v>
      </c>
      <c r="Y179" s="1">
        <f>X179-W179</f>
        <v>2.7000000000000135E-2</v>
      </c>
      <c r="Z179">
        <f>U179</f>
        <v>0</v>
      </c>
      <c r="AA179">
        <f>V179</f>
        <v>0</v>
      </c>
      <c r="AB179">
        <f>N179</f>
        <v>1.2</v>
      </c>
      <c r="AC179">
        <f>O179</f>
        <v>0.5</v>
      </c>
      <c r="AD179">
        <f>P179</f>
        <v>0.8</v>
      </c>
      <c r="AE179">
        <f>Q179</f>
        <v>0.6</v>
      </c>
      <c r="AF179">
        <f>R179</f>
        <v>1</v>
      </c>
      <c r="AG179">
        <f>S179</f>
        <v>0.8</v>
      </c>
      <c r="AH179">
        <f t="shared" si="27"/>
        <v>3</v>
      </c>
    </row>
    <row r="180" spans="1:34" hidden="1" x14ac:dyDescent="0.3">
      <c r="A180" s="9" t="s">
        <v>533</v>
      </c>
      <c r="B180" s="9" t="s">
        <v>617</v>
      </c>
      <c r="C180" s="9" t="s">
        <v>552</v>
      </c>
      <c r="D180" s="9" t="s">
        <v>22</v>
      </c>
      <c r="E180" s="9">
        <v>0</v>
      </c>
      <c r="F180" s="9">
        <v>0</v>
      </c>
      <c r="G180" s="9">
        <v>2.2999999999999998</v>
      </c>
      <c r="H180" s="9">
        <v>3.37</v>
      </c>
      <c r="I180" s="9">
        <v>1</v>
      </c>
      <c r="J180" s="9">
        <v>0</v>
      </c>
      <c r="K180" s="9">
        <v>40.5</v>
      </c>
      <c r="L180" s="9">
        <v>0</v>
      </c>
      <c r="M180" s="9">
        <v>0.2</v>
      </c>
      <c r="N180" s="9">
        <v>1.2</v>
      </c>
      <c r="O180" s="9">
        <v>0.5</v>
      </c>
      <c r="P180" s="9">
        <v>0.8</v>
      </c>
      <c r="Q180" s="9">
        <v>0.6</v>
      </c>
      <c r="R180" s="9">
        <v>1</v>
      </c>
      <c r="S180" s="9">
        <v>0.8</v>
      </c>
      <c r="T180" s="9">
        <v>3</v>
      </c>
      <c r="U180" s="9">
        <v>0</v>
      </c>
      <c r="V180" s="9">
        <v>0</v>
      </c>
      <c r="W180" s="9">
        <v>6.28</v>
      </c>
      <c r="X180">
        <f xml:space="preserve"> Z180 + AA180 + (AB180*G180) + (AC180*H180) + (AD180*I180) + (AE180*J180) + (AF180*(K180/100)) + (AG180*(L180/100))+ (AH180*(M180))</f>
        <v>6.25</v>
      </c>
      <c r="Y180" s="1">
        <f>X180-W180</f>
        <v>-3.0000000000000249E-2</v>
      </c>
      <c r="Z180">
        <f>U180</f>
        <v>0</v>
      </c>
      <c r="AA180">
        <f>V180</f>
        <v>0</v>
      </c>
      <c r="AB180">
        <f>N180</f>
        <v>1.2</v>
      </c>
      <c r="AC180">
        <f>O180</f>
        <v>0.5</v>
      </c>
      <c r="AD180">
        <f>P180</f>
        <v>0.8</v>
      </c>
      <c r="AE180">
        <f>Q180</f>
        <v>0.6</v>
      </c>
      <c r="AF180">
        <f>R180</f>
        <v>1</v>
      </c>
      <c r="AG180">
        <f>S180</f>
        <v>0.8</v>
      </c>
      <c r="AH180">
        <f t="shared" si="27"/>
        <v>3</v>
      </c>
    </row>
    <row r="181" spans="1:34" hidden="1" x14ac:dyDescent="0.3">
      <c r="A181" s="9" t="s">
        <v>533</v>
      </c>
      <c r="B181" s="9" t="s">
        <v>549</v>
      </c>
      <c r="C181" s="9" t="s">
        <v>550</v>
      </c>
      <c r="D181" s="9" t="s">
        <v>22</v>
      </c>
      <c r="E181" s="9">
        <v>0</v>
      </c>
      <c r="F181" s="9">
        <v>0</v>
      </c>
      <c r="G181" s="9">
        <v>0</v>
      </c>
      <c r="H181" s="9">
        <v>0</v>
      </c>
      <c r="I181" s="9">
        <v>2</v>
      </c>
      <c r="J181" s="9">
        <v>4</v>
      </c>
      <c r="K181" s="9">
        <v>46.6</v>
      </c>
      <c r="L181" s="9">
        <v>38.299999999999997</v>
      </c>
      <c r="M181" s="9">
        <v>0.5</v>
      </c>
      <c r="N181" s="9">
        <v>1.2</v>
      </c>
      <c r="O181" s="9">
        <v>0.5</v>
      </c>
      <c r="P181" s="9">
        <v>0.8</v>
      </c>
      <c r="Q181" s="9">
        <v>0.6</v>
      </c>
      <c r="R181" s="9">
        <v>1</v>
      </c>
      <c r="S181" s="9">
        <v>0.8</v>
      </c>
      <c r="T181" s="9">
        <v>3</v>
      </c>
      <c r="U181" s="9">
        <v>0</v>
      </c>
      <c r="V181" s="9">
        <v>0</v>
      </c>
      <c r="W181" s="9">
        <v>6.27</v>
      </c>
      <c r="X181">
        <f xml:space="preserve"> Z181 + AA181 + (AB181*G181) + (AC181*H181) + (AD181*I181) + (AE181*J181) + (AF181*(K181/100)) + (AG181*(L181/100))+ (AH181*(M181))</f>
        <v>6.2724000000000002</v>
      </c>
      <c r="Y181" s="1">
        <f>X181-W181</f>
        <v>2.4000000000006239E-3</v>
      </c>
      <c r="Z181">
        <f>U181</f>
        <v>0</v>
      </c>
      <c r="AA181">
        <f>V181</f>
        <v>0</v>
      </c>
      <c r="AB181">
        <f>N181</f>
        <v>1.2</v>
      </c>
      <c r="AC181">
        <f>O181</f>
        <v>0.5</v>
      </c>
      <c r="AD181">
        <f>P181</f>
        <v>0.8</v>
      </c>
      <c r="AE181">
        <f>Q181</f>
        <v>0.6</v>
      </c>
      <c r="AF181">
        <f>R181</f>
        <v>1</v>
      </c>
      <c r="AG181">
        <f>S181</f>
        <v>0.8</v>
      </c>
      <c r="AH181">
        <f t="shared" si="27"/>
        <v>3</v>
      </c>
    </row>
    <row r="182" spans="1:34" hidden="1" x14ac:dyDescent="0.3">
      <c r="A182" s="9" t="s">
        <v>42</v>
      </c>
      <c r="B182" s="9" t="s">
        <v>49</v>
      </c>
      <c r="C182" s="9" t="s">
        <v>50</v>
      </c>
      <c r="D182" s="9" t="s">
        <v>22</v>
      </c>
      <c r="E182" s="9">
        <v>0</v>
      </c>
      <c r="F182" s="9">
        <v>0</v>
      </c>
      <c r="G182" s="9">
        <v>2</v>
      </c>
      <c r="H182" s="9">
        <v>0.69</v>
      </c>
      <c r="I182" s="9">
        <v>0</v>
      </c>
      <c r="J182" s="9">
        <v>2</v>
      </c>
      <c r="K182" s="9">
        <v>0</v>
      </c>
      <c r="L182" s="9">
        <v>40.799999999999997</v>
      </c>
      <c r="M182" s="9">
        <v>0.66700000000000004</v>
      </c>
      <c r="N182" s="9">
        <v>1.2</v>
      </c>
      <c r="O182" s="9">
        <v>0.5</v>
      </c>
      <c r="P182" s="9">
        <v>0.8</v>
      </c>
      <c r="Q182" s="9">
        <v>0.6</v>
      </c>
      <c r="R182" s="9">
        <v>1</v>
      </c>
      <c r="S182" s="9">
        <v>0.8</v>
      </c>
      <c r="T182" s="9">
        <v>3</v>
      </c>
      <c r="U182" s="9">
        <v>0</v>
      </c>
      <c r="V182" s="9">
        <v>0</v>
      </c>
      <c r="W182" s="9">
        <v>6.23</v>
      </c>
      <c r="X182">
        <f xml:space="preserve"> Z182 + AA182 + (AB182*G182) + (AC182*H182) + (AD182*I182) + (AE182*J182) + (AF182*(K182/100)) + (AG182*(L182/100))+ (AH182*(M182))</f>
        <v>6.2724000000000002</v>
      </c>
      <c r="Y182" s="1">
        <f>X182-W182</f>
        <v>4.2399999999999771E-2</v>
      </c>
      <c r="Z182">
        <f>U182</f>
        <v>0</v>
      </c>
      <c r="AA182">
        <f>V182</f>
        <v>0</v>
      </c>
      <c r="AB182">
        <f>N182</f>
        <v>1.2</v>
      </c>
      <c r="AC182">
        <f>O182</f>
        <v>0.5</v>
      </c>
      <c r="AD182">
        <f>P182</f>
        <v>0.8</v>
      </c>
      <c r="AE182">
        <f>Q182</f>
        <v>0.6</v>
      </c>
      <c r="AF182">
        <f>R182</f>
        <v>1</v>
      </c>
      <c r="AG182">
        <f>S182</f>
        <v>0.8</v>
      </c>
      <c r="AH182">
        <f t="shared" si="27"/>
        <v>3</v>
      </c>
    </row>
    <row r="183" spans="1:34" x14ac:dyDescent="0.3">
      <c r="A183" s="9" t="s">
        <v>398</v>
      </c>
      <c r="B183" s="9" t="s">
        <v>424</v>
      </c>
      <c r="C183" s="9" t="s">
        <v>425</v>
      </c>
      <c r="D183" s="9" t="s">
        <v>22</v>
      </c>
      <c r="E183" s="9">
        <v>0</v>
      </c>
      <c r="F183" s="9">
        <v>0</v>
      </c>
      <c r="G183" s="9">
        <v>2</v>
      </c>
      <c r="H183" s="9">
        <v>2.48</v>
      </c>
      <c r="I183" s="9">
        <v>1</v>
      </c>
      <c r="J183" s="9">
        <v>0</v>
      </c>
      <c r="K183" s="9">
        <v>33</v>
      </c>
      <c r="L183" s="9">
        <v>0</v>
      </c>
      <c r="M183" s="9">
        <v>0.5</v>
      </c>
      <c r="N183" s="9">
        <v>1.2</v>
      </c>
      <c r="O183" s="9">
        <v>0.5</v>
      </c>
      <c r="P183" s="9">
        <v>0.8</v>
      </c>
      <c r="Q183" s="9">
        <v>0.6</v>
      </c>
      <c r="R183" s="9">
        <v>1</v>
      </c>
      <c r="S183" s="9">
        <v>0.8</v>
      </c>
      <c r="T183" s="9">
        <v>3</v>
      </c>
      <c r="U183" s="9">
        <v>0</v>
      </c>
      <c r="V183" s="9">
        <v>0</v>
      </c>
      <c r="W183" s="9">
        <v>6.23</v>
      </c>
      <c r="X183">
        <f xml:space="preserve"> Z183 + AA183 + (AB183*G183) + (AC183*H183) + (AD183*I183) + (AE183*J183) + (AF183*(K183/100)) + (AG183*(L183/100))+ (AH183*(M183))</f>
        <v>6.27</v>
      </c>
      <c r="Y183" s="1">
        <f>X183-W183</f>
        <v>3.9999999999999147E-2</v>
      </c>
      <c r="Z183">
        <f>U183</f>
        <v>0</v>
      </c>
      <c r="AA183">
        <f>V183</f>
        <v>0</v>
      </c>
      <c r="AB183">
        <f>N183</f>
        <v>1.2</v>
      </c>
      <c r="AC183">
        <f>O183</f>
        <v>0.5</v>
      </c>
      <c r="AD183">
        <f>P183</f>
        <v>0.8</v>
      </c>
      <c r="AE183">
        <f>Q183</f>
        <v>0.6</v>
      </c>
      <c r="AF183">
        <f>R183</f>
        <v>1</v>
      </c>
      <c r="AG183">
        <f>S183</f>
        <v>0.8</v>
      </c>
      <c r="AH183">
        <f t="shared" si="27"/>
        <v>3</v>
      </c>
    </row>
    <row r="184" spans="1:34" hidden="1" x14ac:dyDescent="0.3">
      <c r="A184" s="9" t="s">
        <v>176</v>
      </c>
      <c r="B184" s="9" t="s">
        <v>177</v>
      </c>
      <c r="C184" s="9" t="s">
        <v>178</v>
      </c>
      <c r="D184" s="9" t="s">
        <v>22</v>
      </c>
      <c r="E184" s="9">
        <v>0</v>
      </c>
      <c r="F184" s="9">
        <v>0</v>
      </c>
      <c r="G184" s="9">
        <v>1.8</v>
      </c>
      <c r="H184" s="9">
        <v>0</v>
      </c>
      <c r="I184" s="9">
        <v>1</v>
      </c>
      <c r="J184" s="9">
        <v>0</v>
      </c>
      <c r="K184" s="9">
        <v>22.4</v>
      </c>
      <c r="L184" s="9">
        <v>0</v>
      </c>
      <c r="M184" s="9">
        <v>1</v>
      </c>
      <c r="N184" s="9">
        <v>1.2</v>
      </c>
      <c r="O184" s="9">
        <v>0.5</v>
      </c>
      <c r="P184" s="9">
        <v>0.8</v>
      </c>
      <c r="Q184" s="9">
        <v>0.6</v>
      </c>
      <c r="R184" s="9">
        <v>1</v>
      </c>
      <c r="S184" s="9">
        <v>0.8</v>
      </c>
      <c r="T184" s="9">
        <v>3</v>
      </c>
      <c r="U184" s="9">
        <v>0</v>
      </c>
      <c r="V184" s="9">
        <v>0</v>
      </c>
      <c r="W184" s="10">
        <v>6.17</v>
      </c>
      <c r="X184" s="5">
        <f xml:space="preserve"> Z184 + AA184 + (AB184*G184) + (AC184*H184) + (AD184*I184) + (AE184*J184) + (AF184*(K184/100)) + (AG184*(L184/100))+ (AH184*(M184))</f>
        <v>6.1840000000000002</v>
      </c>
      <c r="Y184" s="1">
        <f>X184-W184</f>
        <v>1.4000000000000234E-2</v>
      </c>
      <c r="Z184">
        <f>U184</f>
        <v>0</v>
      </c>
      <c r="AA184">
        <f>V184</f>
        <v>0</v>
      </c>
      <c r="AB184">
        <f>N184</f>
        <v>1.2</v>
      </c>
      <c r="AC184">
        <f>O184</f>
        <v>0.5</v>
      </c>
      <c r="AD184">
        <f>P184</f>
        <v>0.8</v>
      </c>
      <c r="AE184">
        <f>Q184</f>
        <v>0.6</v>
      </c>
      <c r="AF184">
        <f>R184</f>
        <v>1</v>
      </c>
      <c r="AG184">
        <f>S184</f>
        <v>0.8</v>
      </c>
      <c r="AH184">
        <f t="shared" si="27"/>
        <v>3</v>
      </c>
    </row>
    <row r="185" spans="1:34" hidden="1" x14ac:dyDescent="0.3">
      <c r="A185" s="9" t="s">
        <v>176</v>
      </c>
      <c r="B185" s="9" t="s">
        <v>179</v>
      </c>
      <c r="C185" s="9" t="s">
        <v>180</v>
      </c>
      <c r="D185" s="9" t="s">
        <v>22</v>
      </c>
      <c r="E185" s="9">
        <v>0</v>
      </c>
      <c r="F185" s="9">
        <v>0</v>
      </c>
      <c r="G185" s="9">
        <v>1.8</v>
      </c>
      <c r="H185" s="9">
        <v>0</v>
      </c>
      <c r="I185" s="9">
        <v>1</v>
      </c>
      <c r="J185" s="9">
        <v>0</v>
      </c>
      <c r="K185" s="9">
        <v>22.4</v>
      </c>
      <c r="L185" s="9">
        <v>0</v>
      </c>
      <c r="M185" s="9">
        <v>1</v>
      </c>
      <c r="N185" s="9">
        <v>1.2</v>
      </c>
      <c r="O185" s="9">
        <v>0.5</v>
      </c>
      <c r="P185" s="9">
        <v>0.8</v>
      </c>
      <c r="Q185" s="9">
        <v>0.6</v>
      </c>
      <c r="R185" s="9">
        <v>1</v>
      </c>
      <c r="S185" s="9">
        <v>0.8</v>
      </c>
      <c r="T185" s="9">
        <v>3</v>
      </c>
      <c r="U185" s="9">
        <v>0</v>
      </c>
      <c r="V185" s="9">
        <v>0</v>
      </c>
      <c r="W185" s="9">
        <v>6.17</v>
      </c>
      <c r="X185">
        <f xml:space="preserve"> Z185 + AA185 + (AB185*G185) + (AC185*H185) + (AD185*I185) + (AE185*J185) + (AF185*(K185/100)) + (AG185*(L185/100))+ (AH185*(M185))</f>
        <v>6.1840000000000002</v>
      </c>
      <c r="Y185" s="1">
        <f>X185-W185</f>
        <v>1.4000000000000234E-2</v>
      </c>
      <c r="Z185">
        <f>U185</f>
        <v>0</v>
      </c>
      <c r="AA185">
        <f>V185</f>
        <v>0</v>
      </c>
      <c r="AB185">
        <f>N185</f>
        <v>1.2</v>
      </c>
      <c r="AC185">
        <f>O185</f>
        <v>0.5</v>
      </c>
      <c r="AD185">
        <f>P185</f>
        <v>0.8</v>
      </c>
      <c r="AE185">
        <f>Q185</f>
        <v>0.6</v>
      </c>
      <c r="AF185">
        <f>R185</f>
        <v>1</v>
      </c>
      <c r="AG185">
        <f>S185</f>
        <v>0.8</v>
      </c>
      <c r="AH185">
        <f t="shared" si="27"/>
        <v>3</v>
      </c>
    </row>
    <row r="186" spans="1:34" hidden="1" x14ac:dyDescent="0.3">
      <c r="A186" s="9" t="s">
        <v>176</v>
      </c>
      <c r="B186" s="9" t="s">
        <v>185</v>
      </c>
      <c r="C186" s="9" t="s">
        <v>180</v>
      </c>
      <c r="D186" s="9" t="s">
        <v>22</v>
      </c>
      <c r="E186" s="9">
        <v>0</v>
      </c>
      <c r="F186" s="9">
        <v>0</v>
      </c>
      <c r="G186" s="9">
        <v>1.8</v>
      </c>
      <c r="H186" s="9">
        <v>0</v>
      </c>
      <c r="I186" s="9">
        <v>1</v>
      </c>
      <c r="J186" s="9">
        <v>0</v>
      </c>
      <c r="K186" s="9">
        <v>22.4</v>
      </c>
      <c r="L186" s="9">
        <v>0</v>
      </c>
      <c r="M186" s="9">
        <v>1</v>
      </c>
      <c r="N186" s="9">
        <v>1.2</v>
      </c>
      <c r="O186" s="9">
        <v>0.5</v>
      </c>
      <c r="P186" s="9">
        <v>0.8</v>
      </c>
      <c r="Q186" s="9">
        <v>0.6</v>
      </c>
      <c r="R186" s="9">
        <v>1</v>
      </c>
      <c r="S186" s="9">
        <v>0.8</v>
      </c>
      <c r="T186" s="9">
        <v>3</v>
      </c>
      <c r="U186" s="9">
        <v>0</v>
      </c>
      <c r="V186" s="9">
        <v>0</v>
      </c>
      <c r="W186" s="9">
        <v>6.17</v>
      </c>
      <c r="X186">
        <f xml:space="preserve"> Z186 + AA186 + (AB186*G186) + (AC186*H186) + (AD186*I186) + (AE186*J186) + (AF186*(K186/100)) + (AG186*(L186/100))+ (AH186*(M186))</f>
        <v>6.1840000000000002</v>
      </c>
      <c r="Y186" s="1">
        <f>X186-W186</f>
        <v>1.4000000000000234E-2</v>
      </c>
      <c r="Z186">
        <f>U186</f>
        <v>0</v>
      </c>
      <c r="AA186">
        <f>V186</f>
        <v>0</v>
      </c>
      <c r="AB186">
        <f>N186</f>
        <v>1.2</v>
      </c>
      <c r="AC186">
        <f>O186</f>
        <v>0.5</v>
      </c>
      <c r="AD186">
        <f>P186</f>
        <v>0.8</v>
      </c>
      <c r="AE186">
        <f>Q186</f>
        <v>0.6</v>
      </c>
      <c r="AF186">
        <f>R186</f>
        <v>1</v>
      </c>
      <c r="AG186">
        <f>S186</f>
        <v>0.8</v>
      </c>
      <c r="AH186">
        <f t="shared" si="27"/>
        <v>3</v>
      </c>
    </row>
    <row r="187" spans="1:34" hidden="1" x14ac:dyDescent="0.3">
      <c r="A187" s="9" t="s">
        <v>176</v>
      </c>
      <c r="B187" s="9" t="s">
        <v>195</v>
      </c>
      <c r="C187" s="9" t="s">
        <v>196</v>
      </c>
      <c r="D187" s="9" t="s">
        <v>22</v>
      </c>
      <c r="E187" s="9">
        <v>0</v>
      </c>
      <c r="F187" s="9">
        <v>0</v>
      </c>
      <c r="G187" s="9">
        <v>1.8</v>
      </c>
      <c r="H187" s="9">
        <v>0</v>
      </c>
      <c r="I187" s="9">
        <v>1</v>
      </c>
      <c r="J187" s="9">
        <v>0</v>
      </c>
      <c r="K187" s="9">
        <v>22.4</v>
      </c>
      <c r="L187" s="9">
        <v>0</v>
      </c>
      <c r="M187" s="9">
        <v>1</v>
      </c>
      <c r="N187" s="9">
        <v>1.2</v>
      </c>
      <c r="O187" s="9">
        <v>0.5</v>
      </c>
      <c r="P187" s="9">
        <v>0.8</v>
      </c>
      <c r="Q187" s="9">
        <v>0.6</v>
      </c>
      <c r="R187" s="9">
        <v>1</v>
      </c>
      <c r="S187" s="9">
        <v>0.8</v>
      </c>
      <c r="T187" s="9">
        <v>3</v>
      </c>
      <c r="U187" s="9">
        <v>0</v>
      </c>
      <c r="V187" s="9">
        <v>0</v>
      </c>
      <c r="W187" s="10">
        <v>6.17</v>
      </c>
      <c r="X187" s="5">
        <f xml:space="preserve"> Z187 + AA187 + (AB187*G187) + (AC187*H187) + (AD187*I187) + (AE187*J187) + (AF187*(K187/100)) + (AG187*(L187/100))+ (AH187*(M187))</f>
        <v>6.1840000000000002</v>
      </c>
      <c r="Y187" s="1">
        <f>X187-W187</f>
        <v>1.4000000000000234E-2</v>
      </c>
      <c r="Z187">
        <f>U187</f>
        <v>0</v>
      </c>
      <c r="AA187">
        <f>V187</f>
        <v>0</v>
      </c>
      <c r="AB187">
        <f>N187</f>
        <v>1.2</v>
      </c>
      <c r="AC187">
        <f>O187</f>
        <v>0.5</v>
      </c>
      <c r="AD187">
        <f>P187</f>
        <v>0.8</v>
      </c>
      <c r="AE187">
        <f>Q187</f>
        <v>0.6</v>
      </c>
      <c r="AF187">
        <f>R187</f>
        <v>1</v>
      </c>
      <c r="AG187">
        <f>S187</f>
        <v>0.8</v>
      </c>
      <c r="AH187">
        <f t="shared" si="27"/>
        <v>3</v>
      </c>
    </row>
    <row r="188" spans="1:34" hidden="1" x14ac:dyDescent="0.3">
      <c r="A188" s="9" t="s">
        <v>176</v>
      </c>
      <c r="B188" s="9" t="s">
        <v>197</v>
      </c>
      <c r="C188" s="9" t="s">
        <v>196</v>
      </c>
      <c r="D188" s="9" t="s">
        <v>22</v>
      </c>
      <c r="E188" s="9">
        <v>0</v>
      </c>
      <c r="F188" s="9">
        <v>0</v>
      </c>
      <c r="G188" s="9">
        <v>1.8</v>
      </c>
      <c r="H188" s="9">
        <v>0</v>
      </c>
      <c r="I188" s="9">
        <v>1</v>
      </c>
      <c r="J188" s="9">
        <v>0</v>
      </c>
      <c r="K188" s="9">
        <v>22.4</v>
      </c>
      <c r="L188" s="9">
        <v>0</v>
      </c>
      <c r="M188" s="9">
        <v>1</v>
      </c>
      <c r="N188" s="9">
        <v>1.2</v>
      </c>
      <c r="O188" s="9">
        <v>0.5</v>
      </c>
      <c r="P188" s="9">
        <v>0.8</v>
      </c>
      <c r="Q188" s="9">
        <v>0.6</v>
      </c>
      <c r="R188" s="9">
        <v>1</v>
      </c>
      <c r="S188" s="9">
        <v>0.8</v>
      </c>
      <c r="T188" s="9">
        <v>3</v>
      </c>
      <c r="U188" s="9">
        <v>0</v>
      </c>
      <c r="V188" s="9">
        <v>0</v>
      </c>
      <c r="W188" s="9">
        <v>6.17</v>
      </c>
      <c r="X188">
        <f xml:space="preserve"> Z188 + AA188 + (AB188*G188) + (AC188*H188) + (AD188*I188) + (AE188*J188) + (AF188*(K188/100)) + (AG188*(L188/100))+ (AH188*(M188))</f>
        <v>6.1840000000000002</v>
      </c>
      <c r="Y188" s="1">
        <f>X188-W188</f>
        <v>1.4000000000000234E-2</v>
      </c>
      <c r="Z188">
        <f>U188</f>
        <v>0</v>
      </c>
      <c r="AA188">
        <f>V188</f>
        <v>0</v>
      </c>
      <c r="AB188">
        <f>N188</f>
        <v>1.2</v>
      </c>
      <c r="AC188">
        <f>O188</f>
        <v>0.5</v>
      </c>
      <c r="AD188">
        <f>P188</f>
        <v>0.8</v>
      </c>
      <c r="AE188">
        <f>Q188</f>
        <v>0.6</v>
      </c>
      <c r="AF188">
        <f>R188</f>
        <v>1</v>
      </c>
      <c r="AG188">
        <f>S188</f>
        <v>0.8</v>
      </c>
      <c r="AH188">
        <f t="shared" si="27"/>
        <v>3</v>
      </c>
    </row>
    <row r="189" spans="1:34" hidden="1" x14ac:dyDescent="0.3">
      <c r="A189" s="9" t="s">
        <v>176</v>
      </c>
      <c r="B189" s="9" t="s">
        <v>198</v>
      </c>
      <c r="C189" s="9" t="s">
        <v>199</v>
      </c>
      <c r="D189" s="9" t="s">
        <v>22</v>
      </c>
      <c r="E189" s="9">
        <v>0</v>
      </c>
      <c r="F189" s="9">
        <v>0</v>
      </c>
      <c r="G189" s="9">
        <v>1.8</v>
      </c>
      <c r="H189" s="9">
        <v>0</v>
      </c>
      <c r="I189" s="9">
        <v>1</v>
      </c>
      <c r="J189" s="9">
        <v>0</v>
      </c>
      <c r="K189" s="9">
        <v>22.4</v>
      </c>
      <c r="L189" s="9">
        <v>0</v>
      </c>
      <c r="M189" s="9">
        <v>1</v>
      </c>
      <c r="N189" s="9">
        <v>1.2</v>
      </c>
      <c r="O189" s="9">
        <v>0.5</v>
      </c>
      <c r="P189" s="9">
        <v>0.8</v>
      </c>
      <c r="Q189" s="9">
        <v>0.6</v>
      </c>
      <c r="R189" s="9">
        <v>1</v>
      </c>
      <c r="S189" s="9">
        <v>0.8</v>
      </c>
      <c r="T189" s="9">
        <v>3</v>
      </c>
      <c r="U189" s="9">
        <v>0</v>
      </c>
      <c r="V189" s="9">
        <v>0</v>
      </c>
      <c r="W189" s="9">
        <v>6.17</v>
      </c>
      <c r="X189">
        <f xml:space="preserve"> Z189 + AA189 + (AB189*G189) + (AC189*H189) + (AD189*I189) + (AE189*J189) + (AF189*(K189/100)) + (AG189*(L189/100))+ (AH189*(M189))</f>
        <v>6.1840000000000002</v>
      </c>
      <c r="Y189" s="1">
        <f>X189-W189</f>
        <v>1.4000000000000234E-2</v>
      </c>
      <c r="Z189">
        <f>U189</f>
        <v>0</v>
      </c>
      <c r="AA189">
        <f>V189</f>
        <v>0</v>
      </c>
      <c r="AB189">
        <f>N189</f>
        <v>1.2</v>
      </c>
      <c r="AC189">
        <f>O189</f>
        <v>0.5</v>
      </c>
      <c r="AD189">
        <f>P189</f>
        <v>0.8</v>
      </c>
      <c r="AE189">
        <f>Q189</f>
        <v>0.6</v>
      </c>
      <c r="AF189">
        <f>R189</f>
        <v>1</v>
      </c>
      <c r="AG189">
        <f>S189</f>
        <v>0.8</v>
      </c>
      <c r="AH189">
        <f t="shared" si="27"/>
        <v>3</v>
      </c>
    </row>
    <row r="190" spans="1:34" hidden="1" x14ac:dyDescent="0.3">
      <c r="A190" s="9" t="s">
        <v>176</v>
      </c>
      <c r="B190" s="9" t="s">
        <v>206</v>
      </c>
      <c r="C190" s="9" t="s">
        <v>207</v>
      </c>
      <c r="D190" s="9" t="s">
        <v>22</v>
      </c>
      <c r="E190" s="9">
        <v>0</v>
      </c>
      <c r="F190" s="9">
        <v>0</v>
      </c>
      <c r="G190" s="9">
        <v>1.8</v>
      </c>
      <c r="H190" s="9">
        <v>0</v>
      </c>
      <c r="I190" s="9">
        <v>1</v>
      </c>
      <c r="J190" s="9">
        <v>0</v>
      </c>
      <c r="K190" s="9">
        <v>22.4</v>
      </c>
      <c r="L190" s="9">
        <v>0</v>
      </c>
      <c r="M190" s="9">
        <v>1</v>
      </c>
      <c r="N190" s="9">
        <v>1.2</v>
      </c>
      <c r="O190" s="9">
        <v>0.5</v>
      </c>
      <c r="P190" s="9">
        <v>0.8</v>
      </c>
      <c r="Q190" s="9">
        <v>0.6</v>
      </c>
      <c r="R190" s="9">
        <v>1</v>
      </c>
      <c r="S190" s="9">
        <v>0.8</v>
      </c>
      <c r="T190" s="9">
        <v>3</v>
      </c>
      <c r="U190" s="9">
        <v>0</v>
      </c>
      <c r="V190" s="9">
        <v>0</v>
      </c>
      <c r="W190" s="9">
        <v>6.17</v>
      </c>
      <c r="X190">
        <f xml:space="preserve"> Z190 + AA190 + (AB190*G190) + (AC190*H190) + (AD190*I190) + (AE190*J190) + (AF190*(K190/100)) + (AG190*(L190/100))+ (AH190*(M190))</f>
        <v>6.1840000000000002</v>
      </c>
      <c r="Y190" s="1">
        <f>X190-W190</f>
        <v>1.4000000000000234E-2</v>
      </c>
      <c r="Z190">
        <f>U190</f>
        <v>0</v>
      </c>
      <c r="AA190">
        <f>V190</f>
        <v>0</v>
      </c>
      <c r="AB190">
        <f>N190</f>
        <v>1.2</v>
      </c>
      <c r="AC190">
        <f>O190</f>
        <v>0.5</v>
      </c>
      <c r="AD190">
        <f>P190</f>
        <v>0.8</v>
      </c>
      <c r="AE190">
        <f>Q190</f>
        <v>0.6</v>
      </c>
      <c r="AF190">
        <f>R190</f>
        <v>1</v>
      </c>
      <c r="AG190">
        <f>S190</f>
        <v>0.8</v>
      </c>
      <c r="AH190">
        <f t="shared" si="27"/>
        <v>3</v>
      </c>
    </row>
    <row r="191" spans="1:34" hidden="1" x14ac:dyDescent="0.3">
      <c r="A191" s="9" t="s">
        <v>176</v>
      </c>
      <c r="B191" s="9" t="s">
        <v>208</v>
      </c>
      <c r="C191" s="9" t="s">
        <v>209</v>
      </c>
      <c r="D191" s="9" t="s">
        <v>22</v>
      </c>
      <c r="E191" s="9">
        <v>0</v>
      </c>
      <c r="F191" s="9">
        <v>0</v>
      </c>
      <c r="G191" s="9">
        <v>1.8</v>
      </c>
      <c r="H191" s="9">
        <v>0</v>
      </c>
      <c r="I191" s="9">
        <v>1</v>
      </c>
      <c r="J191" s="9">
        <v>0</v>
      </c>
      <c r="K191" s="9">
        <v>22.4</v>
      </c>
      <c r="L191" s="9">
        <v>0</v>
      </c>
      <c r="M191" s="9">
        <v>1</v>
      </c>
      <c r="N191" s="9">
        <v>1.2</v>
      </c>
      <c r="O191" s="9">
        <v>0.5</v>
      </c>
      <c r="P191" s="9">
        <v>0.8</v>
      </c>
      <c r="Q191" s="9">
        <v>0.6</v>
      </c>
      <c r="R191" s="9">
        <v>1</v>
      </c>
      <c r="S191" s="9">
        <v>0.8</v>
      </c>
      <c r="T191" s="9">
        <v>3</v>
      </c>
      <c r="U191" s="9">
        <v>0</v>
      </c>
      <c r="V191" s="9">
        <v>0</v>
      </c>
      <c r="W191" s="9">
        <v>6.17</v>
      </c>
      <c r="X191">
        <f xml:space="preserve"> Z191 + AA191 + (AB191*G191) + (AC191*H191) + (AD191*I191) + (AE191*J191) + (AF191*(K191/100)) + (AG191*(L191/100))+ (AH191*(M191))</f>
        <v>6.1840000000000002</v>
      </c>
      <c r="Y191" s="1">
        <f>X191-W191</f>
        <v>1.4000000000000234E-2</v>
      </c>
      <c r="Z191">
        <f>U191</f>
        <v>0</v>
      </c>
      <c r="AA191">
        <f>V191</f>
        <v>0</v>
      </c>
      <c r="AB191">
        <f>N191</f>
        <v>1.2</v>
      </c>
      <c r="AC191">
        <f>O191</f>
        <v>0.5</v>
      </c>
      <c r="AD191">
        <f>P191</f>
        <v>0.8</v>
      </c>
      <c r="AE191">
        <f>Q191</f>
        <v>0.6</v>
      </c>
      <c r="AF191">
        <f>R191</f>
        <v>1</v>
      </c>
      <c r="AG191">
        <f>S191</f>
        <v>0.8</v>
      </c>
      <c r="AH191">
        <f t="shared" si="27"/>
        <v>3</v>
      </c>
    </row>
    <row r="192" spans="1:34" hidden="1" x14ac:dyDescent="0.3">
      <c r="A192" s="9" t="s">
        <v>176</v>
      </c>
      <c r="B192" s="9" t="s">
        <v>212</v>
      </c>
      <c r="C192" s="9" t="s">
        <v>213</v>
      </c>
      <c r="D192" s="9" t="s">
        <v>22</v>
      </c>
      <c r="E192" s="9">
        <v>0</v>
      </c>
      <c r="F192" s="9">
        <v>0</v>
      </c>
      <c r="G192" s="9">
        <v>1.8</v>
      </c>
      <c r="H192" s="9">
        <v>0</v>
      </c>
      <c r="I192" s="9">
        <v>1</v>
      </c>
      <c r="J192" s="9">
        <v>0</v>
      </c>
      <c r="K192" s="9">
        <v>22.4</v>
      </c>
      <c r="L192" s="9">
        <v>0</v>
      </c>
      <c r="M192" s="9">
        <v>1</v>
      </c>
      <c r="N192" s="9">
        <v>1.2</v>
      </c>
      <c r="O192" s="9">
        <v>0.5</v>
      </c>
      <c r="P192" s="9">
        <v>0.8</v>
      </c>
      <c r="Q192" s="9">
        <v>0.6</v>
      </c>
      <c r="R192" s="9">
        <v>1</v>
      </c>
      <c r="S192" s="9">
        <v>0.8</v>
      </c>
      <c r="T192" s="9">
        <v>3</v>
      </c>
      <c r="U192" s="9">
        <v>0</v>
      </c>
      <c r="V192" s="9">
        <v>0</v>
      </c>
      <c r="W192" s="9">
        <v>6.17</v>
      </c>
      <c r="X192">
        <f xml:space="preserve"> Z192 + AA192 + (AB192*G192) + (AC192*H192) + (AD192*I192) + (AE192*J192) + (AF192*(K192/100)) + (AG192*(L192/100))+ (AH192*(M192))</f>
        <v>6.1840000000000002</v>
      </c>
      <c r="Y192" s="1">
        <f>X192-W192</f>
        <v>1.4000000000000234E-2</v>
      </c>
      <c r="Z192">
        <f>U192</f>
        <v>0</v>
      </c>
      <c r="AA192">
        <f>V192</f>
        <v>0</v>
      </c>
      <c r="AB192">
        <f>N192</f>
        <v>1.2</v>
      </c>
      <c r="AC192">
        <f>O192</f>
        <v>0.5</v>
      </c>
      <c r="AD192">
        <f>P192</f>
        <v>0.8</v>
      </c>
      <c r="AE192">
        <f>Q192</f>
        <v>0.6</v>
      </c>
      <c r="AF192">
        <f>R192</f>
        <v>1</v>
      </c>
      <c r="AG192">
        <f>S192</f>
        <v>0.8</v>
      </c>
      <c r="AH192">
        <f t="shared" si="27"/>
        <v>3</v>
      </c>
    </row>
    <row r="193" spans="1:34" hidden="1" x14ac:dyDescent="0.3">
      <c r="A193" s="9" t="s">
        <v>176</v>
      </c>
      <c r="B193" s="9" t="s">
        <v>214</v>
      </c>
      <c r="C193" s="9" t="s">
        <v>215</v>
      </c>
      <c r="D193" s="9" t="s">
        <v>22</v>
      </c>
      <c r="E193" s="9">
        <v>0</v>
      </c>
      <c r="F193" s="9">
        <v>0</v>
      </c>
      <c r="G193" s="9">
        <v>1.8</v>
      </c>
      <c r="H193" s="9">
        <v>0</v>
      </c>
      <c r="I193" s="9">
        <v>1</v>
      </c>
      <c r="J193" s="9">
        <v>0</v>
      </c>
      <c r="K193" s="9">
        <v>22.4</v>
      </c>
      <c r="L193" s="9">
        <v>0</v>
      </c>
      <c r="M193" s="9">
        <v>1</v>
      </c>
      <c r="N193" s="9">
        <v>1.2</v>
      </c>
      <c r="O193" s="9">
        <v>0.5</v>
      </c>
      <c r="P193" s="9">
        <v>0.8</v>
      </c>
      <c r="Q193" s="9">
        <v>0.6</v>
      </c>
      <c r="R193" s="9">
        <v>1</v>
      </c>
      <c r="S193" s="9">
        <v>0.8</v>
      </c>
      <c r="T193" s="9">
        <v>3</v>
      </c>
      <c r="U193" s="9">
        <v>0</v>
      </c>
      <c r="V193" s="9">
        <v>0</v>
      </c>
      <c r="W193" s="9">
        <v>6.17</v>
      </c>
      <c r="X193">
        <f xml:space="preserve"> Z193 + AA193 + (AB193*G193) + (AC193*H193) + (AD193*I193) + (AE193*J193) + (AF193*(K193/100)) + (AG193*(L193/100))+ (AH193*(M193))</f>
        <v>6.1840000000000002</v>
      </c>
      <c r="Y193" s="1">
        <f>X193-W193</f>
        <v>1.4000000000000234E-2</v>
      </c>
      <c r="Z193">
        <f>U193</f>
        <v>0</v>
      </c>
      <c r="AA193">
        <f>V193</f>
        <v>0</v>
      </c>
      <c r="AB193">
        <f>N193</f>
        <v>1.2</v>
      </c>
      <c r="AC193">
        <f>O193</f>
        <v>0.5</v>
      </c>
      <c r="AD193">
        <f>P193</f>
        <v>0.8</v>
      </c>
      <c r="AE193">
        <f>Q193</f>
        <v>0.6</v>
      </c>
      <c r="AF193">
        <f>R193</f>
        <v>1</v>
      </c>
      <c r="AG193">
        <f>S193</f>
        <v>0.8</v>
      </c>
      <c r="AH193">
        <f t="shared" si="27"/>
        <v>3</v>
      </c>
    </row>
    <row r="194" spans="1:34" hidden="1" x14ac:dyDescent="0.3">
      <c r="A194" s="9" t="s">
        <v>221</v>
      </c>
      <c r="B194" s="9" t="s">
        <v>246</v>
      </c>
      <c r="C194" s="9" t="s">
        <v>247</v>
      </c>
      <c r="D194" s="9" t="s">
        <v>22</v>
      </c>
      <c r="E194" s="9">
        <v>0</v>
      </c>
      <c r="F194" s="9">
        <v>0</v>
      </c>
      <c r="G194" s="9">
        <v>0.8</v>
      </c>
      <c r="H194" s="9">
        <v>3.26</v>
      </c>
      <c r="I194" s="9">
        <v>1</v>
      </c>
      <c r="J194" s="9">
        <v>2</v>
      </c>
      <c r="K194" s="9">
        <v>18.399999999999999</v>
      </c>
      <c r="L194" s="9">
        <v>26</v>
      </c>
      <c r="M194" s="9">
        <v>0.4</v>
      </c>
      <c r="N194" s="9">
        <v>1.2</v>
      </c>
      <c r="O194" s="9">
        <v>0.5</v>
      </c>
      <c r="P194" s="9">
        <v>0.8</v>
      </c>
      <c r="Q194" s="9">
        <v>0.6</v>
      </c>
      <c r="R194" s="9">
        <v>1</v>
      </c>
      <c r="S194" s="9">
        <v>0.8</v>
      </c>
      <c r="T194" s="9">
        <v>3</v>
      </c>
      <c r="U194" s="9">
        <v>0</v>
      </c>
      <c r="V194" s="9">
        <v>0</v>
      </c>
      <c r="W194" s="9">
        <v>6.17</v>
      </c>
      <c r="X194">
        <f xml:space="preserve"> Z194 + AA194 + (AB194*G194) + (AC194*H194) + (AD194*I194) + (AE194*J194) + (AF194*(K194/100)) + (AG194*(L194/100))+ (AH194*(M194))</f>
        <v>6.1820000000000004</v>
      </c>
      <c r="Y194" s="1">
        <f>X194-W194</f>
        <v>1.2000000000000455E-2</v>
      </c>
      <c r="Z194">
        <f>U194</f>
        <v>0</v>
      </c>
      <c r="AA194">
        <f>V194</f>
        <v>0</v>
      </c>
      <c r="AB194">
        <f>N194</f>
        <v>1.2</v>
      </c>
      <c r="AC194">
        <f>O194</f>
        <v>0.5</v>
      </c>
      <c r="AD194">
        <f>P194</f>
        <v>0.8</v>
      </c>
      <c r="AE194">
        <f>Q194</f>
        <v>0.6</v>
      </c>
      <c r="AF194">
        <f>R194</f>
        <v>1</v>
      </c>
      <c r="AG194">
        <f>S194</f>
        <v>0.8</v>
      </c>
      <c r="AH194">
        <f t="shared" si="27"/>
        <v>3</v>
      </c>
    </row>
    <row r="195" spans="1:34" hidden="1" x14ac:dyDescent="0.3">
      <c r="A195" s="9" t="s">
        <v>221</v>
      </c>
      <c r="B195" s="9" t="s">
        <v>316</v>
      </c>
      <c r="C195" s="9" t="s">
        <v>317</v>
      </c>
      <c r="D195" s="9" t="s">
        <v>22</v>
      </c>
      <c r="E195" s="9">
        <v>0</v>
      </c>
      <c r="F195" s="9">
        <v>0</v>
      </c>
      <c r="G195" s="9">
        <v>0.8</v>
      </c>
      <c r="H195" s="9">
        <v>1.79</v>
      </c>
      <c r="I195" s="9">
        <v>1</v>
      </c>
      <c r="J195" s="9">
        <v>0</v>
      </c>
      <c r="K195" s="9">
        <v>52.4</v>
      </c>
      <c r="L195" s="9">
        <v>0</v>
      </c>
      <c r="M195" s="9">
        <v>1</v>
      </c>
      <c r="N195" s="9">
        <v>1.2</v>
      </c>
      <c r="O195" s="9">
        <v>0.5</v>
      </c>
      <c r="P195" s="9">
        <v>0.8</v>
      </c>
      <c r="Q195" s="9">
        <v>0.6</v>
      </c>
      <c r="R195" s="9">
        <v>1</v>
      </c>
      <c r="S195" s="9">
        <v>0.8</v>
      </c>
      <c r="T195" s="9">
        <v>3</v>
      </c>
      <c r="U195" s="9">
        <v>0</v>
      </c>
      <c r="V195" s="9">
        <v>0</v>
      </c>
      <c r="W195" s="9">
        <v>6.17</v>
      </c>
      <c r="X195">
        <f xml:space="preserve"> Z195 + AA195 + (AB195*G195) + (AC195*H195) + (AD195*I195) + (AE195*J195) + (AF195*(K195/100)) + (AG195*(L195/100))+ (AH195*(M195))</f>
        <v>6.1790000000000003</v>
      </c>
      <c r="Y195" s="1">
        <f>X195-W195</f>
        <v>9.0000000000003411E-3</v>
      </c>
      <c r="Z195">
        <f>U195</f>
        <v>0</v>
      </c>
      <c r="AA195">
        <f>V195</f>
        <v>0</v>
      </c>
      <c r="AB195">
        <f>N195</f>
        <v>1.2</v>
      </c>
      <c r="AC195">
        <f>O195</f>
        <v>0.5</v>
      </c>
      <c r="AD195">
        <f>P195</f>
        <v>0.8</v>
      </c>
      <c r="AE195">
        <f>Q195</f>
        <v>0.6</v>
      </c>
      <c r="AF195">
        <f>R195</f>
        <v>1</v>
      </c>
      <c r="AG195">
        <f>S195</f>
        <v>0.8</v>
      </c>
      <c r="AH195">
        <f t="shared" ref="AH195:AH258" si="28">T195</f>
        <v>3</v>
      </c>
    </row>
    <row r="196" spans="1:34" hidden="1" x14ac:dyDescent="0.3">
      <c r="A196" s="9" t="s">
        <v>221</v>
      </c>
      <c r="B196" s="9" t="s">
        <v>282</v>
      </c>
      <c r="C196" s="9" t="s">
        <v>283</v>
      </c>
      <c r="D196" s="9" t="s">
        <v>22</v>
      </c>
      <c r="E196" s="9">
        <v>0</v>
      </c>
      <c r="F196" s="9">
        <v>0</v>
      </c>
      <c r="G196" s="9">
        <v>0.8</v>
      </c>
      <c r="H196" s="9">
        <v>0.69</v>
      </c>
      <c r="I196" s="9">
        <v>2</v>
      </c>
      <c r="J196" s="9">
        <v>0</v>
      </c>
      <c r="K196" s="9">
        <v>26.7</v>
      </c>
      <c r="L196" s="9">
        <v>0</v>
      </c>
      <c r="M196" s="9">
        <v>1</v>
      </c>
      <c r="N196" s="9">
        <v>1.2</v>
      </c>
      <c r="O196" s="9">
        <v>0.5</v>
      </c>
      <c r="P196" s="9">
        <v>0.8</v>
      </c>
      <c r="Q196" s="9">
        <v>0.6</v>
      </c>
      <c r="R196" s="9">
        <v>1</v>
      </c>
      <c r="S196" s="9">
        <v>0.8</v>
      </c>
      <c r="T196" s="9">
        <v>3</v>
      </c>
      <c r="U196" s="9">
        <v>0</v>
      </c>
      <c r="V196" s="9">
        <v>0</v>
      </c>
      <c r="W196" s="9">
        <v>6.16</v>
      </c>
      <c r="X196">
        <f xml:space="preserve"> Z196 + AA196 + (AB196*G196) + (AC196*H196) + (AD196*I196) + (AE196*J196) + (AF196*(K196/100)) + (AG196*(L196/100))+ (AH196*(M196))</f>
        <v>6.1720000000000006</v>
      </c>
      <c r="Y196" s="1">
        <f>X196-W196</f>
        <v>1.2000000000000455E-2</v>
      </c>
      <c r="Z196">
        <f>U196</f>
        <v>0</v>
      </c>
      <c r="AA196">
        <f>V196</f>
        <v>0</v>
      </c>
      <c r="AB196">
        <f>N196</f>
        <v>1.2</v>
      </c>
      <c r="AC196">
        <f>O196</f>
        <v>0.5</v>
      </c>
      <c r="AD196">
        <f>P196</f>
        <v>0.8</v>
      </c>
      <c r="AE196">
        <f>Q196</f>
        <v>0.6</v>
      </c>
      <c r="AF196">
        <f>R196</f>
        <v>1</v>
      </c>
      <c r="AG196">
        <f>S196</f>
        <v>0.8</v>
      </c>
      <c r="AH196">
        <f t="shared" si="28"/>
        <v>3</v>
      </c>
    </row>
    <row r="197" spans="1:34" hidden="1" x14ac:dyDescent="0.3">
      <c r="A197" s="9" t="s">
        <v>221</v>
      </c>
      <c r="B197" s="9" t="s">
        <v>244</v>
      </c>
      <c r="C197" s="9" t="s">
        <v>245</v>
      </c>
      <c r="D197" s="9" t="s">
        <v>22</v>
      </c>
      <c r="E197" s="9">
        <v>0</v>
      </c>
      <c r="F197" s="9">
        <v>0</v>
      </c>
      <c r="G197" s="9">
        <v>1.2</v>
      </c>
      <c r="H197" s="9">
        <v>0.69</v>
      </c>
      <c r="I197" s="9">
        <v>3</v>
      </c>
      <c r="J197" s="9">
        <v>0</v>
      </c>
      <c r="K197" s="9">
        <v>44.6</v>
      </c>
      <c r="L197" s="9">
        <v>0</v>
      </c>
      <c r="M197" s="9">
        <v>0.5</v>
      </c>
      <c r="N197" s="9">
        <v>1.2</v>
      </c>
      <c r="O197" s="9">
        <v>0.5</v>
      </c>
      <c r="P197" s="9">
        <v>0.8</v>
      </c>
      <c r="Q197" s="9">
        <v>0.6</v>
      </c>
      <c r="R197" s="9">
        <v>1</v>
      </c>
      <c r="S197" s="9">
        <v>0.8</v>
      </c>
      <c r="T197" s="9">
        <v>3</v>
      </c>
      <c r="U197" s="9">
        <v>0</v>
      </c>
      <c r="V197" s="9">
        <v>0</v>
      </c>
      <c r="W197" s="9">
        <v>6.11</v>
      </c>
      <c r="X197">
        <f xml:space="preserve"> Z197 + AA197 + (AB197*G197) + (AC197*H197) + (AD197*I197) + (AE197*J197) + (AF197*(K197/100)) + (AG197*(L197/100))+ (AH197*(M197))</f>
        <v>6.1310000000000002</v>
      </c>
      <c r="Y197" s="1">
        <f>X197-W197</f>
        <v>2.0999999999999908E-2</v>
      </c>
      <c r="Z197">
        <f>U197</f>
        <v>0</v>
      </c>
      <c r="AA197">
        <f>V197</f>
        <v>0</v>
      </c>
      <c r="AB197">
        <f>N197</f>
        <v>1.2</v>
      </c>
      <c r="AC197">
        <f>O197</f>
        <v>0.5</v>
      </c>
      <c r="AD197">
        <f>P197</f>
        <v>0.8</v>
      </c>
      <c r="AE197">
        <f>Q197</f>
        <v>0.6</v>
      </c>
      <c r="AF197">
        <f>R197</f>
        <v>1</v>
      </c>
      <c r="AG197">
        <f>S197</f>
        <v>0.8</v>
      </c>
      <c r="AH197">
        <f t="shared" si="28"/>
        <v>3</v>
      </c>
    </row>
    <row r="198" spans="1:34" hidden="1" x14ac:dyDescent="0.3">
      <c r="A198" s="9" t="s">
        <v>221</v>
      </c>
      <c r="B198" s="9" t="s">
        <v>256</v>
      </c>
      <c r="C198" s="9" t="s">
        <v>257</v>
      </c>
      <c r="D198" s="9" t="s">
        <v>22</v>
      </c>
      <c r="E198" s="9">
        <v>0</v>
      </c>
      <c r="F198" s="9">
        <v>0</v>
      </c>
      <c r="G198" s="9">
        <v>1.6</v>
      </c>
      <c r="H198" s="9">
        <v>1.61</v>
      </c>
      <c r="I198" s="9">
        <v>0</v>
      </c>
      <c r="J198" s="9">
        <v>2</v>
      </c>
      <c r="K198" s="9">
        <v>0</v>
      </c>
      <c r="L198" s="9">
        <v>24.1</v>
      </c>
      <c r="M198" s="9">
        <v>0.66700000000000004</v>
      </c>
      <c r="N198" s="9">
        <v>1.2</v>
      </c>
      <c r="O198" s="9">
        <v>0.5</v>
      </c>
      <c r="P198" s="9">
        <v>0.8</v>
      </c>
      <c r="Q198" s="9">
        <v>0.6</v>
      </c>
      <c r="R198" s="9">
        <v>1</v>
      </c>
      <c r="S198" s="9">
        <v>0.8</v>
      </c>
      <c r="T198" s="9">
        <v>3</v>
      </c>
      <c r="U198" s="9">
        <v>0</v>
      </c>
      <c r="V198" s="9">
        <v>0</v>
      </c>
      <c r="W198" s="9">
        <v>6.09</v>
      </c>
      <c r="X198">
        <f xml:space="preserve"> Z198 + AA198 + (AB198*G198) + (AC198*H198) + (AD198*I198) + (AE198*J198) + (AF198*(K198/100)) + (AG198*(L198/100))+ (AH198*(M198))</f>
        <v>6.1188000000000002</v>
      </c>
      <c r="Y198" s="1">
        <f>X198-W198</f>
        <v>2.8800000000000381E-2</v>
      </c>
      <c r="Z198">
        <f>U198</f>
        <v>0</v>
      </c>
      <c r="AA198">
        <f>V198</f>
        <v>0</v>
      </c>
      <c r="AB198">
        <f>N198</f>
        <v>1.2</v>
      </c>
      <c r="AC198">
        <f>O198</f>
        <v>0.5</v>
      </c>
      <c r="AD198">
        <f>P198</f>
        <v>0.8</v>
      </c>
      <c r="AE198">
        <f>Q198</f>
        <v>0.6</v>
      </c>
      <c r="AF198">
        <f>R198</f>
        <v>1</v>
      </c>
      <c r="AG198">
        <f>S198</f>
        <v>0.8</v>
      </c>
      <c r="AH198">
        <f t="shared" si="28"/>
        <v>3</v>
      </c>
    </row>
    <row r="199" spans="1:34" hidden="1" x14ac:dyDescent="0.3">
      <c r="A199" s="9" t="s">
        <v>221</v>
      </c>
      <c r="B199" s="9" t="s">
        <v>378</v>
      </c>
      <c r="C199" s="9" t="s">
        <v>379</v>
      </c>
      <c r="D199" s="9" t="s">
        <v>22</v>
      </c>
      <c r="E199" s="9">
        <v>0</v>
      </c>
      <c r="F199" s="9">
        <v>0</v>
      </c>
      <c r="G199" s="9">
        <v>0.8</v>
      </c>
      <c r="H199" s="9">
        <v>4.4400000000000004</v>
      </c>
      <c r="I199" s="9">
        <v>1</v>
      </c>
      <c r="J199" s="9">
        <v>0</v>
      </c>
      <c r="K199" s="9">
        <v>60.9</v>
      </c>
      <c r="L199" s="9">
        <v>0</v>
      </c>
      <c r="M199" s="9">
        <v>0.5</v>
      </c>
      <c r="N199" s="9">
        <v>1.2</v>
      </c>
      <c r="O199" s="9">
        <v>0.5</v>
      </c>
      <c r="P199" s="9">
        <v>0.8</v>
      </c>
      <c r="Q199" s="9">
        <v>0.6</v>
      </c>
      <c r="R199" s="9">
        <v>1</v>
      </c>
      <c r="S199" s="9">
        <v>0.8</v>
      </c>
      <c r="T199" s="9">
        <v>3</v>
      </c>
      <c r="U199" s="9">
        <v>0</v>
      </c>
      <c r="V199" s="9">
        <v>0</v>
      </c>
      <c r="W199" s="10">
        <v>6.07</v>
      </c>
      <c r="X199" s="5">
        <f xml:space="preserve"> Z199 + AA199 + (AB199*G199) + (AC199*H199) + (AD199*I199) + (AE199*J199) + (AF199*(K199/100)) + (AG199*(L199/100))+ (AH199*(M199))</f>
        <v>6.0890000000000004</v>
      </c>
      <c r="Y199" s="1">
        <f>X199-W199</f>
        <v>1.9000000000000128E-2</v>
      </c>
      <c r="Z199">
        <f>U199</f>
        <v>0</v>
      </c>
      <c r="AA199">
        <f>V199</f>
        <v>0</v>
      </c>
      <c r="AB199">
        <f>N199</f>
        <v>1.2</v>
      </c>
      <c r="AC199">
        <f>O199</f>
        <v>0.5</v>
      </c>
      <c r="AD199">
        <f>P199</f>
        <v>0.8</v>
      </c>
      <c r="AE199">
        <f>Q199</f>
        <v>0.6</v>
      </c>
      <c r="AF199">
        <f>R199</f>
        <v>1</v>
      </c>
      <c r="AG199">
        <f>S199</f>
        <v>0.8</v>
      </c>
      <c r="AH199">
        <f t="shared" si="28"/>
        <v>3</v>
      </c>
    </row>
    <row r="200" spans="1:34" hidden="1" x14ac:dyDescent="0.3">
      <c r="A200" s="9" t="s">
        <v>221</v>
      </c>
      <c r="B200" s="9" t="s">
        <v>272</v>
      </c>
      <c r="C200" s="9" t="s">
        <v>273</v>
      </c>
      <c r="D200" s="9" t="s">
        <v>22</v>
      </c>
      <c r="E200" s="9">
        <v>0</v>
      </c>
      <c r="F200" s="9">
        <v>0</v>
      </c>
      <c r="G200" s="9">
        <v>2</v>
      </c>
      <c r="H200" s="9">
        <v>3.04</v>
      </c>
      <c r="I200" s="9">
        <v>0</v>
      </c>
      <c r="J200" s="9">
        <v>2</v>
      </c>
      <c r="K200" s="9">
        <v>0</v>
      </c>
      <c r="L200" s="9">
        <v>26.4</v>
      </c>
      <c r="M200" s="9">
        <v>0.25</v>
      </c>
      <c r="N200" s="9">
        <v>1.2</v>
      </c>
      <c r="O200" s="9">
        <v>0.5</v>
      </c>
      <c r="P200" s="9">
        <v>0.8</v>
      </c>
      <c r="Q200" s="9">
        <v>0.6</v>
      </c>
      <c r="R200" s="9">
        <v>1</v>
      </c>
      <c r="S200" s="9">
        <v>0.8</v>
      </c>
      <c r="T200" s="9">
        <v>3</v>
      </c>
      <c r="U200" s="9">
        <v>0</v>
      </c>
      <c r="V200" s="9">
        <v>0</v>
      </c>
      <c r="W200" s="9">
        <v>6.05</v>
      </c>
      <c r="X200">
        <f xml:space="preserve"> Z200 + AA200 + (AB200*G200) + (AC200*H200) + (AD200*I200) + (AE200*J200) + (AF200*(K200/100)) + (AG200*(L200/100))+ (AH200*(M200))</f>
        <v>6.0811999999999999</v>
      </c>
      <c r="Y200" s="1">
        <f>X200-W200</f>
        <v>3.1200000000000117E-2</v>
      </c>
      <c r="Z200">
        <f>U200</f>
        <v>0</v>
      </c>
      <c r="AA200">
        <f>V200</f>
        <v>0</v>
      </c>
      <c r="AB200">
        <f>N200</f>
        <v>1.2</v>
      </c>
      <c r="AC200">
        <f>O200</f>
        <v>0.5</v>
      </c>
      <c r="AD200">
        <f>P200</f>
        <v>0.8</v>
      </c>
      <c r="AE200">
        <f>Q200</f>
        <v>0.6</v>
      </c>
      <c r="AF200">
        <f>R200</f>
        <v>1</v>
      </c>
      <c r="AG200">
        <f>S200</f>
        <v>0.8</v>
      </c>
      <c r="AH200">
        <f t="shared" si="28"/>
        <v>3</v>
      </c>
    </row>
    <row r="201" spans="1:34" hidden="1" x14ac:dyDescent="0.3">
      <c r="A201" s="9" t="s">
        <v>54</v>
      </c>
      <c r="B201" s="9" t="s">
        <v>74</v>
      </c>
      <c r="C201" s="9" t="s">
        <v>75</v>
      </c>
      <c r="D201" s="9" t="s">
        <v>22</v>
      </c>
      <c r="E201" s="9">
        <v>0</v>
      </c>
      <c r="F201" s="9">
        <v>0</v>
      </c>
      <c r="G201" s="9">
        <v>1.8</v>
      </c>
      <c r="H201" s="9">
        <v>1.39</v>
      </c>
      <c r="I201" s="9">
        <v>1</v>
      </c>
      <c r="J201" s="9">
        <v>2</v>
      </c>
      <c r="K201" s="9">
        <v>29.5</v>
      </c>
      <c r="L201" s="9">
        <v>38.700000000000003</v>
      </c>
      <c r="M201" s="9">
        <v>0.2</v>
      </c>
      <c r="N201" s="9">
        <v>1.2</v>
      </c>
      <c r="O201" s="9">
        <v>0.5</v>
      </c>
      <c r="P201" s="9">
        <v>0.8</v>
      </c>
      <c r="Q201" s="9">
        <v>0.6</v>
      </c>
      <c r="R201" s="9">
        <v>1</v>
      </c>
      <c r="S201" s="9">
        <v>0.8</v>
      </c>
      <c r="T201" s="9">
        <v>3</v>
      </c>
      <c r="U201" s="9">
        <v>0</v>
      </c>
      <c r="V201" s="9">
        <v>0</v>
      </c>
      <c r="W201" s="9">
        <v>6.04</v>
      </c>
      <c r="X201">
        <f xml:space="preserve"> Z201 + AA201 + (AB201*G201) + (AC201*H201) + (AD201*I201) + (AE201*J201) + (AF201*(K201/100)) + (AG201*(L201/100))+ (AH201*(M201))</f>
        <v>6.0595999999999997</v>
      </c>
      <c r="Y201" s="1">
        <f>X201-W201</f>
        <v>1.9599999999999618E-2</v>
      </c>
      <c r="Z201">
        <f>U201</f>
        <v>0</v>
      </c>
      <c r="AA201">
        <f>V201</f>
        <v>0</v>
      </c>
      <c r="AB201">
        <f>N201</f>
        <v>1.2</v>
      </c>
      <c r="AC201">
        <f>O201</f>
        <v>0.5</v>
      </c>
      <c r="AD201">
        <f>P201</f>
        <v>0.8</v>
      </c>
      <c r="AE201">
        <f>Q201</f>
        <v>0.6</v>
      </c>
      <c r="AF201">
        <f>R201</f>
        <v>1</v>
      </c>
      <c r="AG201">
        <f>S201</f>
        <v>0.8</v>
      </c>
      <c r="AH201">
        <f t="shared" si="28"/>
        <v>3</v>
      </c>
    </row>
    <row r="202" spans="1:34" x14ac:dyDescent="0.3">
      <c r="A202" s="9" t="s">
        <v>398</v>
      </c>
      <c r="B202" s="9" t="s">
        <v>500</v>
      </c>
      <c r="C202" s="9" t="s">
        <v>501</v>
      </c>
      <c r="D202" s="9" t="s">
        <v>22</v>
      </c>
      <c r="E202" s="9">
        <v>0</v>
      </c>
      <c r="F202" s="9">
        <v>0</v>
      </c>
      <c r="G202" s="9">
        <v>0.4</v>
      </c>
      <c r="H202" s="9">
        <v>4.34</v>
      </c>
      <c r="I202" s="9">
        <v>0</v>
      </c>
      <c r="J202" s="9">
        <v>4</v>
      </c>
      <c r="K202" s="9">
        <v>0</v>
      </c>
      <c r="L202" s="9">
        <v>30.9</v>
      </c>
      <c r="M202" s="9">
        <v>0.25</v>
      </c>
      <c r="N202" s="9">
        <v>1.2</v>
      </c>
      <c r="O202" s="9">
        <v>0.5</v>
      </c>
      <c r="P202" s="9">
        <v>0.8</v>
      </c>
      <c r="Q202" s="9">
        <v>0.6</v>
      </c>
      <c r="R202" s="9">
        <v>1</v>
      </c>
      <c r="S202" s="9">
        <v>0.8</v>
      </c>
      <c r="T202" s="9">
        <v>3</v>
      </c>
      <c r="U202" s="9">
        <v>0</v>
      </c>
      <c r="V202" s="9">
        <v>0</v>
      </c>
      <c r="W202" s="9">
        <v>6.04</v>
      </c>
      <c r="X202">
        <f xml:space="preserve"> Z202 + AA202 + (AB202*G202) + (AC202*H202) + (AD202*I202) + (AE202*J202) + (AF202*(K202/100)) + (AG202*(L202/100))+ (AH202*(M202))</f>
        <v>6.0472000000000001</v>
      </c>
      <c r="Y202" s="1">
        <f>X202-W202</f>
        <v>7.2000000000000952E-3</v>
      </c>
      <c r="Z202">
        <f>U202</f>
        <v>0</v>
      </c>
      <c r="AA202">
        <f>V202</f>
        <v>0</v>
      </c>
      <c r="AB202">
        <f>N202</f>
        <v>1.2</v>
      </c>
      <c r="AC202">
        <f>O202</f>
        <v>0.5</v>
      </c>
      <c r="AD202">
        <f>P202</f>
        <v>0.8</v>
      </c>
      <c r="AE202">
        <f>Q202</f>
        <v>0.6</v>
      </c>
      <c r="AF202">
        <f>R202</f>
        <v>1</v>
      </c>
      <c r="AG202">
        <f>S202</f>
        <v>0.8</v>
      </c>
      <c r="AH202">
        <f t="shared" si="28"/>
        <v>3</v>
      </c>
    </row>
    <row r="203" spans="1:34" hidden="1" x14ac:dyDescent="0.3">
      <c r="A203" s="9" t="s">
        <v>221</v>
      </c>
      <c r="B203" s="9" t="s">
        <v>342</v>
      </c>
      <c r="C203" s="9" t="s">
        <v>343</v>
      </c>
      <c r="D203" s="9" t="s">
        <v>22</v>
      </c>
      <c r="E203" s="9">
        <v>0</v>
      </c>
      <c r="F203" s="9">
        <v>0</v>
      </c>
      <c r="G203" s="9">
        <v>0.8</v>
      </c>
      <c r="H203" s="9">
        <v>3.71</v>
      </c>
      <c r="I203" s="9">
        <v>2</v>
      </c>
      <c r="J203" s="9">
        <v>0</v>
      </c>
      <c r="K203" s="9">
        <v>40.700000000000003</v>
      </c>
      <c r="L203" s="9">
        <v>0</v>
      </c>
      <c r="M203" s="9">
        <v>0.4</v>
      </c>
      <c r="N203" s="9">
        <v>1.2</v>
      </c>
      <c r="O203" s="9">
        <v>0.5</v>
      </c>
      <c r="P203" s="9">
        <v>0.8</v>
      </c>
      <c r="Q203" s="9">
        <v>0.6</v>
      </c>
      <c r="R203" s="9">
        <v>1</v>
      </c>
      <c r="S203" s="9">
        <v>0.8</v>
      </c>
      <c r="T203" s="9">
        <v>3</v>
      </c>
      <c r="U203" s="9">
        <v>0</v>
      </c>
      <c r="V203" s="9">
        <v>0</v>
      </c>
      <c r="W203" s="10">
        <v>6.01</v>
      </c>
      <c r="X203" s="5">
        <f xml:space="preserve"> Z203 + AA203 + (AB203*G203) + (AC203*H203) + (AD203*I203) + (AE203*J203) + (AF203*(K203/100)) + (AG203*(L203/100))+ (AH203*(M203))</f>
        <v>6.0220000000000002</v>
      </c>
      <c r="Y203" s="1">
        <f>X203-W203</f>
        <v>1.2000000000000455E-2</v>
      </c>
      <c r="Z203">
        <f>U203</f>
        <v>0</v>
      </c>
      <c r="AA203">
        <f>V203</f>
        <v>0</v>
      </c>
      <c r="AB203">
        <f>N203</f>
        <v>1.2</v>
      </c>
      <c r="AC203">
        <f>O203</f>
        <v>0.5</v>
      </c>
      <c r="AD203">
        <f>P203</f>
        <v>0.8</v>
      </c>
      <c r="AE203">
        <f>Q203</f>
        <v>0.6</v>
      </c>
      <c r="AF203">
        <f>R203</f>
        <v>1</v>
      </c>
      <c r="AG203">
        <f>S203</f>
        <v>0.8</v>
      </c>
      <c r="AH203">
        <f t="shared" si="28"/>
        <v>3</v>
      </c>
    </row>
    <row r="204" spans="1:34" hidden="1" x14ac:dyDescent="0.3">
      <c r="A204" s="9" t="s">
        <v>221</v>
      </c>
      <c r="B204" s="9" t="s">
        <v>284</v>
      </c>
      <c r="C204" s="9" t="s">
        <v>285</v>
      </c>
      <c r="D204" s="9" t="s">
        <v>22</v>
      </c>
      <c r="E204" s="9">
        <v>0</v>
      </c>
      <c r="F204" s="9">
        <v>0</v>
      </c>
      <c r="G204" s="9">
        <v>1.6</v>
      </c>
      <c r="H204" s="9">
        <v>0</v>
      </c>
      <c r="I204" s="9">
        <v>0</v>
      </c>
      <c r="J204" s="9">
        <v>3</v>
      </c>
      <c r="K204" s="9">
        <v>0</v>
      </c>
      <c r="L204" s="9">
        <v>37.9</v>
      </c>
      <c r="M204" s="9">
        <v>0.66700000000000004</v>
      </c>
      <c r="N204" s="9">
        <v>1.2</v>
      </c>
      <c r="O204" s="9">
        <v>0.5</v>
      </c>
      <c r="P204" s="9">
        <v>0.8</v>
      </c>
      <c r="Q204" s="9">
        <v>0.6</v>
      </c>
      <c r="R204" s="9">
        <v>1</v>
      </c>
      <c r="S204" s="9">
        <v>0.8</v>
      </c>
      <c r="T204" s="9">
        <v>3</v>
      </c>
      <c r="U204" s="9">
        <v>0</v>
      </c>
      <c r="V204" s="9">
        <v>0</v>
      </c>
      <c r="W204" s="9">
        <v>5.99</v>
      </c>
      <c r="X204">
        <f xml:space="preserve"> Z204 + AA204 + (AB204*G204) + (AC204*H204) + (AD204*I204) + (AE204*J204) + (AF204*(K204/100)) + (AG204*(L204/100))+ (AH204*(M204))</f>
        <v>6.0242000000000004</v>
      </c>
      <c r="Y204" s="1">
        <f>X204-W204</f>
        <v>3.420000000000023E-2</v>
      </c>
      <c r="Z204">
        <f>U204</f>
        <v>0</v>
      </c>
      <c r="AA204">
        <f>V204</f>
        <v>0</v>
      </c>
      <c r="AB204">
        <f>N204</f>
        <v>1.2</v>
      </c>
      <c r="AC204">
        <f>O204</f>
        <v>0.5</v>
      </c>
      <c r="AD204">
        <f>P204</f>
        <v>0.8</v>
      </c>
      <c r="AE204">
        <f>Q204</f>
        <v>0.6</v>
      </c>
      <c r="AF204">
        <f>R204</f>
        <v>1</v>
      </c>
      <c r="AG204">
        <f>S204</f>
        <v>0.8</v>
      </c>
      <c r="AH204">
        <f t="shared" si="28"/>
        <v>3</v>
      </c>
    </row>
    <row r="205" spans="1:34" hidden="1" x14ac:dyDescent="0.3">
      <c r="A205" s="9" t="s">
        <v>533</v>
      </c>
      <c r="B205" s="9" t="s">
        <v>644</v>
      </c>
      <c r="C205" s="9" t="s">
        <v>645</v>
      </c>
      <c r="D205" s="9" t="s">
        <v>22</v>
      </c>
      <c r="E205" s="9">
        <v>0</v>
      </c>
      <c r="F205" s="9">
        <v>0</v>
      </c>
      <c r="G205" s="9">
        <v>0</v>
      </c>
      <c r="H205" s="9">
        <v>2.4</v>
      </c>
      <c r="I205" s="9">
        <v>1</v>
      </c>
      <c r="J205" s="9">
        <v>2</v>
      </c>
      <c r="K205" s="9">
        <v>42</v>
      </c>
      <c r="L205" s="9">
        <v>44.8</v>
      </c>
      <c r="M205" s="9">
        <v>0.66700000000000004</v>
      </c>
      <c r="N205" s="9">
        <v>1.2</v>
      </c>
      <c r="O205" s="9">
        <v>0.5</v>
      </c>
      <c r="P205" s="9">
        <v>0.8</v>
      </c>
      <c r="Q205" s="9">
        <v>0.6</v>
      </c>
      <c r="R205" s="9">
        <v>1</v>
      </c>
      <c r="S205" s="9">
        <v>0.8</v>
      </c>
      <c r="T205" s="9">
        <v>3</v>
      </c>
      <c r="U205" s="9">
        <v>0</v>
      </c>
      <c r="V205" s="9">
        <v>0</v>
      </c>
      <c r="W205" s="9">
        <v>5.98</v>
      </c>
      <c r="X205" s="2" t="e">
        <f>#REF!-#REF!</f>
        <v>#REF!</v>
      </c>
      <c r="AH205">
        <f t="shared" si="28"/>
        <v>3</v>
      </c>
    </row>
    <row r="206" spans="1:34" hidden="1" x14ac:dyDescent="0.3">
      <c r="A206" s="9" t="s">
        <v>221</v>
      </c>
      <c r="B206" s="9" t="s">
        <v>304</v>
      </c>
      <c r="C206" s="9" t="s">
        <v>305</v>
      </c>
      <c r="D206" s="9" t="s">
        <v>22</v>
      </c>
      <c r="E206" s="9">
        <v>0</v>
      </c>
      <c r="F206" s="9">
        <v>0</v>
      </c>
      <c r="G206" s="9">
        <v>0.8</v>
      </c>
      <c r="H206" s="9">
        <v>2.83</v>
      </c>
      <c r="I206" s="9">
        <v>0</v>
      </c>
      <c r="J206" s="9">
        <v>2</v>
      </c>
      <c r="K206" s="9">
        <v>0</v>
      </c>
      <c r="L206" s="9">
        <v>51.4</v>
      </c>
      <c r="M206" s="9">
        <v>0.66700000000000004</v>
      </c>
      <c r="N206" s="9">
        <v>1.2</v>
      </c>
      <c r="O206" s="9">
        <v>0.5</v>
      </c>
      <c r="P206" s="9">
        <v>0.8</v>
      </c>
      <c r="Q206" s="9">
        <v>0.6</v>
      </c>
      <c r="R206" s="9">
        <v>1</v>
      </c>
      <c r="S206" s="9">
        <v>0.8</v>
      </c>
      <c r="T206" s="9">
        <v>3</v>
      </c>
      <c r="U206" s="9">
        <v>0</v>
      </c>
      <c r="V206" s="9">
        <v>0</v>
      </c>
      <c r="W206" s="9">
        <v>5.97</v>
      </c>
      <c r="X206">
        <f xml:space="preserve"> Z206 + AA206 + (AB206*G206) + (AC206*H206) + (AD206*I206) + (AE206*J206) + (AF206*(K206/100)) + (AG206*(L206/100))+ (AH206*(M206))</f>
        <v>5.9872000000000005</v>
      </c>
      <c r="Y206" s="1">
        <f>X206-W206</f>
        <v>1.720000000000077E-2</v>
      </c>
      <c r="Z206">
        <f>U206</f>
        <v>0</v>
      </c>
      <c r="AA206">
        <f>V206</f>
        <v>0</v>
      </c>
      <c r="AB206">
        <f>N206</f>
        <v>1.2</v>
      </c>
      <c r="AC206">
        <f>O206</f>
        <v>0.5</v>
      </c>
      <c r="AD206">
        <f>P206</f>
        <v>0.8</v>
      </c>
      <c r="AE206">
        <f>Q206</f>
        <v>0.6</v>
      </c>
      <c r="AF206">
        <f>R206</f>
        <v>1</v>
      </c>
      <c r="AG206">
        <f>S206</f>
        <v>0.8</v>
      </c>
      <c r="AH206">
        <f t="shared" si="28"/>
        <v>3</v>
      </c>
    </row>
    <row r="207" spans="1:34" hidden="1" x14ac:dyDescent="0.3">
      <c r="A207" s="9" t="s">
        <v>54</v>
      </c>
      <c r="B207" s="9" t="s">
        <v>148</v>
      </c>
      <c r="C207" s="9" t="s">
        <v>149</v>
      </c>
      <c r="D207" s="9" t="s">
        <v>22</v>
      </c>
      <c r="E207" s="9">
        <v>0</v>
      </c>
      <c r="F207" s="9">
        <v>0</v>
      </c>
      <c r="G207" s="9">
        <v>1.8</v>
      </c>
      <c r="H207" s="9">
        <v>0</v>
      </c>
      <c r="I207" s="9">
        <v>1</v>
      </c>
      <c r="J207" s="9">
        <v>2</v>
      </c>
      <c r="K207" s="9">
        <v>29.5</v>
      </c>
      <c r="L207" s="9">
        <v>38.700000000000003</v>
      </c>
      <c r="M207" s="9">
        <v>0.4</v>
      </c>
      <c r="N207" s="9">
        <v>1.2</v>
      </c>
      <c r="O207" s="9">
        <v>0.5</v>
      </c>
      <c r="P207" s="9">
        <v>0.8</v>
      </c>
      <c r="Q207" s="9">
        <v>0.6</v>
      </c>
      <c r="R207" s="9">
        <v>1</v>
      </c>
      <c r="S207" s="9">
        <v>0.8</v>
      </c>
      <c r="T207" s="9">
        <v>3</v>
      </c>
      <c r="U207" s="9">
        <v>0</v>
      </c>
      <c r="V207" s="9">
        <v>0</v>
      </c>
      <c r="W207" s="10">
        <v>5.95</v>
      </c>
      <c r="X207" s="5">
        <f xml:space="preserve"> Z207 + AA207 + (AB207*G207) + (AC207*H207) + (AD207*I207) + (AE207*J207) + (AF207*(K207/100)) + (AG207*(L207/100))+ (AH207*(M207))</f>
        <v>5.9645999999999999</v>
      </c>
      <c r="Y207" s="1">
        <f>X207-W207</f>
        <v>1.4599999999999724E-2</v>
      </c>
      <c r="Z207">
        <f>U207</f>
        <v>0</v>
      </c>
      <c r="AA207">
        <f>V207</f>
        <v>0</v>
      </c>
      <c r="AB207">
        <f>N207</f>
        <v>1.2</v>
      </c>
      <c r="AC207">
        <f>O207</f>
        <v>0.5</v>
      </c>
      <c r="AD207">
        <f>P207</f>
        <v>0.8</v>
      </c>
      <c r="AE207">
        <f>Q207</f>
        <v>0.6</v>
      </c>
      <c r="AF207">
        <f>R207</f>
        <v>1</v>
      </c>
      <c r="AG207">
        <f>S207</f>
        <v>0.8</v>
      </c>
      <c r="AH207">
        <f t="shared" si="28"/>
        <v>3</v>
      </c>
    </row>
    <row r="208" spans="1:34" hidden="1" x14ac:dyDescent="0.3">
      <c r="A208" s="9" t="s">
        <v>54</v>
      </c>
      <c r="B208" s="9" t="s">
        <v>126</v>
      </c>
      <c r="C208" s="9" t="s">
        <v>127</v>
      </c>
      <c r="D208" s="9" t="s">
        <v>22</v>
      </c>
      <c r="E208" s="9">
        <v>0</v>
      </c>
      <c r="F208" s="9">
        <v>0</v>
      </c>
      <c r="G208" s="9">
        <v>0</v>
      </c>
      <c r="H208" s="9">
        <v>1.1000000000000001</v>
      </c>
      <c r="I208" s="9">
        <v>1</v>
      </c>
      <c r="J208" s="9">
        <v>3</v>
      </c>
      <c r="K208" s="9">
        <v>41.3</v>
      </c>
      <c r="L208" s="9">
        <v>44</v>
      </c>
      <c r="M208" s="9">
        <v>0.66700000000000004</v>
      </c>
      <c r="N208" s="9">
        <v>1.2</v>
      </c>
      <c r="O208" s="9">
        <v>0.5</v>
      </c>
      <c r="P208" s="9">
        <v>0.8</v>
      </c>
      <c r="Q208" s="9">
        <v>0.6</v>
      </c>
      <c r="R208" s="9">
        <v>1</v>
      </c>
      <c r="S208" s="9">
        <v>0.8</v>
      </c>
      <c r="T208" s="9">
        <v>3</v>
      </c>
      <c r="U208" s="9">
        <v>0</v>
      </c>
      <c r="V208" s="9">
        <v>0</v>
      </c>
      <c r="W208" s="9">
        <v>5.92</v>
      </c>
      <c r="X208">
        <f xml:space="preserve"> Z208 + AA208 + (AB208*G208) + (AC208*H208) + (AD208*I208) + (AE208*J208) + (AF208*(K208/100)) + (AG208*(L208/100))+ (AH208*(M208))</f>
        <v>5.9160000000000004</v>
      </c>
      <c r="Y208" s="1">
        <f>X208-W208</f>
        <v>-3.9999999999995595E-3</v>
      </c>
      <c r="Z208">
        <f>U208</f>
        <v>0</v>
      </c>
      <c r="AA208">
        <f>V208</f>
        <v>0</v>
      </c>
      <c r="AB208">
        <f>N208</f>
        <v>1.2</v>
      </c>
      <c r="AC208">
        <f>O208</f>
        <v>0.5</v>
      </c>
      <c r="AD208">
        <f>P208</f>
        <v>0.8</v>
      </c>
      <c r="AE208">
        <f>Q208</f>
        <v>0.6</v>
      </c>
      <c r="AF208">
        <f>R208</f>
        <v>1</v>
      </c>
      <c r="AG208">
        <f>S208</f>
        <v>0.8</v>
      </c>
      <c r="AH208">
        <f t="shared" si="28"/>
        <v>3</v>
      </c>
    </row>
    <row r="209" spans="1:34" x14ac:dyDescent="0.3">
      <c r="A209" s="9" t="s">
        <v>398</v>
      </c>
      <c r="B209" s="9" t="s">
        <v>412</v>
      </c>
      <c r="C209" s="9" t="s">
        <v>413</v>
      </c>
      <c r="D209" s="9" t="s">
        <v>22</v>
      </c>
      <c r="E209" s="9">
        <v>0</v>
      </c>
      <c r="F209" s="9">
        <v>0</v>
      </c>
      <c r="G209" s="9">
        <v>2.8</v>
      </c>
      <c r="H209" s="9">
        <v>0</v>
      </c>
      <c r="I209" s="9">
        <v>1</v>
      </c>
      <c r="J209" s="9">
        <v>0</v>
      </c>
      <c r="K209" s="9">
        <v>30.6</v>
      </c>
      <c r="L209" s="9">
        <v>0</v>
      </c>
      <c r="M209" s="9">
        <v>0.5</v>
      </c>
      <c r="N209" s="9">
        <v>1.2</v>
      </c>
      <c r="O209" s="9">
        <v>0.5</v>
      </c>
      <c r="P209" s="9">
        <v>0.8</v>
      </c>
      <c r="Q209" s="9">
        <v>0.6</v>
      </c>
      <c r="R209" s="9">
        <v>1</v>
      </c>
      <c r="S209" s="9">
        <v>0.8</v>
      </c>
      <c r="T209" s="9">
        <v>3</v>
      </c>
      <c r="U209" s="9">
        <v>0</v>
      </c>
      <c r="V209" s="9">
        <v>0</v>
      </c>
      <c r="W209" s="9">
        <v>5.91</v>
      </c>
      <c r="X209">
        <f xml:space="preserve"> Z209 + AA209 + (AB209*G209) + (AC209*H209) + (AD209*I209) + (AE209*J209) + (AF209*(K209/100)) + (AG209*(L209/100))+ (AH209*(M209))</f>
        <v>5.9660000000000002</v>
      </c>
      <c r="Y209" s="1">
        <f>X209-W209</f>
        <v>5.600000000000005E-2</v>
      </c>
      <c r="Z209">
        <f>U209</f>
        <v>0</v>
      </c>
      <c r="AA209">
        <f>V209</f>
        <v>0</v>
      </c>
      <c r="AB209">
        <f>N209</f>
        <v>1.2</v>
      </c>
      <c r="AC209">
        <f>O209</f>
        <v>0.5</v>
      </c>
      <c r="AD209">
        <f>P209</f>
        <v>0.8</v>
      </c>
      <c r="AE209">
        <f>Q209</f>
        <v>0.6</v>
      </c>
      <c r="AF209">
        <f>R209</f>
        <v>1</v>
      </c>
      <c r="AG209">
        <f>S209</f>
        <v>0.8</v>
      </c>
      <c r="AH209">
        <f t="shared" si="28"/>
        <v>3</v>
      </c>
    </row>
    <row r="210" spans="1:34" x14ac:dyDescent="0.3">
      <c r="A210" s="9" t="s">
        <v>398</v>
      </c>
      <c r="B210" s="9" t="s">
        <v>462</v>
      </c>
      <c r="C210" s="9" t="s">
        <v>463</v>
      </c>
      <c r="D210" s="9" t="s">
        <v>22</v>
      </c>
      <c r="E210" s="9">
        <v>0</v>
      </c>
      <c r="F210" s="9">
        <v>0</v>
      </c>
      <c r="G210" s="9">
        <v>2.8</v>
      </c>
      <c r="H210" s="9">
        <v>0</v>
      </c>
      <c r="I210" s="9">
        <v>1</v>
      </c>
      <c r="J210" s="9">
        <v>0</v>
      </c>
      <c r="K210" s="9">
        <v>30.6</v>
      </c>
      <c r="L210" s="9">
        <v>0</v>
      </c>
      <c r="M210" s="9">
        <v>0.5</v>
      </c>
      <c r="N210" s="9">
        <v>1.2</v>
      </c>
      <c r="O210" s="9">
        <v>0.5</v>
      </c>
      <c r="P210" s="9">
        <v>0.8</v>
      </c>
      <c r="Q210" s="9">
        <v>0.6</v>
      </c>
      <c r="R210" s="9">
        <v>1</v>
      </c>
      <c r="S210" s="9">
        <v>0.8</v>
      </c>
      <c r="T210" s="9">
        <v>3</v>
      </c>
      <c r="U210" s="9">
        <v>0</v>
      </c>
      <c r="V210" s="9">
        <v>0</v>
      </c>
      <c r="W210" s="9">
        <v>5.91</v>
      </c>
      <c r="X210">
        <f xml:space="preserve"> Z210 + AA210 + (AB210*G210) + (AC210*H210) + (AD210*I210) + (AE210*J210) + (AF210*(K210/100)) + (AG210*(L210/100))+ (AH210*(M210))</f>
        <v>5.9660000000000002</v>
      </c>
      <c r="Y210" s="1">
        <f>X210-W210</f>
        <v>5.600000000000005E-2</v>
      </c>
      <c r="Z210">
        <f>U210</f>
        <v>0</v>
      </c>
      <c r="AA210">
        <f>V210</f>
        <v>0</v>
      </c>
      <c r="AB210">
        <f>N210</f>
        <v>1.2</v>
      </c>
      <c r="AC210">
        <f>O210</f>
        <v>0.5</v>
      </c>
      <c r="AD210">
        <f>P210</f>
        <v>0.8</v>
      </c>
      <c r="AE210">
        <f>Q210</f>
        <v>0.6</v>
      </c>
      <c r="AF210">
        <f>R210</f>
        <v>1</v>
      </c>
      <c r="AG210">
        <f>S210</f>
        <v>0.8</v>
      </c>
      <c r="AH210">
        <f t="shared" si="28"/>
        <v>3</v>
      </c>
    </row>
    <row r="211" spans="1:34" x14ac:dyDescent="0.3">
      <c r="A211" s="9" t="s">
        <v>398</v>
      </c>
      <c r="B211" s="9" t="s">
        <v>482</v>
      </c>
      <c r="C211" s="9" t="s">
        <v>483</v>
      </c>
      <c r="D211" s="9" t="s">
        <v>22</v>
      </c>
      <c r="E211" s="9">
        <v>0</v>
      </c>
      <c r="F211" s="9">
        <v>0</v>
      </c>
      <c r="G211" s="9">
        <v>2.8</v>
      </c>
      <c r="H211" s="9">
        <v>0</v>
      </c>
      <c r="I211" s="9">
        <v>1</v>
      </c>
      <c r="J211" s="9">
        <v>0</v>
      </c>
      <c r="K211" s="9">
        <v>30.6</v>
      </c>
      <c r="L211" s="9">
        <v>0</v>
      </c>
      <c r="M211" s="9">
        <v>0.5</v>
      </c>
      <c r="N211" s="9">
        <v>1.2</v>
      </c>
      <c r="O211" s="9">
        <v>0.5</v>
      </c>
      <c r="P211" s="9">
        <v>0.8</v>
      </c>
      <c r="Q211" s="9">
        <v>0.6</v>
      </c>
      <c r="R211" s="9">
        <v>1</v>
      </c>
      <c r="S211" s="9">
        <v>0.8</v>
      </c>
      <c r="T211" s="9">
        <v>3</v>
      </c>
      <c r="U211" s="9">
        <v>0</v>
      </c>
      <c r="V211" s="9">
        <v>0</v>
      </c>
      <c r="W211" s="10">
        <v>5.91</v>
      </c>
      <c r="X211" s="5">
        <f xml:space="preserve"> Z211 + AA211 + (AB211*G211) + (AC211*H211) + (AD211*I211) + (AE211*J211) + (AF211*(K211/100)) + (AG211*(L211/100))+ (AH211*(M211))</f>
        <v>5.9660000000000002</v>
      </c>
      <c r="Y211" s="1">
        <f>X211-W211</f>
        <v>5.600000000000005E-2</v>
      </c>
      <c r="Z211">
        <f>U211</f>
        <v>0</v>
      </c>
      <c r="AA211">
        <f>V211</f>
        <v>0</v>
      </c>
      <c r="AB211">
        <f>N211</f>
        <v>1.2</v>
      </c>
      <c r="AC211">
        <f>O211</f>
        <v>0.5</v>
      </c>
      <c r="AD211">
        <f>P211</f>
        <v>0.8</v>
      </c>
      <c r="AE211">
        <f>Q211</f>
        <v>0.6</v>
      </c>
      <c r="AF211">
        <f>R211</f>
        <v>1</v>
      </c>
      <c r="AG211">
        <f>S211</f>
        <v>0.8</v>
      </c>
      <c r="AH211">
        <f t="shared" si="28"/>
        <v>3</v>
      </c>
    </row>
    <row r="212" spans="1:34" x14ac:dyDescent="0.3">
      <c r="A212" s="9" t="s">
        <v>398</v>
      </c>
      <c r="B212" s="9" t="s">
        <v>518</v>
      </c>
      <c r="C212" s="9" t="s">
        <v>519</v>
      </c>
      <c r="D212" s="9" t="s">
        <v>22</v>
      </c>
      <c r="E212" s="9">
        <v>0</v>
      </c>
      <c r="F212" s="9">
        <v>0</v>
      </c>
      <c r="G212" s="9">
        <v>0.8</v>
      </c>
      <c r="H212" s="9">
        <v>1.61</v>
      </c>
      <c r="I212" s="9">
        <v>1</v>
      </c>
      <c r="J212" s="9">
        <v>0</v>
      </c>
      <c r="K212" s="9">
        <v>34.1</v>
      </c>
      <c r="L212" s="9">
        <v>0</v>
      </c>
      <c r="M212" s="9">
        <v>1</v>
      </c>
      <c r="N212" s="9">
        <v>1.2</v>
      </c>
      <c r="O212" s="9">
        <v>0.5</v>
      </c>
      <c r="P212" s="9">
        <v>0.8</v>
      </c>
      <c r="Q212" s="9">
        <v>0.6</v>
      </c>
      <c r="R212" s="9">
        <v>1</v>
      </c>
      <c r="S212" s="9">
        <v>0.8</v>
      </c>
      <c r="T212" s="9">
        <v>3</v>
      </c>
      <c r="U212" s="9">
        <v>0</v>
      </c>
      <c r="V212" s="9">
        <v>0</v>
      </c>
      <c r="W212" s="9">
        <v>5.89</v>
      </c>
      <c r="X212">
        <f xml:space="preserve"> Z212 + AA212 + (AB212*G212) + (AC212*H212) + (AD212*I212) + (AE212*J212) + (AF212*(K212/100)) + (AG212*(L212/100))+ (AH212*(M212))</f>
        <v>5.9060000000000006</v>
      </c>
      <c r="Y212" s="1">
        <f>X212-W212</f>
        <v>1.6000000000000902E-2</v>
      </c>
      <c r="Z212">
        <f>U212</f>
        <v>0</v>
      </c>
      <c r="AA212">
        <f>V212</f>
        <v>0</v>
      </c>
      <c r="AB212">
        <f>N212</f>
        <v>1.2</v>
      </c>
      <c r="AC212">
        <f>O212</f>
        <v>0.5</v>
      </c>
      <c r="AD212">
        <f>P212</f>
        <v>0.8</v>
      </c>
      <c r="AE212">
        <f>Q212</f>
        <v>0.6</v>
      </c>
      <c r="AF212">
        <f>R212</f>
        <v>1</v>
      </c>
      <c r="AG212">
        <f>S212</f>
        <v>0.8</v>
      </c>
      <c r="AH212">
        <f t="shared" si="28"/>
        <v>3</v>
      </c>
    </row>
    <row r="213" spans="1:34" hidden="1" x14ac:dyDescent="0.3">
      <c r="A213" s="9" t="s">
        <v>221</v>
      </c>
      <c r="B213" s="9" t="s">
        <v>392</v>
      </c>
      <c r="C213" s="9" t="s">
        <v>393</v>
      </c>
      <c r="D213" s="9" t="s">
        <v>22</v>
      </c>
      <c r="E213" s="9">
        <v>0</v>
      </c>
      <c r="F213" s="9">
        <v>0</v>
      </c>
      <c r="G213" s="9">
        <v>0.4</v>
      </c>
      <c r="H213" s="9">
        <v>3.26</v>
      </c>
      <c r="I213" s="9">
        <v>3</v>
      </c>
      <c r="J213" s="9">
        <v>0</v>
      </c>
      <c r="K213" s="9">
        <v>36.1</v>
      </c>
      <c r="L213" s="9">
        <v>0</v>
      </c>
      <c r="M213" s="9">
        <v>0.33300000000000002</v>
      </c>
      <c r="N213" s="9">
        <v>1.2</v>
      </c>
      <c r="O213" s="9">
        <v>0.5</v>
      </c>
      <c r="P213" s="9">
        <v>0.8</v>
      </c>
      <c r="Q213" s="9">
        <v>0.6</v>
      </c>
      <c r="R213" s="9">
        <v>1</v>
      </c>
      <c r="S213" s="9">
        <v>0.8</v>
      </c>
      <c r="T213" s="9">
        <v>3</v>
      </c>
      <c r="U213" s="9">
        <v>0</v>
      </c>
      <c r="V213" s="9">
        <v>0</v>
      </c>
      <c r="W213" s="10">
        <v>5.86</v>
      </c>
      <c r="X213" s="5">
        <f xml:space="preserve"> Z213 + AA213 + (AB213*G213) + (AC213*H213) + (AD213*I213) + (AE213*J213) + (AF213*(K213/100)) + (AG213*(L213/100))+ (AH213*(M213))</f>
        <v>5.8699999999999992</v>
      </c>
      <c r="Y213" s="1">
        <f>X213-W213</f>
        <v>9.9999999999988987E-3</v>
      </c>
      <c r="Z213">
        <f>U213</f>
        <v>0</v>
      </c>
      <c r="AA213">
        <f>V213</f>
        <v>0</v>
      </c>
      <c r="AB213">
        <f>N213</f>
        <v>1.2</v>
      </c>
      <c r="AC213">
        <f>O213</f>
        <v>0.5</v>
      </c>
      <c r="AD213">
        <f>P213</f>
        <v>0.8</v>
      </c>
      <c r="AE213">
        <f>Q213</f>
        <v>0.6</v>
      </c>
      <c r="AF213">
        <f>R213</f>
        <v>1</v>
      </c>
      <c r="AG213">
        <f>S213</f>
        <v>0.8</v>
      </c>
      <c r="AH213">
        <f t="shared" si="28"/>
        <v>3</v>
      </c>
    </row>
    <row r="214" spans="1:34" hidden="1" x14ac:dyDescent="0.3">
      <c r="A214" s="9" t="s">
        <v>54</v>
      </c>
      <c r="B214" s="9" t="s">
        <v>174</v>
      </c>
      <c r="C214" s="9" t="s">
        <v>175</v>
      </c>
      <c r="D214" s="9" t="s">
        <v>22</v>
      </c>
      <c r="E214" s="9">
        <v>0</v>
      </c>
      <c r="F214" s="9">
        <v>0</v>
      </c>
      <c r="G214" s="9">
        <v>0</v>
      </c>
      <c r="H214" s="9">
        <v>0.69</v>
      </c>
      <c r="I214" s="9">
        <v>1</v>
      </c>
      <c r="J214" s="9">
        <v>4</v>
      </c>
      <c r="K214" s="9">
        <v>43</v>
      </c>
      <c r="L214" s="9">
        <v>44.3</v>
      </c>
      <c r="M214" s="9">
        <v>0.5</v>
      </c>
      <c r="N214" s="9">
        <v>1.2</v>
      </c>
      <c r="O214" s="9">
        <v>0.5</v>
      </c>
      <c r="P214" s="9">
        <v>0.8</v>
      </c>
      <c r="Q214" s="9">
        <v>0.6</v>
      </c>
      <c r="R214" s="9">
        <v>1</v>
      </c>
      <c r="S214" s="9">
        <v>0.8</v>
      </c>
      <c r="T214" s="9">
        <v>3</v>
      </c>
      <c r="U214" s="9">
        <v>0</v>
      </c>
      <c r="V214" s="9">
        <v>0</v>
      </c>
      <c r="W214" s="9">
        <v>5.83</v>
      </c>
      <c r="X214">
        <f xml:space="preserve"> Z214 + AA214 + (AB214*G214) + (AC214*H214) + (AD214*I214) + (AE214*J214) + (AF214*(K214/100)) + (AG214*(L214/100))+ (AH214*(M214))</f>
        <v>5.8293999999999997</v>
      </c>
      <c r="Y214" s="1">
        <f>X214-W214</f>
        <v>-6.0000000000037801E-4</v>
      </c>
      <c r="Z214">
        <f>U214</f>
        <v>0</v>
      </c>
      <c r="AA214">
        <f>V214</f>
        <v>0</v>
      </c>
      <c r="AB214">
        <f>N214</f>
        <v>1.2</v>
      </c>
      <c r="AC214">
        <f>O214</f>
        <v>0.5</v>
      </c>
      <c r="AD214">
        <f>P214</f>
        <v>0.8</v>
      </c>
      <c r="AE214">
        <f>Q214</f>
        <v>0.6</v>
      </c>
      <c r="AF214">
        <f>R214</f>
        <v>1</v>
      </c>
      <c r="AG214">
        <f>S214</f>
        <v>0.8</v>
      </c>
      <c r="AH214">
        <f t="shared" si="28"/>
        <v>3</v>
      </c>
    </row>
    <row r="215" spans="1:34" hidden="1" x14ac:dyDescent="0.3">
      <c r="A215" s="9" t="s">
        <v>221</v>
      </c>
      <c r="B215" s="9" t="s">
        <v>326</v>
      </c>
      <c r="C215" s="9" t="s">
        <v>327</v>
      </c>
      <c r="D215" s="9" t="s">
        <v>22</v>
      </c>
      <c r="E215" s="9">
        <v>0</v>
      </c>
      <c r="F215" s="9">
        <v>0</v>
      </c>
      <c r="G215" s="9">
        <v>2</v>
      </c>
      <c r="H215" s="9">
        <v>3</v>
      </c>
      <c r="I215" s="9">
        <v>0</v>
      </c>
      <c r="J215" s="9">
        <v>1</v>
      </c>
      <c r="K215" s="9">
        <v>0</v>
      </c>
      <c r="L215" s="9">
        <v>21.1</v>
      </c>
      <c r="M215" s="9">
        <v>0.4</v>
      </c>
      <c r="N215" s="9">
        <v>1.2</v>
      </c>
      <c r="O215" s="9">
        <v>0.5</v>
      </c>
      <c r="P215" s="9">
        <v>0.8</v>
      </c>
      <c r="Q215" s="9">
        <v>0.6</v>
      </c>
      <c r="R215" s="9">
        <v>1</v>
      </c>
      <c r="S215" s="9">
        <v>0.8</v>
      </c>
      <c r="T215" s="9">
        <v>3</v>
      </c>
      <c r="U215" s="9">
        <v>0</v>
      </c>
      <c r="V215" s="9">
        <v>0</v>
      </c>
      <c r="W215" s="10">
        <v>5.83</v>
      </c>
      <c r="X215" s="5">
        <f xml:space="preserve"> Z215 + AA215 + (AB215*G215) + (AC215*H215) + (AD215*I215) + (AE215*J215) + (AF215*(K215/100)) + (AG215*(L215/100))+ (AH215*(M215))</f>
        <v>5.8688000000000002</v>
      </c>
      <c r="Y215" s="1">
        <f>X215-W215</f>
        <v>3.8800000000000168E-2</v>
      </c>
      <c r="Z215">
        <f>U215</f>
        <v>0</v>
      </c>
      <c r="AA215">
        <f>V215</f>
        <v>0</v>
      </c>
      <c r="AB215">
        <f>N215</f>
        <v>1.2</v>
      </c>
      <c r="AC215">
        <f>O215</f>
        <v>0.5</v>
      </c>
      <c r="AD215">
        <f>P215</f>
        <v>0.8</v>
      </c>
      <c r="AE215">
        <f>Q215</f>
        <v>0.6</v>
      </c>
      <c r="AF215">
        <f>R215</f>
        <v>1</v>
      </c>
      <c r="AG215">
        <f>S215</f>
        <v>0.8</v>
      </c>
      <c r="AH215">
        <f t="shared" si="28"/>
        <v>3</v>
      </c>
    </row>
    <row r="216" spans="1:34" hidden="1" x14ac:dyDescent="0.3">
      <c r="A216" s="9" t="s">
        <v>533</v>
      </c>
      <c r="B216" s="9" t="s">
        <v>630</v>
      </c>
      <c r="C216" s="9" t="s">
        <v>631</v>
      </c>
      <c r="D216" s="9" t="s">
        <v>22</v>
      </c>
      <c r="E216" s="9">
        <v>0</v>
      </c>
      <c r="F216" s="9">
        <v>0</v>
      </c>
      <c r="G216" s="9">
        <v>2.2999999999999998</v>
      </c>
      <c r="H216" s="9">
        <v>3.09</v>
      </c>
      <c r="I216" s="9">
        <v>1</v>
      </c>
      <c r="J216" s="9">
        <v>0</v>
      </c>
      <c r="K216" s="9">
        <v>40.5</v>
      </c>
      <c r="L216" s="9">
        <v>0</v>
      </c>
      <c r="M216" s="9">
        <v>9.5000000000000001E-2</v>
      </c>
      <c r="N216" s="9">
        <v>1.2</v>
      </c>
      <c r="O216" s="9">
        <v>0.5</v>
      </c>
      <c r="P216" s="9">
        <v>0.8</v>
      </c>
      <c r="Q216" s="9">
        <v>0.6</v>
      </c>
      <c r="R216" s="9">
        <v>1</v>
      </c>
      <c r="S216" s="9">
        <v>0.8</v>
      </c>
      <c r="T216" s="9">
        <v>3</v>
      </c>
      <c r="U216" s="9">
        <v>0</v>
      </c>
      <c r="V216" s="9">
        <v>0</v>
      </c>
      <c r="W216" s="9">
        <v>5.83</v>
      </c>
      <c r="X216">
        <f xml:space="preserve"> Z216 + AA216 + (AB216*G216) + (AC216*H216) + (AD216*I216) + (AE216*J216) + (AF216*(K216/100)) + (AG216*(L216/100))+ (AH216*(M216))</f>
        <v>5.7949999999999999</v>
      </c>
      <c r="Y216" s="1">
        <f>X216-W216</f>
        <v>-3.5000000000000142E-2</v>
      </c>
      <c r="Z216">
        <f>U216</f>
        <v>0</v>
      </c>
      <c r="AA216">
        <f>V216</f>
        <v>0</v>
      </c>
      <c r="AB216">
        <f>N216</f>
        <v>1.2</v>
      </c>
      <c r="AC216">
        <f>O216</f>
        <v>0.5</v>
      </c>
      <c r="AD216">
        <f>P216</f>
        <v>0.8</v>
      </c>
      <c r="AE216">
        <f>Q216</f>
        <v>0.6</v>
      </c>
      <c r="AF216">
        <f>R216</f>
        <v>1</v>
      </c>
      <c r="AG216">
        <f>S216</f>
        <v>0.8</v>
      </c>
      <c r="AH216">
        <f t="shared" si="28"/>
        <v>3</v>
      </c>
    </row>
    <row r="217" spans="1:34" hidden="1" x14ac:dyDescent="0.3">
      <c r="A217" s="9" t="s">
        <v>221</v>
      </c>
      <c r="B217" s="9" t="s">
        <v>224</v>
      </c>
      <c r="C217" s="9" t="s">
        <v>225</v>
      </c>
      <c r="D217" s="9" t="s">
        <v>22</v>
      </c>
      <c r="E217" s="9">
        <v>0</v>
      </c>
      <c r="F217" s="9">
        <v>0</v>
      </c>
      <c r="G217" s="9">
        <v>1.6</v>
      </c>
      <c r="H217" s="9">
        <v>1.1000000000000001</v>
      </c>
      <c r="I217" s="9">
        <v>1</v>
      </c>
      <c r="J217" s="9">
        <v>0</v>
      </c>
      <c r="K217" s="9">
        <v>55</v>
      </c>
      <c r="L217" s="9">
        <v>0</v>
      </c>
      <c r="M217" s="9">
        <v>0.66700000000000004</v>
      </c>
      <c r="N217" s="9">
        <v>1.2</v>
      </c>
      <c r="O217" s="9">
        <v>0.5</v>
      </c>
      <c r="P217" s="9">
        <v>0.8</v>
      </c>
      <c r="Q217" s="9">
        <v>0.6</v>
      </c>
      <c r="R217" s="9">
        <v>1</v>
      </c>
      <c r="S217" s="9">
        <v>0.8</v>
      </c>
      <c r="T217" s="9">
        <v>3</v>
      </c>
      <c r="U217" s="9">
        <v>0</v>
      </c>
      <c r="V217" s="9">
        <v>0</v>
      </c>
      <c r="W217" s="10">
        <v>5.79</v>
      </c>
      <c r="X217" s="5">
        <f xml:space="preserve"> Z217 + AA217 + (AB217*G217) + (AC217*H217) + (AD217*I217) + (AE217*J217) + (AF217*(K217/100)) + (AG217*(L217/100))+ (AH217*(M217))</f>
        <v>5.8209999999999997</v>
      </c>
      <c r="Y217" s="1">
        <f>X217-W217</f>
        <v>3.0999999999999694E-2</v>
      </c>
      <c r="Z217">
        <f>U217</f>
        <v>0</v>
      </c>
      <c r="AA217">
        <f>V217</f>
        <v>0</v>
      </c>
      <c r="AB217">
        <f>N217</f>
        <v>1.2</v>
      </c>
      <c r="AC217">
        <f>O217</f>
        <v>0.5</v>
      </c>
      <c r="AD217">
        <f>P217</f>
        <v>0.8</v>
      </c>
      <c r="AE217">
        <f>Q217</f>
        <v>0.6</v>
      </c>
      <c r="AF217">
        <f>R217</f>
        <v>1</v>
      </c>
      <c r="AG217">
        <f>S217</f>
        <v>0.8</v>
      </c>
      <c r="AH217">
        <f t="shared" si="28"/>
        <v>3</v>
      </c>
    </row>
    <row r="218" spans="1:34" x14ac:dyDescent="0.3">
      <c r="A218" s="9" t="s">
        <v>398</v>
      </c>
      <c r="B218" s="9" t="s">
        <v>526</v>
      </c>
      <c r="C218" s="9" t="s">
        <v>527</v>
      </c>
      <c r="D218" s="9" t="s">
        <v>22</v>
      </c>
      <c r="E218" s="9">
        <v>0</v>
      </c>
      <c r="F218" s="9">
        <v>0</v>
      </c>
      <c r="G218" s="9">
        <v>0.8</v>
      </c>
      <c r="H218" s="9">
        <v>1.39</v>
      </c>
      <c r="I218" s="9">
        <v>1</v>
      </c>
      <c r="J218" s="9">
        <v>0</v>
      </c>
      <c r="K218" s="9">
        <v>35.6</v>
      </c>
      <c r="L218" s="9">
        <v>0</v>
      </c>
      <c r="M218" s="9">
        <v>1</v>
      </c>
      <c r="N218" s="9">
        <v>1.2</v>
      </c>
      <c r="O218" s="9">
        <v>0.5</v>
      </c>
      <c r="P218" s="9">
        <v>0.8</v>
      </c>
      <c r="Q218" s="9">
        <v>0.6</v>
      </c>
      <c r="R218" s="9">
        <v>1</v>
      </c>
      <c r="S218" s="9">
        <v>0.8</v>
      </c>
      <c r="T218" s="9">
        <v>3</v>
      </c>
      <c r="U218" s="9">
        <v>0</v>
      </c>
      <c r="V218" s="9">
        <v>0</v>
      </c>
      <c r="W218" s="10">
        <v>5.79</v>
      </c>
      <c r="X218" s="5">
        <f xml:space="preserve"> Z218 + AA218 + (AB218*G218) + (AC218*H218) + (AD218*I218) + (AE218*J218) + (AF218*(K218/100)) + (AG218*(L218/100))+ (AH218*(M218))</f>
        <v>9.2859999999999996</v>
      </c>
      <c r="Y218" s="3">
        <f>X218-W218</f>
        <v>3.4959999999999996</v>
      </c>
      <c r="Z218" s="2">
        <f>U218</f>
        <v>0</v>
      </c>
      <c r="AA218" s="2">
        <f>V218</f>
        <v>0</v>
      </c>
      <c r="AB218" s="2">
        <f>N218</f>
        <v>1.2</v>
      </c>
      <c r="AC218" s="4">
        <v>3</v>
      </c>
      <c r="AD218" s="2">
        <f>P218</f>
        <v>0.8</v>
      </c>
      <c r="AE218" s="2">
        <f>Q218</f>
        <v>0.6</v>
      </c>
      <c r="AF218" s="2">
        <f>R218</f>
        <v>1</v>
      </c>
      <c r="AG218" s="2">
        <f>S218</f>
        <v>0.8</v>
      </c>
      <c r="AH218">
        <f t="shared" si="28"/>
        <v>3</v>
      </c>
    </row>
    <row r="219" spans="1:34" hidden="1" x14ac:dyDescent="0.3">
      <c r="A219" s="9" t="s">
        <v>54</v>
      </c>
      <c r="B219" s="9" t="s">
        <v>56</v>
      </c>
      <c r="C219" s="9" t="s">
        <v>57</v>
      </c>
      <c r="D219" s="9" t="s">
        <v>22</v>
      </c>
      <c r="E219" s="9">
        <v>0</v>
      </c>
      <c r="F219" s="9">
        <v>0</v>
      </c>
      <c r="G219" s="9">
        <v>1.8</v>
      </c>
      <c r="H219" s="9">
        <v>2.48</v>
      </c>
      <c r="I219" s="9">
        <v>1</v>
      </c>
      <c r="J219" s="9">
        <v>0</v>
      </c>
      <c r="K219" s="9">
        <v>38.799999999999997</v>
      </c>
      <c r="L219" s="9">
        <v>0</v>
      </c>
      <c r="M219" s="9">
        <v>0.4</v>
      </c>
      <c r="N219" s="9">
        <v>1.2</v>
      </c>
      <c r="O219" s="9">
        <v>0.5</v>
      </c>
      <c r="P219" s="9">
        <v>0.8</v>
      </c>
      <c r="Q219" s="9">
        <v>0.6</v>
      </c>
      <c r="R219" s="9">
        <v>1</v>
      </c>
      <c r="S219" s="9">
        <v>0.8</v>
      </c>
      <c r="T219" s="9">
        <v>3</v>
      </c>
      <c r="U219" s="9">
        <v>0</v>
      </c>
      <c r="V219" s="9">
        <v>0</v>
      </c>
      <c r="W219" s="9">
        <v>5.77</v>
      </c>
      <c r="X219">
        <f xml:space="preserve"> Z219 + AA219 + (AB219*G219) + (AC219*H219) + (AD219*I219) + (AE219*J219) + (AF219*(K219/100)) + (AG219*(L219/100))+ (AH219*(M219))</f>
        <v>5.7880000000000003</v>
      </c>
      <c r="Y219" s="1">
        <f>X219-W219</f>
        <v>1.8000000000000682E-2</v>
      </c>
      <c r="Z219">
        <f>U219</f>
        <v>0</v>
      </c>
      <c r="AA219">
        <f>V219</f>
        <v>0</v>
      </c>
      <c r="AB219">
        <f>N219</f>
        <v>1.2</v>
      </c>
      <c r="AC219">
        <f>O219</f>
        <v>0.5</v>
      </c>
      <c r="AD219">
        <f>P219</f>
        <v>0.8</v>
      </c>
      <c r="AE219">
        <f>Q219</f>
        <v>0.6</v>
      </c>
      <c r="AF219">
        <f>R219</f>
        <v>1</v>
      </c>
      <c r="AG219">
        <f>S219</f>
        <v>0.8</v>
      </c>
      <c r="AH219">
        <f t="shared" si="28"/>
        <v>3</v>
      </c>
    </row>
    <row r="220" spans="1:34" hidden="1" x14ac:dyDescent="0.3">
      <c r="A220" s="9" t="s">
        <v>533</v>
      </c>
      <c r="B220" s="9" t="s">
        <v>628</v>
      </c>
      <c r="C220" s="9" t="s">
        <v>629</v>
      </c>
      <c r="D220" s="9" t="s">
        <v>22</v>
      </c>
      <c r="E220" s="9">
        <v>0</v>
      </c>
      <c r="F220" s="9">
        <v>0</v>
      </c>
      <c r="G220" s="9">
        <v>0</v>
      </c>
      <c r="H220" s="9">
        <v>0.69</v>
      </c>
      <c r="I220" s="9">
        <v>1</v>
      </c>
      <c r="J220" s="9">
        <v>5</v>
      </c>
      <c r="K220" s="9">
        <v>44.6</v>
      </c>
      <c r="L220" s="9">
        <v>40.200000000000003</v>
      </c>
      <c r="M220" s="9">
        <v>0.28599999999999998</v>
      </c>
      <c r="N220" s="9">
        <v>1.2</v>
      </c>
      <c r="O220" s="9">
        <v>0.5</v>
      </c>
      <c r="P220" s="9">
        <v>0.8</v>
      </c>
      <c r="Q220" s="9">
        <v>0.6</v>
      </c>
      <c r="R220" s="9">
        <v>1</v>
      </c>
      <c r="S220" s="9">
        <v>0.8</v>
      </c>
      <c r="T220" s="9">
        <v>3</v>
      </c>
      <c r="U220" s="9">
        <v>0</v>
      </c>
      <c r="V220" s="9">
        <v>0</v>
      </c>
      <c r="W220" s="9">
        <v>5.77</v>
      </c>
      <c r="X220">
        <f xml:space="preserve"> Z220 + AA220 + (AB220*G220) + (AC220*H220) + (AD220*I220) + (AE220*J220) + (AF220*(K220/100)) + (AG220*(L220/100))+ (AH220*(M220))</f>
        <v>5.7705999999999991</v>
      </c>
      <c r="Y220" s="1">
        <f>X220-W220</f>
        <v>5.9999999999948983E-4</v>
      </c>
      <c r="Z220">
        <f>U220</f>
        <v>0</v>
      </c>
      <c r="AA220">
        <f>V220</f>
        <v>0</v>
      </c>
      <c r="AB220">
        <f>N220</f>
        <v>1.2</v>
      </c>
      <c r="AC220">
        <f>O220</f>
        <v>0.5</v>
      </c>
      <c r="AD220">
        <f>P220</f>
        <v>0.8</v>
      </c>
      <c r="AE220">
        <f>Q220</f>
        <v>0.6</v>
      </c>
      <c r="AF220">
        <f>R220</f>
        <v>1</v>
      </c>
      <c r="AG220">
        <f>S220</f>
        <v>0.8</v>
      </c>
      <c r="AH220">
        <f t="shared" si="28"/>
        <v>3</v>
      </c>
    </row>
    <row r="221" spans="1:34" hidden="1" x14ac:dyDescent="0.3">
      <c r="A221" s="9" t="s">
        <v>54</v>
      </c>
      <c r="B221" s="9" t="s">
        <v>156</v>
      </c>
      <c r="C221" s="9" t="s">
        <v>157</v>
      </c>
      <c r="D221" s="9" t="s">
        <v>22</v>
      </c>
      <c r="E221" s="9">
        <v>0</v>
      </c>
      <c r="F221" s="9">
        <v>0</v>
      </c>
      <c r="G221" s="9">
        <v>0</v>
      </c>
      <c r="H221" s="9">
        <v>0</v>
      </c>
      <c r="I221" s="9">
        <v>1</v>
      </c>
      <c r="J221" s="9">
        <v>6</v>
      </c>
      <c r="K221" s="9">
        <v>43</v>
      </c>
      <c r="L221" s="9">
        <v>41.3</v>
      </c>
      <c r="M221" s="9">
        <v>0.2</v>
      </c>
      <c r="N221" s="9">
        <v>1.2</v>
      </c>
      <c r="O221" s="9">
        <v>0.5</v>
      </c>
      <c r="P221" s="9">
        <v>0.8</v>
      </c>
      <c r="Q221" s="9">
        <v>0.6</v>
      </c>
      <c r="R221" s="9">
        <v>1</v>
      </c>
      <c r="S221" s="9">
        <v>0.8</v>
      </c>
      <c r="T221" s="9">
        <v>3</v>
      </c>
      <c r="U221" s="9">
        <v>0</v>
      </c>
      <c r="V221" s="9">
        <v>0</v>
      </c>
      <c r="W221" s="9">
        <v>5.76</v>
      </c>
      <c r="X221">
        <f xml:space="preserve"> Z221 + AA221 + (AB221*G221) + (AC221*H221) + (AD221*I221) + (AE221*J221) + (AF221*(K221/100)) + (AG221*(L221/100))+ (AH221*(M221))</f>
        <v>5.7603999999999989</v>
      </c>
      <c r="Y221" s="1">
        <f>X221-W221</f>
        <v>3.9999999999906777E-4</v>
      </c>
      <c r="Z221">
        <f>U221</f>
        <v>0</v>
      </c>
      <c r="AA221">
        <f>V221</f>
        <v>0</v>
      </c>
      <c r="AB221">
        <f>N221</f>
        <v>1.2</v>
      </c>
      <c r="AC221">
        <f>O221</f>
        <v>0.5</v>
      </c>
      <c r="AD221">
        <f>P221</f>
        <v>0.8</v>
      </c>
      <c r="AE221">
        <f>Q221</f>
        <v>0.6</v>
      </c>
      <c r="AF221">
        <f>R221</f>
        <v>1</v>
      </c>
      <c r="AG221">
        <f>S221</f>
        <v>0.8</v>
      </c>
      <c r="AH221">
        <f t="shared" si="28"/>
        <v>3</v>
      </c>
    </row>
    <row r="222" spans="1:34" hidden="1" x14ac:dyDescent="0.3">
      <c r="A222" s="9" t="s">
        <v>54</v>
      </c>
      <c r="B222" s="9" t="s">
        <v>152</v>
      </c>
      <c r="C222" s="9" t="s">
        <v>153</v>
      </c>
      <c r="D222" s="9" t="s">
        <v>22</v>
      </c>
      <c r="E222" s="9">
        <v>0</v>
      </c>
      <c r="F222" s="9">
        <v>0</v>
      </c>
      <c r="G222" s="9">
        <v>0</v>
      </c>
      <c r="H222" s="9">
        <v>0.69</v>
      </c>
      <c r="I222" s="9">
        <v>0</v>
      </c>
      <c r="J222" s="9">
        <v>7</v>
      </c>
      <c r="K222" s="9">
        <v>0</v>
      </c>
      <c r="L222" s="9">
        <v>41.9</v>
      </c>
      <c r="M222" s="9">
        <v>0.28599999999999998</v>
      </c>
      <c r="N222" s="9">
        <v>1.2</v>
      </c>
      <c r="O222" s="9">
        <v>0.5</v>
      </c>
      <c r="P222" s="9">
        <v>0.8</v>
      </c>
      <c r="Q222" s="9">
        <v>0.6</v>
      </c>
      <c r="R222" s="9">
        <v>1</v>
      </c>
      <c r="S222" s="9">
        <v>0.8</v>
      </c>
      <c r="T222" s="9">
        <v>3</v>
      </c>
      <c r="U222" s="9">
        <v>0</v>
      </c>
      <c r="V222" s="9">
        <v>0</v>
      </c>
      <c r="W222" s="9">
        <v>5.74</v>
      </c>
      <c r="X222">
        <f xml:space="preserve"> Z222 + AA222 + (AB222*G222) + (AC222*H222) + (AD222*I222) + (AE222*J222) + (AF222*(K222/100)) + (AG222*(L222/100))+ (AH222*(M222))</f>
        <v>5.7382</v>
      </c>
      <c r="Y222" s="1">
        <f>X222-W222</f>
        <v>-1.8000000000002458E-3</v>
      </c>
      <c r="Z222">
        <f>U222</f>
        <v>0</v>
      </c>
      <c r="AA222">
        <f>V222</f>
        <v>0</v>
      </c>
      <c r="AB222">
        <f>N222</f>
        <v>1.2</v>
      </c>
      <c r="AC222">
        <f>O222</f>
        <v>0.5</v>
      </c>
      <c r="AD222">
        <f>P222</f>
        <v>0.8</v>
      </c>
      <c r="AE222">
        <f>Q222</f>
        <v>0.6</v>
      </c>
      <c r="AF222">
        <f>R222</f>
        <v>1</v>
      </c>
      <c r="AG222">
        <f>S222</f>
        <v>0.8</v>
      </c>
      <c r="AH222">
        <f t="shared" si="28"/>
        <v>3</v>
      </c>
    </row>
    <row r="223" spans="1:34" hidden="1" x14ac:dyDescent="0.3">
      <c r="A223" s="9" t="s">
        <v>221</v>
      </c>
      <c r="B223" s="9" t="s">
        <v>308</v>
      </c>
      <c r="C223" s="9" t="s">
        <v>309</v>
      </c>
      <c r="D223" s="9" t="s">
        <v>22</v>
      </c>
      <c r="E223" s="9">
        <v>0</v>
      </c>
      <c r="F223" s="9">
        <v>0</v>
      </c>
      <c r="G223" s="9">
        <v>1.2</v>
      </c>
      <c r="H223" s="9">
        <v>0.69</v>
      </c>
      <c r="I223" s="9">
        <v>1</v>
      </c>
      <c r="J223" s="9">
        <v>0</v>
      </c>
      <c r="K223" s="9">
        <v>12.4</v>
      </c>
      <c r="L223" s="9">
        <v>0</v>
      </c>
      <c r="M223" s="9">
        <v>1</v>
      </c>
      <c r="N223" s="9">
        <v>1.2</v>
      </c>
      <c r="O223" s="9">
        <v>0.5</v>
      </c>
      <c r="P223" s="9">
        <v>0.8</v>
      </c>
      <c r="Q223" s="9">
        <v>0.6</v>
      </c>
      <c r="R223" s="9">
        <v>1</v>
      </c>
      <c r="S223" s="9">
        <v>0.8</v>
      </c>
      <c r="T223" s="9">
        <v>3</v>
      </c>
      <c r="U223" s="9">
        <v>0</v>
      </c>
      <c r="V223" s="9">
        <v>0</v>
      </c>
      <c r="W223" s="9">
        <v>5.69</v>
      </c>
      <c r="X223">
        <f xml:space="preserve"> Z223 + AA223 + (AB223*G223) + (AC223*H223) + (AD223*I223) + (AE223*J223) + (AF223*(K223/100)) + (AG223*(L223/100))+ (AH223*(M223))</f>
        <v>5.7089999999999996</v>
      </c>
      <c r="Y223" s="1">
        <f>X223-W223</f>
        <v>1.899999999999924E-2</v>
      </c>
      <c r="Z223">
        <f>U223</f>
        <v>0</v>
      </c>
      <c r="AA223">
        <f>V223</f>
        <v>0</v>
      </c>
      <c r="AB223">
        <f>N223</f>
        <v>1.2</v>
      </c>
      <c r="AC223">
        <f>O223</f>
        <v>0.5</v>
      </c>
      <c r="AD223">
        <f>P223</f>
        <v>0.8</v>
      </c>
      <c r="AE223">
        <f>Q223</f>
        <v>0.6</v>
      </c>
      <c r="AF223">
        <f>R223</f>
        <v>1</v>
      </c>
      <c r="AG223">
        <f>S223</f>
        <v>0.8</v>
      </c>
      <c r="AH223">
        <f t="shared" si="28"/>
        <v>3</v>
      </c>
    </row>
    <row r="224" spans="1:34" hidden="1" x14ac:dyDescent="0.3">
      <c r="A224" s="9" t="s">
        <v>221</v>
      </c>
      <c r="B224" s="9" t="s">
        <v>370</v>
      </c>
      <c r="C224" s="9" t="s">
        <v>371</v>
      </c>
      <c r="D224" s="9" t="s">
        <v>22</v>
      </c>
      <c r="E224" s="9">
        <v>0</v>
      </c>
      <c r="F224" s="9">
        <v>0</v>
      </c>
      <c r="G224" s="9">
        <v>0.8</v>
      </c>
      <c r="H224" s="9">
        <v>2.83</v>
      </c>
      <c r="I224" s="9">
        <v>1</v>
      </c>
      <c r="J224" s="9">
        <v>0</v>
      </c>
      <c r="K224" s="9">
        <v>52.4</v>
      </c>
      <c r="L224" s="9">
        <v>0</v>
      </c>
      <c r="M224" s="9">
        <v>0.66700000000000004</v>
      </c>
      <c r="N224" s="9">
        <v>1.2</v>
      </c>
      <c r="O224" s="9">
        <v>0.5</v>
      </c>
      <c r="P224" s="9">
        <v>0.8</v>
      </c>
      <c r="Q224" s="9">
        <v>0.6</v>
      </c>
      <c r="R224" s="9">
        <v>1</v>
      </c>
      <c r="S224" s="9">
        <v>0.8</v>
      </c>
      <c r="T224" s="9">
        <v>3</v>
      </c>
      <c r="U224" s="9">
        <v>0</v>
      </c>
      <c r="V224" s="9">
        <v>0</v>
      </c>
      <c r="W224" s="9">
        <v>5.69</v>
      </c>
      <c r="X224">
        <f xml:space="preserve"> Z224 + AA224 + (AB224*G224) + (AC224*H224) + (AD224*I224) + (AE224*J224) + (AF224*(K224/100)) + (AG224*(L224/100))+ (AH224*(M224))</f>
        <v>5.7</v>
      </c>
      <c r="Y224" s="1">
        <f>X224-W224</f>
        <v>9.9999999999997868E-3</v>
      </c>
      <c r="Z224">
        <f>U224</f>
        <v>0</v>
      </c>
      <c r="AA224">
        <f>V224</f>
        <v>0</v>
      </c>
      <c r="AB224">
        <f>N224</f>
        <v>1.2</v>
      </c>
      <c r="AC224">
        <f>O224</f>
        <v>0.5</v>
      </c>
      <c r="AD224">
        <f>P224</f>
        <v>0.8</v>
      </c>
      <c r="AE224">
        <f>Q224</f>
        <v>0.6</v>
      </c>
      <c r="AF224">
        <f>R224</f>
        <v>1</v>
      </c>
      <c r="AG224">
        <f>S224</f>
        <v>0.8</v>
      </c>
      <c r="AH224">
        <f t="shared" si="28"/>
        <v>3</v>
      </c>
    </row>
    <row r="225" spans="1:34" hidden="1" x14ac:dyDescent="0.3">
      <c r="A225" s="9" t="s">
        <v>533</v>
      </c>
      <c r="B225" s="9" t="s">
        <v>618</v>
      </c>
      <c r="C225" s="9" t="s">
        <v>619</v>
      </c>
      <c r="D225" s="9" t="s">
        <v>22</v>
      </c>
      <c r="E225" s="9">
        <v>0</v>
      </c>
      <c r="F225" s="9">
        <v>0</v>
      </c>
      <c r="G225" s="9">
        <v>0</v>
      </c>
      <c r="H225" s="9">
        <v>0</v>
      </c>
      <c r="I225" s="9">
        <v>2</v>
      </c>
      <c r="J225" s="9">
        <v>3</v>
      </c>
      <c r="K225" s="9">
        <v>46.1</v>
      </c>
      <c r="L225" s="9">
        <v>41.4</v>
      </c>
      <c r="M225" s="9">
        <v>0.5</v>
      </c>
      <c r="N225" s="9">
        <v>1.2</v>
      </c>
      <c r="O225" s="9">
        <v>0.5</v>
      </c>
      <c r="P225" s="9">
        <v>0.8</v>
      </c>
      <c r="Q225" s="9">
        <v>0.6</v>
      </c>
      <c r="R225" s="9">
        <v>1</v>
      </c>
      <c r="S225" s="9">
        <v>0.8</v>
      </c>
      <c r="T225" s="9">
        <v>3</v>
      </c>
      <c r="U225" s="9">
        <v>0</v>
      </c>
      <c r="V225" s="9">
        <v>0</v>
      </c>
      <c r="W225" s="10">
        <v>5.69</v>
      </c>
      <c r="X225" s="5">
        <f xml:space="preserve"> Z225 + AA225 + (AB225*G225) + (AC225*H225) + (AD225*I225) + (AE225*J225) + (AF225*(K225/100)) + (AG225*(L225/100))+ (AH225*(M225))</f>
        <v>5.6921999999999997</v>
      </c>
      <c r="Y225" s="1">
        <f>X225-W225</f>
        <v>2.1999999999993136E-3</v>
      </c>
      <c r="Z225">
        <f>U225</f>
        <v>0</v>
      </c>
      <c r="AA225">
        <f>V225</f>
        <v>0</v>
      </c>
      <c r="AB225">
        <f>N225</f>
        <v>1.2</v>
      </c>
      <c r="AC225">
        <f>O225</f>
        <v>0.5</v>
      </c>
      <c r="AD225">
        <f>P225</f>
        <v>0.8</v>
      </c>
      <c r="AE225">
        <f>Q225</f>
        <v>0.6</v>
      </c>
      <c r="AF225">
        <f>R225</f>
        <v>1</v>
      </c>
      <c r="AG225">
        <f>S225</f>
        <v>0.8</v>
      </c>
      <c r="AH225">
        <f t="shared" si="28"/>
        <v>3</v>
      </c>
    </row>
    <row r="226" spans="1:34" hidden="1" x14ac:dyDescent="0.3">
      <c r="A226" s="9" t="s">
        <v>54</v>
      </c>
      <c r="B226" s="9" t="s">
        <v>60</v>
      </c>
      <c r="C226" s="9" t="s">
        <v>61</v>
      </c>
      <c r="D226" s="9" t="s">
        <v>22</v>
      </c>
      <c r="E226" s="9">
        <v>0</v>
      </c>
      <c r="F226" s="9">
        <v>0</v>
      </c>
      <c r="G226" s="9">
        <v>0</v>
      </c>
      <c r="H226" s="9">
        <v>0</v>
      </c>
      <c r="I226" s="9">
        <v>1</v>
      </c>
      <c r="J226" s="9">
        <v>2</v>
      </c>
      <c r="K226" s="9">
        <v>30.3</v>
      </c>
      <c r="L226" s="9">
        <v>46.6</v>
      </c>
      <c r="M226" s="9">
        <v>1</v>
      </c>
      <c r="N226" s="9">
        <v>1.2</v>
      </c>
      <c r="O226" s="9">
        <v>0.5</v>
      </c>
      <c r="P226" s="9">
        <v>0.8</v>
      </c>
      <c r="Q226" s="9">
        <v>0.6</v>
      </c>
      <c r="R226" s="9">
        <v>1</v>
      </c>
      <c r="S226" s="9">
        <v>0.8</v>
      </c>
      <c r="T226" s="9">
        <v>3</v>
      </c>
      <c r="U226" s="9">
        <v>0</v>
      </c>
      <c r="V226" s="9">
        <v>0</v>
      </c>
      <c r="W226" s="10">
        <v>5.68</v>
      </c>
      <c r="X226" s="5">
        <f xml:space="preserve"> Z226 + AA226 + (AB226*G226) + (AC226*H226) + (AD226*I226) + (AE226*J226) + (AF226*(K226/100)) + (AG226*(L226/100))+ (AH226*(M226))</f>
        <v>5.6757999999999997</v>
      </c>
      <c r="Y226" s="1">
        <f>X226-W226</f>
        <v>-4.1999999999999815E-3</v>
      </c>
      <c r="Z226">
        <f>U226</f>
        <v>0</v>
      </c>
      <c r="AA226">
        <f>V226</f>
        <v>0</v>
      </c>
      <c r="AB226">
        <f>N226</f>
        <v>1.2</v>
      </c>
      <c r="AC226">
        <f>O226</f>
        <v>0.5</v>
      </c>
      <c r="AD226">
        <f>P226</f>
        <v>0.8</v>
      </c>
      <c r="AE226">
        <f>Q226</f>
        <v>0.6</v>
      </c>
      <c r="AF226">
        <f>R226</f>
        <v>1</v>
      </c>
      <c r="AG226">
        <f>S226</f>
        <v>0.8</v>
      </c>
      <c r="AH226">
        <f t="shared" si="28"/>
        <v>3</v>
      </c>
    </row>
    <row r="227" spans="1:34" hidden="1" x14ac:dyDescent="0.3">
      <c r="A227" s="9" t="s">
        <v>221</v>
      </c>
      <c r="B227" s="9" t="s">
        <v>328</v>
      </c>
      <c r="C227" s="9" t="s">
        <v>329</v>
      </c>
      <c r="D227" s="9" t="s">
        <v>22</v>
      </c>
      <c r="E227" s="9">
        <v>0</v>
      </c>
      <c r="F227" s="9">
        <v>0</v>
      </c>
      <c r="G227" s="9">
        <v>0.8</v>
      </c>
      <c r="H227" s="9">
        <v>3.83</v>
      </c>
      <c r="I227" s="9">
        <v>0</v>
      </c>
      <c r="J227" s="9">
        <v>2</v>
      </c>
      <c r="K227" s="9">
        <v>0</v>
      </c>
      <c r="L227" s="9">
        <v>49.7</v>
      </c>
      <c r="M227" s="9">
        <v>0.4</v>
      </c>
      <c r="N227" s="9">
        <v>1.2</v>
      </c>
      <c r="O227" s="9">
        <v>0.5</v>
      </c>
      <c r="P227" s="9">
        <v>0.8</v>
      </c>
      <c r="Q227" s="9">
        <v>0.6</v>
      </c>
      <c r="R227" s="9">
        <v>1</v>
      </c>
      <c r="S227" s="9">
        <v>0.8</v>
      </c>
      <c r="T227" s="9">
        <v>3</v>
      </c>
      <c r="U227" s="9">
        <v>0</v>
      </c>
      <c r="V227" s="9">
        <v>0</v>
      </c>
      <c r="W227" s="9">
        <v>5.66</v>
      </c>
      <c r="X227">
        <f xml:space="preserve"> Z227 + AA227 + (AB227*G227) + (AC227*H227) + (AD227*I227) + (AE227*J227) + (AF227*(K227/100)) + (AG227*(L227/100))+ (AH227*(M227))</f>
        <v>5.6726000000000001</v>
      </c>
      <c r="Y227" s="1">
        <f>X227-W227</f>
        <v>1.2599999999999945E-2</v>
      </c>
      <c r="Z227">
        <f>U227</f>
        <v>0</v>
      </c>
      <c r="AA227">
        <f>V227</f>
        <v>0</v>
      </c>
      <c r="AB227">
        <f>N227</f>
        <v>1.2</v>
      </c>
      <c r="AC227">
        <f>O227</f>
        <v>0.5</v>
      </c>
      <c r="AD227">
        <f>P227</f>
        <v>0.8</v>
      </c>
      <c r="AE227">
        <f>Q227</f>
        <v>0.6</v>
      </c>
      <c r="AF227">
        <f>R227</f>
        <v>1</v>
      </c>
      <c r="AG227">
        <f>S227</f>
        <v>0.8</v>
      </c>
      <c r="AH227">
        <f t="shared" si="28"/>
        <v>3</v>
      </c>
    </row>
    <row r="228" spans="1:34" x14ac:dyDescent="0.3">
      <c r="A228" s="9" t="s">
        <v>398</v>
      </c>
      <c r="B228" s="9" t="s">
        <v>488</v>
      </c>
      <c r="C228" s="9" t="s">
        <v>489</v>
      </c>
      <c r="D228" s="9" t="s">
        <v>22</v>
      </c>
      <c r="E228" s="9">
        <v>0</v>
      </c>
      <c r="F228" s="9">
        <v>0</v>
      </c>
      <c r="G228" s="9">
        <v>0</v>
      </c>
      <c r="H228" s="9">
        <v>0.69</v>
      </c>
      <c r="I228" s="9">
        <v>2</v>
      </c>
      <c r="J228" s="9">
        <v>2</v>
      </c>
      <c r="K228" s="9">
        <v>20.7</v>
      </c>
      <c r="L228" s="9">
        <v>34.5</v>
      </c>
      <c r="M228" s="9">
        <v>0.66700000000000004</v>
      </c>
      <c r="N228" s="9">
        <v>1.2</v>
      </c>
      <c r="O228" s="9">
        <v>0.5</v>
      </c>
      <c r="P228" s="9">
        <v>0.8</v>
      </c>
      <c r="Q228" s="9">
        <v>0.6</v>
      </c>
      <c r="R228" s="9">
        <v>1</v>
      </c>
      <c r="S228" s="9">
        <v>0.8</v>
      </c>
      <c r="T228" s="9">
        <v>3</v>
      </c>
      <c r="U228" s="9">
        <v>0</v>
      </c>
      <c r="V228" s="9">
        <v>0</v>
      </c>
      <c r="W228" s="9">
        <v>5.63</v>
      </c>
      <c r="X228">
        <f xml:space="preserve"> Z228 + AA228 + (AB228*G228) + (AC228*H228) + (AD228*I228) + (AE228*J228) + (AF228*(K228/100)) + (AG228*(L228/100))+ (AH228*(M228))</f>
        <v>5.6289999999999996</v>
      </c>
      <c r="Y228" s="1">
        <f>X228-W228</f>
        <v>-1.000000000000334E-3</v>
      </c>
      <c r="Z228">
        <f>U228</f>
        <v>0</v>
      </c>
      <c r="AA228">
        <f>V228</f>
        <v>0</v>
      </c>
      <c r="AB228">
        <f>N228</f>
        <v>1.2</v>
      </c>
      <c r="AC228">
        <f>O228</f>
        <v>0.5</v>
      </c>
      <c r="AD228">
        <f>P228</f>
        <v>0.8</v>
      </c>
      <c r="AE228">
        <f>Q228</f>
        <v>0.6</v>
      </c>
      <c r="AF228">
        <f>R228</f>
        <v>1</v>
      </c>
      <c r="AG228">
        <f>S228</f>
        <v>0.8</v>
      </c>
      <c r="AH228">
        <f t="shared" si="28"/>
        <v>3</v>
      </c>
    </row>
    <row r="229" spans="1:34" hidden="1" x14ac:dyDescent="0.3">
      <c r="A229" s="9" t="s">
        <v>54</v>
      </c>
      <c r="B229" s="9" t="s">
        <v>142</v>
      </c>
      <c r="C229" s="9" t="s">
        <v>143</v>
      </c>
      <c r="D229" s="9" t="s">
        <v>22</v>
      </c>
      <c r="E229" s="9">
        <v>0</v>
      </c>
      <c r="F229" s="9">
        <v>0</v>
      </c>
      <c r="G229" s="9">
        <v>1.8</v>
      </c>
      <c r="H229" s="9">
        <v>0</v>
      </c>
      <c r="I229" s="9">
        <v>1</v>
      </c>
      <c r="J229" s="9">
        <v>2</v>
      </c>
      <c r="K229" s="9">
        <v>29.5</v>
      </c>
      <c r="L229" s="9">
        <v>38.700000000000003</v>
      </c>
      <c r="M229" s="9">
        <v>0.28599999999999998</v>
      </c>
      <c r="N229" s="9">
        <v>1.2</v>
      </c>
      <c r="O229" s="9">
        <v>0.5</v>
      </c>
      <c r="P229" s="9">
        <v>0.8</v>
      </c>
      <c r="Q229" s="9">
        <v>0.6</v>
      </c>
      <c r="R229" s="9">
        <v>1</v>
      </c>
      <c r="S229" s="9">
        <v>0.8</v>
      </c>
      <c r="T229" s="9">
        <v>3</v>
      </c>
      <c r="U229" s="9">
        <v>0</v>
      </c>
      <c r="V229" s="9">
        <v>0</v>
      </c>
      <c r="W229" s="9">
        <v>5.61</v>
      </c>
      <c r="X229">
        <f xml:space="preserve"> Z229 + AA229 + (AB229*G229) + (AC229*H229) + (AD229*I229) + (AE229*J229) + (AF229*(K229/100)) + (AG229*(L229/100))+ (AH229*(M229))</f>
        <v>5.6225999999999994</v>
      </c>
      <c r="Y229" s="1">
        <f>X229-W229</f>
        <v>1.2599999999999056E-2</v>
      </c>
      <c r="Z229">
        <f>U229</f>
        <v>0</v>
      </c>
      <c r="AA229">
        <f>V229</f>
        <v>0</v>
      </c>
      <c r="AB229">
        <f>N229</f>
        <v>1.2</v>
      </c>
      <c r="AC229">
        <f>O229</f>
        <v>0.5</v>
      </c>
      <c r="AD229">
        <f>P229</f>
        <v>0.8</v>
      </c>
      <c r="AE229">
        <f>Q229</f>
        <v>0.6</v>
      </c>
      <c r="AF229">
        <f>R229</f>
        <v>1</v>
      </c>
      <c r="AG229">
        <f>S229</f>
        <v>0.8</v>
      </c>
      <c r="AH229">
        <f t="shared" si="28"/>
        <v>3</v>
      </c>
    </row>
    <row r="230" spans="1:34" hidden="1" x14ac:dyDescent="0.3">
      <c r="A230" s="9" t="s">
        <v>221</v>
      </c>
      <c r="B230" s="9" t="s">
        <v>336</v>
      </c>
      <c r="C230" s="9" t="s">
        <v>337</v>
      </c>
      <c r="D230" s="9" t="s">
        <v>22</v>
      </c>
      <c r="E230" s="9">
        <v>0</v>
      </c>
      <c r="F230" s="9">
        <v>0</v>
      </c>
      <c r="G230" s="9">
        <v>0.8</v>
      </c>
      <c r="H230" s="9">
        <v>3.33</v>
      </c>
      <c r="I230" s="9">
        <v>2</v>
      </c>
      <c r="J230" s="9">
        <v>0</v>
      </c>
      <c r="K230" s="9">
        <v>37.799999999999997</v>
      </c>
      <c r="L230" s="9">
        <v>0</v>
      </c>
      <c r="M230" s="9">
        <v>0.33300000000000002</v>
      </c>
      <c r="N230" s="9">
        <v>1.2</v>
      </c>
      <c r="O230" s="9">
        <v>0.5</v>
      </c>
      <c r="P230" s="9">
        <v>0.8</v>
      </c>
      <c r="Q230" s="9">
        <v>0.6</v>
      </c>
      <c r="R230" s="9">
        <v>1</v>
      </c>
      <c r="S230" s="9">
        <v>0.8</v>
      </c>
      <c r="T230" s="9">
        <v>3</v>
      </c>
      <c r="U230" s="9">
        <v>0</v>
      </c>
      <c r="V230" s="9">
        <v>0</v>
      </c>
      <c r="W230" s="10">
        <v>5.59</v>
      </c>
      <c r="X230" s="5">
        <f xml:space="preserve"> Z230 + AA230 + (AB230*G230) + (AC230*H230) + (AD230*I230) + (AE230*J230) + (AF230*(K230/100)) + (AG230*(L230/100))+ (AH230*(M230))</f>
        <v>5.6020000000000003</v>
      </c>
      <c r="Y230" s="1">
        <f>X230-W230</f>
        <v>1.2000000000000455E-2</v>
      </c>
      <c r="Z230">
        <f>U230</f>
        <v>0</v>
      </c>
      <c r="AA230">
        <f>V230</f>
        <v>0</v>
      </c>
      <c r="AB230">
        <f>N230</f>
        <v>1.2</v>
      </c>
      <c r="AC230">
        <f>O230</f>
        <v>0.5</v>
      </c>
      <c r="AD230">
        <f>P230</f>
        <v>0.8</v>
      </c>
      <c r="AE230">
        <f>Q230</f>
        <v>0.6</v>
      </c>
      <c r="AF230">
        <f>R230</f>
        <v>1</v>
      </c>
      <c r="AG230">
        <f>S230</f>
        <v>0.8</v>
      </c>
      <c r="AH230">
        <f t="shared" si="28"/>
        <v>3</v>
      </c>
    </row>
    <row r="231" spans="1:34" hidden="1" x14ac:dyDescent="0.3">
      <c r="A231" s="9" t="s">
        <v>533</v>
      </c>
      <c r="B231" s="9" t="s">
        <v>559</v>
      </c>
      <c r="C231" s="9" t="s">
        <v>560</v>
      </c>
      <c r="D231" s="9" t="s">
        <v>22</v>
      </c>
      <c r="E231" s="9">
        <v>0</v>
      </c>
      <c r="F231" s="9">
        <v>0</v>
      </c>
      <c r="G231" s="9">
        <v>0</v>
      </c>
      <c r="H231" s="9">
        <v>0</v>
      </c>
      <c r="I231" s="9">
        <v>2</v>
      </c>
      <c r="J231" s="9">
        <v>2</v>
      </c>
      <c r="K231" s="9">
        <v>48.8</v>
      </c>
      <c r="L231" s="9">
        <v>36.4</v>
      </c>
      <c r="M231" s="9">
        <v>0.66700000000000004</v>
      </c>
      <c r="N231" s="9">
        <v>1.2</v>
      </c>
      <c r="O231" s="9">
        <v>0.5</v>
      </c>
      <c r="P231" s="9">
        <v>0.8</v>
      </c>
      <c r="Q231" s="9">
        <v>0.6</v>
      </c>
      <c r="R231" s="9">
        <v>1</v>
      </c>
      <c r="S231" s="9">
        <v>0.8</v>
      </c>
      <c r="T231" s="9">
        <v>3</v>
      </c>
      <c r="U231" s="9">
        <v>0</v>
      </c>
      <c r="V231" s="9">
        <v>0</v>
      </c>
      <c r="W231" s="9">
        <v>5.58</v>
      </c>
      <c r="X231">
        <f xml:space="preserve"> Z231 + AA231 + (AB231*G231) + (AC231*H231) + (AD231*I231) + (AE231*J231) + (AF231*(K231/100)) + (AG231*(L231/100))+ (AH231*(M231))</f>
        <v>5.5801999999999996</v>
      </c>
      <c r="Y231" s="1">
        <f>X231-W231</f>
        <v>1.9999999999953388E-4</v>
      </c>
      <c r="Z231">
        <f>U231</f>
        <v>0</v>
      </c>
      <c r="AA231">
        <f>V231</f>
        <v>0</v>
      </c>
      <c r="AB231">
        <f>N231</f>
        <v>1.2</v>
      </c>
      <c r="AC231">
        <f>O231</f>
        <v>0.5</v>
      </c>
      <c r="AD231">
        <f>P231</f>
        <v>0.8</v>
      </c>
      <c r="AE231">
        <f>Q231</f>
        <v>0.6</v>
      </c>
      <c r="AF231">
        <f>R231</f>
        <v>1</v>
      </c>
      <c r="AG231">
        <f>S231</f>
        <v>0.8</v>
      </c>
      <c r="AH231">
        <f t="shared" si="28"/>
        <v>3</v>
      </c>
    </row>
    <row r="232" spans="1:34" hidden="1" x14ac:dyDescent="0.3">
      <c r="A232" s="9" t="s">
        <v>221</v>
      </c>
      <c r="B232" s="9" t="s">
        <v>380</v>
      </c>
      <c r="C232" s="9" t="s">
        <v>381</v>
      </c>
      <c r="D232" s="9" t="s">
        <v>22</v>
      </c>
      <c r="E232" s="9">
        <v>0</v>
      </c>
      <c r="F232" s="9">
        <v>0</v>
      </c>
      <c r="G232" s="9">
        <v>0.4</v>
      </c>
      <c r="H232" s="9">
        <v>1.95</v>
      </c>
      <c r="I232" s="9">
        <v>1</v>
      </c>
      <c r="J232" s="9">
        <v>2</v>
      </c>
      <c r="K232" s="9">
        <v>44.2</v>
      </c>
      <c r="L232" s="9">
        <v>51.4</v>
      </c>
      <c r="M232" s="9">
        <v>0.4</v>
      </c>
      <c r="N232" s="9">
        <v>1.2</v>
      </c>
      <c r="O232" s="9">
        <v>0.5</v>
      </c>
      <c r="P232" s="9">
        <v>0.8</v>
      </c>
      <c r="Q232" s="9">
        <v>0.6</v>
      </c>
      <c r="R232" s="9">
        <v>1</v>
      </c>
      <c r="S232" s="9">
        <v>0.8</v>
      </c>
      <c r="T232" s="9">
        <v>3</v>
      </c>
      <c r="U232" s="9">
        <v>0</v>
      </c>
      <c r="V232" s="9">
        <v>0</v>
      </c>
      <c r="W232" s="9">
        <v>5.5</v>
      </c>
      <c r="X232">
        <f xml:space="preserve"> Z232 + AA232 + (AB232*G232) + (AC232*H232) + (AD232*I232) + (AE232*J232) + (AF232*(K232/100)) + (AG232*(L232/100))+ (AH232*(M232))</f>
        <v>5.5082000000000004</v>
      </c>
      <c r="Y232" s="1">
        <f>X232-W232</f>
        <v>8.2000000000004292E-3</v>
      </c>
      <c r="Z232">
        <f>U232</f>
        <v>0</v>
      </c>
      <c r="AA232">
        <f>V232</f>
        <v>0</v>
      </c>
      <c r="AB232">
        <f>N232</f>
        <v>1.2</v>
      </c>
      <c r="AC232">
        <f>O232</f>
        <v>0.5</v>
      </c>
      <c r="AD232">
        <f>P232</f>
        <v>0.8</v>
      </c>
      <c r="AE232">
        <f>Q232</f>
        <v>0.6</v>
      </c>
      <c r="AF232">
        <f>R232</f>
        <v>1</v>
      </c>
      <c r="AG232">
        <f>S232</f>
        <v>0.8</v>
      </c>
      <c r="AH232">
        <f t="shared" si="28"/>
        <v>3</v>
      </c>
    </row>
    <row r="233" spans="1:34" x14ac:dyDescent="0.3">
      <c r="A233" s="9" t="s">
        <v>398</v>
      </c>
      <c r="B233" s="9" t="s">
        <v>418</v>
      </c>
      <c r="C233" s="9" t="s">
        <v>419</v>
      </c>
      <c r="D233" s="9" t="s">
        <v>22</v>
      </c>
      <c r="E233" s="9">
        <v>0</v>
      </c>
      <c r="F233" s="9">
        <v>0</v>
      </c>
      <c r="G233" s="9">
        <v>1.2</v>
      </c>
      <c r="H233" s="9">
        <v>2.89</v>
      </c>
      <c r="I233" s="9">
        <v>1</v>
      </c>
      <c r="J233" s="9">
        <v>0</v>
      </c>
      <c r="K233" s="9">
        <v>34.1</v>
      </c>
      <c r="L233" s="9">
        <v>0</v>
      </c>
      <c r="M233" s="9">
        <v>0.5</v>
      </c>
      <c r="N233" s="9">
        <v>1.2</v>
      </c>
      <c r="O233" s="9">
        <v>0.5</v>
      </c>
      <c r="P233" s="9">
        <v>0.8</v>
      </c>
      <c r="Q233" s="9">
        <v>0.6</v>
      </c>
      <c r="R233" s="9">
        <v>1</v>
      </c>
      <c r="S233" s="9">
        <v>0.8</v>
      </c>
      <c r="T233" s="9">
        <v>3</v>
      </c>
      <c r="U233" s="9">
        <v>0</v>
      </c>
      <c r="V233" s="9">
        <v>0</v>
      </c>
      <c r="W233" s="10">
        <v>5.5</v>
      </c>
      <c r="X233" s="5">
        <f xml:space="preserve"> Z233 + AA233 + (AB233*G233) + (AC233*H233) + (AD233*I233) + (AE233*J233) + (AF233*(K233/100)) + (AG233*(L233/100))+ (AH233*(M233))</f>
        <v>5.5259999999999998</v>
      </c>
      <c r="Y233" s="1">
        <f>X233-W233</f>
        <v>2.5999999999999801E-2</v>
      </c>
      <c r="Z233">
        <f>U233</f>
        <v>0</v>
      </c>
      <c r="AA233">
        <f>V233</f>
        <v>0</v>
      </c>
      <c r="AB233">
        <f>N233</f>
        <v>1.2</v>
      </c>
      <c r="AC233">
        <f>O233</f>
        <v>0.5</v>
      </c>
      <c r="AD233">
        <f>P233</f>
        <v>0.8</v>
      </c>
      <c r="AE233">
        <f>Q233</f>
        <v>0.6</v>
      </c>
      <c r="AF233">
        <f>R233</f>
        <v>1</v>
      </c>
      <c r="AG233">
        <f>S233</f>
        <v>0.8</v>
      </c>
      <c r="AH233">
        <f t="shared" si="28"/>
        <v>3</v>
      </c>
    </row>
    <row r="234" spans="1:34" hidden="1" x14ac:dyDescent="0.3">
      <c r="A234" s="9" t="s">
        <v>54</v>
      </c>
      <c r="B234" s="9" t="s">
        <v>86</v>
      </c>
      <c r="C234" s="9" t="s">
        <v>87</v>
      </c>
      <c r="D234" s="9" t="s">
        <v>22</v>
      </c>
      <c r="E234" s="9">
        <v>0</v>
      </c>
      <c r="F234" s="9">
        <v>0</v>
      </c>
      <c r="G234" s="9">
        <v>1.8</v>
      </c>
      <c r="H234" s="9">
        <v>2.2000000000000002</v>
      </c>
      <c r="I234" s="9">
        <v>1</v>
      </c>
      <c r="J234" s="9">
        <v>0</v>
      </c>
      <c r="K234" s="9">
        <v>39.9</v>
      </c>
      <c r="L234" s="9">
        <v>0</v>
      </c>
      <c r="M234" s="9">
        <v>0.33300000000000002</v>
      </c>
      <c r="N234" s="9">
        <v>1.2</v>
      </c>
      <c r="O234" s="9">
        <v>0.5</v>
      </c>
      <c r="P234" s="9">
        <v>0.8</v>
      </c>
      <c r="Q234" s="9">
        <v>0.6</v>
      </c>
      <c r="R234" s="9">
        <v>1</v>
      </c>
      <c r="S234" s="9">
        <v>0.8</v>
      </c>
      <c r="T234" s="9">
        <v>3</v>
      </c>
      <c r="U234" s="9">
        <v>0</v>
      </c>
      <c r="V234" s="9">
        <v>0</v>
      </c>
      <c r="W234" s="9">
        <v>5.44</v>
      </c>
      <c r="X234">
        <f xml:space="preserve"> Z234 + AA234 + (AB234*G234) + (AC234*H234) + (AD234*I234) + (AE234*J234) + (AF234*(K234/100)) + (AG234*(L234/100))+ (AH234*(M234))</f>
        <v>5.4580000000000002</v>
      </c>
      <c r="Y234" s="1">
        <f>X234-W234</f>
        <v>1.7999999999999794E-2</v>
      </c>
      <c r="Z234">
        <f>U234</f>
        <v>0</v>
      </c>
      <c r="AA234">
        <f>V234</f>
        <v>0</v>
      </c>
      <c r="AB234">
        <f>N234</f>
        <v>1.2</v>
      </c>
      <c r="AC234">
        <f>O234</f>
        <v>0.5</v>
      </c>
      <c r="AD234">
        <f>P234</f>
        <v>0.8</v>
      </c>
      <c r="AE234">
        <f>Q234</f>
        <v>0.6</v>
      </c>
      <c r="AF234">
        <f>R234</f>
        <v>1</v>
      </c>
      <c r="AG234">
        <f>S234</f>
        <v>0.8</v>
      </c>
      <c r="AH234">
        <f t="shared" si="28"/>
        <v>3</v>
      </c>
    </row>
    <row r="235" spans="1:34" hidden="1" x14ac:dyDescent="0.3">
      <c r="A235" s="9" t="s">
        <v>54</v>
      </c>
      <c r="B235" s="9" t="s">
        <v>88</v>
      </c>
      <c r="C235" s="9" t="s">
        <v>89</v>
      </c>
      <c r="D235" s="9" t="s">
        <v>22</v>
      </c>
      <c r="E235" s="9">
        <v>0</v>
      </c>
      <c r="F235" s="9">
        <v>0</v>
      </c>
      <c r="G235" s="9">
        <v>1.8</v>
      </c>
      <c r="H235" s="9">
        <v>1.79</v>
      </c>
      <c r="I235" s="9">
        <v>1</v>
      </c>
      <c r="J235" s="9">
        <v>0</v>
      </c>
      <c r="K235" s="9">
        <v>39.9</v>
      </c>
      <c r="L235" s="9">
        <v>0</v>
      </c>
      <c r="M235" s="9">
        <v>0.4</v>
      </c>
      <c r="N235" s="9">
        <v>1.2</v>
      </c>
      <c r="O235" s="9">
        <v>0.5</v>
      </c>
      <c r="P235" s="9">
        <v>0.8</v>
      </c>
      <c r="Q235" s="9">
        <v>0.6</v>
      </c>
      <c r="R235" s="9">
        <v>1</v>
      </c>
      <c r="S235" s="9">
        <v>0.8</v>
      </c>
      <c r="T235" s="9">
        <v>3</v>
      </c>
      <c r="U235" s="9">
        <v>0</v>
      </c>
      <c r="V235" s="9">
        <v>0</v>
      </c>
      <c r="W235" s="9">
        <v>5.44</v>
      </c>
      <c r="X235">
        <f xml:space="preserve"> Z235 + AA235 + (AB235*G235) + (AC235*H235) + (AD235*I235) + (AE235*J235) + (AF235*(K235/100)) + (AG235*(L235/100))+ (AH235*(M235))</f>
        <v>5.4540000000000006</v>
      </c>
      <c r="Y235" s="1">
        <f>X235-W235</f>
        <v>1.4000000000000234E-2</v>
      </c>
      <c r="Z235">
        <f>U235</f>
        <v>0</v>
      </c>
      <c r="AA235">
        <f>V235</f>
        <v>0</v>
      </c>
      <c r="AB235">
        <f>N235</f>
        <v>1.2</v>
      </c>
      <c r="AC235">
        <f>O235</f>
        <v>0.5</v>
      </c>
      <c r="AD235">
        <f>P235</f>
        <v>0.8</v>
      </c>
      <c r="AE235">
        <f>Q235</f>
        <v>0.6</v>
      </c>
      <c r="AF235">
        <f>R235</f>
        <v>1</v>
      </c>
      <c r="AG235">
        <f>S235</f>
        <v>0.8</v>
      </c>
      <c r="AH235">
        <f t="shared" si="28"/>
        <v>3</v>
      </c>
    </row>
    <row r="236" spans="1:34" x14ac:dyDescent="0.3">
      <c r="A236" s="9" t="s">
        <v>398</v>
      </c>
      <c r="B236" s="9" t="s">
        <v>428</v>
      </c>
      <c r="C236" s="9" t="s">
        <v>429</v>
      </c>
      <c r="D236" s="9" t="s">
        <v>22</v>
      </c>
      <c r="E236" s="9">
        <v>0</v>
      </c>
      <c r="F236" s="9">
        <v>0</v>
      </c>
      <c r="G236" s="9">
        <v>2.4</v>
      </c>
      <c r="H236" s="9">
        <v>0</v>
      </c>
      <c r="I236" s="9">
        <v>1</v>
      </c>
      <c r="J236" s="9">
        <v>0</v>
      </c>
      <c r="K236" s="9">
        <v>30.6</v>
      </c>
      <c r="L236" s="9">
        <v>0</v>
      </c>
      <c r="M236" s="9">
        <v>0.5</v>
      </c>
      <c r="N236" s="9">
        <v>1.2</v>
      </c>
      <c r="O236" s="9">
        <v>0.5</v>
      </c>
      <c r="P236" s="9">
        <v>0.8</v>
      </c>
      <c r="Q236" s="9">
        <v>0.6</v>
      </c>
      <c r="R236" s="9">
        <v>1</v>
      </c>
      <c r="S236" s="9">
        <v>0.8</v>
      </c>
      <c r="T236" s="9">
        <v>3</v>
      </c>
      <c r="U236" s="9">
        <v>0</v>
      </c>
      <c r="V236" s="9">
        <v>0</v>
      </c>
      <c r="W236" s="9">
        <v>5.44</v>
      </c>
      <c r="X236">
        <f xml:space="preserve"> Z236 + AA236 + (AB236*G236) + (AC236*H236) + (AD236*I236) + (AE236*J236) + (AF236*(K236/100)) + (AG236*(L236/100))+ (AH236*(M236))</f>
        <v>5.4859999999999998</v>
      </c>
      <c r="Y236" s="1">
        <f>X236-W236</f>
        <v>4.5999999999999375E-2</v>
      </c>
      <c r="Z236">
        <f>U236</f>
        <v>0</v>
      </c>
      <c r="AA236">
        <f>V236</f>
        <v>0</v>
      </c>
      <c r="AB236">
        <f>N236</f>
        <v>1.2</v>
      </c>
      <c r="AC236">
        <f>O236</f>
        <v>0.5</v>
      </c>
      <c r="AD236">
        <f>P236</f>
        <v>0.8</v>
      </c>
      <c r="AE236">
        <f>Q236</f>
        <v>0.6</v>
      </c>
      <c r="AF236">
        <f>R236</f>
        <v>1</v>
      </c>
      <c r="AG236">
        <f>S236</f>
        <v>0.8</v>
      </c>
      <c r="AH236">
        <f t="shared" si="28"/>
        <v>3</v>
      </c>
    </row>
    <row r="237" spans="1:34" x14ac:dyDescent="0.3">
      <c r="A237" s="9" t="s">
        <v>398</v>
      </c>
      <c r="B237" s="9" t="s">
        <v>450</v>
      </c>
      <c r="C237" s="9" t="s">
        <v>451</v>
      </c>
      <c r="D237" s="9" t="s">
        <v>22</v>
      </c>
      <c r="E237" s="9">
        <v>0</v>
      </c>
      <c r="F237" s="9">
        <v>0</v>
      </c>
      <c r="G237" s="9">
        <v>2.4</v>
      </c>
      <c r="H237" s="9">
        <v>0</v>
      </c>
      <c r="I237" s="9">
        <v>1</v>
      </c>
      <c r="J237" s="9">
        <v>0</v>
      </c>
      <c r="K237" s="9">
        <v>30.6</v>
      </c>
      <c r="L237" s="9">
        <v>0</v>
      </c>
      <c r="M237" s="9">
        <v>0.5</v>
      </c>
      <c r="N237" s="9">
        <v>1.2</v>
      </c>
      <c r="O237" s="9">
        <v>0.5</v>
      </c>
      <c r="P237" s="9">
        <v>0.8</v>
      </c>
      <c r="Q237" s="9">
        <v>0.6</v>
      </c>
      <c r="R237" s="9">
        <v>1</v>
      </c>
      <c r="S237" s="9">
        <v>0.8</v>
      </c>
      <c r="T237" s="9">
        <v>3</v>
      </c>
      <c r="U237" s="9">
        <v>0</v>
      </c>
      <c r="V237" s="9">
        <v>0</v>
      </c>
      <c r="W237" s="9">
        <v>5.44</v>
      </c>
      <c r="X237">
        <f xml:space="preserve"> Z237 + AA237 + (AB237*G237) + (AC237*H237) + (AD237*I237) + (AE237*J237) + (AF237*(K237/100)) + (AG237*(L237/100))+ (AH237*(M237))</f>
        <v>5.4859999999999998</v>
      </c>
      <c r="Y237" s="1">
        <f>X237-W237</f>
        <v>4.5999999999999375E-2</v>
      </c>
      <c r="Z237">
        <f>U237</f>
        <v>0</v>
      </c>
      <c r="AA237">
        <f>V237</f>
        <v>0</v>
      </c>
      <c r="AB237">
        <f>N237</f>
        <v>1.2</v>
      </c>
      <c r="AC237">
        <f>O237</f>
        <v>0.5</v>
      </c>
      <c r="AD237">
        <f>P237</f>
        <v>0.8</v>
      </c>
      <c r="AE237">
        <f>Q237</f>
        <v>0.6</v>
      </c>
      <c r="AF237">
        <f>R237</f>
        <v>1</v>
      </c>
      <c r="AG237">
        <f>S237</f>
        <v>0.8</v>
      </c>
      <c r="AH237">
        <f t="shared" si="28"/>
        <v>3</v>
      </c>
    </row>
    <row r="238" spans="1:34" x14ac:dyDescent="0.3">
      <c r="A238" s="9" t="s">
        <v>398</v>
      </c>
      <c r="B238" s="9" t="s">
        <v>452</v>
      </c>
      <c r="C238" s="9" t="s">
        <v>453</v>
      </c>
      <c r="D238" s="9" t="s">
        <v>22</v>
      </c>
      <c r="E238" s="9">
        <v>0</v>
      </c>
      <c r="F238" s="9">
        <v>0</v>
      </c>
      <c r="G238" s="9">
        <v>2.4</v>
      </c>
      <c r="H238" s="9">
        <v>0</v>
      </c>
      <c r="I238" s="9">
        <v>1</v>
      </c>
      <c r="J238" s="9">
        <v>0</v>
      </c>
      <c r="K238" s="9">
        <v>30.6</v>
      </c>
      <c r="L238" s="9">
        <v>0</v>
      </c>
      <c r="M238" s="9">
        <v>0.5</v>
      </c>
      <c r="N238" s="9">
        <v>1.2</v>
      </c>
      <c r="O238" s="9">
        <v>0.5</v>
      </c>
      <c r="P238" s="9">
        <v>0.8</v>
      </c>
      <c r="Q238" s="9">
        <v>0.6</v>
      </c>
      <c r="R238" s="9">
        <v>1</v>
      </c>
      <c r="S238" s="9">
        <v>0.8</v>
      </c>
      <c r="T238" s="9">
        <v>3</v>
      </c>
      <c r="U238" s="9">
        <v>0</v>
      </c>
      <c r="V238" s="9">
        <v>0</v>
      </c>
      <c r="W238" s="9">
        <v>5.44</v>
      </c>
      <c r="X238">
        <f xml:space="preserve"> Z238 + AA238 + (AB238*G238) + (AC238*H238) + (AD238*I238) + (AE238*J238) + (AF238*(K238/100)) + (AG238*(L238/100))+ (AH238*(M238))</f>
        <v>5.4859999999999998</v>
      </c>
      <c r="Y238" s="1">
        <f>X238-W238</f>
        <v>4.5999999999999375E-2</v>
      </c>
      <c r="Z238">
        <f>U238</f>
        <v>0</v>
      </c>
      <c r="AA238">
        <f>V238</f>
        <v>0</v>
      </c>
      <c r="AB238">
        <f>N238</f>
        <v>1.2</v>
      </c>
      <c r="AC238">
        <f>O238</f>
        <v>0.5</v>
      </c>
      <c r="AD238">
        <f>P238</f>
        <v>0.8</v>
      </c>
      <c r="AE238">
        <f>Q238</f>
        <v>0.6</v>
      </c>
      <c r="AF238">
        <f>R238</f>
        <v>1</v>
      </c>
      <c r="AG238">
        <f>S238</f>
        <v>0.8</v>
      </c>
      <c r="AH238">
        <f t="shared" si="28"/>
        <v>3</v>
      </c>
    </row>
    <row r="239" spans="1:34" x14ac:dyDescent="0.3">
      <c r="A239" s="9" t="s">
        <v>398</v>
      </c>
      <c r="B239" s="9" t="s">
        <v>454</v>
      </c>
      <c r="C239" s="9" t="s">
        <v>455</v>
      </c>
      <c r="D239" s="9" t="s">
        <v>22</v>
      </c>
      <c r="E239" s="9">
        <v>0</v>
      </c>
      <c r="F239" s="9">
        <v>0</v>
      </c>
      <c r="G239" s="9">
        <v>2.4</v>
      </c>
      <c r="H239" s="9">
        <v>0</v>
      </c>
      <c r="I239" s="9">
        <v>1</v>
      </c>
      <c r="J239" s="9">
        <v>0</v>
      </c>
      <c r="K239" s="9">
        <v>30.6</v>
      </c>
      <c r="L239" s="9">
        <v>0</v>
      </c>
      <c r="M239" s="9">
        <v>0.5</v>
      </c>
      <c r="N239" s="9">
        <v>1.2</v>
      </c>
      <c r="O239" s="9">
        <v>0.5</v>
      </c>
      <c r="P239" s="9">
        <v>0.8</v>
      </c>
      <c r="Q239" s="9">
        <v>0.6</v>
      </c>
      <c r="R239" s="9">
        <v>1</v>
      </c>
      <c r="S239" s="9">
        <v>0.8</v>
      </c>
      <c r="T239" s="9">
        <v>3</v>
      </c>
      <c r="U239" s="9">
        <v>0</v>
      </c>
      <c r="V239" s="9">
        <v>0</v>
      </c>
      <c r="W239" s="9">
        <v>5.44</v>
      </c>
      <c r="X239">
        <f xml:space="preserve"> Z239 + AA239 + (AB239*G239) + (AC239*H239) + (AD239*I239) + (AE239*J239) + (AF239*(K239/100)) + (AG239*(L239/100))+ (AH239*(M239))</f>
        <v>5.4859999999999998</v>
      </c>
      <c r="Y239" s="1">
        <f>X239-W239</f>
        <v>4.5999999999999375E-2</v>
      </c>
      <c r="Z239">
        <f>U239</f>
        <v>0</v>
      </c>
      <c r="AA239">
        <f>V239</f>
        <v>0</v>
      </c>
      <c r="AB239">
        <f>N239</f>
        <v>1.2</v>
      </c>
      <c r="AC239">
        <f>O239</f>
        <v>0.5</v>
      </c>
      <c r="AD239">
        <f>P239</f>
        <v>0.8</v>
      </c>
      <c r="AE239">
        <f>Q239</f>
        <v>0.6</v>
      </c>
      <c r="AF239">
        <f>R239</f>
        <v>1</v>
      </c>
      <c r="AG239">
        <f>S239</f>
        <v>0.8</v>
      </c>
      <c r="AH239">
        <f t="shared" si="28"/>
        <v>3</v>
      </c>
    </row>
    <row r="240" spans="1:34" x14ac:dyDescent="0.3">
      <c r="A240" s="9" t="s">
        <v>398</v>
      </c>
      <c r="B240" s="9" t="s">
        <v>466</v>
      </c>
      <c r="C240" s="9" t="s">
        <v>467</v>
      </c>
      <c r="D240" s="9" t="s">
        <v>22</v>
      </c>
      <c r="E240" s="9">
        <v>0</v>
      </c>
      <c r="F240" s="9">
        <v>0</v>
      </c>
      <c r="G240" s="9">
        <v>2.4</v>
      </c>
      <c r="H240" s="9">
        <v>0</v>
      </c>
      <c r="I240" s="9">
        <v>1</v>
      </c>
      <c r="J240" s="9">
        <v>0</v>
      </c>
      <c r="K240" s="9">
        <v>30.6</v>
      </c>
      <c r="L240" s="9">
        <v>0</v>
      </c>
      <c r="M240" s="9">
        <v>0.5</v>
      </c>
      <c r="N240" s="9">
        <v>1.2</v>
      </c>
      <c r="O240" s="9">
        <v>0.5</v>
      </c>
      <c r="P240" s="9">
        <v>0.8</v>
      </c>
      <c r="Q240" s="9">
        <v>0.6</v>
      </c>
      <c r="R240" s="9">
        <v>1</v>
      </c>
      <c r="S240" s="9">
        <v>0.8</v>
      </c>
      <c r="T240" s="9">
        <v>3</v>
      </c>
      <c r="U240" s="9">
        <v>0</v>
      </c>
      <c r="V240" s="9">
        <v>0</v>
      </c>
      <c r="W240" s="10">
        <v>5.44</v>
      </c>
      <c r="X240" s="5">
        <f xml:space="preserve"> Z240 + AA240 + (AB240*G240) + (AC240*H240) + (AD240*I240) + (AE240*J240) + (AF240*(K240/100)) + (AG240*(L240/100))+ (AH240*(M240))</f>
        <v>5.4859999999999998</v>
      </c>
      <c r="Y240" s="1">
        <f>X240-W240</f>
        <v>4.5999999999999375E-2</v>
      </c>
      <c r="Z240">
        <f>U240</f>
        <v>0</v>
      </c>
      <c r="AA240">
        <f>V240</f>
        <v>0</v>
      </c>
      <c r="AB240">
        <f>N240</f>
        <v>1.2</v>
      </c>
      <c r="AC240">
        <f>O240</f>
        <v>0.5</v>
      </c>
      <c r="AD240">
        <f>P240</f>
        <v>0.8</v>
      </c>
      <c r="AE240">
        <f>Q240</f>
        <v>0.6</v>
      </c>
      <c r="AF240">
        <f>R240</f>
        <v>1</v>
      </c>
      <c r="AG240">
        <f>S240</f>
        <v>0.8</v>
      </c>
      <c r="AH240">
        <f t="shared" si="28"/>
        <v>3</v>
      </c>
    </row>
    <row r="241" spans="1:34" x14ac:dyDescent="0.3">
      <c r="A241" s="9" t="s">
        <v>398</v>
      </c>
      <c r="B241" s="9" t="s">
        <v>480</v>
      </c>
      <c r="C241" s="9" t="s">
        <v>481</v>
      </c>
      <c r="D241" s="9" t="s">
        <v>22</v>
      </c>
      <c r="E241" s="9">
        <v>0</v>
      </c>
      <c r="F241" s="9">
        <v>0</v>
      </c>
      <c r="G241" s="9">
        <v>2.4</v>
      </c>
      <c r="H241" s="9">
        <v>0</v>
      </c>
      <c r="I241" s="9">
        <v>1</v>
      </c>
      <c r="J241" s="9">
        <v>0</v>
      </c>
      <c r="K241" s="9">
        <v>30.6</v>
      </c>
      <c r="L241" s="9">
        <v>0</v>
      </c>
      <c r="M241" s="9">
        <v>0.5</v>
      </c>
      <c r="N241" s="9">
        <v>1.2</v>
      </c>
      <c r="O241" s="9">
        <v>0.5</v>
      </c>
      <c r="P241" s="9">
        <v>0.8</v>
      </c>
      <c r="Q241" s="9">
        <v>0.6</v>
      </c>
      <c r="R241" s="9">
        <v>1</v>
      </c>
      <c r="S241" s="9">
        <v>0.8</v>
      </c>
      <c r="T241" s="9">
        <v>3</v>
      </c>
      <c r="U241" s="9">
        <v>0</v>
      </c>
      <c r="V241" s="9">
        <v>0</v>
      </c>
      <c r="W241" s="10">
        <v>5.44</v>
      </c>
      <c r="X241" s="5">
        <f xml:space="preserve"> Z241 + AA241 + (AB241*G241) + (AC241*H241) + (AD241*I241) + (AE241*J241) + (AF241*(K241/100)) + (AG241*(L241/100))+ (AH241*(M241))</f>
        <v>5.4859999999999998</v>
      </c>
      <c r="Y241" s="1">
        <f>X241-W241</f>
        <v>4.5999999999999375E-2</v>
      </c>
      <c r="Z241">
        <f>U241</f>
        <v>0</v>
      </c>
      <c r="AA241">
        <f>V241</f>
        <v>0</v>
      </c>
      <c r="AB241">
        <f>N241</f>
        <v>1.2</v>
      </c>
      <c r="AC241">
        <f>O241</f>
        <v>0.5</v>
      </c>
      <c r="AD241">
        <f>P241</f>
        <v>0.8</v>
      </c>
      <c r="AE241">
        <f>Q241</f>
        <v>0.6</v>
      </c>
      <c r="AF241">
        <f>R241</f>
        <v>1</v>
      </c>
      <c r="AG241">
        <f>S241</f>
        <v>0.8</v>
      </c>
      <c r="AH241">
        <f t="shared" si="28"/>
        <v>3</v>
      </c>
    </row>
    <row r="242" spans="1:34" hidden="1" x14ac:dyDescent="0.3">
      <c r="A242" s="9" t="s">
        <v>221</v>
      </c>
      <c r="B242" s="9" t="s">
        <v>302</v>
      </c>
      <c r="C242" s="9" t="s">
        <v>303</v>
      </c>
      <c r="D242" s="9" t="s">
        <v>22</v>
      </c>
      <c r="E242" s="9">
        <v>0</v>
      </c>
      <c r="F242" s="9">
        <v>0</v>
      </c>
      <c r="G242" s="9">
        <v>2</v>
      </c>
      <c r="H242" s="9">
        <v>0.69</v>
      </c>
      <c r="I242" s="9">
        <v>1</v>
      </c>
      <c r="J242" s="9">
        <v>0</v>
      </c>
      <c r="K242" s="9">
        <v>40.4</v>
      </c>
      <c r="L242" s="9">
        <v>0</v>
      </c>
      <c r="M242" s="9">
        <v>0.5</v>
      </c>
      <c r="N242" s="9">
        <v>1.2</v>
      </c>
      <c r="O242" s="9">
        <v>0.5</v>
      </c>
      <c r="P242" s="9">
        <v>0.8</v>
      </c>
      <c r="Q242" s="9">
        <v>0.6</v>
      </c>
      <c r="R242" s="9">
        <v>1</v>
      </c>
      <c r="S242" s="9">
        <v>0.8</v>
      </c>
      <c r="T242" s="9">
        <v>3</v>
      </c>
      <c r="U242" s="9">
        <v>0</v>
      </c>
      <c r="V242" s="9">
        <v>0</v>
      </c>
      <c r="W242" s="9">
        <v>5.41</v>
      </c>
      <c r="X242">
        <f xml:space="preserve"> Z242 + AA242 + (AB242*G242) + (AC242*H242) + (AD242*I242) + (AE242*J242) + (AF242*(K242/100)) + (AG242*(L242/100))+ (AH242*(M242))</f>
        <v>5.4489999999999998</v>
      </c>
      <c r="Y242" s="1">
        <f>X242-W242</f>
        <v>3.8999999999999702E-2</v>
      </c>
      <c r="Z242">
        <f>U242</f>
        <v>0</v>
      </c>
      <c r="AA242">
        <f>V242</f>
        <v>0</v>
      </c>
      <c r="AB242">
        <f>N242</f>
        <v>1.2</v>
      </c>
      <c r="AC242">
        <f>O242</f>
        <v>0.5</v>
      </c>
      <c r="AD242">
        <f>P242</f>
        <v>0.8</v>
      </c>
      <c r="AE242">
        <f>Q242</f>
        <v>0.6</v>
      </c>
      <c r="AF242">
        <f>R242</f>
        <v>1</v>
      </c>
      <c r="AG242">
        <f>S242</f>
        <v>0.8</v>
      </c>
      <c r="AH242">
        <f t="shared" si="28"/>
        <v>3</v>
      </c>
    </row>
    <row r="243" spans="1:34" hidden="1" x14ac:dyDescent="0.3">
      <c r="A243" s="9" t="s">
        <v>221</v>
      </c>
      <c r="B243" s="9" t="s">
        <v>320</v>
      </c>
      <c r="C243" s="9" t="s">
        <v>321</v>
      </c>
      <c r="D243" s="9" t="s">
        <v>22</v>
      </c>
      <c r="E243" s="9">
        <v>0</v>
      </c>
      <c r="F243" s="9">
        <v>0</v>
      </c>
      <c r="G243" s="9">
        <v>0.4</v>
      </c>
      <c r="H243" s="9">
        <v>4.45</v>
      </c>
      <c r="I243" s="9">
        <v>0</v>
      </c>
      <c r="J243" s="9">
        <v>3</v>
      </c>
      <c r="K243" s="9">
        <v>0</v>
      </c>
      <c r="L243" s="9">
        <v>28.1</v>
      </c>
      <c r="M243" s="9">
        <v>0.222</v>
      </c>
      <c r="N243" s="9">
        <v>1.2</v>
      </c>
      <c r="O243" s="9">
        <v>0.5</v>
      </c>
      <c r="P243" s="9">
        <v>0.8</v>
      </c>
      <c r="Q243" s="9">
        <v>0.6</v>
      </c>
      <c r="R243" s="9">
        <v>1</v>
      </c>
      <c r="S243" s="9">
        <v>0.8</v>
      </c>
      <c r="T243" s="9">
        <v>3</v>
      </c>
      <c r="U243" s="9">
        <v>0</v>
      </c>
      <c r="V243" s="9">
        <v>0</v>
      </c>
      <c r="W243" s="10">
        <v>5.39</v>
      </c>
      <c r="X243" s="5">
        <f xml:space="preserve"> Z243 + AA243 + (AB243*G243) + (AC243*H243) + (AD243*I243) + (AE243*J243) + (AF243*(K243/100)) + (AG243*(L243/100))+ (AH243*(M243))</f>
        <v>5.3958000000000004</v>
      </c>
      <c r="Y243" s="1">
        <f>X243-W243</f>
        <v>5.8000000000006935E-3</v>
      </c>
      <c r="Z243">
        <f>U243</f>
        <v>0</v>
      </c>
      <c r="AA243">
        <f>V243</f>
        <v>0</v>
      </c>
      <c r="AB243">
        <f>N243</f>
        <v>1.2</v>
      </c>
      <c r="AC243">
        <f>O243</f>
        <v>0.5</v>
      </c>
      <c r="AD243">
        <f>P243</f>
        <v>0.8</v>
      </c>
      <c r="AE243">
        <f>Q243</f>
        <v>0.6</v>
      </c>
      <c r="AF243">
        <f>R243</f>
        <v>1</v>
      </c>
      <c r="AG243">
        <f>S243</f>
        <v>0.8</v>
      </c>
      <c r="AH243">
        <f t="shared" si="28"/>
        <v>3</v>
      </c>
    </row>
    <row r="244" spans="1:34" hidden="1" x14ac:dyDescent="0.3">
      <c r="A244" s="9" t="s">
        <v>221</v>
      </c>
      <c r="B244" s="9" t="s">
        <v>258</v>
      </c>
      <c r="C244" s="9" t="s">
        <v>259</v>
      </c>
      <c r="D244" s="9" t="s">
        <v>22</v>
      </c>
      <c r="E244" s="9">
        <v>0</v>
      </c>
      <c r="F244" s="9">
        <v>0</v>
      </c>
      <c r="G244" s="9">
        <v>0.8</v>
      </c>
      <c r="H244" s="9">
        <v>1.1000000000000001</v>
      </c>
      <c r="I244" s="9">
        <v>1</v>
      </c>
      <c r="J244" s="9">
        <v>3</v>
      </c>
      <c r="K244" s="9">
        <v>14.7</v>
      </c>
      <c r="L244" s="9">
        <v>32.1</v>
      </c>
      <c r="M244" s="9">
        <v>0.28599999999999998</v>
      </c>
      <c r="N244" s="9">
        <v>1.2</v>
      </c>
      <c r="O244" s="9">
        <v>0.5</v>
      </c>
      <c r="P244" s="9">
        <v>0.8</v>
      </c>
      <c r="Q244" s="9">
        <v>0.6</v>
      </c>
      <c r="R244" s="9">
        <v>1</v>
      </c>
      <c r="S244" s="9">
        <v>0.8</v>
      </c>
      <c r="T244" s="9">
        <v>3</v>
      </c>
      <c r="U244" s="9">
        <v>0</v>
      </c>
      <c r="V244" s="9">
        <v>0</v>
      </c>
      <c r="W244" s="10">
        <v>5.36</v>
      </c>
      <c r="X244" s="5">
        <f xml:space="preserve"> Z244 + AA244 + (AB244*G244) + (AC244*H244) + (AD244*I244) + (AE244*J244) + (AF244*(K244/100)) + (AG244*(L244/100))+ (AH244*(M244))</f>
        <v>5.3717999999999995</v>
      </c>
      <c r="Y244" s="1">
        <f>X244-W244</f>
        <v>1.1799999999999145E-2</v>
      </c>
      <c r="Z244">
        <f>U244</f>
        <v>0</v>
      </c>
      <c r="AA244">
        <f>V244</f>
        <v>0</v>
      </c>
      <c r="AB244">
        <f>N244</f>
        <v>1.2</v>
      </c>
      <c r="AC244">
        <f>O244</f>
        <v>0.5</v>
      </c>
      <c r="AD244">
        <f>P244</f>
        <v>0.8</v>
      </c>
      <c r="AE244">
        <f>Q244</f>
        <v>0.6</v>
      </c>
      <c r="AF244">
        <f>R244</f>
        <v>1</v>
      </c>
      <c r="AG244">
        <f>S244</f>
        <v>0.8</v>
      </c>
      <c r="AH244">
        <f t="shared" si="28"/>
        <v>3</v>
      </c>
    </row>
    <row r="245" spans="1:34" hidden="1" x14ac:dyDescent="0.3">
      <c r="A245" s="9" t="s">
        <v>221</v>
      </c>
      <c r="B245" s="9" t="s">
        <v>292</v>
      </c>
      <c r="C245" s="9" t="s">
        <v>293</v>
      </c>
      <c r="D245" s="9" t="s">
        <v>22</v>
      </c>
      <c r="E245" s="9">
        <v>0</v>
      </c>
      <c r="F245" s="9">
        <v>0</v>
      </c>
      <c r="G245" s="9">
        <v>0.8</v>
      </c>
      <c r="H245" s="9">
        <v>1.61</v>
      </c>
      <c r="I245" s="9">
        <v>0</v>
      </c>
      <c r="J245" s="9">
        <v>2</v>
      </c>
      <c r="K245" s="9">
        <v>0</v>
      </c>
      <c r="L245" s="9">
        <v>51.4</v>
      </c>
      <c r="M245" s="9">
        <v>0.66700000000000004</v>
      </c>
      <c r="N245" s="9">
        <v>1.2</v>
      </c>
      <c r="O245" s="9">
        <v>0.5</v>
      </c>
      <c r="P245" s="9">
        <v>0.8</v>
      </c>
      <c r="Q245" s="9">
        <v>0.6</v>
      </c>
      <c r="R245" s="9">
        <v>1</v>
      </c>
      <c r="S245" s="9">
        <v>0.8</v>
      </c>
      <c r="T245" s="9">
        <v>3</v>
      </c>
      <c r="U245" s="9">
        <v>0</v>
      </c>
      <c r="V245" s="9">
        <v>0</v>
      </c>
      <c r="W245" s="10">
        <v>5.36</v>
      </c>
      <c r="X245" s="5">
        <f xml:space="preserve"> Z245 + AA245 + (AB245*G245) + (AC245*H245) + (AD245*I245) + (AE245*J245) + (AF245*(K245/100)) + (AG245*(L245/100))+ (AH245*(M245))</f>
        <v>5.3772000000000002</v>
      </c>
      <c r="Y245" s="1">
        <f>X245-W245</f>
        <v>1.7199999999999882E-2</v>
      </c>
      <c r="Z245">
        <f>U245</f>
        <v>0</v>
      </c>
      <c r="AA245">
        <f>V245</f>
        <v>0</v>
      </c>
      <c r="AB245">
        <f>N245</f>
        <v>1.2</v>
      </c>
      <c r="AC245">
        <f>O245</f>
        <v>0.5</v>
      </c>
      <c r="AD245">
        <f>P245</f>
        <v>0.8</v>
      </c>
      <c r="AE245">
        <f>Q245</f>
        <v>0.6</v>
      </c>
      <c r="AF245">
        <f>R245</f>
        <v>1</v>
      </c>
      <c r="AG245">
        <f>S245</f>
        <v>0.8</v>
      </c>
      <c r="AH245">
        <f t="shared" si="28"/>
        <v>3</v>
      </c>
    </row>
    <row r="246" spans="1:34" hidden="1" x14ac:dyDescent="0.3">
      <c r="A246" s="9" t="s">
        <v>54</v>
      </c>
      <c r="B246" s="9" t="s">
        <v>128</v>
      </c>
      <c r="C246" s="9" t="s">
        <v>129</v>
      </c>
      <c r="D246" s="9" t="s">
        <v>22</v>
      </c>
      <c r="E246" s="9">
        <v>0</v>
      </c>
      <c r="F246" s="9">
        <v>0</v>
      </c>
      <c r="G246" s="9">
        <v>1.8</v>
      </c>
      <c r="H246" s="9">
        <v>1.61</v>
      </c>
      <c r="I246" s="9">
        <v>1</v>
      </c>
      <c r="J246" s="9">
        <v>0</v>
      </c>
      <c r="K246" s="9">
        <v>39.9</v>
      </c>
      <c r="L246" s="9">
        <v>0</v>
      </c>
      <c r="M246" s="9">
        <v>0.4</v>
      </c>
      <c r="N246" s="9">
        <v>1.2</v>
      </c>
      <c r="O246" s="9">
        <v>0.5</v>
      </c>
      <c r="P246" s="9">
        <v>0.8</v>
      </c>
      <c r="Q246" s="9">
        <v>0.6</v>
      </c>
      <c r="R246" s="9">
        <v>1</v>
      </c>
      <c r="S246" s="9">
        <v>0.8</v>
      </c>
      <c r="T246" s="9">
        <v>3</v>
      </c>
      <c r="U246" s="9">
        <v>0</v>
      </c>
      <c r="V246" s="9">
        <v>0</v>
      </c>
      <c r="W246" s="9">
        <v>5.35</v>
      </c>
      <c r="X246" s="6">
        <f xml:space="preserve"> Z246 + AA246 + (AB246*G246) + (AC246*H246) + (AD246*I246) + (AE246*J246) + (AF246*(K246/100)) + (AG246*(L246/100))+ (AH246*(M246))</f>
        <v>14.239000000000001</v>
      </c>
      <c r="Y246" s="7">
        <f>X246-W246</f>
        <v>8.8890000000000011</v>
      </c>
      <c r="Z246" s="6">
        <f>U246</f>
        <v>0</v>
      </c>
      <c r="AA246" s="6">
        <f>V246</f>
        <v>0</v>
      </c>
      <c r="AB246" s="6">
        <v>3</v>
      </c>
      <c r="AC246" s="6">
        <v>4</v>
      </c>
      <c r="AD246" s="6">
        <f>P246</f>
        <v>0.8</v>
      </c>
      <c r="AE246" s="6">
        <v>1</v>
      </c>
      <c r="AF246" s="6">
        <f>R246</f>
        <v>1</v>
      </c>
      <c r="AG246" s="6">
        <f>S246</f>
        <v>0.8</v>
      </c>
      <c r="AH246">
        <f t="shared" si="28"/>
        <v>3</v>
      </c>
    </row>
    <row r="247" spans="1:34" hidden="1" x14ac:dyDescent="0.3">
      <c r="A247" s="9" t="s">
        <v>54</v>
      </c>
      <c r="B247" s="9" t="s">
        <v>150</v>
      </c>
      <c r="C247" s="9" t="s">
        <v>151</v>
      </c>
      <c r="D247" s="9" t="s">
        <v>22</v>
      </c>
      <c r="E247" s="9">
        <v>0</v>
      </c>
      <c r="F247" s="9">
        <v>0</v>
      </c>
      <c r="G247" s="9">
        <v>1.8</v>
      </c>
      <c r="H247" s="9">
        <v>1.61</v>
      </c>
      <c r="I247" s="9">
        <v>1</v>
      </c>
      <c r="J247" s="9">
        <v>0</v>
      </c>
      <c r="K247" s="9">
        <v>39.9</v>
      </c>
      <c r="L247" s="9">
        <v>0</v>
      </c>
      <c r="M247" s="9">
        <v>0.4</v>
      </c>
      <c r="N247" s="9">
        <v>1.2</v>
      </c>
      <c r="O247" s="9">
        <v>0.5</v>
      </c>
      <c r="P247" s="9">
        <v>0.8</v>
      </c>
      <c r="Q247" s="9">
        <v>0.6</v>
      </c>
      <c r="R247" s="9">
        <v>1</v>
      </c>
      <c r="S247" s="9">
        <v>0.8</v>
      </c>
      <c r="T247" s="9">
        <v>3</v>
      </c>
      <c r="U247" s="9">
        <v>0</v>
      </c>
      <c r="V247" s="9">
        <v>0</v>
      </c>
      <c r="W247" s="9">
        <v>5.35</v>
      </c>
      <c r="X247">
        <f xml:space="preserve"> Z247 + AA247 + (AB247*G247) + (AC247*H247) + (AD247*I247) + (AE247*J247) + (AF247*(K247/100)) + (AG247*(L247/100))+ (AH247*(M247))</f>
        <v>5.3640000000000008</v>
      </c>
      <c r="Y247" s="1">
        <f>X247-W247</f>
        <v>1.4000000000001123E-2</v>
      </c>
      <c r="Z247">
        <f>U247</f>
        <v>0</v>
      </c>
      <c r="AA247">
        <f>V247</f>
        <v>0</v>
      </c>
      <c r="AB247">
        <f>N247</f>
        <v>1.2</v>
      </c>
      <c r="AC247">
        <f>O247</f>
        <v>0.5</v>
      </c>
      <c r="AD247">
        <f>P247</f>
        <v>0.8</v>
      </c>
      <c r="AE247">
        <f>Q247</f>
        <v>0.6</v>
      </c>
      <c r="AF247">
        <f>R247</f>
        <v>1</v>
      </c>
      <c r="AG247">
        <f>S247</f>
        <v>0.8</v>
      </c>
      <c r="AH247">
        <f t="shared" si="28"/>
        <v>3</v>
      </c>
    </row>
    <row r="248" spans="1:34" hidden="1" x14ac:dyDescent="0.3">
      <c r="A248" s="9" t="s">
        <v>533</v>
      </c>
      <c r="B248" s="9" t="s">
        <v>647</v>
      </c>
      <c r="C248" s="9" t="s">
        <v>648</v>
      </c>
      <c r="D248" s="9" t="s">
        <v>22</v>
      </c>
      <c r="E248" s="9">
        <v>0</v>
      </c>
      <c r="F248" s="9">
        <v>0</v>
      </c>
      <c r="G248" s="9">
        <v>0</v>
      </c>
      <c r="H248" s="9">
        <v>2.08</v>
      </c>
      <c r="I248" s="9">
        <v>1</v>
      </c>
      <c r="J248" s="9">
        <v>4</v>
      </c>
      <c r="K248" s="9">
        <v>37</v>
      </c>
      <c r="L248" s="9">
        <v>41.9</v>
      </c>
      <c r="M248" s="9">
        <v>0.13300000000000001</v>
      </c>
      <c r="N248" s="9">
        <v>1.2</v>
      </c>
      <c r="O248" s="9">
        <v>0.5</v>
      </c>
      <c r="P248" s="9">
        <v>0.8</v>
      </c>
      <c r="Q248" s="9">
        <v>0.6</v>
      </c>
      <c r="R248" s="9">
        <v>1</v>
      </c>
      <c r="S248" s="9">
        <v>0.8</v>
      </c>
      <c r="T248" s="9">
        <v>3</v>
      </c>
      <c r="U248" s="9">
        <v>0</v>
      </c>
      <c r="V248" s="9">
        <v>0</v>
      </c>
      <c r="W248" s="9">
        <v>5.34</v>
      </c>
      <c r="X248"/>
      <c r="AH248">
        <f t="shared" si="28"/>
        <v>3</v>
      </c>
    </row>
    <row r="249" spans="1:34" x14ac:dyDescent="0.3">
      <c r="A249" s="9" t="s">
        <v>398</v>
      </c>
      <c r="B249" s="9" t="s">
        <v>514</v>
      </c>
      <c r="C249" s="9" t="s">
        <v>515</v>
      </c>
      <c r="D249" s="9" t="s">
        <v>22</v>
      </c>
      <c r="E249" s="9">
        <v>0</v>
      </c>
      <c r="F249" s="9">
        <v>0</v>
      </c>
      <c r="G249" s="9">
        <v>0</v>
      </c>
      <c r="H249" s="9">
        <v>0.69</v>
      </c>
      <c r="I249" s="9">
        <v>1</v>
      </c>
      <c r="J249" s="9">
        <v>2</v>
      </c>
      <c r="K249" s="9">
        <v>69.400000000000006</v>
      </c>
      <c r="L249" s="9">
        <v>34.5</v>
      </c>
      <c r="M249" s="9">
        <v>0.66700000000000004</v>
      </c>
      <c r="N249" s="9">
        <v>1.2</v>
      </c>
      <c r="O249" s="9">
        <v>0.5</v>
      </c>
      <c r="P249" s="9">
        <v>0.8</v>
      </c>
      <c r="Q249" s="9">
        <v>0.6</v>
      </c>
      <c r="R249" s="9">
        <v>1</v>
      </c>
      <c r="S249" s="9">
        <v>0.8</v>
      </c>
      <c r="T249" s="9">
        <v>3</v>
      </c>
      <c r="U249" s="9">
        <v>0</v>
      </c>
      <c r="V249" s="9">
        <v>0</v>
      </c>
      <c r="W249" s="9">
        <v>5.32</v>
      </c>
      <c r="X249">
        <f xml:space="preserve"> Z249 + AA249 + (AB249*G249) + (AC249*H249) + (AD249*I249) + (AE249*J249) + (AF249*(K249/100)) + (AG249*(L249/100))+ (AH249*(M249))</f>
        <v>5.3159999999999998</v>
      </c>
      <c r="Y249" s="1">
        <f>X249-W249</f>
        <v>-4.0000000000004476E-3</v>
      </c>
      <c r="Z249">
        <f>U249</f>
        <v>0</v>
      </c>
      <c r="AA249">
        <f>V249</f>
        <v>0</v>
      </c>
      <c r="AB249">
        <f>N249</f>
        <v>1.2</v>
      </c>
      <c r="AC249">
        <f>O249</f>
        <v>0.5</v>
      </c>
      <c r="AD249">
        <f>P249</f>
        <v>0.8</v>
      </c>
      <c r="AE249">
        <f>Q249</f>
        <v>0.6</v>
      </c>
      <c r="AF249">
        <f>R249</f>
        <v>1</v>
      </c>
      <c r="AG249">
        <f>S249</f>
        <v>0.8</v>
      </c>
      <c r="AH249">
        <f t="shared" si="28"/>
        <v>3</v>
      </c>
    </row>
    <row r="250" spans="1:34" hidden="1" x14ac:dyDescent="0.3">
      <c r="A250" s="9" t="s">
        <v>54</v>
      </c>
      <c r="B250" s="9" t="s">
        <v>106</v>
      </c>
      <c r="C250" s="9" t="s">
        <v>107</v>
      </c>
      <c r="D250" s="9" t="s">
        <v>22</v>
      </c>
      <c r="E250" s="9">
        <v>0</v>
      </c>
      <c r="F250" s="9">
        <v>0</v>
      </c>
      <c r="G250" s="9">
        <v>1.8</v>
      </c>
      <c r="H250" s="9">
        <v>1.79</v>
      </c>
      <c r="I250" s="9">
        <v>1</v>
      </c>
      <c r="J250" s="9">
        <v>0</v>
      </c>
      <c r="K250" s="9">
        <v>39.9</v>
      </c>
      <c r="L250" s="9">
        <v>0</v>
      </c>
      <c r="M250" s="9">
        <v>0.33300000000000002</v>
      </c>
      <c r="N250" s="9">
        <v>1.2</v>
      </c>
      <c r="O250" s="9">
        <v>0.5</v>
      </c>
      <c r="P250" s="9">
        <v>0.8</v>
      </c>
      <c r="Q250" s="9">
        <v>0.6</v>
      </c>
      <c r="R250" s="9">
        <v>1</v>
      </c>
      <c r="S250" s="9">
        <v>0.8</v>
      </c>
      <c r="T250" s="9">
        <v>3</v>
      </c>
      <c r="U250" s="9">
        <v>0</v>
      </c>
      <c r="V250" s="9">
        <v>0</v>
      </c>
      <c r="W250" s="9">
        <v>5.24</v>
      </c>
      <c r="X250">
        <f xml:space="preserve"> Z250 + AA250 + (AB250*G250) + (AC250*H250) + (AD250*I250) + (AE250*J250) + (AF250*(K250/100)) + (AG250*(L250/100))+ (AH250*(M250))</f>
        <v>5.2530000000000001</v>
      </c>
      <c r="Y250" s="1">
        <f>X250-W250</f>
        <v>1.2999999999999901E-2</v>
      </c>
      <c r="Z250">
        <f>U250</f>
        <v>0</v>
      </c>
      <c r="AA250">
        <f>V250</f>
        <v>0</v>
      </c>
      <c r="AB250">
        <f>N250</f>
        <v>1.2</v>
      </c>
      <c r="AC250">
        <f>O250</f>
        <v>0.5</v>
      </c>
      <c r="AD250">
        <f>P250</f>
        <v>0.8</v>
      </c>
      <c r="AE250">
        <f>Q250</f>
        <v>0.6</v>
      </c>
      <c r="AF250">
        <f>R250</f>
        <v>1</v>
      </c>
      <c r="AG250">
        <f>S250</f>
        <v>0.8</v>
      </c>
      <c r="AH250">
        <f t="shared" si="28"/>
        <v>3</v>
      </c>
    </row>
    <row r="251" spans="1:34" hidden="1" x14ac:dyDescent="0.3">
      <c r="A251" s="9" t="s">
        <v>54</v>
      </c>
      <c r="B251" s="9" t="s">
        <v>108</v>
      </c>
      <c r="C251" s="9" t="s">
        <v>109</v>
      </c>
      <c r="D251" s="9" t="s">
        <v>22</v>
      </c>
      <c r="E251" s="9">
        <v>0</v>
      </c>
      <c r="F251" s="9">
        <v>0</v>
      </c>
      <c r="G251" s="9">
        <v>1.8</v>
      </c>
      <c r="H251" s="9">
        <v>1.79</v>
      </c>
      <c r="I251" s="9">
        <v>1</v>
      </c>
      <c r="J251" s="9">
        <v>0</v>
      </c>
      <c r="K251" s="9">
        <v>39.9</v>
      </c>
      <c r="L251" s="9">
        <v>0</v>
      </c>
      <c r="M251" s="9">
        <v>0.33300000000000002</v>
      </c>
      <c r="N251" s="9">
        <v>1.2</v>
      </c>
      <c r="O251" s="9">
        <v>0.5</v>
      </c>
      <c r="P251" s="9">
        <v>0.8</v>
      </c>
      <c r="Q251" s="9">
        <v>0.6</v>
      </c>
      <c r="R251" s="9">
        <v>1</v>
      </c>
      <c r="S251" s="9">
        <v>0.8</v>
      </c>
      <c r="T251" s="9">
        <v>3</v>
      </c>
      <c r="U251" s="9">
        <v>0</v>
      </c>
      <c r="V251" s="9">
        <v>0</v>
      </c>
      <c r="W251" s="9">
        <v>5.24</v>
      </c>
      <c r="X251">
        <f xml:space="preserve"> Z251 + AA251 + (AB251*G251) + (AC251*H251) + (AD251*I251) + (AE251*J251) + (AF251*(K251/100)) + (AG251*(L251/100))+ (AH251*(M251))</f>
        <v>5.2530000000000001</v>
      </c>
      <c r="Y251" s="1">
        <f>X251-W251</f>
        <v>1.2999999999999901E-2</v>
      </c>
      <c r="Z251">
        <f>U251</f>
        <v>0</v>
      </c>
      <c r="AA251">
        <f>V251</f>
        <v>0</v>
      </c>
      <c r="AB251">
        <f>N251</f>
        <v>1.2</v>
      </c>
      <c r="AC251">
        <f>O251</f>
        <v>0.5</v>
      </c>
      <c r="AD251">
        <f>P251</f>
        <v>0.8</v>
      </c>
      <c r="AE251">
        <f>Q251</f>
        <v>0.6</v>
      </c>
      <c r="AF251">
        <f>R251</f>
        <v>1</v>
      </c>
      <c r="AG251">
        <f>S251</f>
        <v>0.8</v>
      </c>
      <c r="AH251">
        <f t="shared" si="28"/>
        <v>3</v>
      </c>
    </row>
    <row r="252" spans="1:34" hidden="1" x14ac:dyDescent="0.3">
      <c r="A252" s="9" t="s">
        <v>54</v>
      </c>
      <c r="B252" s="9" t="s">
        <v>118</v>
      </c>
      <c r="C252" s="9" t="s">
        <v>119</v>
      </c>
      <c r="D252" s="9" t="s">
        <v>22</v>
      </c>
      <c r="E252" s="9">
        <v>0</v>
      </c>
      <c r="F252" s="9">
        <v>0</v>
      </c>
      <c r="G252" s="9">
        <v>1.8</v>
      </c>
      <c r="H252" s="9">
        <v>0</v>
      </c>
      <c r="I252" s="9">
        <v>1</v>
      </c>
      <c r="J252" s="9">
        <v>2</v>
      </c>
      <c r="K252" s="9">
        <v>29.5</v>
      </c>
      <c r="L252" s="9">
        <v>38.700000000000003</v>
      </c>
      <c r="M252" s="9">
        <v>0.154</v>
      </c>
      <c r="N252" s="9">
        <v>1.2</v>
      </c>
      <c r="O252" s="9">
        <v>0.5</v>
      </c>
      <c r="P252" s="9">
        <v>0.8</v>
      </c>
      <c r="Q252" s="9">
        <v>0.6</v>
      </c>
      <c r="R252" s="9">
        <v>1</v>
      </c>
      <c r="S252" s="9">
        <v>0.8</v>
      </c>
      <c r="T252" s="9">
        <v>3</v>
      </c>
      <c r="U252" s="9">
        <v>0</v>
      </c>
      <c r="V252" s="9">
        <v>0</v>
      </c>
      <c r="W252" s="9">
        <v>5.21</v>
      </c>
      <c r="X252">
        <f xml:space="preserve"> Z252 + AA252 + (AB252*G252) + (AC252*H252) + (AD252*I252) + (AE252*J252) + (AF252*(K252/100)) + (AG252*(L252/100))+ (AH252*(M252))</f>
        <v>5.2265999999999995</v>
      </c>
      <c r="Y252" s="1">
        <f>X252-W252</f>
        <v>1.6599999999999504E-2</v>
      </c>
      <c r="Z252">
        <f>U252</f>
        <v>0</v>
      </c>
      <c r="AA252">
        <f>V252</f>
        <v>0</v>
      </c>
      <c r="AB252">
        <f>N252</f>
        <v>1.2</v>
      </c>
      <c r="AC252">
        <f>O252</f>
        <v>0.5</v>
      </c>
      <c r="AD252">
        <f>P252</f>
        <v>0.8</v>
      </c>
      <c r="AE252">
        <f>Q252</f>
        <v>0.6</v>
      </c>
      <c r="AF252">
        <f>R252</f>
        <v>1</v>
      </c>
      <c r="AG252">
        <f>S252</f>
        <v>0.8</v>
      </c>
      <c r="AH252">
        <f t="shared" si="28"/>
        <v>3</v>
      </c>
    </row>
    <row r="253" spans="1:34" hidden="1" x14ac:dyDescent="0.3">
      <c r="A253" s="9" t="s">
        <v>54</v>
      </c>
      <c r="B253" s="9" t="s">
        <v>98</v>
      </c>
      <c r="C253" s="9" t="s">
        <v>99</v>
      </c>
      <c r="D253" s="9" t="s">
        <v>22</v>
      </c>
      <c r="E253" s="9">
        <v>0</v>
      </c>
      <c r="F253" s="9">
        <v>0</v>
      </c>
      <c r="G253" s="9">
        <v>1.8</v>
      </c>
      <c r="H253" s="9">
        <v>1.95</v>
      </c>
      <c r="I253" s="9">
        <v>1</v>
      </c>
      <c r="J253" s="9">
        <v>0</v>
      </c>
      <c r="K253" s="9">
        <v>39.9</v>
      </c>
      <c r="L253" s="9">
        <v>0</v>
      </c>
      <c r="M253" s="9">
        <v>0.28599999999999998</v>
      </c>
      <c r="N253" s="9">
        <v>1.2</v>
      </c>
      <c r="O253" s="9">
        <v>0.5</v>
      </c>
      <c r="P253" s="9">
        <v>0.8</v>
      </c>
      <c r="Q253" s="9">
        <v>0.6</v>
      </c>
      <c r="R253" s="9">
        <v>1</v>
      </c>
      <c r="S253" s="9">
        <v>0.8</v>
      </c>
      <c r="T253" s="9">
        <v>3</v>
      </c>
      <c r="U253" s="9">
        <v>0</v>
      </c>
      <c r="V253" s="9">
        <v>0</v>
      </c>
      <c r="W253" s="10">
        <v>5.17</v>
      </c>
      <c r="X253" s="5">
        <f xml:space="preserve"> Z253 + AA253 + (AB253*G253) + (AC253*H253) + (AD253*I253) + (AE253*J253) + (AF253*(K253/100)) + (AG253*(L253/100))+ (AH253*(M253))</f>
        <v>5.1920000000000002</v>
      </c>
      <c r="Y253" s="1">
        <f>X253-W253</f>
        <v>2.2000000000000242E-2</v>
      </c>
      <c r="Z253">
        <f>U253</f>
        <v>0</v>
      </c>
      <c r="AA253">
        <f>V253</f>
        <v>0</v>
      </c>
      <c r="AB253">
        <f>N253</f>
        <v>1.2</v>
      </c>
      <c r="AC253">
        <f>O253</f>
        <v>0.5</v>
      </c>
      <c r="AD253">
        <f>P253</f>
        <v>0.8</v>
      </c>
      <c r="AE253">
        <f>Q253</f>
        <v>0.6</v>
      </c>
      <c r="AF253">
        <f>R253</f>
        <v>1</v>
      </c>
      <c r="AG253">
        <f>S253</f>
        <v>0.8</v>
      </c>
      <c r="AH253">
        <f t="shared" si="28"/>
        <v>3</v>
      </c>
    </row>
    <row r="254" spans="1:34" hidden="1" x14ac:dyDescent="0.3">
      <c r="A254" s="9" t="s">
        <v>221</v>
      </c>
      <c r="B254" s="9" t="s">
        <v>324</v>
      </c>
      <c r="C254" s="9" t="s">
        <v>325</v>
      </c>
      <c r="D254" s="9" t="s">
        <v>22</v>
      </c>
      <c r="E254" s="9">
        <v>0</v>
      </c>
      <c r="F254" s="9">
        <v>0</v>
      </c>
      <c r="G254" s="9">
        <v>0.8</v>
      </c>
      <c r="H254" s="9">
        <v>2.89</v>
      </c>
      <c r="I254" s="9">
        <v>1</v>
      </c>
      <c r="J254" s="9">
        <v>0</v>
      </c>
      <c r="K254" s="9">
        <v>47.3</v>
      </c>
      <c r="L254" s="9">
        <v>0</v>
      </c>
      <c r="M254" s="9">
        <v>0.5</v>
      </c>
      <c r="N254" s="9">
        <v>1.2</v>
      </c>
      <c r="O254" s="9">
        <v>0.5</v>
      </c>
      <c r="P254" s="9">
        <v>0.8</v>
      </c>
      <c r="Q254" s="9">
        <v>0.6</v>
      </c>
      <c r="R254" s="9">
        <v>1</v>
      </c>
      <c r="S254" s="9">
        <v>0.8</v>
      </c>
      <c r="T254" s="9">
        <v>3</v>
      </c>
      <c r="U254" s="9">
        <v>0</v>
      </c>
      <c r="V254" s="9">
        <v>0</v>
      </c>
      <c r="W254" s="9">
        <v>5.16</v>
      </c>
      <c r="X254">
        <f xml:space="preserve"> Z254 + AA254 + (AB254*G254) + (AC254*H254) + (AD254*I254) + (AE254*J254) + (AF254*(K254/100)) + (AG254*(L254/100))+ (AH254*(M254))</f>
        <v>5.1779999999999999</v>
      </c>
      <c r="Y254" s="1">
        <f>X254-W254</f>
        <v>1.7999999999999794E-2</v>
      </c>
      <c r="Z254">
        <f>U254</f>
        <v>0</v>
      </c>
      <c r="AA254">
        <f>V254</f>
        <v>0</v>
      </c>
      <c r="AB254">
        <f>N254</f>
        <v>1.2</v>
      </c>
      <c r="AC254">
        <f>O254</f>
        <v>0.5</v>
      </c>
      <c r="AD254">
        <f>P254</f>
        <v>0.8</v>
      </c>
      <c r="AE254">
        <f>Q254</f>
        <v>0.6</v>
      </c>
      <c r="AF254">
        <f>R254</f>
        <v>1</v>
      </c>
      <c r="AG254">
        <f>S254</f>
        <v>0.8</v>
      </c>
      <c r="AH254">
        <f t="shared" si="28"/>
        <v>3</v>
      </c>
    </row>
    <row r="255" spans="1:34" hidden="1" x14ac:dyDescent="0.3">
      <c r="A255" s="9" t="s">
        <v>54</v>
      </c>
      <c r="B255" s="9" t="s">
        <v>104</v>
      </c>
      <c r="C255" s="9" t="s">
        <v>105</v>
      </c>
      <c r="D255" s="9" t="s">
        <v>22</v>
      </c>
      <c r="E255" s="9">
        <v>0</v>
      </c>
      <c r="F255" s="9">
        <v>0</v>
      </c>
      <c r="G255" s="9">
        <v>1.8</v>
      </c>
      <c r="H255" s="9">
        <v>1.61</v>
      </c>
      <c r="I255" s="9">
        <v>1</v>
      </c>
      <c r="J255" s="9">
        <v>0</v>
      </c>
      <c r="K255" s="9">
        <v>39.9</v>
      </c>
      <c r="L255" s="9">
        <v>0</v>
      </c>
      <c r="M255" s="9">
        <v>0.33300000000000002</v>
      </c>
      <c r="N255" s="9">
        <v>1.2</v>
      </c>
      <c r="O255" s="9">
        <v>0.5</v>
      </c>
      <c r="P255" s="9">
        <v>0.8</v>
      </c>
      <c r="Q255" s="9">
        <v>0.6</v>
      </c>
      <c r="R255" s="9">
        <v>1</v>
      </c>
      <c r="S255" s="9">
        <v>0.8</v>
      </c>
      <c r="T255" s="9">
        <v>3</v>
      </c>
      <c r="U255" s="9">
        <v>0</v>
      </c>
      <c r="V255" s="9">
        <v>0</v>
      </c>
      <c r="W255" s="9">
        <v>5.15</v>
      </c>
      <c r="X255">
        <f xml:space="preserve"> Z255 + AA255 + (AB255*G255) + (AC255*H255) + (AD255*I255) + (AE255*J255) + (AF255*(K255/100)) + (AG255*(L255/100))+ (AH255*(M255))</f>
        <v>5.1630000000000003</v>
      </c>
      <c r="Y255" s="1">
        <f>X255-W255</f>
        <v>1.2999999999999901E-2</v>
      </c>
      <c r="Z255">
        <f>U255</f>
        <v>0</v>
      </c>
      <c r="AA255">
        <f>V255</f>
        <v>0</v>
      </c>
      <c r="AB255">
        <f>N255</f>
        <v>1.2</v>
      </c>
      <c r="AC255">
        <f>O255</f>
        <v>0.5</v>
      </c>
      <c r="AD255">
        <f>P255</f>
        <v>0.8</v>
      </c>
      <c r="AE255">
        <f>Q255</f>
        <v>0.6</v>
      </c>
      <c r="AF255">
        <f>R255</f>
        <v>1</v>
      </c>
      <c r="AG255">
        <f>S255</f>
        <v>0.8</v>
      </c>
      <c r="AH255">
        <f t="shared" si="28"/>
        <v>3</v>
      </c>
    </row>
    <row r="256" spans="1:34" hidden="1" x14ac:dyDescent="0.3">
      <c r="A256" s="9" t="s">
        <v>54</v>
      </c>
      <c r="B256" s="9" t="s">
        <v>114</v>
      </c>
      <c r="C256" s="9" t="s">
        <v>115</v>
      </c>
      <c r="D256" s="9" t="s">
        <v>22</v>
      </c>
      <c r="E256" s="9">
        <v>0</v>
      </c>
      <c r="F256" s="9">
        <v>0</v>
      </c>
      <c r="G256" s="9">
        <v>1.8</v>
      </c>
      <c r="H256" s="9">
        <v>1.61</v>
      </c>
      <c r="I256" s="9">
        <v>1</v>
      </c>
      <c r="J256" s="9">
        <v>0</v>
      </c>
      <c r="K256" s="9">
        <v>39.9</v>
      </c>
      <c r="L256" s="9">
        <v>0</v>
      </c>
      <c r="M256" s="9">
        <v>0.33300000000000002</v>
      </c>
      <c r="N256" s="9">
        <v>1.2</v>
      </c>
      <c r="O256" s="9">
        <v>0.5</v>
      </c>
      <c r="P256" s="9">
        <v>0.8</v>
      </c>
      <c r="Q256" s="9">
        <v>0.6</v>
      </c>
      <c r="R256" s="9">
        <v>1</v>
      </c>
      <c r="S256" s="9">
        <v>0.8</v>
      </c>
      <c r="T256" s="9">
        <v>3</v>
      </c>
      <c r="U256" s="9">
        <v>0</v>
      </c>
      <c r="V256" s="9">
        <v>0</v>
      </c>
      <c r="W256" s="10">
        <v>5.15</v>
      </c>
      <c r="X256" s="5">
        <f xml:space="preserve"> Z256 + AA256 + (AB256*G256) + (AC256*H256) + (AD256*I256) + (AE256*J256) + (AF256*(K256/100)) + (AG256*(L256/100))+ (AH256*(M256))</f>
        <v>5.1630000000000003</v>
      </c>
      <c r="Y256" s="1">
        <f>X256-W256</f>
        <v>1.2999999999999901E-2</v>
      </c>
      <c r="Z256">
        <f>U256</f>
        <v>0</v>
      </c>
      <c r="AA256">
        <f>V256</f>
        <v>0</v>
      </c>
      <c r="AB256">
        <f>N256</f>
        <v>1.2</v>
      </c>
      <c r="AC256">
        <f>O256</f>
        <v>0.5</v>
      </c>
      <c r="AD256">
        <f>P256</f>
        <v>0.8</v>
      </c>
      <c r="AE256">
        <f>Q256</f>
        <v>0.6</v>
      </c>
      <c r="AF256">
        <f>R256</f>
        <v>1</v>
      </c>
      <c r="AG256">
        <f>S256</f>
        <v>0.8</v>
      </c>
      <c r="AH256">
        <f t="shared" si="28"/>
        <v>3</v>
      </c>
    </row>
    <row r="257" spans="1:34" x14ac:dyDescent="0.3">
      <c r="A257" s="9" t="s">
        <v>398</v>
      </c>
      <c r="B257" s="9" t="s">
        <v>490</v>
      </c>
      <c r="C257" s="9" t="s">
        <v>491</v>
      </c>
      <c r="D257" s="9" t="s">
        <v>22</v>
      </c>
      <c r="E257" s="9">
        <v>0</v>
      </c>
      <c r="F257" s="9">
        <v>0</v>
      </c>
      <c r="G257" s="9">
        <v>0</v>
      </c>
      <c r="H257" s="9">
        <v>3.74</v>
      </c>
      <c r="I257" s="9">
        <v>1</v>
      </c>
      <c r="J257" s="9">
        <v>3</v>
      </c>
      <c r="K257" s="9">
        <v>10.4</v>
      </c>
      <c r="L257" s="9">
        <v>35.6</v>
      </c>
      <c r="M257" s="9">
        <v>8.3000000000000004E-2</v>
      </c>
      <c r="N257" s="9">
        <v>1.2</v>
      </c>
      <c r="O257" s="9">
        <v>0.5</v>
      </c>
      <c r="P257" s="9">
        <v>0.8</v>
      </c>
      <c r="Q257" s="9">
        <v>0.6</v>
      </c>
      <c r="R257" s="9">
        <v>1</v>
      </c>
      <c r="S257" s="9">
        <v>0.8</v>
      </c>
      <c r="T257" s="9">
        <v>3</v>
      </c>
      <c r="U257" s="9">
        <v>0</v>
      </c>
      <c r="V257" s="9">
        <v>0</v>
      </c>
      <c r="W257" s="9">
        <v>5.1100000000000003</v>
      </c>
      <c r="X257">
        <f xml:space="preserve"> Z257 + AA257 + (AB257*G257) + (AC257*H257) + (AD257*I257) + (AE257*J257) + (AF257*(K257/100)) + (AG257*(L257/100))+ (AH257*(M257))</f>
        <v>5.1077999999999992</v>
      </c>
      <c r="Y257" s="1">
        <f>X257-W257</f>
        <v>-2.20000000000109E-3</v>
      </c>
      <c r="Z257">
        <f>U257</f>
        <v>0</v>
      </c>
      <c r="AA257">
        <f>V257</f>
        <v>0</v>
      </c>
      <c r="AB257">
        <f>N257</f>
        <v>1.2</v>
      </c>
      <c r="AC257">
        <f>O257</f>
        <v>0.5</v>
      </c>
      <c r="AD257">
        <f>P257</f>
        <v>0.8</v>
      </c>
      <c r="AE257">
        <f>Q257</f>
        <v>0.6</v>
      </c>
      <c r="AF257">
        <f>R257</f>
        <v>1</v>
      </c>
      <c r="AG257">
        <f>S257</f>
        <v>0.8</v>
      </c>
      <c r="AH257">
        <f t="shared" si="28"/>
        <v>3</v>
      </c>
    </row>
    <row r="258" spans="1:34" hidden="1" x14ac:dyDescent="0.3">
      <c r="A258" s="9" t="s">
        <v>54</v>
      </c>
      <c r="B258" s="9" t="s">
        <v>110</v>
      </c>
      <c r="C258" s="9" t="s">
        <v>111</v>
      </c>
      <c r="D258" s="9" t="s">
        <v>22</v>
      </c>
      <c r="E258" s="9">
        <v>0</v>
      </c>
      <c r="F258" s="9">
        <v>0</v>
      </c>
      <c r="G258" s="9">
        <v>1.8</v>
      </c>
      <c r="H258" s="9">
        <v>1.79</v>
      </c>
      <c r="I258" s="9">
        <v>1</v>
      </c>
      <c r="J258" s="9">
        <v>0</v>
      </c>
      <c r="K258" s="9">
        <v>39.9</v>
      </c>
      <c r="L258" s="9">
        <v>0</v>
      </c>
      <c r="M258" s="9">
        <v>0.28599999999999998</v>
      </c>
      <c r="N258" s="9">
        <v>1.2</v>
      </c>
      <c r="O258" s="9">
        <v>0.5</v>
      </c>
      <c r="P258" s="9">
        <v>0.8</v>
      </c>
      <c r="Q258" s="9">
        <v>0.6</v>
      </c>
      <c r="R258" s="9">
        <v>1</v>
      </c>
      <c r="S258" s="9">
        <v>0.8</v>
      </c>
      <c r="T258" s="9">
        <v>3</v>
      </c>
      <c r="U258" s="9">
        <v>0</v>
      </c>
      <c r="V258" s="9">
        <v>0</v>
      </c>
      <c r="W258" s="10">
        <v>5.0999999999999996</v>
      </c>
      <c r="X258" s="5">
        <f xml:space="preserve"> Z258 + AA258 + (AB258*G258) + (AC258*H258) + (AD258*I258) + (AE258*J258) + (AF258*(K258/100)) + (AG258*(L258/100))+ (AH258*(M258))</f>
        <v>5.1120000000000001</v>
      </c>
      <c r="Y258" s="1">
        <f>X258-W258</f>
        <v>1.2000000000000455E-2</v>
      </c>
      <c r="Z258">
        <f>U258</f>
        <v>0</v>
      </c>
      <c r="AA258">
        <f>V258</f>
        <v>0</v>
      </c>
      <c r="AB258">
        <f>N258</f>
        <v>1.2</v>
      </c>
      <c r="AC258">
        <f>O258</f>
        <v>0.5</v>
      </c>
      <c r="AD258">
        <f>P258</f>
        <v>0.8</v>
      </c>
      <c r="AE258">
        <f>Q258</f>
        <v>0.6</v>
      </c>
      <c r="AF258">
        <f>R258</f>
        <v>1</v>
      </c>
      <c r="AG258">
        <f>S258</f>
        <v>0.8</v>
      </c>
      <c r="AH258">
        <f t="shared" si="28"/>
        <v>3</v>
      </c>
    </row>
    <row r="259" spans="1:34" hidden="1" x14ac:dyDescent="0.3">
      <c r="A259" s="9" t="s">
        <v>54</v>
      </c>
      <c r="B259" s="9" t="s">
        <v>172</v>
      </c>
      <c r="C259" s="9" t="s">
        <v>173</v>
      </c>
      <c r="D259" s="9" t="s">
        <v>22</v>
      </c>
      <c r="E259" s="9">
        <v>0</v>
      </c>
      <c r="F259" s="9">
        <v>0</v>
      </c>
      <c r="G259" s="9">
        <v>0</v>
      </c>
      <c r="H259" s="9">
        <v>1.79</v>
      </c>
      <c r="I259" s="9">
        <v>1</v>
      </c>
      <c r="J259" s="9">
        <v>0</v>
      </c>
      <c r="K259" s="9">
        <v>40.299999999999997</v>
      </c>
      <c r="L259" s="9">
        <v>0</v>
      </c>
      <c r="M259" s="9">
        <v>1</v>
      </c>
      <c r="N259" s="9">
        <v>1.2</v>
      </c>
      <c r="O259" s="9">
        <v>0.5</v>
      </c>
      <c r="P259" s="9">
        <v>0.8</v>
      </c>
      <c r="Q259" s="9">
        <v>0.6</v>
      </c>
      <c r="R259" s="9">
        <v>1</v>
      </c>
      <c r="S259" s="9">
        <v>0.8</v>
      </c>
      <c r="T259" s="9">
        <v>3</v>
      </c>
      <c r="U259" s="9">
        <v>0</v>
      </c>
      <c r="V259" s="9">
        <v>0</v>
      </c>
      <c r="W259" s="9">
        <v>5.0999999999999996</v>
      </c>
      <c r="X259">
        <f xml:space="preserve"> Z259 + AA259 + (AB259*G259) + (AC259*H259) + (AD259*I259) + (AE259*J259) + (AF259*(K259/100)) + (AG259*(L259/100))+ (AH259*(M259))</f>
        <v>5.0979999999999999</v>
      </c>
      <c r="Y259" s="1">
        <f>X259-W259</f>
        <v>-1.9999999999997797E-3</v>
      </c>
      <c r="Z259">
        <f>U259</f>
        <v>0</v>
      </c>
      <c r="AA259">
        <f>V259</f>
        <v>0</v>
      </c>
      <c r="AB259">
        <f>N259</f>
        <v>1.2</v>
      </c>
      <c r="AC259">
        <f>O259</f>
        <v>0.5</v>
      </c>
      <c r="AD259">
        <f>P259</f>
        <v>0.8</v>
      </c>
      <c r="AE259">
        <f>Q259</f>
        <v>0.6</v>
      </c>
      <c r="AF259">
        <f>R259</f>
        <v>1</v>
      </c>
      <c r="AG259">
        <f>S259</f>
        <v>0.8</v>
      </c>
      <c r="AH259">
        <f t="shared" ref="AH259:AH309" si="29">T259</f>
        <v>3</v>
      </c>
    </row>
    <row r="260" spans="1:34" hidden="1" x14ac:dyDescent="0.3">
      <c r="A260" s="9" t="s">
        <v>54</v>
      </c>
      <c r="B260" s="9" t="s">
        <v>80</v>
      </c>
      <c r="C260" s="9" t="s">
        <v>81</v>
      </c>
      <c r="D260" s="9" t="s">
        <v>22</v>
      </c>
      <c r="E260" s="9">
        <v>0</v>
      </c>
      <c r="F260" s="9">
        <v>0</v>
      </c>
      <c r="G260" s="9">
        <v>1.8</v>
      </c>
      <c r="H260" s="9">
        <v>1.95</v>
      </c>
      <c r="I260" s="9">
        <v>1</v>
      </c>
      <c r="J260" s="9">
        <v>0</v>
      </c>
      <c r="K260" s="9">
        <v>39.9</v>
      </c>
      <c r="L260" s="9">
        <v>0</v>
      </c>
      <c r="M260" s="9">
        <v>0.25</v>
      </c>
      <c r="N260" s="9">
        <v>1.2</v>
      </c>
      <c r="O260" s="9">
        <v>0.5</v>
      </c>
      <c r="P260" s="9">
        <v>0.8</v>
      </c>
      <c r="Q260" s="9">
        <v>0.6</v>
      </c>
      <c r="R260" s="9">
        <v>1</v>
      </c>
      <c r="S260" s="9">
        <v>0.8</v>
      </c>
      <c r="T260" s="9">
        <v>3</v>
      </c>
      <c r="U260" s="9">
        <v>0</v>
      </c>
      <c r="V260" s="9">
        <v>0</v>
      </c>
      <c r="W260" s="9">
        <v>5.07</v>
      </c>
      <c r="X260">
        <f xml:space="preserve"> Z260 + AA260 + (AB260*G260) + (AC260*H260) + (AD260*I260) + (AE260*J260) + (AF260*(K260/100)) + (AG260*(L260/100))+ (AH260*(M260))</f>
        <v>5.0840000000000005</v>
      </c>
      <c r="Y260" s="1">
        <f>X260-W260</f>
        <v>1.4000000000000234E-2</v>
      </c>
      <c r="Z260">
        <f>U260</f>
        <v>0</v>
      </c>
      <c r="AA260">
        <f>V260</f>
        <v>0</v>
      </c>
      <c r="AB260">
        <f>N260</f>
        <v>1.2</v>
      </c>
      <c r="AC260">
        <f>O260</f>
        <v>0.5</v>
      </c>
      <c r="AD260">
        <f>P260</f>
        <v>0.8</v>
      </c>
      <c r="AE260">
        <f>Q260</f>
        <v>0.6</v>
      </c>
      <c r="AF260">
        <f>R260</f>
        <v>1</v>
      </c>
      <c r="AG260">
        <f>S260</f>
        <v>0.8</v>
      </c>
      <c r="AH260">
        <f t="shared" si="29"/>
        <v>3</v>
      </c>
    </row>
    <row r="261" spans="1:34" hidden="1" x14ac:dyDescent="0.3">
      <c r="A261" s="9" t="s">
        <v>221</v>
      </c>
      <c r="B261" s="9" t="s">
        <v>390</v>
      </c>
      <c r="C261" s="9" t="s">
        <v>391</v>
      </c>
      <c r="D261" s="9" t="s">
        <v>22</v>
      </c>
      <c r="E261" s="9">
        <v>0</v>
      </c>
      <c r="F261" s="9">
        <v>0</v>
      </c>
      <c r="G261" s="9">
        <v>0.4</v>
      </c>
      <c r="H261" s="9">
        <v>3.14</v>
      </c>
      <c r="I261" s="9">
        <v>1</v>
      </c>
      <c r="J261" s="9">
        <v>0</v>
      </c>
      <c r="K261" s="9">
        <v>22.4</v>
      </c>
      <c r="L261" s="9">
        <v>0</v>
      </c>
      <c r="M261" s="9">
        <v>0.66700000000000004</v>
      </c>
      <c r="N261" s="9">
        <v>1.2</v>
      </c>
      <c r="O261" s="9">
        <v>0.5</v>
      </c>
      <c r="P261" s="9">
        <v>0.8</v>
      </c>
      <c r="Q261" s="9">
        <v>0.6</v>
      </c>
      <c r="R261" s="9">
        <v>1</v>
      </c>
      <c r="S261" s="9">
        <v>0.8</v>
      </c>
      <c r="T261" s="9">
        <v>3</v>
      </c>
      <c r="U261" s="9">
        <v>0</v>
      </c>
      <c r="V261" s="9">
        <v>0</v>
      </c>
      <c r="W261" s="10">
        <v>5.07</v>
      </c>
      <c r="X261" s="5">
        <f xml:space="preserve"> Z261 + AA261 + (AB261*G261) + (AC261*H261) + (AD261*I261) + (AE261*J261) + (AF261*(K261/100)) + (AG261*(L261/100))+ (AH261*(M261))</f>
        <v>5.0750000000000002</v>
      </c>
      <c r="Y261" s="1">
        <f>X261-W261</f>
        <v>4.9999999999998934E-3</v>
      </c>
      <c r="Z261">
        <f>U261</f>
        <v>0</v>
      </c>
      <c r="AA261">
        <f>V261</f>
        <v>0</v>
      </c>
      <c r="AB261">
        <f>N261</f>
        <v>1.2</v>
      </c>
      <c r="AC261">
        <f>O261</f>
        <v>0.5</v>
      </c>
      <c r="AD261">
        <f>P261</f>
        <v>0.8</v>
      </c>
      <c r="AE261">
        <f>Q261</f>
        <v>0.6</v>
      </c>
      <c r="AF261">
        <f>R261</f>
        <v>1</v>
      </c>
      <c r="AG261">
        <f>S261</f>
        <v>0.8</v>
      </c>
      <c r="AH261">
        <f t="shared" si="29"/>
        <v>3</v>
      </c>
    </row>
    <row r="262" spans="1:34" hidden="1" x14ac:dyDescent="0.3">
      <c r="A262" s="9" t="s">
        <v>533</v>
      </c>
      <c r="B262" s="9" t="s">
        <v>651</v>
      </c>
      <c r="C262" s="9" t="s">
        <v>652</v>
      </c>
      <c r="D262" s="9" t="s">
        <v>22</v>
      </c>
      <c r="E262" s="9">
        <v>0</v>
      </c>
      <c r="F262" s="9">
        <v>0</v>
      </c>
      <c r="G262" s="9">
        <v>0</v>
      </c>
      <c r="H262" s="9">
        <v>2.2000000000000002</v>
      </c>
      <c r="I262" s="9">
        <v>1</v>
      </c>
      <c r="J262" s="9">
        <v>3</v>
      </c>
      <c r="K262" s="9">
        <v>37</v>
      </c>
      <c r="L262" s="9">
        <v>41.3</v>
      </c>
      <c r="M262" s="9">
        <v>0.222</v>
      </c>
      <c r="N262" s="9">
        <v>1.2</v>
      </c>
      <c r="O262" s="9">
        <v>0.5</v>
      </c>
      <c r="P262" s="9">
        <v>0.8</v>
      </c>
      <c r="Q262" s="9">
        <v>0.6</v>
      </c>
      <c r="R262" s="9">
        <v>1</v>
      </c>
      <c r="S262" s="9">
        <v>0.8</v>
      </c>
      <c r="T262" s="9">
        <v>3</v>
      </c>
      <c r="U262" s="9">
        <v>0</v>
      </c>
      <c r="V262" s="9">
        <v>0</v>
      </c>
      <c r="W262" s="9">
        <v>5.0599999999999996</v>
      </c>
      <c r="X262"/>
      <c r="AH262">
        <f t="shared" si="29"/>
        <v>3</v>
      </c>
    </row>
    <row r="263" spans="1:34" hidden="1" x14ac:dyDescent="0.3">
      <c r="A263" s="9" t="s">
        <v>54</v>
      </c>
      <c r="B263" s="9" t="s">
        <v>122</v>
      </c>
      <c r="C263" s="9" t="s">
        <v>123</v>
      </c>
      <c r="D263" s="9" t="s">
        <v>22</v>
      </c>
      <c r="E263" s="9">
        <v>0</v>
      </c>
      <c r="F263" s="9">
        <v>0</v>
      </c>
      <c r="G263" s="9">
        <v>1.8</v>
      </c>
      <c r="H263" s="9">
        <v>1.39</v>
      </c>
      <c r="I263" s="9">
        <v>1</v>
      </c>
      <c r="J263" s="9">
        <v>0</v>
      </c>
      <c r="K263" s="9">
        <v>39.9</v>
      </c>
      <c r="L263" s="9">
        <v>0</v>
      </c>
      <c r="M263" s="9">
        <v>0.33300000000000002</v>
      </c>
      <c r="N263" s="9">
        <v>1.2</v>
      </c>
      <c r="O263" s="9">
        <v>0.5</v>
      </c>
      <c r="P263" s="9">
        <v>0.8</v>
      </c>
      <c r="Q263" s="9">
        <v>0.6</v>
      </c>
      <c r="R263" s="9">
        <v>1</v>
      </c>
      <c r="S263" s="9">
        <v>0.8</v>
      </c>
      <c r="T263" s="9">
        <v>3</v>
      </c>
      <c r="U263" s="9">
        <v>0</v>
      </c>
      <c r="V263" s="9">
        <v>0</v>
      </c>
      <c r="W263" s="9">
        <v>5.03</v>
      </c>
      <c r="X263">
        <f xml:space="preserve"> Z263 + AA263 + (AB263*G263) + (AC263*H263) + (AD263*I263) + (AE263*J263) + (AF263*(K263/100)) + (AG263*(L263/100))+ (AH263*(M263))</f>
        <v>5.0530000000000008</v>
      </c>
      <c r="Y263" s="1">
        <f>X263-W263</f>
        <v>2.3000000000000576E-2</v>
      </c>
      <c r="Z263">
        <f>U263</f>
        <v>0</v>
      </c>
      <c r="AA263">
        <f>V263</f>
        <v>0</v>
      </c>
      <c r="AB263">
        <f>N263</f>
        <v>1.2</v>
      </c>
      <c r="AC263">
        <f>O263</f>
        <v>0.5</v>
      </c>
      <c r="AD263">
        <f>P263</f>
        <v>0.8</v>
      </c>
      <c r="AE263">
        <f>Q263</f>
        <v>0.6</v>
      </c>
      <c r="AF263">
        <f>R263</f>
        <v>1</v>
      </c>
      <c r="AG263">
        <f>S263</f>
        <v>0.8</v>
      </c>
      <c r="AH263">
        <f t="shared" si="29"/>
        <v>3</v>
      </c>
    </row>
    <row r="264" spans="1:34" hidden="1" x14ac:dyDescent="0.3">
      <c r="A264" s="9" t="s">
        <v>221</v>
      </c>
      <c r="B264" s="9" t="s">
        <v>388</v>
      </c>
      <c r="C264" s="9" t="s">
        <v>389</v>
      </c>
      <c r="D264" s="9" t="s">
        <v>22</v>
      </c>
      <c r="E264" s="9">
        <v>0</v>
      </c>
      <c r="F264" s="9">
        <v>0</v>
      </c>
      <c r="G264" s="9">
        <v>0.4</v>
      </c>
      <c r="H264" s="9">
        <v>3.61</v>
      </c>
      <c r="I264" s="9">
        <v>1</v>
      </c>
      <c r="J264" s="9">
        <v>0</v>
      </c>
      <c r="K264" s="9">
        <v>43.5</v>
      </c>
      <c r="L264" s="9">
        <v>0</v>
      </c>
      <c r="M264" s="9">
        <v>0.5</v>
      </c>
      <c r="N264" s="9">
        <v>1.2</v>
      </c>
      <c r="O264" s="9">
        <v>0.5</v>
      </c>
      <c r="P264" s="9">
        <v>0.8</v>
      </c>
      <c r="Q264" s="9">
        <v>0.6</v>
      </c>
      <c r="R264" s="9">
        <v>1</v>
      </c>
      <c r="S264" s="9">
        <v>0.8</v>
      </c>
      <c r="T264" s="9">
        <v>3</v>
      </c>
      <c r="U264" s="9">
        <v>0</v>
      </c>
      <c r="V264" s="9">
        <v>0</v>
      </c>
      <c r="W264" s="10">
        <v>5.01</v>
      </c>
      <c r="X264" s="5">
        <f xml:space="preserve"> Z264 + AA264 + (AB264*G264) + (AC264*H264) + (AD264*I264) + (AE264*J264) + (AF264*(K264/100)) + (AG264*(L264/100))+ (AH264*(M264))</f>
        <v>5.0199999999999996</v>
      </c>
      <c r="Y264" s="1">
        <f>X264-W264</f>
        <v>9.9999999999997868E-3</v>
      </c>
      <c r="Z264">
        <f>U264</f>
        <v>0</v>
      </c>
      <c r="AA264">
        <f>V264</f>
        <v>0</v>
      </c>
      <c r="AB264">
        <f>N264</f>
        <v>1.2</v>
      </c>
      <c r="AC264">
        <f>O264</f>
        <v>0.5</v>
      </c>
      <c r="AD264">
        <f>P264</f>
        <v>0.8</v>
      </c>
      <c r="AE264">
        <f>Q264</f>
        <v>0.6</v>
      </c>
      <c r="AF264">
        <f>R264</f>
        <v>1</v>
      </c>
      <c r="AG264">
        <f>S264</f>
        <v>0.8</v>
      </c>
      <c r="AH264">
        <f t="shared" si="29"/>
        <v>3</v>
      </c>
    </row>
    <row r="265" spans="1:34" x14ac:dyDescent="0.3">
      <c r="A265" s="9" t="s">
        <v>398</v>
      </c>
      <c r="B265" s="9" t="s">
        <v>416</v>
      </c>
      <c r="C265" s="9" t="s">
        <v>417</v>
      </c>
      <c r="D265" s="9" t="s">
        <v>22</v>
      </c>
      <c r="E265" s="9">
        <v>0</v>
      </c>
      <c r="F265" s="9">
        <v>0</v>
      </c>
      <c r="G265" s="9">
        <v>2</v>
      </c>
      <c r="H265" s="9">
        <v>0.69</v>
      </c>
      <c r="I265" s="9">
        <v>1</v>
      </c>
      <c r="J265" s="9">
        <v>0</v>
      </c>
      <c r="K265" s="9">
        <v>30.6</v>
      </c>
      <c r="L265" s="9">
        <v>0</v>
      </c>
      <c r="M265" s="9">
        <v>0.4</v>
      </c>
      <c r="N265" s="9">
        <v>1.2</v>
      </c>
      <c r="O265" s="9">
        <v>0.5</v>
      </c>
      <c r="P265" s="9">
        <v>0.8</v>
      </c>
      <c r="Q265" s="9">
        <v>0.6</v>
      </c>
      <c r="R265" s="9">
        <v>1</v>
      </c>
      <c r="S265" s="9">
        <v>0.8</v>
      </c>
      <c r="T265" s="9">
        <v>3</v>
      </c>
      <c r="U265" s="9">
        <v>0</v>
      </c>
      <c r="V265" s="9">
        <v>0</v>
      </c>
      <c r="W265" s="9">
        <v>5.01</v>
      </c>
      <c r="X265">
        <f xml:space="preserve"> Z265 + AA265 + (AB265*G265) + (AC265*H265) + (AD265*I265) + (AE265*J265) + (AF265*(K265/100)) + (AG265*(L265/100))+ (AH265*(M265))</f>
        <v>5.0510000000000002</v>
      </c>
      <c r="Y265" s="1">
        <f>X265-W265</f>
        <v>4.1000000000000369E-2</v>
      </c>
      <c r="Z265">
        <f>U265</f>
        <v>0</v>
      </c>
      <c r="AA265">
        <f>V265</f>
        <v>0</v>
      </c>
      <c r="AB265">
        <f>N265</f>
        <v>1.2</v>
      </c>
      <c r="AC265">
        <f>O265</f>
        <v>0.5</v>
      </c>
      <c r="AD265">
        <f>P265</f>
        <v>0.8</v>
      </c>
      <c r="AE265">
        <f>Q265</f>
        <v>0.6</v>
      </c>
      <c r="AF265">
        <f>R265</f>
        <v>1</v>
      </c>
      <c r="AG265">
        <f>S265</f>
        <v>0.8</v>
      </c>
      <c r="AH265">
        <f t="shared" si="29"/>
        <v>3</v>
      </c>
    </row>
    <row r="266" spans="1:34" hidden="1" x14ac:dyDescent="0.3">
      <c r="A266" s="9" t="s">
        <v>54</v>
      </c>
      <c r="B266" s="9" t="s">
        <v>96</v>
      </c>
      <c r="C266" s="9" t="s">
        <v>97</v>
      </c>
      <c r="D266" s="9" t="s">
        <v>22</v>
      </c>
      <c r="E266" s="9">
        <v>0</v>
      </c>
      <c r="F266" s="9">
        <v>0</v>
      </c>
      <c r="G266" s="9">
        <v>1.8</v>
      </c>
      <c r="H266" s="9">
        <v>1.61</v>
      </c>
      <c r="I266" s="9">
        <v>1</v>
      </c>
      <c r="J266" s="9">
        <v>0</v>
      </c>
      <c r="K266" s="9">
        <v>39.9</v>
      </c>
      <c r="L266" s="9">
        <v>0</v>
      </c>
      <c r="M266" s="9">
        <v>0.28599999999999998</v>
      </c>
      <c r="N266" s="9">
        <v>1.2</v>
      </c>
      <c r="O266" s="9">
        <v>0.5</v>
      </c>
      <c r="P266" s="9">
        <v>0.8</v>
      </c>
      <c r="Q266" s="9">
        <v>0.6</v>
      </c>
      <c r="R266" s="9">
        <v>1</v>
      </c>
      <c r="S266" s="9">
        <v>0.8</v>
      </c>
      <c r="T266" s="9">
        <v>3</v>
      </c>
      <c r="U266" s="9">
        <v>0</v>
      </c>
      <c r="V266" s="9">
        <v>0</v>
      </c>
      <c r="W266" s="10">
        <v>5</v>
      </c>
      <c r="X266" s="5">
        <f xml:space="preserve"> Z266 + AA266 + (AB266*G266) + (AC266*H266) + (AD266*I266) + (AE266*J266) + (AF266*(K266/100)) + (AG266*(L266/100))+ (AH266*(M266))</f>
        <v>5.0220000000000002</v>
      </c>
      <c r="Y266" s="1">
        <f>X266-W266</f>
        <v>2.2000000000000242E-2</v>
      </c>
      <c r="Z266">
        <f>U266</f>
        <v>0</v>
      </c>
      <c r="AA266">
        <f>V266</f>
        <v>0</v>
      </c>
      <c r="AB266">
        <f>N266</f>
        <v>1.2</v>
      </c>
      <c r="AC266">
        <f>O266</f>
        <v>0.5</v>
      </c>
      <c r="AD266">
        <f>P266</f>
        <v>0.8</v>
      </c>
      <c r="AE266">
        <f>Q266</f>
        <v>0.6</v>
      </c>
      <c r="AF266">
        <f>R266</f>
        <v>1</v>
      </c>
      <c r="AG266">
        <f>S266</f>
        <v>0.8</v>
      </c>
      <c r="AH266">
        <f t="shared" si="29"/>
        <v>3</v>
      </c>
    </row>
    <row r="267" spans="1:34" hidden="1" x14ac:dyDescent="0.3">
      <c r="A267" s="9" t="s">
        <v>54</v>
      </c>
      <c r="B267" s="9" t="s">
        <v>102</v>
      </c>
      <c r="C267" s="9" t="s">
        <v>103</v>
      </c>
      <c r="D267" s="9" t="s">
        <v>22</v>
      </c>
      <c r="E267" s="9">
        <v>0</v>
      </c>
      <c r="F267" s="9">
        <v>0</v>
      </c>
      <c r="G267" s="9">
        <v>1.8</v>
      </c>
      <c r="H267" s="9">
        <v>1.61</v>
      </c>
      <c r="I267" s="9">
        <v>1</v>
      </c>
      <c r="J267" s="9">
        <v>0</v>
      </c>
      <c r="K267" s="9">
        <v>39.9</v>
      </c>
      <c r="L267" s="9">
        <v>0</v>
      </c>
      <c r="M267" s="9">
        <v>0.28599999999999998</v>
      </c>
      <c r="N267" s="9">
        <v>1.2</v>
      </c>
      <c r="O267" s="9">
        <v>0.5</v>
      </c>
      <c r="P267" s="9">
        <v>0.8</v>
      </c>
      <c r="Q267" s="9">
        <v>0.6</v>
      </c>
      <c r="R267" s="9">
        <v>1</v>
      </c>
      <c r="S267" s="9">
        <v>0.8</v>
      </c>
      <c r="T267" s="9">
        <v>3</v>
      </c>
      <c r="U267" s="9">
        <v>0</v>
      </c>
      <c r="V267" s="9">
        <v>0</v>
      </c>
      <c r="W267" s="9">
        <v>5</v>
      </c>
      <c r="X267">
        <f xml:space="preserve"> Z267 + AA267 + (AB267*G267) + (AC267*H267) + (AD267*I267) + (AE267*J267) + (AF267*(K267/100)) + (AG267*(L267/100))+ (AH267*(M267))</f>
        <v>5.0220000000000002</v>
      </c>
      <c r="Y267" s="1">
        <f>X267-W267</f>
        <v>2.2000000000000242E-2</v>
      </c>
      <c r="Z267">
        <f>U267</f>
        <v>0</v>
      </c>
      <c r="AA267">
        <f>V267</f>
        <v>0</v>
      </c>
      <c r="AB267">
        <f>N267</f>
        <v>1.2</v>
      </c>
      <c r="AC267">
        <f>O267</f>
        <v>0.5</v>
      </c>
      <c r="AD267">
        <f>P267</f>
        <v>0.8</v>
      </c>
      <c r="AE267">
        <f>Q267</f>
        <v>0.6</v>
      </c>
      <c r="AF267">
        <f>R267</f>
        <v>1</v>
      </c>
      <c r="AG267">
        <f>S267</f>
        <v>0.8</v>
      </c>
      <c r="AH267">
        <f t="shared" si="29"/>
        <v>3</v>
      </c>
    </row>
    <row r="268" spans="1:34" hidden="1" x14ac:dyDescent="0.3">
      <c r="A268" s="9" t="s">
        <v>54</v>
      </c>
      <c r="B268" s="9" t="s">
        <v>124</v>
      </c>
      <c r="C268" s="9" t="s">
        <v>125</v>
      </c>
      <c r="D268" s="9" t="s">
        <v>22</v>
      </c>
      <c r="E268" s="9">
        <v>0</v>
      </c>
      <c r="F268" s="9">
        <v>0</v>
      </c>
      <c r="G268" s="9">
        <v>1.8</v>
      </c>
      <c r="H268" s="9">
        <v>1.61</v>
      </c>
      <c r="I268" s="9">
        <v>1</v>
      </c>
      <c r="J268" s="9">
        <v>0</v>
      </c>
      <c r="K268" s="9">
        <v>39.9</v>
      </c>
      <c r="L268" s="9">
        <v>0</v>
      </c>
      <c r="M268" s="9">
        <v>0.28599999999999998</v>
      </c>
      <c r="N268" s="9">
        <v>1.2</v>
      </c>
      <c r="O268" s="9">
        <v>0.5</v>
      </c>
      <c r="P268" s="9">
        <v>0.8</v>
      </c>
      <c r="Q268" s="9">
        <v>0.6</v>
      </c>
      <c r="R268" s="9">
        <v>1</v>
      </c>
      <c r="S268" s="9">
        <v>0.8</v>
      </c>
      <c r="T268" s="9">
        <v>3</v>
      </c>
      <c r="U268" s="9">
        <v>0</v>
      </c>
      <c r="V268" s="9">
        <v>0</v>
      </c>
      <c r="W268" s="9">
        <v>5</v>
      </c>
      <c r="X268">
        <f xml:space="preserve"> Z268 + AA268 + (AB268*G268) + (AC268*H268) + (AD268*I268) + (AE268*J268) + (AF268*(K268/100)) + (AG268*(L268/100))+ (AH268*(M268))</f>
        <v>5.0220000000000002</v>
      </c>
      <c r="Y268" s="1">
        <f>X268-W268</f>
        <v>2.2000000000000242E-2</v>
      </c>
      <c r="Z268">
        <f>U268</f>
        <v>0</v>
      </c>
      <c r="AA268">
        <f>V268</f>
        <v>0</v>
      </c>
      <c r="AB268">
        <f>N268</f>
        <v>1.2</v>
      </c>
      <c r="AC268">
        <f>O268</f>
        <v>0.5</v>
      </c>
      <c r="AD268">
        <f>P268</f>
        <v>0.8</v>
      </c>
      <c r="AE268">
        <f>Q268</f>
        <v>0.6</v>
      </c>
      <c r="AF268">
        <f>R268</f>
        <v>1</v>
      </c>
      <c r="AG268">
        <f>S268</f>
        <v>0.8</v>
      </c>
      <c r="AH268">
        <f t="shared" si="29"/>
        <v>3</v>
      </c>
    </row>
    <row r="269" spans="1:34" hidden="1" x14ac:dyDescent="0.3">
      <c r="A269" s="9" t="s">
        <v>54</v>
      </c>
      <c r="B269" s="9" t="s">
        <v>140</v>
      </c>
      <c r="C269" s="9" t="s">
        <v>141</v>
      </c>
      <c r="D269" s="9" t="s">
        <v>22</v>
      </c>
      <c r="E269" s="9">
        <v>0</v>
      </c>
      <c r="F269" s="9">
        <v>0</v>
      </c>
      <c r="G269" s="9">
        <v>1.8</v>
      </c>
      <c r="H269" s="9">
        <v>1.61</v>
      </c>
      <c r="I269" s="9">
        <v>1</v>
      </c>
      <c r="J269" s="9">
        <v>0</v>
      </c>
      <c r="K269" s="9">
        <v>39.9</v>
      </c>
      <c r="L269" s="9">
        <v>0</v>
      </c>
      <c r="M269" s="9">
        <v>0.28599999999999998</v>
      </c>
      <c r="N269" s="9">
        <v>1.2</v>
      </c>
      <c r="O269" s="9">
        <v>0.5</v>
      </c>
      <c r="P269" s="9">
        <v>0.8</v>
      </c>
      <c r="Q269" s="9">
        <v>0.6</v>
      </c>
      <c r="R269" s="9">
        <v>1</v>
      </c>
      <c r="S269" s="9">
        <v>0.8</v>
      </c>
      <c r="T269" s="9">
        <v>3</v>
      </c>
      <c r="U269" s="9">
        <v>0</v>
      </c>
      <c r="V269" s="9">
        <v>0</v>
      </c>
      <c r="W269" s="9">
        <v>5</v>
      </c>
      <c r="X269">
        <f xml:space="preserve"> Z269 + AA269 + (AB269*G269) + (AC269*H269) + (AD269*I269) + (AE269*J269) + (AF269*(K269/100)) + (AG269*(L269/100))+ (AH269*(M269))</f>
        <v>5.0220000000000002</v>
      </c>
      <c r="Y269" s="1">
        <f>X269-W269</f>
        <v>2.2000000000000242E-2</v>
      </c>
      <c r="Z269">
        <f>U269</f>
        <v>0</v>
      </c>
      <c r="AA269">
        <f>V269</f>
        <v>0</v>
      </c>
      <c r="AB269">
        <f>N269</f>
        <v>1.2</v>
      </c>
      <c r="AC269">
        <f>O269</f>
        <v>0.5</v>
      </c>
      <c r="AD269">
        <f>P269</f>
        <v>0.8</v>
      </c>
      <c r="AE269">
        <f>Q269</f>
        <v>0.6</v>
      </c>
      <c r="AF269">
        <f>R269</f>
        <v>1</v>
      </c>
      <c r="AG269">
        <f>S269</f>
        <v>0.8</v>
      </c>
      <c r="AH269">
        <f t="shared" si="29"/>
        <v>3</v>
      </c>
    </row>
    <row r="270" spans="1:34" hidden="1" x14ac:dyDescent="0.3">
      <c r="A270" s="9" t="s">
        <v>54</v>
      </c>
      <c r="B270" s="9" t="s">
        <v>112</v>
      </c>
      <c r="C270" s="9" t="s">
        <v>113</v>
      </c>
      <c r="D270" s="9" t="s">
        <v>22</v>
      </c>
      <c r="E270" s="9">
        <v>0</v>
      </c>
      <c r="F270" s="9">
        <v>0</v>
      </c>
      <c r="G270" s="9">
        <v>1.8</v>
      </c>
      <c r="H270" s="9">
        <v>1.79</v>
      </c>
      <c r="I270" s="9">
        <v>1</v>
      </c>
      <c r="J270" s="9">
        <v>0</v>
      </c>
      <c r="K270" s="9">
        <v>39.9</v>
      </c>
      <c r="L270" s="9">
        <v>0</v>
      </c>
      <c r="M270" s="9">
        <v>0.25</v>
      </c>
      <c r="N270" s="9">
        <v>1.2</v>
      </c>
      <c r="O270" s="9">
        <v>0.5</v>
      </c>
      <c r="P270" s="9">
        <v>0.8</v>
      </c>
      <c r="Q270" s="9">
        <v>0.6</v>
      </c>
      <c r="R270" s="9">
        <v>1</v>
      </c>
      <c r="S270" s="9">
        <v>0.8</v>
      </c>
      <c r="T270" s="9">
        <v>3</v>
      </c>
      <c r="U270" s="9">
        <v>0</v>
      </c>
      <c r="V270" s="9">
        <v>0</v>
      </c>
      <c r="W270" s="10">
        <v>4.99</v>
      </c>
      <c r="X270" s="5">
        <f xml:space="preserve"> Z270 + AA270 + (AB270*G270) + (AC270*H270) + (AD270*I270) + (AE270*J270) + (AF270*(K270/100)) + (AG270*(L270/100))+ (AH270*(M270))</f>
        <v>5.0040000000000004</v>
      </c>
      <c r="Y270" s="1">
        <f>X270-W270</f>
        <v>1.4000000000000234E-2</v>
      </c>
      <c r="Z270">
        <f>U270</f>
        <v>0</v>
      </c>
      <c r="AA270">
        <f>V270</f>
        <v>0</v>
      </c>
      <c r="AB270">
        <f>N270</f>
        <v>1.2</v>
      </c>
      <c r="AC270">
        <f>O270</f>
        <v>0.5</v>
      </c>
      <c r="AD270">
        <f>P270</f>
        <v>0.8</v>
      </c>
      <c r="AE270">
        <f>Q270</f>
        <v>0.6</v>
      </c>
      <c r="AF270">
        <f>R270</f>
        <v>1</v>
      </c>
      <c r="AG270">
        <f>S270</f>
        <v>0.8</v>
      </c>
      <c r="AH270">
        <f t="shared" si="29"/>
        <v>3</v>
      </c>
    </row>
    <row r="271" spans="1:34" hidden="1" x14ac:dyDescent="0.3">
      <c r="A271" s="9" t="s">
        <v>54</v>
      </c>
      <c r="B271" s="9" t="s">
        <v>116</v>
      </c>
      <c r="C271" s="9" t="s">
        <v>117</v>
      </c>
      <c r="D271" s="9" t="s">
        <v>22</v>
      </c>
      <c r="E271" s="9">
        <v>0</v>
      </c>
      <c r="F271" s="9">
        <v>0</v>
      </c>
      <c r="G271" s="9">
        <v>1.8</v>
      </c>
      <c r="H271" s="9">
        <v>1.79</v>
      </c>
      <c r="I271" s="9">
        <v>1</v>
      </c>
      <c r="J271" s="9">
        <v>0</v>
      </c>
      <c r="K271" s="9">
        <v>39.9</v>
      </c>
      <c r="L271" s="9">
        <v>0</v>
      </c>
      <c r="M271" s="9">
        <v>0.25</v>
      </c>
      <c r="N271" s="9">
        <v>1.2</v>
      </c>
      <c r="O271" s="9">
        <v>0.5</v>
      </c>
      <c r="P271" s="9">
        <v>0.8</v>
      </c>
      <c r="Q271" s="9">
        <v>0.6</v>
      </c>
      <c r="R271" s="9">
        <v>1</v>
      </c>
      <c r="S271" s="9">
        <v>0.8</v>
      </c>
      <c r="T271" s="9">
        <v>3</v>
      </c>
      <c r="U271" s="9">
        <v>0</v>
      </c>
      <c r="V271" s="9">
        <v>0</v>
      </c>
      <c r="W271" s="10">
        <v>4.99</v>
      </c>
      <c r="X271" s="5">
        <f xml:space="preserve"> Z271 + AA271 + (AB271*G271) + (AC271*H271) + (AD271*I271) + (AE271*J271) + (AF271*(K271/100)) + (AG271*(L271/100))+ (AH271*(M271))</f>
        <v>5.0040000000000004</v>
      </c>
      <c r="Y271" s="1">
        <f>X271-W271</f>
        <v>1.4000000000000234E-2</v>
      </c>
      <c r="Z271">
        <f>U271</f>
        <v>0</v>
      </c>
      <c r="AA271">
        <f>V271</f>
        <v>0</v>
      </c>
      <c r="AB271">
        <f>N271</f>
        <v>1.2</v>
      </c>
      <c r="AC271">
        <f>O271</f>
        <v>0.5</v>
      </c>
      <c r="AD271">
        <f>P271</f>
        <v>0.8</v>
      </c>
      <c r="AE271">
        <f>Q271</f>
        <v>0.6</v>
      </c>
      <c r="AF271">
        <f>R271</f>
        <v>1</v>
      </c>
      <c r="AG271">
        <f>S271</f>
        <v>0.8</v>
      </c>
      <c r="AH271">
        <f t="shared" si="29"/>
        <v>3</v>
      </c>
    </row>
    <row r="272" spans="1:34" hidden="1" x14ac:dyDescent="0.3">
      <c r="A272" s="9" t="s">
        <v>54</v>
      </c>
      <c r="B272" s="9" t="s">
        <v>78</v>
      </c>
      <c r="C272" s="9" t="s">
        <v>79</v>
      </c>
      <c r="D272" s="9" t="s">
        <v>22</v>
      </c>
      <c r="E272" s="9">
        <v>0</v>
      </c>
      <c r="F272" s="9">
        <v>0</v>
      </c>
      <c r="G272" s="9">
        <v>1.8</v>
      </c>
      <c r="H272" s="9">
        <v>2.08</v>
      </c>
      <c r="I272" s="9">
        <v>1</v>
      </c>
      <c r="J272" s="9">
        <v>0</v>
      </c>
      <c r="K272" s="9">
        <v>39.9</v>
      </c>
      <c r="L272" s="9">
        <v>0</v>
      </c>
      <c r="M272" s="9">
        <v>0.2</v>
      </c>
      <c r="N272" s="9">
        <v>1.2</v>
      </c>
      <c r="O272" s="9">
        <v>0.5</v>
      </c>
      <c r="P272" s="9">
        <v>0.8</v>
      </c>
      <c r="Q272" s="9">
        <v>0.6</v>
      </c>
      <c r="R272" s="9">
        <v>1</v>
      </c>
      <c r="S272" s="9">
        <v>0.8</v>
      </c>
      <c r="T272" s="9">
        <v>3</v>
      </c>
      <c r="U272" s="9">
        <v>0</v>
      </c>
      <c r="V272" s="9">
        <v>0</v>
      </c>
      <c r="W272" s="9">
        <v>4.9800000000000004</v>
      </c>
      <c r="X272">
        <f xml:space="preserve"> Z272 + AA272 + (AB272*G272) + (AC272*H272) + (AD272*I272) + (AE272*J272) + (AF272*(K272/100)) + (AG272*(L272/100))+ (AH272*(M272))</f>
        <v>4.9990000000000006</v>
      </c>
      <c r="Y272" s="1">
        <f>X272-W272</f>
        <v>1.9000000000000128E-2</v>
      </c>
      <c r="Z272">
        <f>U272</f>
        <v>0</v>
      </c>
      <c r="AA272">
        <f>V272</f>
        <v>0</v>
      </c>
      <c r="AB272">
        <f>N272</f>
        <v>1.2</v>
      </c>
      <c r="AC272">
        <f>O272</f>
        <v>0.5</v>
      </c>
      <c r="AD272">
        <f>P272</f>
        <v>0.8</v>
      </c>
      <c r="AE272">
        <f>Q272</f>
        <v>0.6</v>
      </c>
      <c r="AF272">
        <f>R272</f>
        <v>1</v>
      </c>
      <c r="AG272">
        <f>S272</f>
        <v>0.8</v>
      </c>
      <c r="AH272">
        <f t="shared" si="29"/>
        <v>3</v>
      </c>
    </row>
    <row r="273" spans="1:34" x14ac:dyDescent="0.3">
      <c r="A273" s="9" t="s">
        <v>398</v>
      </c>
      <c r="B273" s="9" t="s">
        <v>426</v>
      </c>
      <c r="C273" s="9" t="s">
        <v>427</v>
      </c>
      <c r="D273" s="9" t="s">
        <v>22</v>
      </c>
      <c r="E273" s="9">
        <v>0</v>
      </c>
      <c r="F273" s="9">
        <v>0</v>
      </c>
      <c r="G273" s="9">
        <v>2</v>
      </c>
      <c r="H273" s="9">
        <v>0</v>
      </c>
      <c r="I273" s="9">
        <v>1</v>
      </c>
      <c r="J273" s="9">
        <v>0</v>
      </c>
      <c r="K273" s="9">
        <v>30.6</v>
      </c>
      <c r="L273" s="9">
        <v>0</v>
      </c>
      <c r="M273" s="9">
        <v>0.5</v>
      </c>
      <c r="N273" s="9">
        <v>1.2</v>
      </c>
      <c r="O273" s="9">
        <v>0.5</v>
      </c>
      <c r="P273" s="9">
        <v>0.8</v>
      </c>
      <c r="Q273" s="9">
        <v>0.6</v>
      </c>
      <c r="R273" s="9">
        <v>1</v>
      </c>
      <c r="S273" s="9">
        <v>0.8</v>
      </c>
      <c r="T273" s="9">
        <v>3</v>
      </c>
      <c r="U273" s="9">
        <v>0</v>
      </c>
      <c r="V273" s="9">
        <v>0</v>
      </c>
      <c r="W273" s="9">
        <v>4.97</v>
      </c>
      <c r="X273">
        <f xml:space="preserve"> Z273 + AA273 + (AB273*G273) + (AC273*H273) + (AD273*I273) + (AE273*J273) + (AF273*(K273/100)) + (AG273*(L273/100))+ (AH273*(M273))</f>
        <v>5.0060000000000002</v>
      </c>
      <c r="Y273" s="1">
        <f>X273-W273</f>
        <v>3.6000000000000476E-2</v>
      </c>
      <c r="Z273">
        <f>U273</f>
        <v>0</v>
      </c>
      <c r="AA273">
        <f>V273</f>
        <v>0</v>
      </c>
      <c r="AB273">
        <f>N273</f>
        <v>1.2</v>
      </c>
      <c r="AC273">
        <f>O273</f>
        <v>0.5</v>
      </c>
      <c r="AD273">
        <f>P273</f>
        <v>0.8</v>
      </c>
      <c r="AE273">
        <f>Q273</f>
        <v>0.6</v>
      </c>
      <c r="AF273">
        <f>R273</f>
        <v>1</v>
      </c>
      <c r="AG273">
        <f>S273</f>
        <v>0.8</v>
      </c>
      <c r="AH273">
        <f t="shared" si="29"/>
        <v>3</v>
      </c>
    </row>
    <row r="274" spans="1:34" x14ac:dyDescent="0.3">
      <c r="A274" s="9" t="s">
        <v>398</v>
      </c>
      <c r="B274" s="9" t="s">
        <v>430</v>
      </c>
      <c r="C274" s="9" t="s">
        <v>431</v>
      </c>
      <c r="D274" s="9" t="s">
        <v>22</v>
      </c>
      <c r="E274" s="9">
        <v>0</v>
      </c>
      <c r="F274" s="9">
        <v>0</v>
      </c>
      <c r="G274" s="9">
        <v>2</v>
      </c>
      <c r="H274" s="9">
        <v>0</v>
      </c>
      <c r="I274" s="9">
        <v>1</v>
      </c>
      <c r="J274" s="9">
        <v>0</v>
      </c>
      <c r="K274" s="9">
        <v>30.6</v>
      </c>
      <c r="L274" s="9">
        <v>0</v>
      </c>
      <c r="M274" s="9">
        <v>0.5</v>
      </c>
      <c r="N274" s="9">
        <v>1.2</v>
      </c>
      <c r="O274" s="9">
        <v>0.5</v>
      </c>
      <c r="P274" s="9">
        <v>0.8</v>
      </c>
      <c r="Q274" s="9">
        <v>0.6</v>
      </c>
      <c r="R274" s="9">
        <v>1</v>
      </c>
      <c r="S274" s="9">
        <v>0.8</v>
      </c>
      <c r="T274" s="9">
        <v>3</v>
      </c>
      <c r="U274" s="9">
        <v>0</v>
      </c>
      <c r="V274" s="9">
        <v>0</v>
      </c>
      <c r="W274" s="9">
        <v>4.97</v>
      </c>
      <c r="X274">
        <f xml:space="preserve"> Z274 + AA274 + (AB274*G274) + (AC274*H274) + (AD274*I274) + (AE274*J274) + (AF274*(K274/100)) + (AG274*(L274/100))+ (AH274*(M274))</f>
        <v>5.0060000000000002</v>
      </c>
      <c r="Y274" s="1">
        <f>X274-W274</f>
        <v>3.6000000000000476E-2</v>
      </c>
      <c r="Z274">
        <f>U274</f>
        <v>0</v>
      </c>
      <c r="AA274">
        <f>V274</f>
        <v>0</v>
      </c>
      <c r="AB274">
        <f>N274</f>
        <v>1.2</v>
      </c>
      <c r="AC274">
        <f>O274</f>
        <v>0.5</v>
      </c>
      <c r="AD274">
        <f>P274</f>
        <v>0.8</v>
      </c>
      <c r="AE274">
        <f>Q274</f>
        <v>0.6</v>
      </c>
      <c r="AF274">
        <f>R274</f>
        <v>1</v>
      </c>
      <c r="AG274">
        <f>S274</f>
        <v>0.8</v>
      </c>
      <c r="AH274">
        <f t="shared" si="29"/>
        <v>3</v>
      </c>
    </row>
    <row r="275" spans="1:34" x14ac:dyDescent="0.3">
      <c r="A275" s="9" t="s">
        <v>398</v>
      </c>
      <c r="B275" s="9" t="s">
        <v>440</v>
      </c>
      <c r="C275" s="9" t="s">
        <v>441</v>
      </c>
      <c r="D275" s="9" t="s">
        <v>22</v>
      </c>
      <c r="E275" s="9">
        <v>0</v>
      </c>
      <c r="F275" s="9">
        <v>0</v>
      </c>
      <c r="G275" s="9">
        <v>2</v>
      </c>
      <c r="H275" s="9">
        <v>0</v>
      </c>
      <c r="I275" s="9">
        <v>1</v>
      </c>
      <c r="J275" s="9">
        <v>0</v>
      </c>
      <c r="K275" s="9">
        <v>30.6</v>
      </c>
      <c r="L275" s="9">
        <v>0</v>
      </c>
      <c r="M275" s="9">
        <v>0.5</v>
      </c>
      <c r="N275" s="9">
        <v>1.2</v>
      </c>
      <c r="O275" s="9">
        <v>0.5</v>
      </c>
      <c r="P275" s="9">
        <v>0.8</v>
      </c>
      <c r="Q275" s="9">
        <v>0.6</v>
      </c>
      <c r="R275" s="9">
        <v>1</v>
      </c>
      <c r="S275" s="9">
        <v>0.8</v>
      </c>
      <c r="T275" s="9">
        <v>3</v>
      </c>
      <c r="U275" s="9">
        <v>0</v>
      </c>
      <c r="V275" s="9">
        <v>0</v>
      </c>
      <c r="W275" s="9">
        <v>4.97</v>
      </c>
      <c r="X275">
        <f xml:space="preserve"> Z275 + AA275 + (AB275*G275) + (AC275*H275) + (AD275*I275) + (AE275*J275) + (AF275*(K275/100)) + (AG275*(L275/100))+ (AH275*(M275))</f>
        <v>5.0060000000000002</v>
      </c>
      <c r="Y275" s="1">
        <f>X275-W275</f>
        <v>3.6000000000000476E-2</v>
      </c>
      <c r="Z275">
        <f>U275</f>
        <v>0</v>
      </c>
      <c r="AA275">
        <f>V275</f>
        <v>0</v>
      </c>
      <c r="AB275">
        <f>N275</f>
        <v>1.2</v>
      </c>
      <c r="AC275">
        <f>O275</f>
        <v>0.5</v>
      </c>
      <c r="AD275">
        <f>P275</f>
        <v>0.8</v>
      </c>
      <c r="AE275">
        <f>Q275</f>
        <v>0.6</v>
      </c>
      <c r="AF275">
        <f>R275</f>
        <v>1</v>
      </c>
      <c r="AG275">
        <f>S275</f>
        <v>0.8</v>
      </c>
      <c r="AH275">
        <f t="shared" si="29"/>
        <v>3</v>
      </c>
    </row>
    <row r="276" spans="1:34" x14ac:dyDescent="0.3">
      <c r="A276" s="9" t="s">
        <v>398</v>
      </c>
      <c r="B276" s="9" t="s">
        <v>448</v>
      </c>
      <c r="C276" s="9" t="s">
        <v>449</v>
      </c>
      <c r="D276" s="9" t="s">
        <v>22</v>
      </c>
      <c r="E276" s="9">
        <v>0</v>
      </c>
      <c r="F276" s="9">
        <v>0</v>
      </c>
      <c r="G276" s="9">
        <v>2</v>
      </c>
      <c r="H276" s="9">
        <v>0</v>
      </c>
      <c r="I276" s="9">
        <v>1</v>
      </c>
      <c r="J276" s="9">
        <v>0</v>
      </c>
      <c r="K276" s="9">
        <v>30.6</v>
      </c>
      <c r="L276" s="9">
        <v>0</v>
      </c>
      <c r="M276" s="9">
        <v>0.5</v>
      </c>
      <c r="N276" s="9">
        <v>1.2</v>
      </c>
      <c r="O276" s="9">
        <v>0.5</v>
      </c>
      <c r="P276" s="9">
        <v>0.8</v>
      </c>
      <c r="Q276" s="9">
        <v>0.6</v>
      </c>
      <c r="R276" s="9">
        <v>1</v>
      </c>
      <c r="S276" s="9">
        <v>0.8</v>
      </c>
      <c r="T276" s="9">
        <v>3</v>
      </c>
      <c r="U276" s="9">
        <v>0</v>
      </c>
      <c r="V276" s="9">
        <v>0</v>
      </c>
      <c r="W276" s="9">
        <v>4.97</v>
      </c>
      <c r="X276">
        <f xml:space="preserve"> Z276 + AA276 + (AB276*G276) + (AC276*H276) + (AD276*I276) + (AE276*J276) + (AF276*(K276/100)) + (AG276*(L276/100))+ (AH276*(M276))</f>
        <v>5.0060000000000002</v>
      </c>
      <c r="Y276" s="1">
        <f>X276-W276</f>
        <v>3.6000000000000476E-2</v>
      </c>
      <c r="Z276">
        <f>U276</f>
        <v>0</v>
      </c>
      <c r="AA276">
        <f>V276</f>
        <v>0</v>
      </c>
      <c r="AB276">
        <f>N276</f>
        <v>1.2</v>
      </c>
      <c r="AC276">
        <f>O276</f>
        <v>0.5</v>
      </c>
      <c r="AD276">
        <f>P276</f>
        <v>0.8</v>
      </c>
      <c r="AE276">
        <f>Q276</f>
        <v>0.6</v>
      </c>
      <c r="AF276">
        <f>R276</f>
        <v>1</v>
      </c>
      <c r="AG276">
        <f>S276</f>
        <v>0.8</v>
      </c>
      <c r="AH276">
        <f t="shared" si="29"/>
        <v>3</v>
      </c>
    </row>
    <row r="277" spans="1:34" x14ac:dyDescent="0.3">
      <c r="A277" s="9" t="s">
        <v>398</v>
      </c>
      <c r="B277" s="9" t="s">
        <v>460</v>
      </c>
      <c r="C277" s="9" t="s">
        <v>461</v>
      </c>
      <c r="D277" s="9" t="s">
        <v>22</v>
      </c>
      <c r="E277" s="9">
        <v>0</v>
      </c>
      <c r="F277" s="9">
        <v>0</v>
      </c>
      <c r="G277" s="9">
        <v>2</v>
      </c>
      <c r="H277" s="9">
        <v>0</v>
      </c>
      <c r="I277" s="9">
        <v>1</v>
      </c>
      <c r="J277" s="9">
        <v>0</v>
      </c>
      <c r="K277" s="9">
        <v>30.6</v>
      </c>
      <c r="L277" s="9">
        <v>0</v>
      </c>
      <c r="M277" s="9">
        <v>0.5</v>
      </c>
      <c r="N277" s="9">
        <v>1.2</v>
      </c>
      <c r="O277" s="9">
        <v>0.5</v>
      </c>
      <c r="P277" s="9">
        <v>0.8</v>
      </c>
      <c r="Q277" s="9">
        <v>0.6</v>
      </c>
      <c r="R277" s="9">
        <v>1</v>
      </c>
      <c r="S277" s="9">
        <v>0.8</v>
      </c>
      <c r="T277" s="9">
        <v>3</v>
      </c>
      <c r="U277" s="9">
        <v>0</v>
      </c>
      <c r="V277" s="9">
        <v>0</v>
      </c>
      <c r="W277" s="9">
        <v>4.97</v>
      </c>
      <c r="X277">
        <f xml:space="preserve"> Z277 + AA277 + (AB277*G277) + (AC277*H277) + (AD277*I277) + (AE277*J277) + (AF277*(K277/100)) + (AG277*(L277/100))+ (AH277*(M277))</f>
        <v>5.0060000000000002</v>
      </c>
      <c r="Y277" s="1">
        <f>X277-W277</f>
        <v>3.6000000000000476E-2</v>
      </c>
      <c r="Z277">
        <f>U277</f>
        <v>0</v>
      </c>
      <c r="AA277">
        <f>V277</f>
        <v>0</v>
      </c>
      <c r="AB277">
        <f>N277</f>
        <v>1.2</v>
      </c>
      <c r="AC277">
        <f>O277</f>
        <v>0.5</v>
      </c>
      <c r="AD277">
        <f>P277</f>
        <v>0.8</v>
      </c>
      <c r="AE277">
        <f>Q277</f>
        <v>0.6</v>
      </c>
      <c r="AF277">
        <f>R277</f>
        <v>1</v>
      </c>
      <c r="AG277">
        <f>S277</f>
        <v>0.8</v>
      </c>
      <c r="AH277">
        <f t="shared" si="29"/>
        <v>3</v>
      </c>
    </row>
    <row r="278" spans="1:34" x14ac:dyDescent="0.3">
      <c r="A278" s="9" t="s">
        <v>398</v>
      </c>
      <c r="B278" s="9" t="s">
        <v>468</v>
      </c>
      <c r="C278" s="9" t="s">
        <v>469</v>
      </c>
      <c r="D278" s="9" t="s">
        <v>22</v>
      </c>
      <c r="E278" s="9">
        <v>0</v>
      </c>
      <c r="F278" s="9">
        <v>0</v>
      </c>
      <c r="G278" s="9">
        <v>2</v>
      </c>
      <c r="H278" s="9">
        <v>0</v>
      </c>
      <c r="I278" s="9">
        <v>1</v>
      </c>
      <c r="J278" s="9">
        <v>0</v>
      </c>
      <c r="K278" s="9">
        <v>30.6</v>
      </c>
      <c r="L278" s="9">
        <v>0</v>
      </c>
      <c r="M278" s="9">
        <v>0.5</v>
      </c>
      <c r="N278" s="9">
        <v>1.2</v>
      </c>
      <c r="O278" s="9">
        <v>0.5</v>
      </c>
      <c r="P278" s="9">
        <v>0.8</v>
      </c>
      <c r="Q278" s="9">
        <v>0.6</v>
      </c>
      <c r="R278" s="9">
        <v>1</v>
      </c>
      <c r="S278" s="9">
        <v>0.8</v>
      </c>
      <c r="T278" s="9">
        <v>3</v>
      </c>
      <c r="U278" s="9">
        <v>0</v>
      </c>
      <c r="V278" s="9">
        <v>0</v>
      </c>
      <c r="W278" s="9">
        <v>4.97</v>
      </c>
      <c r="X278">
        <f xml:space="preserve"> Z278 + AA278 + (AB278*G278) + (AC278*H278) + (AD278*I278) + (AE278*J278) + (AF278*(K278/100)) + (AG278*(L278/100))+ (AH278*(M278))</f>
        <v>5.0060000000000002</v>
      </c>
      <c r="Y278" s="1">
        <f>X278-W278</f>
        <v>3.6000000000000476E-2</v>
      </c>
      <c r="Z278">
        <f>U278</f>
        <v>0</v>
      </c>
      <c r="AA278">
        <f>V278</f>
        <v>0</v>
      </c>
      <c r="AB278">
        <f>N278</f>
        <v>1.2</v>
      </c>
      <c r="AC278">
        <f>O278</f>
        <v>0.5</v>
      </c>
      <c r="AD278">
        <f>P278</f>
        <v>0.8</v>
      </c>
      <c r="AE278">
        <f>Q278</f>
        <v>0.6</v>
      </c>
      <c r="AF278">
        <f>R278</f>
        <v>1</v>
      </c>
      <c r="AG278">
        <f>S278</f>
        <v>0.8</v>
      </c>
      <c r="AH278">
        <f t="shared" si="29"/>
        <v>3</v>
      </c>
    </row>
    <row r="279" spans="1:34" x14ac:dyDescent="0.3">
      <c r="A279" s="9" t="s">
        <v>398</v>
      </c>
      <c r="B279" s="9" t="s">
        <v>474</v>
      </c>
      <c r="C279" s="9" t="s">
        <v>475</v>
      </c>
      <c r="D279" s="9" t="s">
        <v>22</v>
      </c>
      <c r="E279" s="9">
        <v>0</v>
      </c>
      <c r="F279" s="9">
        <v>0</v>
      </c>
      <c r="G279" s="9">
        <v>2</v>
      </c>
      <c r="H279" s="9">
        <v>0</v>
      </c>
      <c r="I279" s="9">
        <v>1</v>
      </c>
      <c r="J279" s="9">
        <v>0</v>
      </c>
      <c r="K279" s="9">
        <v>30.6</v>
      </c>
      <c r="L279" s="9">
        <v>0</v>
      </c>
      <c r="M279" s="9">
        <v>0.5</v>
      </c>
      <c r="N279" s="9">
        <v>1.2</v>
      </c>
      <c r="O279" s="9">
        <v>0.5</v>
      </c>
      <c r="P279" s="9">
        <v>0.8</v>
      </c>
      <c r="Q279" s="9">
        <v>0.6</v>
      </c>
      <c r="R279" s="9">
        <v>1</v>
      </c>
      <c r="S279" s="9">
        <v>0.8</v>
      </c>
      <c r="T279" s="9">
        <v>3</v>
      </c>
      <c r="U279" s="9">
        <v>0</v>
      </c>
      <c r="V279" s="9">
        <v>0</v>
      </c>
      <c r="W279" s="9">
        <v>4.97</v>
      </c>
      <c r="X279">
        <f xml:space="preserve"> Z279 + AA279 + (AB279*G279) + (AC279*H279) + (AD279*I279) + (AE279*J279) + (AF279*(K279/100)) + (AG279*(L279/100))+ (AH279*(M279))</f>
        <v>5.0060000000000002</v>
      </c>
      <c r="Y279" s="1">
        <f>X279-W279</f>
        <v>3.6000000000000476E-2</v>
      </c>
      <c r="Z279">
        <f>U279</f>
        <v>0</v>
      </c>
      <c r="AA279">
        <f>V279</f>
        <v>0</v>
      </c>
      <c r="AB279">
        <f>N279</f>
        <v>1.2</v>
      </c>
      <c r="AC279">
        <f>O279</f>
        <v>0.5</v>
      </c>
      <c r="AD279">
        <f>P279</f>
        <v>0.8</v>
      </c>
      <c r="AE279">
        <f>Q279</f>
        <v>0.6</v>
      </c>
      <c r="AF279">
        <f>R279</f>
        <v>1</v>
      </c>
      <c r="AG279">
        <f>S279</f>
        <v>0.8</v>
      </c>
      <c r="AH279">
        <f t="shared" si="29"/>
        <v>3</v>
      </c>
    </row>
    <row r="280" spans="1:34" x14ac:dyDescent="0.3">
      <c r="A280" s="9" t="s">
        <v>398</v>
      </c>
      <c r="B280" s="9" t="s">
        <v>476</v>
      </c>
      <c r="C280" s="9" t="s">
        <v>477</v>
      </c>
      <c r="D280" s="9" t="s">
        <v>22</v>
      </c>
      <c r="E280" s="9">
        <v>0</v>
      </c>
      <c r="F280" s="9">
        <v>0</v>
      </c>
      <c r="G280" s="9">
        <v>2</v>
      </c>
      <c r="H280" s="9">
        <v>0</v>
      </c>
      <c r="I280" s="9">
        <v>1</v>
      </c>
      <c r="J280" s="9">
        <v>0</v>
      </c>
      <c r="K280" s="9">
        <v>30.6</v>
      </c>
      <c r="L280" s="9">
        <v>0</v>
      </c>
      <c r="M280" s="9">
        <v>0.5</v>
      </c>
      <c r="N280" s="9">
        <v>1.2</v>
      </c>
      <c r="O280" s="9">
        <v>0.5</v>
      </c>
      <c r="P280" s="9">
        <v>0.8</v>
      </c>
      <c r="Q280" s="9">
        <v>0.6</v>
      </c>
      <c r="R280" s="9">
        <v>1</v>
      </c>
      <c r="S280" s="9">
        <v>0.8</v>
      </c>
      <c r="T280" s="9">
        <v>3</v>
      </c>
      <c r="U280" s="9">
        <v>0</v>
      </c>
      <c r="V280" s="9">
        <v>0</v>
      </c>
      <c r="W280" s="9">
        <v>4.97</v>
      </c>
      <c r="X280">
        <f xml:space="preserve"> Z280 + AA280 + (AB280*G280) + (AC280*H280) + (AD280*I280) + (AE280*J280) + (AF280*(K280/100)) + (AG280*(L280/100))+ (AH280*(M280))</f>
        <v>5.0060000000000002</v>
      </c>
      <c r="Y280" s="1">
        <f>X280-W280</f>
        <v>3.6000000000000476E-2</v>
      </c>
      <c r="Z280">
        <f>U280</f>
        <v>0</v>
      </c>
      <c r="AA280">
        <f>V280</f>
        <v>0</v>
      </c>
      <c r="AB280">
        <f>N280</f>
        <v>1.2</v>
      </c>
      <c r="AC280">
        <f>O280</f>
        <v>0.5</v>
      </c>
      <c r="AD280">
        <f>P280</f>
        <v>0.8</v>
      </c>
      <c r="AE280">
        <f>Q280</f>
        <v>0.6</v>
      </c>
      <c r="AF280">
        <f>R280</f>
        <v>1</v>
      </c>
      <c r="AG280">
        <f>S280</f>
        <v>0.8</v>
      </c>
      <c r="AH280">
        <f t="shared" si="29"/>
        <v>3</v>
      </c>
    </row>
    <row r="281" spans="1:34" hidden="1" x14ac:dyDescent="0.3">
      <c r="A281" s="9" t="s">
        <v>54</v>
      </c>
      <c r="B281" s="9" t="s">
        <v>76</v>
      </c>
      <c r="C281" s="9" t="s">
        <v>77</v>
      </c>
      <c r="D281" s="9" t="s">
        <v>22</v>
      </c>
      <c r="E281" s="9">
        <v>0</v>
      </c>
      <c r="F281" s="9">
        <v>0</v>
      </c>
      <c r="G281" s="9">
        <v>1.8</v>
      </c>
      <c r="H281" s="9">
        <v>2.2999999999999998</v>
      </c>
      <c r="I281" s="9">
        <v>1</v>
      </c>
      <c r="J281" s="9">
        <v>0</v>
      </c>
      <c r="K281" s="9">
        <v>39.9</v>
      </c>
      <c r="L281" s="9">
        <v>0</v>
      </c>
      <c r="M281" s="9">
        <v>0.154</v>
      </c>
      <c r="N281" s="9">
        <v>1.2</v>
      </c>
      <c r="O281" s="9">
        <v>0.5</v>
      </c>
      <c r="P281" s="9">
        <v>0.8</v>
      </c>
      <c r="Q281" s="9">
        <v>0.6</v>
      </c>
      <c r="R281" s="9">
        <v>1</v>
      </c>
      <c r="S281" s="9">
        <v>0.8</v>
      </c>
      <c r="T281" s="9">
        <v>3</v>
      </c>
      <c r="U281" s="9">
        <v>0</v>
      </c>
      <c r="V281" s="9">
        <v>0</v>
      </c>
      <c r="W281" s="10">
        <v>4.96</v>
      </c>
      <c r="X281" s="5">
        <f xml:space="preserve"> Z281 + AA281 + (AB281*G281) + (AC281*H281) + (AD281*I281) + (AE281*J281) + (AF281*(K281/100)) + (AG281*(L281/100))+ (AH281*(M281))</f>
        <v>10.720999999999998</v>
      </c>
      <c r="Y281" s="1">
        <f>X281-W281</f>
        <v>5.7609999999999983</v>
      </c>
      <c r="Z281">
        <f>U281</f>
        <v>0</v>
      </c>
      <c r="AA281">
        <f>V281</f>
        <v>0</v>
      </c>
      <c r="AB281">
        <f>N281</f>
        <v>1.2</v>
      </c>
      <c r="AC281" s="4">
        <v>3</v>
      </c>
      <c r="AD281">
        <f>P281</f>
        <v>0.8</v>
      </c>
      <c r="AE281">
        <f>Q281</f>
        <v>0.6</v>
      </c>
      <c r="AF281">
        <f>R281</f>
        <v>1</v>
      </c>
      <c r="AG281">
        <f>S281</f>
        <v>0.8</v>
      </c>
      <c r="AH281">
        <f t="shared" si="29"/>
        <v>3</v>
      </c>
    </row>
    <row r="282" spans="1:34" x14ac:dyDescent="0.3">
      <c r="A282" s="9" t="s">
        <v>398</v>
      </c>
      <c r="B282" s="9" t="s">
        <v>520</v>
      </c>
      <c r="C282" s="9" t="s">
        <v>521</v>
      </c>
      <c r="D282" s="9" t="s">
        <v>22</v>
      </c>
      <c r="E282" s="9">
        <v>0</v>
      </c>
      <c r="F282" s="9">
        <v>0</v>
      </c>
      <c r="G282" s="9">
        <v>0.4</v>
      </c>
      <c r="H282" s="9">
        <v>0</v>
      </c>
      <c r="I282" s="9">
        <v>0</v>
      </c>
      <c r="J282" s="9">
        <v>2</v>
      </c>
      <c r="K282" s="9">
        <v>0</v>
      </c>
      <c r="L282" s="9">
        <v>34.5</v>
      </c>
      <c r="M282" s="9">
        <v>1</v>
      </c>
      <c r="N282" s="9">
        <v>1.2</v>
      </c>
      <c r="O282" s="9">
        <v>0.5</v>
      </c>
      <c r="P282" s="9">
        <v>0.8</v>
      </c>
      <c r="Q282" s="9">
        <v>0.6</v>
      </c>
      <c r="R282" s="9">
        <v>1</v>
      </c>
      <c r="S282" s="9">
        <v>0.8</v>
      </c>
      <c r="T282" s="9">
        <v>3</v>
      </c>
      <c r="U282" s="9">
        <v>0</v>
      </c>
      <c r="V282" s="9">
        <v>0</v>
      </c>
      <c r="W282" s="9">
        <v>4.95</v>
      </c>
      <c r="X282">
        <f xml:space="preserve"> Z282 + AA282 + (AB282*G282) + (AC282*H282) + (AD282*I282) + (AE282*J282) + (AF282*(K282/100)) + (AG282*(L282/100))+ (AH282*(M282))</f>
        <v>4.9559999999999995</v>
      </c>
      <c r="Y282" s="1">
        <f>X282-W282</f>
        <v>5.9999999999993392E-3</v>
      </c>
      <c r="Z282">
        <f>U282</f>
        <v>0</v>
      </c>
      <c r="AA282">
        <f>V282</f>
        <v>0</v>
      </c>
      <c r="AB282">
        <f>N282</f>
        <v>1.2</v>
      </c>
      <c r="AC282">
        <f>O282</f>
        <v>0.5</v>
      </c>
      <c r="AD282">
        <f>P282</f>
        <v>0.8</v>
      </c>
      <c r="AE282">
        <f>Q282</f>
        <v>0.6</v>
      </c>
      <c r="AF282">
        <f>R282</f>
        <v>1</v>
      </c>
      <c r="AG282">
        <f>S282</f>
        <v>0.8</v>
      </c>
      <c r="AH282">
        <f t="shared" si="29"/>
        <v>3</v>
      </c>
    </row>
    <row r="283" spans="1:34" x14ac:dyDescent="0.3">
      <c r="A283" s="9" t="s">
        <v>398</v>
      </c>
      <c r="B283" s="9" t="s">
        <v>524</v>
      </c>
      <c r="C283" s="9" t="s">
        <v>525</v>
      </c>
      <c r="D283" s="9" t="s">
        <v>22</v>
      </c>
      <c r="E283" s="9">
        <v>0</v>
      </c>
      <c r="F283" s="9">
        <v>0</v>
      </c>
      <c r="G283" s="9">
        <v>0</v>
      </c>
      <c r="H283" s="9">
        <v>1.61</v>
      </c>
      <c r="I283" s="9">
        <v>1</v>
      </c>
      <c r="J283" s="9">
        <v>0</v>
      </c>
      <c r="K283" s="9">
        <v>34.1</v>
      </c>
      <c r="L283" s="9">
        <v>0</v>
      </c>
      <c r="M283" s="9">
        <v>1</v>
      </c>
      <c r="N283" s="9">
        <v>1.2</v>
      </c>
      <c r="O283" s="9">
        <v>0.5</v>
      </c>
      <c r="P283" s="9">
        <v>0.8</v>
      </c>
      <c r="Q283" s="9">
        <v>0.6</v>
      </c>
      <c r="R283" s="9">
        <v>1</v>
      </c>
      <c r="S283" s="9">
        <v>0.8</v>
      </c>
      <c r="T283" s="9">
        <v>3</v>
      </c>
      <c r="U283" s="9">
        <v>0</v>
      </c>
      <c r="V283" s="9">
        <v>0</v>
      </c>
      <c r="W283" s="9">
        <v>4.95</v>
      </c>
      <c r="X283">
        <f xml:space="preserve"> Z283 + AA283 + (AB283*G283) + (AC283*H283) + (AD283*I283) + (AE283*J283) + (AF283*(K283/100)) + (AG283*(L283/100))+ (AH283*(M283))</f>
        <v>4.9459999999999997</v>
      </c>
      <c r="Y283" s="1">
        <f>X283-W283</f>
        <v>-4.0000000000004476E-3</v>
      </c>
      <c r="Z283">
        <f>U283</f>
        <v>0</v>
      </c>
      <c r="AA283">
        <f>V283</f>
        <v>0</v>
      </c>
      <c r="AB283">
        <f>N283</f>
        <v>1.2</v>
      </c>
      <c r="AC283">
        <f>O283</f>
        <v>0.5</v>
      </c>
      <c r="AD283">
        <f>P283</f>
        <v>0.8</v>
      </c>
      <c r="AE283">
        <f>Q283</f>
        <v>0.6</v>
      </c>
      <c r="AF283">
        <f>R283</f>
        <v>1</v>
      </c>
      <c r="AG283">
        <f>S283</f>
        <v>0.8</v>
      </c>
      <c r="AH283">
        <f t="shared" si="29"/>
        <v>3</v>
      </c>
    </row>
    <row r="284" spans="1:34" hidden="1" x14ac:dyDescent="0.3">
      <c r="A284" s="9" t="s">
        <v>221</v>
      </c>
      <c r="B284" s="9" t="s">
        <v>364</v>
      </c>
      <c r="C284" s="9" t="s">
        <v>365</v>
      </c>
      <c r="D284" s="9" t="s">
        <v>22</v>
      </c>
      <c r="E284" s="9">
        <v>0</v>
      </c>
      <c r="F284" s="9">
        <v>0</v>
      </c>
      <c r="G284" s="9">
        <v>0.4</v>
      </c>
      <c r="H284" s="9">
        <v>3.09</v>
      </c>
      <c r="I284" s="9">
        <v>0</v>
      </c>
      <c r="J284" s="9">
        <v>2</v>
      </c>
      <c r="K284" s="9">
        <v>0</v>
      </c>
      <c r="L284" s="9">
        <v>26.3</v>
      </c>
      <c r="M284" s="9">
        <v>0.5</v>
      </c>
      <c r="N284" s="9">
        <v>1.2</v>
      </c>
      <c r="O284" s="9">
        <v>0.5</v>
      </c>
      <c r="P284" s="9">
        <v>0.8</v>
      </c>
      <c r="Q284" s="9">
        <v>0.6</v>
      </c>
      <c r="R284" s="9">
        <v>1</v>
      </c>
      <c r="S284" s="9">
        <v>0.8</v>
      </c>
      <c r="T284" s="9">
        <v>3</v>
      </c>
      <c r="U284" s="9">
        <v>0</v>
      </c>
      <c r="V284" s="9">
        <v>0</v>
      </c>
      <c r="W284" s="9">
        <v>4.93</v>
      </c>
      <c r="X284">
        <f xml:space="preserve"> Z284 + AA284 + (AB284*G284) + (AC284*H284) + (AD284*I284) + (AE284*J284) + (AF284*(K284/100)) + (AG284*(L284/100))+ (AH284*(M284))</f>
        <v>4.9353999999999996</v>
      </c>
      <c r="Y284" s="1">
        <f>X284-W284</f>
        <v>5.3999999999998494E-3</v>
      </c>
      <c r="Z284">
        <f>U284</f>
        <v>0</v>
      </c>
      <c r="AA284">
        <f>V284</f>
        <v>0</v>
      </c>
      <c r="AB284">
        <f>N284</f>
        <v>1.2</v>
      </c>
      <c r="AC284">
        <f>O284</f>
        <v>0.5</v>
      </c>
      <c r="AD284">
        <f>P284</f>
        <v>0.8</v>
      </c>
      <c r="AE284">
        <f>Q284</f>
        <v>0.6</v>
      </c>
      <c r="AF284">
        <f>R284</f>
        <v>1</v>
      </c>
      <c r="AG284">
        <f>S284</f>
        <v>0.8</v>
      </c>
      <c r="AH284">
        <f t="shared" si="29"/>
        <v>3</v>
      </c>
    </row>
    <row r="285" spans="1:34" hidden="1" x14ac:dyDescent="0.3">
      <c r="A285" s="9" t="s">
        <v>54</v>
      </c>
      <c r="B285" s="9" t="s">
        <v>130</v>
      </c>
      <c r="C285" s="9" t="s">
        <v>131</v>
      </c>
      <c r="D285" s="9" t="s">
        <v>22</v>
      </c>
      <c r="E285" s="9">
        <v>0</v>
      </c>
      <c r="F285" s="9">
        <v>0</v>
      </c>
      <c r="G285" s="9">
        <v>1.8</v>
      </c>
      <c r="H285" s="9">
        <v>1.61</v>
      </c>
      <c r="I285" s="9">
        <v>1</v>
      </c>
      <c r="J285" s="9">
        <v>0</v>
      </c>
      <c r="K285" s="9">
        <v>39.9</v>
      </c>
      <c r="L285" s="9">
        <v>0</v>
      </c>
      <c r="M285" s="9">
        <v>0.25</v>
      </c>
      <c r="N285" s="9">
        <v>1.2</v>
      </c>
      <c r="O285" s="9">
        <v>0.5</v>
      </c>
      <c r="P285" s="9">
        <v>0.8</v>
      </c>
      <c r="Q285" s="9">
        <v>0.6</v>
      </c>
      <c r="R285" s="9">
        <v>1</v>
      </c>
      <c r="S285" s="9">
        <v>0.8</v>
      </c>
      <c r="T285" s="9">
        <v>3</v>
      </c>
      <c r="U285" s="9">
        <v>0</v>
      </c>
      <c r="V285" s="9">
        <v>0</v>
      </c>
      <c r="W285" s="9">
        <v>4.9000000000000004</v>
      </c>
      <c r="X285" s="6">
        <f xml:space="preserve"> Z285 + AA285 + (AB285*G285) + (AC285*H285) + (AD285*I285) + (AE285*J285) + (AF285*(K285/100)) + (AG285*(L285/100))+ (AH285*(M285))</f>
        <v>13.789</v>
      </c>
      <c r="Y285" s="7">
        <f>X285-W285</f>
        <v>8.8889999999999993</v>
      </c>
      <c r="Z285" s="6">
        <f>U285</f>
        <v>0</v>
      </c>
      <c r="AA285" s="6">
        <f>V285</f>
        <v>0</v>
      </c>
      <c r="AB285" s="6">
        <v>3</v>
      </c>
      <c r="AC285" s="6">
        <v>4</v>
      </c>
      <c r="AD285" s="6">
        <f>P285</f>
        <v>0.8</v>
      </c>
      <c r="AE285" s="6">
        <v>1</v>
      </c>
      <c r="AF285" s="6">
        <f>R285</f>
        <v>1</v>
      </c>
      <c r="AG285" s="6">
        <f>S285</f>
        <v>0.8</v>
      </c>
      <c r="AH285">
        <f t="shared" si="29"/>
        <v>3</v>
      </c>
    </row>
    <row r="286" spans="1:34" hidden="1" x14ac:dyDescent="0.3">
      <c r="A286" s="9" t="s">
        <v>54</v>
      </c>
      <c r="B286" s="9" t="s">
        <v>134</v>
      </c>
      <c r="C286" s="9" t="s">
        <v>135</v>
      </c>
      <c r="D286" s="9" t="s">
        <v>22</v>
      </c>
      <c r="E286" s="9">
        <v>0</v>
      </c>
      <c r="F286" s="9">
        <v>0</v>
      </c>
      <c r="G286" s="9">
        <v>1.8</v>
      </c>
      <c r="H286" s="9">
        <v>1.79</v>
      </c>
      <c r="I286" s="9">
        <v>1</v>
      </c>
      <c r="J286" s="9">
        <v>0</v>
      </c>
      <c r="K286" s="9">
        <v>39.9</v>
      </c>
      <c r="L286" s="9">
        <v>0</v>
      </c>
      <c r="M286" s="9">
        <v>0.222</v>
      </c>
      <c r="N286" s="9">
        <v>1.2</v>
      </c>
      <c r="O286" s="9">
        <v>0.5</v>
      </c>
      <c r="P286" s="9">
        <v>0.8</v>
      </c>
      <c r="Q286" s="9">
        <v>0.6</v>
      </c>
      <c r="R286" s="9">
        <v>1</v>
      </c>
      <c r="S286" s="9">
        <v>0.8</v>
      </c>
      <c r="T286" s="9">
        <v>3</v>
      </c>
      <c r="U286" s="9">
        <v>0</v>
      </c>
      <c r="V286" s="9">
        <v>0</v>
      </c>
      <c r="W286" s="9">
        <v>4.9000000000000004</v>
      </c>
      <c r="X286">
        <f xml:space="preserve"> Z286 + AA286 + (AB286*G286) + (AC286*H286) + (AD286*I286) + (AE286*J286) + (AF286*(K286/100)) + (AG286*(L286/100))+ (AH286*(M286))</f>
        <v>4.9200000000000008</v>
      </c>
      <c r="Y286" s="1">
        <f>X286-W286</f>
        <v>2.0000000000000462E-2</v>
      </c>
      <c r="Z286">
        <f>U286</f>
        <v>0</v>
      </c>
      <c r="AA286">
        <f>V286</f>
        <v>0</v>
      </c>
      <c r="AB286">
        <f>N286</f>
        <v>1.2</v>
      </c>
      <c r="AC286">
        <f>O286</f>
        <v>0.5</v>
      </c>
      <c r="AD286">
        <f>P286</f>
        <v>0.8</v>
      </c>
      <c r="AE286">
        <f>Q286</f>
        <v>0.6</v>
      </c>
      <c r="AF286">
        <f>R286</f>
        <v>1</v>
      </c>
      <c r="AG286">
        <f>S286</f>
        <v>0.8</v>
      </c>
      <c r="AH286">
        <f t="shared" si="29"/>
        <v>3</v>
      </c>
    </row>
    <row r="287" spans="1:34" hidden="1" x14ac:dyDescent="0.3">
      <c r="A287" s="9" t="s">
        <v>54</v>
      </c>
      <c r="B287" s="9" t="s">
        <v>160</v>
      </c>
      <c r="C287" s="9" t="s">
        <v>161</v>
      </c>
      <c r="D287" s="9" t="s">
        <v>22</v>
      </c>
      <c r="E287" s="9">
        <v>0</v>
      </c>
      <c r="F287" s="9">
        <v>0</v>
      </c>
      <c r="G287" s="9">
        <v>0</v>
      </c>
      <c r="H287" s="9">
        <v>0.69</v>
      </c>
      <c r="I287" s="9">
        <v>0</v>
      </c>
      <c r="J287" s="9">
        <v>2</v>
      </c>
      <c r="K287" s="9">
        <v>0</v>
      </c>
      <c r="L287" s="9">
        <v>42.4</v>
      </c>
      <c r="M287" s="9">
        <v>1</v>
      </c>
      <c r="N287" s="9">
        <v>1.2</v>
      </c>
      <c r="O287" s="9">
        <v>0.5</v>
      </c>
      <c r="P287" s="9">
        <v>0.8</v>
      </c>
      <c r="Q287" s="9">
        <v>0.6</v>
      </c>
      <c r="R287" s="9">
        <v>1</v>
      </c>
      <c r="S287" s="9">
        <v>0.8</v>
      </c>
      <c r="T287" s="9">
        <v>3</v>
      </c>
      <c r="U287" s="9">
        <v>0</v>
      </c>
      <c r="V287" s="9">
        <v>0</v>
      </c>
      <c r="W287" s="9">
        <v>4.8899999999999997</v>
      </c>
      <c r="X287">
        <f xml:space="preserve"> Z287 + AA287 + (AB287*G287) + (AC287*H287) + (AD287*I287) + (AE287*J287) + (AF287*(K287/100)) + (AG287*(L287/100))+ (AH287*(M287))</f>
        <v>4.8841999999999999</v>
      </c>
      <c r="Y287" s="1">
        <f>X287-W287</f>
        <v>-5.7999999999998053E-3</v>
      </c>
      <c r="Z287">
        <f>U287</f>
        <v>0</v>
      </c>
      <c r="AA287">
        <f>V287</f>
        <v>0</v>
      </c>
      <c r="AB287">
        <f>N287</f>
        <v>1.2</v>
      </c>
      <c r="AC287">
        <f>O287</f>
        <v>0.5</v>
      </c>
      <c r="AD287">
        <f>P287</f>
        <v>0.8</v>
      </c>
      <c r="AE287">
        <f>Q287</f>
        <v>0.6</v>
      </c>
      <c r="AF287">
        <f>R287</f>
        <v>1</v>
      </c>
      <c r="AG287">
        <f>S287</f>
        <v>0.8</v>
      </c>
      <c r="AH287">
        <f t="shared" si="29"/>
        <v>3</v>
      </c>
    </row>
    <row r="288" spans="1:34" hidden="1" x14ac:dyDescent="0.3">
      <c r="A288" s="9" t="s">
        <v>221</v>
      </c>
      <c r="B288" s="9" t="s">
        <v>286</v>
      </c>
      <c r="C288" s="9" t="s">
        <v>287</v>
      </c>
      <c r="D288" s="9" t="s">
        <v>22</v>
      </c>
      <c r="E288" s="9">
        <v>0</v>
      </c>
      <c r="F288" s="9">
        <v>0</v>
      </c>
      <c r="G288" s="9">
        <v>1.2</v>
      </c>
      <c r="H288" s="9">
        <v>0</v>
      </c>
      <c r="I288" s="9">
        <v>0</v>
      </c>
      <c r="J288" s="9">
        <v>2</v>
      </c>
      <c r="K288" s="9">
        <v>0</v>
      </c>
      <c r="L288" s="9">
        <v>33.9</v>
      </c>
      <c r="M288" s="9">
        <v>0.66700000000000004</v>
      </c>
      <c r="N288" s="9">
        <v>1.2</v>
      </c>
      <c r="O288" s="9">
        <v>0.5</v>
      </c>
      <c r="P288" s="9">
        <v>0.8</v>
      </c>
      <c r="Q288" s="9">
        <v>0.6</v>
      </c>
      <c r="R288" s="9">
        <v>1</v>
      </c>
      <c r="S288" s="9">
        <v>0.8</v>
      </c>
      <c r="T288" s="9">
        <v>3</v>
      </c>
      <c r="U288" s="9">
        <v>0</v>
      </c>
      <c r="V288" s="9">
        <v>0</v>
      </c>
      <c r="W288" s="9">
        <v>4.8899999999999997</v>
      </c>
      <c r="X288">
        <f xml:space="preserve"> Z288 + AA288 + (AB288*G288) + (AC288*H288) + (AD288*I288) + (AE288*J288) + (AF288*(K288/100)) + (AG288*(L288/100))+ (AH288*(M288))</f>
        <v>4.9122000000000003</v>
      </c>
      <c r="Y288" s="1">
        <f>X288-W288</f>
        <v>2.2200000000000664E-2</v>
      </c>
      <c r="Z288">
        <f>U288</f>
        <v>0</v>
      </c>
      <c r="AA288">
        <f>V288</f>
        <v>0</v>
      </c>
      <c r="AB288">
        <f>N288</f>
        <v>1.2</v>
      </c>
      <c r="AC288">
        <f>O288</f>
        <v>0.5</v>
      </c>
      <c r="AD288">
        <f>P288</f>
        <v>0.8</v>
      </c>
      <c r="AE288">
        <f>Q288</f>
        <v>0.6</v>
      </c>
      <c r="AF288">
        <f>R288</f>
        <v>1</v>
      </c>
      <c r="AG288">
        <f>S288</f>
        <v>0.8</v>
      </c>
      <c r="AH288">
        <f t="shared" si="29"/>
        <v>3</v>
      </c>
    </row>
    <row r="289" spans="1:34" x14ac:dyDescent="0.3">
      <c r="A289" s="9" t="s">
        <v>398</v>
      </c>
      <c r="B289" s="9" t="s">
        <v>494</v>
      </c>
      <c r="C289" s="9" t="s">
        <v>495</v>
      </c>
      <c r="D289" s="9" t="s">
        <v>22</v>
      </c>
      <c r="E289" s="9">
        <v>0</v>
      </c>
      <c r="F289" s="9">
        <v>0</v>
      </c>
      <c r="G289" s="9">
        <v>0.4</v>
      </c>
      <c r="H289" s="9">
        <v>3.5</v>
      </c>
      <c r="I289" s="9">
        <v>2</v>
      </c>
      <c r="J289" s="9">
        <v>0</v>
      </c>
      <c r="K289" s="9">
        <v>19.100000000000001</v>
      </c>
      <c r="L289" s="9">
        <v>0</v>
      </c>
      <c r="M289" s="9">
        <v>0.28599999999999998</v>
      </c>
      <c r="N289" s="9">
        <v>1.2</v>
      </c>
      <c r="O289" s="9">
        <v>0.5</v>
      </c>
      <c r="P289" s="9">
        <v>0.8</v>
      </c>
      <c r="Q289" s="9">
        <v>0.6</v>
      </c>
      <c r="R289" s="9">
        <v>1</v>
      </c>
      <c r="S289" s="9">
        <v>0.8</v>
      </c>
      <c r="T289" s="9">
        <v>3</v>
      </c>
      <c r="U289" s="9">
        <v>0</v>
      </c>
      <c r="V289" s="9">
        <v>0</v>
      </c>
      <c r="W289" s="9">
        <v>4.87</v>
      </c>
      <c r="X289">
        <f xml:space="preserve"> Z289 + AA289 + (AB289*G289) + (AC289*H289) + (AD289*I289) + (AE289*J289) + (AF289*(K289/100)) + (AG289*(L289/100))+ (AH289*(M289))</f>
        <v>4.8789999999999996</v>
      </c>
      <c r="Y289" s="1">
        <f>X289-W289</f>
        <v>8.9999999999994529E-3</v>
      </c>
      <c r="Z289">
        <f>U289</f>
        <v>0</v>
      </c>
      <c r="AA289">
        <f>V289</f>
        <v>0</v>
      </c>
      <c r="AB289">
        <f>N289</f>
        <v>1.2</v>
      </c>
      <c r="AC289">
        <f>O289</f>
        <v>0.5</v>
      </c>
      <c r="AD289">
        <f>P289</f>
        <v>0.8</v>
      </c>
      <c r="AE289">
        <f>Q289</f>
        <v>0.6</v>
      </c>
      <c r="AF289">
        <f>R289</f>
        <v>1</v>
      </c>
      <c r="AG289">
        <f>S289</f>
        <v>0.8</v>
      </c>
      <c r="AH289">
        <f t="shared" si="29"/>
        <v>3</v>
      </c>
    </row>
    <row r="290" spans="1:34" hidden="1" x14ac:dyDescent="0.3">
      <c r="A290" s="9" t="s">
        <v>221</v>
      </c>
      <c r="B290" s="9" t="s">
        <v>262</v>
      </c>
      <c r="C290" s="9" t="s">
        <v>263</v>
      </c>
      <c r="D290" s="9" t="s">
        <v>22</v>
      </c>
      <c r="E290" s="9">
        <v>0</v>
      </c>
      <c r="F290" s="9">
        <v>0</v>
      </c>
      <c r="G290" s="9">
        <v>1.6</v>
      </c>
      <c r="H290" s="9">
        <v>2.56</v>
      </c>
      <c r="I290" s="9">
        <v>1</v>
      </c>
      <c r="J290" s="9">
        <v>0</v>
      </c>
      <c r="K290" s="9">
        <v>2.4</v>
      </c>
      <c r="L290" s="9">
        <v>0</v>
      </c>
      <c r="M290" s="9">
        <v>0.28599999999999998</v>
      </c>
      <c r="N290" s="9">
        <v>1.2</v>
      </c>
      <c r="O290" s="9">
        <v>0.5</v>
      </c>
      <c r="P290" s="9">
        <v>0.8</v>
      </c>
      <c r="Q290" s="9">
        <v>0.6</v>
      </c>
      <c r="R290" s="9">
        <v>1</v>
      </c>
      <c r="S290" s="9">
        <v>0.8</v>
      </c>
      <c r="T290" s="9">
        <v>3</v>
      </c>
      <c r="U290" s="9">
        <v>0</v>
      </c>
      <c r="V290" s="9">
        <v>0</v>
      </c>
      <c r="W290" s="9">
        <v>4.8499999999999996</v>
      </c>
      <c r="X290">
        <f xml:space="preserve"> Z290 + AA290 + (AB290*G290) + (AC290*H290) + (AD290*I290) + (AE290*J290) + (AF290*(K290/100)) + (AG290*(L290/100))+ (AH290*(M290))</f>
        <v>4.8819999999999997</v>
      </c>
      <c r="Y290" s="1">
        <f>X290-W290</f>
        <v>3.2000000000000028E-2</v>
      </c>
      <c r="Z290">
        <f>U290</f>
        <v>0</v>
      </c>
      <c r="AA290">
        <f>V290</f>
        <v>0</v>
      </c>
      <c r="AB290">
        <f>N290</f>
        <v>1.2</v>
      </c>
      <c r="AC290">
        <f>O290</f>
        <v>0.5</v>
      </c>
      <c r="AD290">
        <f>P290</f>
        <v>0.8</v>
      </c>
      <c r="AE290">
        <f>Q290</f>
        <v>0.6</v>
      </c>
      <c r="AF290">
        <f>R290</f>
        <v>1</v>
      </c>
      <c r="AG290">
        <f>S290</f>
        <v>0.8</v>
      </c>
      <c r="AH290">
        <f t="shared" si="29"/>
        <v>3</v>
      </c>
    </row>
    <row r="291" spans="1:34" hidden="1" x14ac:dyDescent="0.3">
      <c r="A291" s="9" t="s">
        <v>54</v>
      </c>
      <c r="B291" s="9" t="s">
        <v>92</v>
      </c>
      <c r="C291" s="9" t="s">
        <v>93</v>
      </c>
      <c r="D291" s="9" t="s">
        <v>22</v>
      </c>
      <c r="E291" s="9">
        <v>0</v>
      </c>
      <c r="F291" s="9">
        <v>0</v>
      </c>
      <c r="G291" s="9">
        <v>1.8</v>
      </c>
      <c r="H291" s="9">
        <v>1.79</v>
      </c>
      <c r="I291" s="9">
        <v>1</v>
      </c>
      <c r="J291" s="9">
        <v>0</v>
      </c>
      <c r="K291" s="9">
        <v>39.9</v>
      </c>
      <c r="L291" s="9">
        <v>0</v>
      </c>
      <c r="M291" s="9">
        <v>0.2</v>
      </c>
      <c r="N291" s="9">
        <v>1.2</v>
      </c>
      <c r="O291" s="9">
        <v>0.5</v>
      </c>
      <c r="P291" s="9">
        <v>0.8</v>
      </c>
      <c r="Q291" s="9">
        <v>0.6</v>
      </c>
      <c r="R291" s="9">
        <v>1</v>
      </c>
      <c r="S291" s="9">
        <v>0.8</v>
      </c>
      <c r="T291" s="9">
        <v>3</v>
      </c>
      <c r="U291" s="9">
        <v>0</v>
      </c>
      <c r="V291" s="9">
        <v>0</v>
      </c>
      <c r="W291" s="9">
        <v>4.84</v>
      </c>
      <c r="X291">
        <f xml:space="preserve"> Z291 + AA291 + (AB291*G291) + (AC291*H291) + (AD291*I291) + (AE291*J291) + (AF291*(K291/100)) + (AG291*(L291/100))+ (AH291*(M291))</f>
        <v>4.854000000000001</v>
      </c>
      <c r="Y291" s="1">
        <f>X291-W291</f>
        <v>1.4000000000001123E-2</v>
      </c>
      <c r="Z291">
        <f>U291</f>
        <v>0</v>
      </c>
      <c r="AA291">
        <f>V291</f>
        <v>0</v>
      </c>
      <c r="AB291">
        <f>N291</f>
        <v>1.2</v>
      </c>
      <c r="AC291">
        <f>O291</f>
        <v>0.5</v>
      </c>
      <c r="AD291">
        <f>P291</f>
        <v>0.8</v>
      </c>
      <c r="AE291">
        <f>Q291</f>
        <v>0.6</v>
      </c>
      <c r="AF291">
        <f>R291</f>
        <v>1</v>
      </c>
      <c r="AG291">
        <f>S291</f>
        <v>0.8</v>
      </c>
      <c r="AH291">
        <f t="shared" si="29"/>
        <v>3</v>
      </c>
    </row>
    <row r="292" spans="1:34" hidden="1" x14ac:dyDescent="0.3">
      <c r="A292" s="9" t="s">
        <v>54</v>
      </c>
      <c r="B292" s="9" t="s">
        <v>100</v>
      </c>
      <c r="C292" s="9" t="s">
        <v>101</v>
      </c>
      <c r="D292" s="9" t="s">
        <v>22</v>
      </c>
      <c r="E292" s="9">
        <v>0</v>
      </c>
      <c r="F292" s="9">
        <v>0</v>
      </c>
      <c r="G292" s="9">
        <v>1.8</v>
      </c>
      <c r="H292" s="9">
        <v>1.61</v>
      </c>
      <c r="I292" s="9">
        <v>1</v>
      </c>
      <c r="J292" s="9">
        <v>0</v>
      </c>
      <c r="K292" s="9">
        <v>39.9</v>
      </c>
      <c r="L292" s="9">
        <v>0</v>
      </c>
      <c r="M292" s="9">
        <v>0.222</v>
      </c>
      <c r="N292" s="9">
        <v>1.2</v>
      </c>
      <c r="O292" s="9">
        <v>0.5</v>
      </c>
      <c r="P292" s="9">
        <v>0.8</v>
      </c>
      <c r="Q292" s="9">
        <v>0.6</v>
      </c>
      <c r="R292" s="9">
        <v>1</v>
      </c>
      <c r="S292" s="9">
        <v>0.8</v>
      </c>
      <c r="T292" s="9">
        <v>3</v>
      </c>
      <c r="U292" s="9">
        <v>0</v>
      </c>
      <c r="V292" s="9">
        <v>0</v>
      </c>
      <c r="W292" s="9">
        <v>4.8099999999999996</v>
      </c>
      <c r="X292">
        <f xml:space="preserve"> Z292 + AA292 + (AB292*G292) + (AC292*H292) + (AD292*I292) + (AE292*J292) + (AF292*(K292/100)) + (AG292*(L292/100))+ (AH292*(M292))</f>
        <v>4.830000000000001</v>
      </c>
      <c r="Y292" s="1">
        <f>X292-W292</f>
        <v>2.000000000000135E-2</v>
      </c>
      <c r="Z292">
        <f>U292</f>
        <v>0</v>
      </c>
      <c r="AA292">
        <f>V292</f>
        <v>0</v>
      </c>
      <c r="AB292">
        <f>N292</f>
        <v>1.2</v>
      </c>
      <c r="AC292">
        <f>O292</f>
        <v>0.5</v>
      </c>
      <c r="AD292">
        <f>P292</f>
        <v>0.8</v>
      </c>
      <c r="AE292">
        <f>Q292</f>
        <v>0.6</v>
      </c>
      <c r="AF292">
        <f>R292</f>
        <v>1</v>
      </c>
      <c r="AG292">
        <f>S292</f>
        <v>0.8</v>
      </c>
      <c r="AH292">
        <f t="shared" si="29"/>
        <v>3</v>
      </c>
    </row>
    <row r="293" spans="1:34" hidden="1" x14ac:dyDescent="0.3">
      <c r="A293" s="9" t="s">
        <v>54</v>
      </c>
      <c r="B293" s="9" t="s">
        <v>94</v>
      </c>
      <c r="C293" s="9" t="s">
        <v>95</v>
      </c>
      <c r="D293" s="9" t="s">
        <v>22</v>
      </c>
      <c r="E293" s="9">
        <v>0</v>
      </c>
      <c r="F293" s="9">
        <v>0</v>
      </c>
      <c r="G293" s="9">
        <v>1.8</v>
      </c>
      <c r="H293" s="9">
        <v>1.79</v>
      </c>
      <c r="I293" s="9">
        <v>1</v>
      </c>
      <c r="J293" s="9">
        <v>0</v>
      </c>
      <c r="K293" s="9">
        <v>39.9</v>
      </c>
      <c r="L293" s="9">
        <v>0</v>
      </c>
      <c r="M293" s="9">
        <v>0.154</v>
      </c>
      <c r="N293" s="9">
        <v>1.2</v>
      </c>
      <c r="O293" s="9">
        <v>0.5</v>
      </c>
      <c r="P293" s="9">
        <v>0.8</v>
      </c>
      <c r="Q293" s="9">
        <v>0.6</v>
      </c>
      <c r="R293" s="9">
        <v>1</v>
      </c>
      <c r="S293" s="9">
        <v>0.8</v>
      </c>
      <c r="T293" s="9">
        <v>3</v>
      </c>
      <c r="U293" s="9">
        <v>0</v>
      </c>
      <c r="V293" s="9">
        <v>0</v>
      </c>
      <c r="W293" s="9">
        <v>4.7</v>
      </c>
      <c r="X293">
        <f xml:space="preserve"> Z293 + AA293 + (AB293*G293) + (AC293*H293) + (AD293*I293) + (AE293*J293) + (AF293*(K293/100)) + (AG293*(L293/100))+ (AH293*(M293))</f>
        <v>4.7160000000000002</v>
      </c>
      <c r="Y293" s="1">
        <f>X293-W293</f>
        <v>1.6000000000000014E-2</v>
      </c>
      <c r="Z293">
        <f>U293</f>
        <v>0</v>
      </c>
      <c r="AA293">
        <f>V293</f>
        <v>0</v>
      </c>
      <c r="AB293">
        <f>N293</f>
        <v>1.2</v>
      </c>
      <c r="AC293">
        <f>O293</f>
        <v>0.5</v>
      </c>
      <c r="AD293">
        <f>P293</f>
        <v>0.8</v>
      </c>
      <c r="AE293">
        <f>Q293</f>
        <v>0.6</v>
      </c>
      <c r="AF293">
        <f>R293</f>
        <v>1</v>
      </c>
      <c r="AG293">
        <f>S293</f>
        <v>0.8</v>
      </c>
      <c r="AH293">
        <f t="shared" si="29"/>
        <v>3</v>
      </c>
    </row>
    <row r="294" spans="1:34" hidden="1" x14ac:dyDescent="0.3">
      <c r="A294" s="9" t="s">
        <v>54</v>
      </c>
      <c r="B294" s="9" t="s">
        <v>90</v>
      </c>
      <c r="C294" s="9" t="s">
        <v>91</v>
      </c>
      <c r="D294" s="9" t="s">
        <v>22</v>
      </c>
      <c r="E294" s="9">
        <v>0</v>
      </c>
      <c r="F294" s="9">
        <v>0</v>
      </c>
      <c r="G294" s="9">
        <v>1.8</v>
      </c>
      <c r="H294" s="9">
        <v>1.61</v>
      </c>
      <c r="I294" s="9">
        <v>1</v>
      </c>
      <c r="J294" s="9">
        <v>0</v>
      </c>
      <c r="K294" s="9">
        <v>39.9</v>
      </c>
      <c r="L294" s="9">
        <v>0</v>
      </c>
      <c r="M294" s="9">
        <v>0.154</v>
      </c>
      <c r="N294" s="9">
        <v>1.2</v>
      </c>
      <c r="O294" s="9">
        <v>0.5</v>
      </c>
      <c r="P294" s="9">
        <v>0.8</v>
      </c>
      <c r="Q294" s="9">
        <v>0.6</v>
      </c>
      <c r="R294" s="9">
        <v>1</v>
      </c>
      <c r="S294" s="9">
        <v>0.8</v>
      </c>
      <c r="T294" s="9">
        <v>3</v>
      </c>
      <c r="U294" s="9">
        <v>0</v>
      </c>
      <c r="V294" s="9">
        <v>0</v>
      </c>
      <c r="W294" s="9">
        <v>4.6100000000000003</v>
      </c>
      <c r="X294">
        <f xml:space="preserve"> Z294 + AA294 + (AB294*G294) + (AC294*H294) + (AD294*I294) + (AE294*J294) + (AF294*(K294/100)) + (AG294*(L294/100))+ (AH294*(M294))</f>
        <v>4.6260000000000003</v>
      </c>
      <c r="Y294" s="1">
        <f>X294-W294</f>
        <v>1.6000000000000014E-2</v>
      </c>
      <c r="Z294">
        <f>U294</f>
        <v>0</v>
      </c>
      <c r="AA294">
        <f>V294</f>
        <v>0</v>
      </c>
      <c r="AB294">
        <f>N294</f>
        <v>1.2</v>
      </c>
      <c r="AC294">
        <f>O294</f>
        <v>0.5</v>
      </c>
      <c r="AD294">
        <f>P294</f>
        <v>0.8</v>
      </c>
      <c r="AE294">
        <f>Q294</f>
        <v>0.6</v>
      </c>
      <c r="AF294">
        <f>R294</f>
        <v>1</v>
      </c>
      <c r="AG294">
        <f>S294</f>
        <v>0.8</v>
      </c>
      <c r="AH294">
        <f t="shared" si="29"/>
        <v>3</v>
      </c>
    </row>
    <row r="295" spans="1:34" x14ac:dyDescent="0.3">
      <c r="A295" s="9" t="s">
        <v>398</v>
      </c>
      <c r="B295" s="9" t="s">
        <v>444</v>
      </c>
      <c r="C295" s="9" t="s">
        <v>445</v>
      </c>
      <c r="D295" s="9" t="s">
        <v>22</v>
      </c>
      <c r="E295" s="9">
        <v>0</v>
      </c>
      <c r="F295" s="9">
        <v>0</v>
      </c>
      <c r="G295" s="9">
        <v>1.2</v>
      </c>
      <c r="H295" s="9">
        <v>2.4</v>
      </c>
      <c r="I295" s="9">
        <v>1</v>
      </c>
      <c r="J295" s="9">
        <v>0</v>
      </c>
      <c r="K295" s="9">
        <v>15.2</v>
      </c>
      <c r="L295" s="9">
        <v>0</v>
      </c>
      <c r="M295" s="9">
        <v>0.33300000000000002</v>
      </c>
      <c r="N295" s="9">
        <v>1.2</v>
      </c>
      <c r="O295" s="9">
        <v>0.5</v>
      </c>
      <c r="P295" s="9">
        <v>0.8</v>
      </c>
      <c r="Q295" s="9">
        <v>0.6</v>
      </c>
      <c r="R295" s="9">
        <v>1</v>
      </c>
      <c r="S295" s="9">
        <v>0.8</v>
      </c>
      <c r="T295" s="9">
        <v>3</v>
      </c>
      <c r="U295" s="9">
        <v>0</v>
      </c>
      <c r="V295" s="9">
        <v>0</v>
      </c>
      <c r="W295" s="9">
        <v>4.57</v>
      </c>
      <c r="X295">
        <f xml:space="preserve"> Z295 + AA295 + (AB295*G295) + (AC295*H295) + (AD295*I295) + (AE295*J295) + (AF295*(K295/100)) + (AG295*(L295/100))+ (AH295*(M295))</f>
        <v>4.5909999999999993</v>
      </c>
      <c r="Y295" s="1">
        <f>X295-W295</f>
        <v>2.0999999999999019E-2</v>
      </c>
      <c r="Z295">
        <f>U295</f>
        <v>0</v>
      </c>
      <c r="AA295">
        <f>V295</f>
        <v>0</v>
      </c>
      <c r="AB295">
        <f>N295</f>
        <v>1.2</v>
      </c>
      <c r="AC295">
        <f>O295</f>
        <v>0.5</v>
      </c>
      <c r="AD295">
        <f>P295</f>
        <v>0.8</v>
      </c>
      <c r="AE295">
        <f>Q295</f>
        <v>0.6</v>
      </c>
      <c r="AF295">
        <f>R295</f>
        <v>1</v>
      </c>
      <c r="AG295">
        <f>S295</f>
        <v>0.8</v>
      </c>
      <c r="AH295">
        <f t="shared" si="29"/>
        <v>3</v>
      </c>
    </row>
    <row r="296" spans="1:34" hidden="1" x14ac:dyDescent="0.3">
      <c r="A296" s="9" t="s">
        <v>54</v>
      </c>
      <c r="B296" s="9" t="s">
        <v>170</v>
      </c>
      <c r="C296" s="9" t="s">
        <v>171</v>
      </c>
      <c r="D296" s="9" t="s">
        <v>22</v>
      </c>
      <c r="E296" s="9">
        <v>0</v>
      </c>
      <c r="F296" s="9">
        <v>0</v>
      </c>
      <c r="G296" s="9">
        <v>0</v>
      </c>
      <c r="H296" s="9">
        <v>0.69</v>
      </c>
      <c r="I296" s="9">
        <v>1</v>
      </c>
      <c r="J296" s="9">
        <v>0</v>
      </c>
      <c r="K296" s="9">
        <v>40.299999999999997</v>
      </c>
      <c r="L296" s="9">
        <v>0</v>
      </c>
      <c r="M296" s="9">
        <v>1</v>
      </c>
      <c r="N296" s="9">
        <v>1.2</v>
      </c>
      <c r="O296" s="9">
        <v>0.5</v>
      </c>
      <c r="P296" s="9">
        <v>0.8</v>
      </c>
      <c r="Q296" s="9">
        <v>0.6</v>
      </c>
      <c r="R296" s="9">
        <v>1</v>
      </c>
      <c r="S296" s="9">
        <v>0.8</v>
      </c>
      <c r="T296" s="9">
        <v>3</v>
      </c>
      <c r="U296" s="9">
        <v>0</v>
      </c>
      <c r="V296" s="9">
        <v>0</v>
      </c>
      <c r="W296" s="9">
        <v>4.55</v>
      </c>
      <c r="X296">
        <f xml:space="preserve"> Z296 + AA296 + (AB296*G296) + (AC296*H296) + (AD296*I296) + (AE296*J296) + (AF296*(K296/100)) + (AG296*(L296/100))+ (AH296*(M296))</f>
        <v>4.548</v>
      </c>
      <c r="Y296" s="1">
        <f>X296-W296</f>
        <v>-1.9999999999997797E-3</v>
      </c>
      <c r="Z296">
        <f>U296</f>
        <v>0</v>
      </c>
      <c r="AA296">
        <f>V296</f>
        <v>0</v>
      </c>
      <c r="AB296">
        <f>N296</f>
        <v>1.2</v>
      </c>
      <c r="AC296">
        <f>O296</f>
        <v>0.5</v>
      </c>
      <c r="AD296">
        <f>P296</f>
        <v>0.8</v>
      </c>
      <c r="AE296">
        <f>Q296</f>
        <v>0.6</v>
      </c>
      <c r="AF296">
        <f>R296</f>
        <v>1</v>
      </c>
      <c r="AG296">
        <f>S296</f>
        <v>0.8</v>
      </c>
      <c r="AH296">
        <f t="shared" si="29"/>
        <v>3</v>
      </c>
    </row>
    <row r="297" spans="1:34" x14ac:dyDescent="0.3">
      <c r="A297" s="9" t="s">
        <v>398</v>
      </c>
      <c r="B297" s="9" t="s">
        <v>432</v>
      </c>
      <c r="C297" s="9" t="s">
        <v>433</v>
      </c>
      <c r="D297" s="9" t="s">
        <v>22</v>
      </c>
      <c r="E297" s="9">
        <v>0</v>
      </c>
      <c r="F297" s="9">
        <v>0</v>
      </c>
      <c r="G297" s="9">
        <v>1.6</v>
      </c>
      <c r="H297" s="9">
        <v>0</v>
      </c>
      <c r="I297" s="9">
        <v>1</v>
      </c>
      <c r="J297" s="9">
        <v>0</v>
      </c>
      <c r="K297" s="9">
        <v>30.6</v>
      </c>
      <c r="L297" s="9">
        <v>0</v>
      </c>
      <c r="M297" s="9">
        <v>0.5</v>
      </c>
      <c r="N297" s="9">
        <v>1.2</v>
      </c>
      <c r="O297" s="9">
        <v>0.5</v>
      </c>
      <c r="P297" s="9">
        <v>0.8</v>
      </c>
      <c r="Q297" s="9">
        <v>0.6</v>
      </c>
      <c r="R297" s="9">
        <v>1</v>
      </c>
      <c r="S297" s="9">
        <v>0.8</v>
      </c>
      <c r="T297" s="9">
        <v>3</v>
      </c>
      <c r="U297" s="9">
        <v>0</v>
      </c>
      <c r="V297" s="9">
        <v>0</v>
      </c>
      <c r="W297" s="9">
        <v>4.5</v>
      </c>
      <c r="X297">
        <f xml:space="preserve"> Z297 + AA297 + (AB297*G297) + (AC297*H297) + (AD297*I297) + (AE297*J297) + (AF297*(K297/100)) + (AG297*(L297/100))+ (AH297*(M297))</f>
        <v>4.5259999999999998</v>
      </c>
      <c r="Y297" s="1">
        <f>X297-W297</f>
        <v>2.5999999999999801E-2</v>
      </c>
      <c r="Z297">
        <f>U297</f>
        <v>0</v>
      </c>
      <c r="AA297">
        <f>V297</f>
        <v>0</v>
      </c>
      <c r="AB297">
        <f>N297</f>
        <v>1.2</v>
      </c>
      <c r="AC297">
        <f>O297</f>
        <v>0.5</v>
      </c>
      <c r="AD297">
        <f>P297</f>
        <v>0.8</v>
      </c>
      <c r="AE297">
        <f>Q297</f>
        <v>0.6</v>
      </c>
      <c r="AF297">
        <f>R297</f>
        <v>1</v>
      </c>
      <c r="AG297">
        <f>S297</f>
        <v>0.8</v>
      </c>
      <c r="AH297">
        <f t="shared" si="29"/>
        <v>3</v>
      </c>
    </row>
    <row r="298" spans="1:34" x14ac:dyDescent="0.3">
      <c r="A298" s="9" t="s">
        <v>398</v>
      </c>
      <c r="B298" s="9" t="s">
        <v>442</v>
      </c>
      <c r="C298" s="9" t="s">
        <v>443</v>
      </c>
      <c r="D298" s="9" t="s">
        <v>22</v>
      </c>
      <c r="E298" s="9">
        <v>0</v>
      </c>
      <c r="F298" s="9">
        <v>0</v>
      </c>
      <c r="G298" s="9">
        <v>1.6</v>
      </c>
      <c r="H298" s="9">
        <v>0</v>
      </c>
      <c r="I298" s="9">
        <v>1</v>
      </c>
      <c r="J298" s="9">
        <v>0</v>
      </c>
      <c r="K298" s="9">
        <v>30.6</v>
      </c>
      <c r="L298" s="9">
        <v>0</v>
      </c>
      <c r="M298" s="9">
        <v>0.5</v>
      </c>
      <c r="N298" s="9">
        <v>1.2</v>
      </c>
      <c r="O298" s="9">
        <v>0.5</v>
      </c>
      <c r="P298" s="9">
        <v>0.8</v>
      </c>
      <c r="Q298" s="9">
        <v>0.6</v>
      </c>
      <c r="R298" s="9">
        <v>1</v>
      </c>
      <c r="S298" s="9">
        <v>0.8</v>
      </c>
      <c r="T298" s="9">
        <v>3</v>
      </c>
      <c r="U298" s="9">
        <v>0</v>
      </c>
      <c r="V298" s="9">
        <v>0</v>
      </c>
      <c r="W298" s="9">
        <v>4.5</v>
      </c>
      <c r="X298">
        <f xml:space="preserve"> Z298 + AA298 + (AB298*G298) + (AC298*H298) + (AD298*I298) + (AE298*J298) + (AF298*(K298/100)) + (AG298*(L298/100))+ (AH298*(M298))</f>
        <v>4.5259999999999998</v>
      </c>
      <c r="Y298" s="1">
        <f>X298-W298</f>
        <v>2.5999999999999801E-2</v>
      </c>
      <c r="Z298">
        <f>U298</f>
        <v>0</v>
      </c>
      <c r="AA298">
        <f>V298</f>
        <v>0</v>
      </c>
      <c r="AB298">
        <f>N298</f>
        <v>1.2</v>
      </c>
      <c r="AC298">
        <f>O298</f>
        <v>0.5</v>
      </c>
      <c r="AD298">
        <f>P298</f>
        <v>0.8</v>
      </c>
      <c r="AE298">
        <f>Q298</f>
        <v>0.6</v>
      </c>
      <c r="AF298">
        <f>R298</f>
        <v>1</v>
      </c>
      <c r="AG298">
        <f>S298</f>
        <v>0.8</v>
      </c>
      <c r="AH298">
        <f t="shared" si="29"/>
        <v>3</v>
      </c>
    </row>
    <row r="299" spans="1:34" x14ac:dyDescent="0.3">
      <c r="A299" s="9" t="s">
        <v>398</v>
      </c>
      <c r="B299" s="9" t="s">
        <v>456</v>
      </c>
      <c r="C299" s="9" t="s">
        <v>457</v>
      </c>
      <c r="D299" s="9" t="s">
        <v>22</v>
      </c>
      <c r="E299" s="9">
        <v>0</v>
      </c>
      <c r="F299" s="9">
        <v>0</v>
      </c>
      <c r="G299" s="9">
        <v>1.6</v>
      </c>
      <c r="H299" s="9">
        <v>0</v>
      </c>
      <c r="I299" s="9">
        <v>1</v>
      </c>
      <c r="J299" s="9">
        <v>0</v>
      </c>
      <c r="K299" s="9">
        <v>30.6</v>
      </c>
      <c r="L299" s="9">
        <v>0</v>
      </c>
      <c r="M299" s="9">
        <v>0.5</v>
      </c>
      <c r="N299" s="9">
        <v>1.2</v>
      </c>
      <c r="O299" s="9">
        <v>0.5</v>
      </c>
      <c r="P299" s="9">
        <v>0.8</v>
      </c>
      <c r="Q299" s="9">
        <v>0.6</v>
      </c>
      <c r="R299" s="9">
        <v>1</v>
      </c>
      <c r="S299" s="9">
        <v>0.8</v>
      </c>
      <c r="T299" s="9">
        <v>3</v>
      </c>
      <c r="U299" s="9">
        <v>0</v>
      </c>
      <c r="V299" s="9">
        <v>0</v>
      </c>
      <c r="W299" s="9">
        <v>4.5</v>
      </c>
      <c r="X299">
        <f xml:space="preserve"> Z299 + AA299 + (AB299*G299) + (AC299*H299) + (AD299*I299) + (AE299*J299) + (AF299*(K299/100)) + (AG299*(L299/100))+ (AH299*(M299))</f>
        <v>4.5259999999999998</v>
      </c>
      <c r="Y299" s="1">
        <f>X299-W299</f>
        <v>2.5999999999999801E-2</v>
      </c>
      <c r="Z299">
        <f>U299</f>
        <v>0</v>
      </c>
      <c r="AA299">
        <f>V299</f>
        <v>0</v>
      </c>
      <c r="AB299">
        <f>N299</f>
        <v>1.2</v>
      </c>
      <c r="AC299">
        <f>O299</f>
        <v>0.5</v>
      </c>
      <c r="AD299">
        <f>P299</f>
        <v>0.8</v>
      </c>
      <c r="AE299">
        <f>Q299</f>
        <v>0.6</v>
      </c>
      <c r="AF299">
        <f>R299</f>
        <v>1</v>
      </c>
      <c r="AG299">
        <f>S299</f>
        <v>0.8</v>
      </c>
      <c r="AH299">
        <f t="shared" si="29"/>
        <v>3</v>
      </c>
    </row>
    <row r="300" spans="1:34" x14ac:dyDescent="0.3">
      <c r="A300" s="9" t="s">
        <v>398</v>
      </c>
      <c r="B300" s="9" t="s">
        <v>458</v>
      </c>
      <c r="C300" s="9" t="s">
        <v>459</v>
      </c>
      <c r="D300" s="9" t="s">
        <v>22</v>
      </c>
      <c r="E300" s="9">
        <v>0</v>
      </c>
      <c r="F300" s="9">
        <v>0</v>
      </c>
      <c r="G300" s="9">
        <v>1.6</v>
      </c>
      <c r="H300" s="9">
        <v>0</v>
      </c>
      <c r="I300" s="9">
        <v>1</v>
      </c>
      <c r="J300" s="9">
        <v>0</v>
      </c>
      <c r="K300" s="9">
        <v>30.6</v>
      </c>
      <c r="L300" s="9">
        <v>0</v>
      </c>
      <c r="M300" s="9">
        <v>0.5</v>
      </c>
      <c r="N300" s="9">
        <v>1.2</v>
      </c>
      <c r="O300" s="9">
        <v>0.5</v>
      </c>
      <c r="P300" s="9">
        <v>0.8</v>
      </c>
      <c r="Q300" s="9">
        <v>0.6</v>
      </c>
      <c r="R300" s="9">
        <v>1</v>
      </c>
      <c r="S300" s="9">
        <v>0.8</v>
      </c>
      <c r="T300" s="9">
        <v>3</v>
      </c>
      <c r="U300" s="9">
        <v>0</v>
      </c>
      <c r="V300" s="9">
        <v>0</v>
      </c>
      <c r="W300" s="10">
        <v>4.5</v>
      </c>
      <c r="X300" s="5">
        <f xml:space="preserve"> Z300 + AA300 + (AB300*G300) + (AC300*H300) + (AD300*I300) + (AE300*J300) + (AF300*(K300/100)) + (AG300*(L300/100))+ (AH300*(M300))</f>
        <v>4.5259999999999998</v>
      </c>
      <c r="Y300" s="1">
        <f>X300-W300</f>
        <v>2.5999999999999801E-2</v>
      </c>
      <c r="Z300">
        <f>U300</f>
        <v>0</v>
      </c>
      <c r="AA300">
        <f>V300</f>
        <v>0</v>
      </c>
      <c r="AB300">
        <f>N300</f>
        <v>1.2</v>
      </c>
      <c r="AC300">
        <f>O300</f>
        <v>0.5</v>
      </c>
      <c r="AD300">
        <f>P300</f>
        <v>0.8</v>
      </c>
      <c r="AE300">
        <f>Q300</f>
        <v>0.6</v>
      </c>
      <c r="AF300">
        <f>R300</f>
        <v>1</v>
      </c>
      <c r="AG300">
        <f>S300</f>
        <v>0.8</v>
      </c>
      <c r="AH300">
        <f t="shared" si="29"/>
        <v>3</v>
      </c>
    </row>
    <row r="301" spans="1:34" x14ac:dyDescent="0.3">
      <c r="A301" s="9" t="s">
        <v>398</v>
      </c>
      <c r="B301" s="9" t="s">
        <v>464</v>
      </c>
      <c r="C301" s="9" t="s">
        <v>465</v>
      </c>
      <c r="D301" s="9" t="s">
        <v>22</v>
      </c>
      <c r="E301" s="9">
        <v>0</v>
      </c>
      <c r="F301" s="9">
        <v>0</v>
      </c>
      <c r="G301" s="9">
        <v>1.6</v>
      </c>
      <c r="H301" s="9">
        <v>0</v>
      </c>
      <c r="I301" s="9">
        <v>1</v>
      </c>
      <c r="J301" s="9">
        <v>0</v>
      </c>
      <c r="K301" s="9">
        <v>30.6</v>
      </c>
      <c r="L301" s="9">
        <v>0</v>
      </c>
      <c r="M301" s="9">
        <v>0.5</v>
      </c>
      <c r="N301" s="9">
        <v>1.2</v>
      </c>
      <c r="O301" s="9">
        <v>0.5</v>
      </c>
      <c r="P301" s="9">
        <v>0.8</v>
      </c>
      <c r="Q301" s="9">
        <v>0.6</v>
      </c>
      <c r="R301" s="9">
        <v>1</v>
      </c>
      <c r="S301" s="9">
        <v>0.8</v>
      </c>
      <c r="T301" s="9">
        <v>3</v>
      </c>
      <c r="U301" s="9">
        <v>0</v>
      </c>
      <c r="V301" s="9">
        <v>0</v>
      </c>
      <c r="W301" s="9">
        <v>4.5</v>
      </c>
      <c r="X301">
        <f xml:space="preserve"> Z301 + AA301 + (AB301*G301) + (AC301*H301) + (AD301*I301) + (AE301*J301) + (AF301*(K301/100)) + (AG301*(L301/100))+ (AH301*(M301))</f>
        <v>4.5259999999999998</v>
      </c>
      <c r="Y301" s="1">
        <f>X301-W301</f>
        <v>2.5999999999999801E-2</v>
      </c>
      <c r="Z301">
        <f>U301</f>
        <v>0</v>
      </c>
      <c r="AA301">
        <f>V301</f>
        <v>0</v>
      </c>
      <c r="AB301">
        <f>N301</f>
        <v>1.2</v>
      </c>
      <c r="AC301">
        <f>O301</f>
        <v>0.5</v>
      </c>
      <c r="AD301">
        <f>P301</f>
        <v>0.8</v>
      </c>
      <c r="AE301">
        <f>Q301</f>
        <v>0.6</v>
      </c>
      <c r="AF301">
        <f>R301</f>
        <v>1</v>
      </c>
      <c r="AG301">
        <f>S301</f>
        <v>0.8</v>
      </c>
      <c r="AH301">
        <f t="shared" si="29"/>
        <v>3</v>
      </c>
    </row>
    <row r="302" spans="1:34" x14ac:dyDescent="0.3">
      <c r="A302" s="9" t="s">
        <v>398</v>
      </c>
      <c r="B302" s="9" t="s">
        <v>470</v>
      </c>
      <c r="C302" s="9" t="s">
        <v>471</v>
      </c>
      <c r="D302" s="9" t="s">
        <v>22</v>
      </c>
      <c r="E302" s="9">
        <v>0</v>
      </c>
      <c r="F302" s="9">
        <v>0</v>
      </c>
      <c r="G302" s="9">
        <v>1.6</v>
      </c>
      <c r="H302" s="9">
        <v>0</v>
      </c>
      <c r="I302" s="9">
        <v>1</v>
      </c>
      <c r="J302" s="9">
        <v>0</v>
      </c>
      <c r="K302" s="9">
        <v>30.6</v>
      </c>
      <c r="L302" s="9">
        <v>0</v>
      </c>
      <c r="M302" s="9">
        <v>0.5</v>
      </c>
      <c r="N302" s="9">
        <v>1.2</v>
      </c>
      <c r="O302" s="9">
        <v>0.5</v>
      </c>
      <c r="P302" s="9">
        <v>0.8</v>
      </c>
      <c r="Q302" s="9">
        <v>0.6</v>
      </c>
      <c r="R302" s="9">
        <v>1</v>
      </c>
      <c r="S302" s="9">
        <v>0.8</v>
      </c>
      <c r="T302" s="9">
        <v>3</v>
      </c>
      <c r="U302" s="9">
        <v>0</v>
      </c>
      <c r="V302" s="9">
        <v>0</v>
      </c>
      <c r="W302" s="9">
        <v>4.5</v>
      </c>
      <c r="X302">
        <f xml:space="preserve"> Z302 + AA302 + (AB302*G302) + (AC302*H302) + (AD302*I302) + (AE302*J302) + (AF302*(K302/100)) + (AG302*(L302/100))+ (AH302*(M302))</f>
        <v>4.5259999999999998</v>
      </c>
      <c r="Y302" s="1">
        <f>X302-W302</f>
        <v>2.5999999999999801E-2</v>
      </c>
      <c r="Z302">
        <f>U302</f>
        <v>0</v>
      </c>
      <c r="AA302">
        <f>V302</f>
        <v>0</v>
      </c>
      <c r="AB302">
        <f>N302</f>
        <v>1.2</v>
      </c>
      <c r="AC302">
        <f>O302</f>
        <v>0.5</v>
      </c>
      <c r="AD302">
        <f>P302</f>
        <v>0.8</v>
      </c>
      <c r="AE302">
        <f>Q302</f>
        <v>0.6</v>
      </c>
      <c r="AF302">
        <f>R302</f>
        <v>1</v>
      </c>
      <c r="AG302">
        <f>S302</f>
        <v>0.8</v>
      </c>
      <c r="AH302">
        <f t="shared" si="29"/>
        <v>3</v>
      </c>
    </row>
    <row r="303" spans="1:34" x14ac:dyDescent="0.3">
      <c r="A303" s="9" t="s">
        <v>398</v>
      </c>
      <c r="B303" s="9" t="s">
        <v>472</v>
      </c>
      <c r="C303" s="9" t="s">
        <v>473</v>
      </c>
      <c r="D303" s="9" t="s">
        <v>22</v>
      </c>
      <c r="E303" s="9">
        <v>0</v>
      </c>
      <c r="F303" s="9">
        <v>0</v>
      </c>
      <c r="G303" s="9">
        <v>1.6</v>
      </c>
      <c r="H303" s="9">
        <v>0</v>
      </c>
      <c r="I303" s="9">
        <v>1</v>
      </c>
      <c r="J303" s="9">
        <v>0</v>
      </c>
      <c r="K303" s="9">
        <v>30.6</v>
      </c>
      <c r="L303" s="9">
        <v>0</v>
      </c>
      <c r="M303" s="9">
        <v>0.5</v>
      </c>
      <c r="N303" s="9">
        <v>1.2</v>
      </c>
      <c r="O303" s="9">
        <v>0.5</v>
      </c>
      <c r="P303" s="9">
        <v>0.8</v>
      </c>
      <c r="Q303" s="9">
        <v>0.6</v>
      </c>
      <c r="R303" s="9">
        <v>1</v>
      </c>
      <c r="S303" s="9">
        <v>0.8</v>
      </c>
      <c r="T303" s="9">
        <v>3</v>
      </c>
      <c r="U303" s="9">
        <v>0</v>
      </c>
      <c r="V303" s="9">
        <v>0</v>
      </c>
      <c r="W303" s="9">
        <v>4.5</v>
      </c>
      <c r="X303">
        <f xml:space="preserve"> Z303 + AA303 + (AB303*G303) + (AC303*H303) + (AD303*I303) + (AE303*J303) + (AF303*(K303/100)) + (AG303*(L303/100))+ (AH303*(M303))</f>
        <v>4.5259999999999998</v>
      </c>
      <c r="Y303" s="1">
        <f>X303-W303</f>
        <v>2.5999999999999801E-2</v>
      </c>
      <c r="Z303">
        <f>U303</f>
        <v>0</v>
      </c>
      <c r="AA303">
        <f>V303</f>
        <v>0</v>
      </c>
      <c r="AB303">
        <f>N303</f>
        <v>1.2</v>
      </c>
      <c r="AC303">
        <f>O303</f>
        <v>0.5</v>
      </c>
      <c r="AD303">
        <f>P303</f>
        <v>0.8</v>
      </c>
      <c r="AE303">
        <f>Q303</f>
        <v>0.6</v>
      </c>
      <c r="AF303">
        <f>R303</f>
        <v>1</v>
      </c>
      <c r="AG303">
        <f>S303</f>
        <v>0.8</v>
      </c>
      <c r="AH303">
        <f t="shared" si="29"/>
        <v>3</v>
      </c>
    </row>
    <row r="304" spans="1:34" x14ac:dyDescent="0.3">
      <c r="A304" s="9" t="s">
        <v>398</v>
      </c>
      <c r="B304" s="9" t="s">
        <v>478</v>
      </c>
      <c r="C304" s="9" t="s">
        <v>479</v>
      </c>
      <c r="D304" s="9" t="s">
        <v>22</v>
      </c>
      <c r="E304" s="9">
        <v>0</v>
      </c>
      <c r="F304" s="9">
        <v>0</v>
      </c>
      <c r="G304" s="9">
        <v>1.6</v>
      </c>
      <c r="H304" s="9">
        <v>0</v>
      </c>
      <c r="I304" s="9">
        <v>1</v>
      </c>
      <c r="J304" s="9">
        <v>0</v>
      </c>
      <c r="K304" s="9">
        <v>30.6</v>
      </c>
      <c r="L304" s="9">
        <v>0</v>
      </c>
      <c r="M304" s="9">
        <v>0.5</v>
      </c>
      <c r="N304" s="9">
        <v>1.2</v>
      </c>
      <c r="O304" s="9">
        <v>0.5</v>
      </c>
      <c r="P304" s="9">
        <v>0.8</v>
      </c>
      <c r="Q304" s="9">
        <v>0.6</v>
      </c>
      <c r="R304" s="9">
        <v>1</v>
      </c>
      <c r="S304" s="9">
        <v>0.8</v>
      </c>
      <c r="T304" s="9">
        <v>3</v>
      </c>
      <c r="U304" s="9">
        <v>0</v>
      </c>
      <c r="V304" s="9">
        <v>0</v>
      </c>
      <c r="W304" s="9">
        <v>4.5</v>
      </c>
      <c r="X304">
        <f xml:space="preserve"> Z304 + AA304 + (AB304*G304) + (AC304*H304) + (AD304*I304) + (AE304*J304) + (AF304*(K304/100)) + (AG304*(L304/100))+ (AH304*(M304))</f>
        <v>4.5259999999999998</v>
      </c>
      <c r="Y304" s="1">
        <f>X304-W304</f>
        <v>2.5999999999999801E-2</v>
      </c>
      <c r="Z304">
        <f>U304</f>
        <v>0</v>
      </c>
      <c r="AA304">
        <f>V304</f>
        <v>0</v>
      </c>
      <c r="AB304">
        <f>N304</f>
        <v>1.2</v>
      </c>
      <c r="AC304">
        <f>O304</f>
        <v>0.5</v>
      </c>
      <c r="AD304">
        <f>P304</f>
        <v>0.8</v>
      </c>
      <c r="AE304">
        <f>Q304</f>
        <v>0.6</v>
      </c>
      <c r="AF304">
        <f>R304</f>
        <v>1</v>
      </c>
      <c r="AG304">
        <f>S304</f>
        <v>0.8</v>
      </c>
      <c r="AH304">
        <f t="shared" si="29"/>
        <v>3</v>
      </c>
    </row>
    <row r="305" spans="1:34" hidden="1" x14ac:dyDescent="0.3">
      <c r="A305" s="9" t="s">
        <v>533</v>
      </c>
      <c r="B305" s="9" t="s">
        <v>657</v>
      </c>
      <c r="C305" s="9" t="s">
        <v>658</v>
      </c>
      <c r="D305" s="9" t="s">
        <v>22</v>
      </c>
      <c r="E305" s="9">
        <v>0</v>
      </c>
      <c r="F305" s="9">
        <v>0</v>
      </c>
      <c r="G305" s="9">
        <v>0</v>
      </c>
      <c r="H305" s="9">
        <v>0.69</v>
      </c>
      <c r="I305" s="9">
        <v>1</v>
      </c>
      <c r="J305" s="9">
        <v>2</v>
      </c>
      <c r="K305" s="9">
        <v>32.6</v>
      </c>
      <c r="L305" s="9">
        <v>40.299999999999997</v>
      </c>
      <c r="M305" s="9">
        <v>0.5</v>
      </c>
      <c r="N305" s="9">
        <v>1.2</v>
      </c>
      <c r="O305" s="9">
        <v>0.5</v>
      </c>
      <c r="P305" s="9">
        <v>0.8</v>
      </c>
      <c r="Q305" s="9">
        <v>0.6</v>
      </c>
      <c r="R305" s="9">
        <v>1</v>
      </c>
      <c r="S305" s="9">
        <v>0.8</v>
      </c>
      <c r="T305" s="9">
        <v>3</v>
      </c>
      <c r="U305" s="9">
        <v>0</v>
      </c>
      <c r="V305" s="9">
        <v>0</v>
      </c>
      <c r="W305" s="9">
        <v>4.5</v>
      </c>
      <c r="X305"/>
      <c r="AH305">
        <f t="shared" si="29"/>
        <v>3</v>
      </c>
    </row>
    <row r="306" spans="1:34" hidden="1" x14ac:dyDescent="0.3">
      <c r="A306" s="9" t="s">
        <v>221</v>
      </c>
      <c r="B306" s="9" t="s">
        <v>372</v>
      </c>
      <c r="C306" s="9" t="s">
        <v>373</v>
      </c>
      <c r="D306" s="9" t="s">
        <v>22</v>
      </c>
      <c r="E306" s="9">
        <v>0</v>
      </c>
      <c r="F306" s="9">
        <v>0</v>
      </c>
      <c r="G306" s="9">
        <v>0.8</v>
      </c>
      <c r="H306" s="9">
        <v>3.04</v>
      </c>
      <c r="I306" s="9">
        <v>1</v>
      </c>
      <c r="J306" s="9">
        <v>0</v>
      </c>
      <c r="K306" s="9">
        <v>21</v>
      </c>
      <c r="L306" s="9">
        <v>0</v>
      </c>
      <c r="M306" s="9">
        <v>0.33300000000000002</v>
      </c>
      <c r="N306" s="9">
        <v>1.2</v>
      </c>
      <c r="O306" s="9">
        <v>0.5</v>
      </c>
      <c r="P306" s="9">
        <v>0.8</v>
      </c>
      <c r="Q306" s="9">
        <v>0.6</v>
      </c>
      <c r="R306" s="9">
        <v>1</v>
      </c>
      <c r="S306" s="9">
        <v>0.8</v>
      </c>
      <c r="T306" s="9">
        <v>3</v>
      </c>
      <c r="U306" s="9">
        <v>0</v>
      </c>
      <c r="V306" s="9">
        <v>0</v>
      </c>
      <c r="W306" s="10">
        <v>4.4800000000000004</v>
      </c>
      <c r="X306" s="5">
        <f xml:space="preserve"> Z306 + AA306 + (AB306*G306) + (AC306*H306) + (AD306*I306) + (AE306*J306) + (AF306*(K306/100)) + (AG306*(L306/100))+ (AH306*(M306))</f>
        <v>4.4890000000000008</v>
      </c>
      <c r="Y306" s="1">
        <f>X306-W306</f>
        <v>9.0000000000003411E-3</v>
      </c>
      <c r="Z306">
        <f>U306</f>
        <v>0</v>
      </c>
      <c r="AA306">
        <f>V306</f>
        <v>0</v>
      </c>
      <c r="AB306">
        <f>N306</f>
        <v>1.2</v>
      </c>
      <c r="AC306">
        <f>O306</f>
        <v>0.5</v>
      </c>
      <c r="AD306">
        <f>P306</f>
        <v>0.8</v>
      </c>
      <c r="AE306">
        <f>Q306</f>
        <v>0.6</v>
      </c>
      <c r="AF306">
        <f>R306</f>
        <v>1</v>
      </c>
      <c r="AG306">
        <f>S306</f>
        <v>0.8</v>
      </c>
      <c r="AH306">
        <f t="shared" si="29"/>
        <v>3</v>
      </c>
    </row>
    <row r="307" spans="1:34" x14ac:dyDescent="0.3">
      <c r="A307" s="9" t="s">
        <v>398</v>
      </c>
      <c r="B307" s="9" t="s">
        <v>506</v>
      </c>
      <c r="C307" s="9" t="s">
        <v>507</v>
      </c>
      <c r="D307" s="9" t="s">
        <v>22</v>
      </c>
      <c r="E307" s="9">
        <v>0</v>
      </c>
      <c r="F307" s="9">
        <v>0</v>
      </c>
      <c r="G307" s="9">
        <v>0.4</v>
      </c>
      <c r="H307" s="9">
        <v>3.04</v>
      </c>
      <c r="I307" s="9">
        <v>0</v>
      </c>
      <c r="J307" s="9">
        <v>2</v>
      </c>
      <c r="K307" s="9">
        <v>0</v>
      </c>
      <c r="L307" s="9">
        <v>19.899999999999999</v>
      </c>
      <c r="M307" s="9">
        <v>0.33300000000000002</v>
      </c>
      <c r="N307" s="9">
        <v>1.2</v>
      </c>
      <c r="O307" s="9">
        <v>0.5</v>
      </c>
      <c r="P307" s="9">
        <v>0.8</v>
      </c>
      <c r="Q307" s="9">
        <v>0.6</v>
      </c>
      <c r="R307" s="9">
        <v>1</v>
      </c>
      <c r="S307" s="9">
        <v>0.8</v>
      </c>
      <c r="T307" s="9">
        <v>3</v>
      </c>
      <c r="U307" s="9">
        <v>0</v>
      </c>
      <c r="V307" s="9">
        <v>0</v>
      </c>
      <c r="W307" s="9">
        <v>4.3499999999999996</v>
      </c>
      <c r="X307">
        <f xml:space="preserve"> Z307 + AA307 + (AB307*G307) + (AC307*H307) + (AD307*I307) + (AE307*J307) + (AF307*(K307/100)) + (AG307*(L307/100))+ (AH307*(M307))</f>
        <v>4.3582000000000001</v>
      </c>
      <c r="Y307" s="1">
        <f>X307-W307</f>
        <v>8.2000000000004292E-3</v>
      </c>
      <c r="Z307">
        <f>U307</f>
        <v>0</v>
      </c>
      <c r="AA307">
        <f>V307</f>
        <v>0</v>
      </c>
      <c r="AB307">
        <f>N307</f>
        <v>1.2</v>
      </c>
      <c r="AC307">
        <f>O307</f>
        <v>0.5</v>
      </c>
      <c r="AD307">
        <f>P307</f>
        <v>0.8</v>
      </c>
      <c r="AE307">
        <f>Q307</f>
        <v>0.6</v>
      </c>
      <c r="AF307">
        <f>R307</f>
        <v>1</v>
      </c>
      <c r="AG307">
        <f>S307</f>
        <v>0.8</v>
      </c>
      <c r="AH307">
        <f t="shared" si="29"/>
        <v>3</v>
      </c>
    </row>
    <row r="308" spans="1:34" hidden="1" x14ac:dyDescent="0.3">
      <c r="A308" s="9" t="s">
        <v>533</v>
      </c>
      <c r="B308" s="9" t="s">
        <v>605</v>
      </c>
      <c r="C308" s="9" t="s">
        <v>606</v>
      </c>
      <c r="D308" s="9" t="s">
        <v>22</v>
      </c>
      <c r="E308" s="9">
        <v>0</v>
      </c>
      <c r="F308" s="9">
        <v>0</v>
      </c>
      <c r="G308" s="9">
        <v>0</v>
      </c>
      <c r="H308" s="9">
        <v>0</v>
      </c>
      <c r="I308" s="9">
        <v>1</v>
      </c>
      <c r="J308" s="9">
        <v>2</v>
      </c>
      <c r="K308" s="9">
        <v>41.9</v>
      </c>
      <c r="L308" s="9">
        <v>43.1</v>
      </c>
      <c r="M308" s="9">
        <v>0.5</v>
      </c>
      <c r="N308" s="9">
        <v>1.2</v>
      </c>
      <c r="O308" s="9">
        <v>0.5</v>
      </c>
      <c r="P308" s="9">
        <v>0.8</v>
      </c>
      <c r="Q308" s="9">
        <v>0.6</v>
      </c>
      <c r="R308" s="9">
        <v>1</v>
      </c>
      <c r="S308" s="9">
        <v>0.8</v>
      </c>
      <c r="T308" s="9">
        <v>3</v>
      </c>
      <c r="U308" s="9">
        <v>0</v>
      </c>
      <c r="V308" s="9">
        <v>0</v>
      </c>
      <c r="W308" s="9">
        <v>4.26</v>
      </c>
      <c r="X308">
        <f xml:space="preserve"> Z308 + AA308 + (AB308*G308) + (AC308*H308) + (AD308*I308) + (AE308*J308) + (AF308*(K308/100)) + (AG308*(L308/100))+ (AH308*(M308))</f>
        <v>4.2637999999999998</v>
      </c>
      <c r="Y308" s="1">
        <f>X308-W308</f>
        <v>3.8000000000000256E-3</v>
      </c>
      <c r="Z308">
        <f>U308</f>
        <v>0</v>
      </c>
      <c r="AA308">
        <f>V308</f>
        <v>0</v>
      </c>
      <c r="AB308">
        <f>N308</f>
        <v>1.2</v>
      </c>
      <c r="AC308">
        <f>O308</f>
        <v>0.5</v>
      </c>
      <c r="AD308">
        <f>P308</f>
        <v>0.8</v>
      </c>
      <c r="AE308">
        <f>Q308</f>
        <v>0.6</v>
      </c>
      <c r="AF308">
        <f>R308</f>
        <v>1</v>
      </c>
      <c r="AG308">
        <f>S308</f>
        <v>0.8</v>
      </c>
      <c r="AH308">
        <f t="shared" si="29"/>
        <v>3</v>
      </c>
    </row>
    <row r="309" spans="1:34" hidden="1" x14ac:dyDescent="0.3">
      <c r="A309" s="9" t="s">
        <v>54</v>
      </c>
      <c r="B309" s="9" t="s">
        <v>136</v>
      </c>
      <c r="C309" s="9" t="s">
        <v>137</v>
      </c>
      <c r="D309" s="9" t="s">
        <v>22</v>
      </c>
      <c r="E309" s="9">
        <v>0</v>
      </c>
      <c r="F309" s="9">
        <v>0</v>
      </c>
      <c r="G309" s="9">
        <v>0</v>
      </c>
      <c r="H309" s="9">
        <v>1.1000000000000001</v>
      </c>
      <c r="I309" s="9">
        <v>0</v>
      </c>
      <c r="J309" s="9">
        <v>3</v>
      </c>
      <c r="K309" s="9">
        <v>0</v>
      </c>
      <c r="L309" s="9">
        <v>44</v>
      </c>
      <c r="M309" s="9">
        <v>0.5</v>
      </c>
      <c r="N309" s="9">
        <v>1.2</v>
      </c>
      <c r="O309" s="9">
        <v>0.5</v>
      </c>
      <c r="P309" s="9">
        <v>0.8</v>
      </c>
      <c r="Q309" s="9">
        <v>0.6</v>
      </c>
      <c r="R309" s="9">
        <v>1</v>
      </c>
      <c r="S309" s="9">
        <v>0.8</v>
      </c>
      <c r="T309" s="9">
        <v>3</v>
      </c>
      <c r="U309" s="9">
        <v>0</v>
      </c>
      <c r="V309" s="9">
        <v>0</v>
      </c>
      <c r="W309" s="9">
        <v>4.2</v>
      </c>
      <c r="X309">
        <f xml:space="preserve"> Z309 + AA309 + (AB309*G309) + (AC309*H309) + (AD309*I309) + (AE309*J309) + (AF309*(K309/100)) + (AG309*(L309/100))+ (AH309*(M309))</f>
        <v>4.202</v>
      </c>
      <c r="Y309" s="1">
        <f>X309-W309</f>
        <v>1.9999999999997797E-3</v>
      </c>
      <c r="Z309">
        <f>U309</f>
        <v>0</v>
      </c>
      <c r="AA309">
        <f>V309</f>
        <v>0</v>
      </c>
      <c r="AB309">
        <f>N309</f>
        <v>1.2</v>
      </c>
      <c r="AC309">
        <f>O309</f>
        <v>0.5</v>
      </c>
      <c r="AD309">
        <f>P309</f>
        <v>0.8</v>
      </c>
      <c r="AE309">
        <f>Q309</f>
        <v>0.6</v>
      </c>
      <c r="AF309">
        <f>R309</f>
        <v>1</v>
      </c>
      <c r="AG309">
        <f>S309</f>
        <v>0.8</v>
      </c>
      <c r="AH309">
        <f t="shared" si="29"/>
        <v>3</v>
      </c>
    </row>
    <row r="310" spans="1:34" hidden="1" x14ac:dyDescent="0.3">
      <c r="A310" s="9" t="s">
        <v>661</v>
      </c>
      <c r="B310" s="9" t="s">
        <v>677</v>
      </c>
      <c r="C310" s="9" t="s">
        <v>678</v>
      </c>
      <c r="D310" s="9" t="s">
        <v>22</v>
      </c>
      <c r="E310" s="9">
        <v>0</v>
      </c>
      <c r="F310" s="9">
        <v>0</v>
      </c>
      <c r="G310" s="9">
        <v>0</v>
      </c>
      <c r="H310" s="9">
        <v>0</v>
      </c>
      <c r="I310" s="9">
        <v>1</v>
      </c>
      <c r="J310" s="9">
        <v>0</v>
      </c>
      <c r="K310" s="9">
        <v>38.9</v>
      </c>
      <c r="L310" s="9">
        <v>0</v>
      </c>
      <c r="M310" s="9">
        <v>1</v>
      </c>
      <c r="N310" s="9">
        <v>1.2</v>
      </c>
      <c r="O310" s="9">
        <v>0.5</v>
      </c>
      <c r="P310" s="9">
        <v>0.8</v>
      </c>
      <c r="Q310" s="9">
        <v>0.6</v>
      </c>
      <c r="R310" s="9">
        <v>1</v>
      </c>
      <c r="S310" s="9">
        <v>0.8</v>
      </c>
      <c r="T310" s="9">
        <v>3</v>
      </c>
      <c r="U310" s="9">
        <v>0</v>
      </c>
      <c r="V310" s="9">
        <v>0</v>
      </c>
      <c r="W310" s="10">
        <v>4.1900000000000004</v>
      </c>
    </row>
    <row r="311" spans="1:34" hidden="1" x14ac:dyDescent="0.3">
      <c r="A311" s="9" t="s">
        <v>176</v>
      </c>
      <c r="B311" s="9" t="s">
        <v>204</v>
      </c>
      <c r="C311" s="9" t="s">
        <v>205</v>
      </c>
      <c r="D311" s="9" t="s">
        <v>22</v>
      </c>
      <c r="E311" s="9">
        <v>0</v>
      </c>
      <c r="F311" s="9">
        <v>0</v>
      </c>
      <c r="G311" s="9">
        <v>0</v>
      </c>
      <c r="H311" s="9">
        <v>0</v>
      </c>
      <c r="I311" s="9">
        <v>1</v>
      </c>
      <c r="J311" s="9">
        <v>0</v>
      </c>
      <c r="K311" s="9">
        <v>38.200000000000003</v>
      </c>
      <c r="L311" s="9">
        <v>0</v>
      </c>
      <c r="M311" s="9">
        <v>1</v>
      </c>
      <c r="N311" s="9">
        <v>1.2</v>
      </c>
      <c r="O311" s="9">
        <v>0.5</v>
      </c>
      <c r="P311" s="9">
        <v>0.8</v>
      </c>
      <c r="Q311" s="9">
        <v>0.6</v>
      </c>
      <c r="R311" s="9">
        <v>1</v>
      </c>
      <c r="S311" s="9">
        <v>0.8</v>
      </c>
      <c r="T311" s="9">
        <v>3</v>
      </c>
      <c r="U311" s="9">
        <v>0</v>
      </c>
      <c r="V311" s="9">
        <v>0</v>
      </c>
      <c r="W311" s="9">
        <v>4.18</v>
      </c>
      <c r="X311">
        <f xml:space="preserve"> Z311 + AA311 + (AB311*G311) + (AC311*H311) + (AD311*I311) + (AE311*J311) + (AF311*(K311/100)) + (AG311*(L311/100))+ (AH311*(M311))</f>
        <v>1.1819999999999999</v>
      </c>
      <c r="Y311" s="1">
        <f>X311-W311</f>
        <v>-2.9979999999999998</v>
      </c>
      <c r="Z311">
        <f>U311</f>
        <v>0</v>
      </c>
      <c r="AA311">
        <f>V311</f>
        <v>0</v>
      </c>
      <c r="AB311">
        <f>N311</f>
        <v>1.2</v>
      </c>
      <c r="AC311">
        <f>O311</f>
        <v>0.5</v>
      </c>
      <c r="AD311">
        <f>P311</f>
        <v>0.8</v>
      </c>
      <c r="AE311">
        <f>Q311</f>
        <v>0.6</v>
      </c>
      <c r="AF311">
        <f>R311</f>
        <v>1</v>
      </c>
      <c r="AG311">
        <f>S311</f>
        <v>0.8</v>
      </c>
    </row>
    <row r="312" spans="1:34" hidden="1" x14ac:dyDescent="0.3">
      <c r="A312" s="9" t="s">
        <v>221</v>
      </c>
      <c r="B312" s="9" t="s">
        <v>354</v>
      </c>
      <c r="C312" s="9" t="s">
        <v>355</v>
      </c>
      <c r="D312" s="9" t="s">
        <v>22</v>
      </c>
      <c r="E312" s="9">
        <v>0</v>
      </c>
      <c r="F312" s="9">
        <v>0</v>
      </c>
      <c r="G312" s="9">
        <v>0.4</v>
      </c>
      <c r="H312" s="9">
        <v>3.3</v>
      </c>
      <c r="I312" s="9">
        <v>1</v>
      </c>
      <c r="J312" s="9">
        <v>0</v>
      </c>
      <c r="K312" s="9">
        <v>40</v>
      </c>
      <c r="L312" s="9">
        <v>0</v>
      </c>
      <c r="M312" s="9">
        <v>0.28599999999999998</v>
      </c>
      <c r="N312" s="9">
        <v>1.2</v>
      </c>
      <c r="O312" s="9">
        <v>0.5</v>
      </c>
      <c r="P312" s="9">
        <v>0.8</v>
      </c>
      <c r="Q312" s="9">
        <v>0.6</v>
      </c>
      <c r="R312" s="9">
        <v>1</v>
      </c>
      <c r="S312" s="9">
        <v>0.8</v>
      </c>
      <c r="T312" s="9">
        <v>3</v>
      </c>
      <c r="U312" s="9">
        <v>0</v>
      </c>
      <c r="V312" s="9">
        <v>0</v>
      </c>
      <c r="W312" s="9">
        <v>4.18</v>
      </c>
      <c r="X312">
        <f xml:space="preserve"> Z312 + AA312 + (AB312*G312) + (AC312*H312) + (AD312*I312) + (AE312*J312) + (AF312*(K312/100)) + (AG312*(L312/100))+ (AH312*(M312))</f>
        <v>3.3299999999999996</v>
      </c>
      <c r="Y312" s="1">
        <f>X312-W312</f>
        <v>-0.85000000000000009</v>
      </c>
      <c r="Z312">
        <f>U312</f>
        <v>0</v>
      </c>
      <c r="AA312">
        <f>V312</f>
        <v>0</v>
      </c>
      <c r="AB312">
        <f>N312</f>
        <v>1.2</v>
      </c>
      <c r="AC312">
        <f>O312</f>
        <v>0.5</v>
      </c>
      <c r="AD312">
        <f>P312</f>
        <v>0.8</v>
      </c>
      <c r="AE312">
        <f>Q312</f>
        <v>0.6</v>
      </c>
      <c r="AF312">
        <f>R312</f>
        <v>1</v>
      </c>
      <c r="AG312">
        <f>S312</f>
        <v>0.8</v>
      </c>
    </row>
    <row r="313" spans="1:34" hidden="1" x14ac:dyDescent="0.3">
      <c r="A313" s="9" t="s">
        <v>42</v>
      </c>
      <c r="B313" s="9" t="s">
        <v>47</v>
      </c>
      <c r="C313" s="9" t="s">
        <v>48</v>
      </c>
      <c r="D313" s="9" t="s">
        <v>22</v>
      </c>
      <c r="E313" s="9">
        <v>0</v>
      </c>
      <c r="F313" s="9">
        <v>0</v>
      </c>
      <c r="G313" s="9">
        <v>1</v>
      </c>
      <c r="H313" s="9">
        <v>0</v>
      </c>
      <c r="I313" s="9">
        <v>0</v>
      </c>
      <c r="J313" s="9">
        <v>2</v>
      </c>
      <c r="K313" s="9">
        <v>0</v>
      </c>
      <c r="L313" s="9">
        <v>36.9</v>
      </c>
      <c r="M313" s="9">
        <v>0.5</v>
      </c>
      <c r="N313" s="9">
        <v>1.2</v>
      </c>
      <c r="O313" s="9">
        <v>0.5</v>
      </c>
      <c r="P313" s="9">
        <v>0.8</v>
      </c>
      <c r="Q313" s="9">
        <v>0.6</v>
      </c>
      <c r="R313" s="9">
        <v>1</v>
      </c>
      <c r="S313" s="9">
        <v>0.8</v>
      </c>
      <c r="T313" s="9">
        <v>3</v>
      </c>
      <c r="U313" s="9">
        <v>0</v>
      </c>
      <c r="V313" s="9">
        <v>0</v>
      </c>
      <c r="W313" s="9">
        <v>4.17</v>
      </c>
      <c r="X313">
        <f xml:space="preserve"> Z313 + AA313 + (AB313*G313) + (AC313*H313) + (AD313*I313) + (AE313*J313) + (AF313*(K313/100)) + (AG313*(L313/100))+ (AH313*(M313))</f>
        <v>2.6951999999999998</v>
      </c>
      <c r="Y313" s="1">
        <f>X313-W313</f>
        <v>-1.4748000000000001</v>
      </c>
      <c r="Z313">
        <f>U313</f>
        <v>0</v>
      </c>
      <c r="AA313">
        <f>V313</f>
        <v>0</v>
      </c>
      <c r="AB313">
        <f>N313</f>
        <v>1.2</v>
      </c>
      <c r="AC313">
        <f>O313</f>
        <v>0.5</v>
      </c>
      <c r="AD313">
        <f>P313</f>
        <v>0.8</v>
      </c>
      <c r="AE313">
        <f>Q313</f>
        <v>0.6</v>
      </c>
      <c r="AF313">
        <f>R313</f>
        <v>1</v>
      </c>
      <c r="AG313">
        <f>S313</f>
        <v>0.8</v>
      </c>
    </row>
    <row r="314" spans="1:34" hidden="1" x14ac:dyDescent="0.3">
      <c r="A314" s="9" t="s">
        <v>661</v>
      </c>
      <c r="B314" s="9" t="s">
        <v>679</v>
      </c>
      <c r="C314" s="9" t="s">
        <v>680</v>
      </c>
      <c r="D314" s="9" t="s">
        <v>22</v>
      </c>
      <c r="E314" s="9">
        <v>0</v>
      </c>
      <c r="F314" s="9">
        <v>0</v>
      </c>
      <c r="G314" s="9">
        <v>0</v>
      </c>
      <c r="H314" s="9">
        <v>0.69</v>
      </c>
      <c r="I314" s="9">
        <v>1</v>
      </c>
      <c r="J314" s="9">
        <v>1</v>
      </c>
      <c r="K314" s="9">
        <v>35.9</v>
      </c>
      <c r="L314" s="9">
        <v>0</v>
      </c>
      <c r="M314" s="9">
        <v>0.66700000000000004</v>
      </c>
      <c r="N314" s="9">
        <v>1.2</v>
      </c>
      <c r="O314" s="9">
        <v>0.5</v>
      </c>
      <c r="P314" s="9">
        <v>0.8</v>
      </c>
      <c r="Q314" s="9">
        <v>0.6</v>
      </c>
      <c r="R314" s="9">
        <v>1</v>
      </c>
      <c r="S314" s="9">
        <v>0.8</v>
      </c>
      <c r="T314" s="9">
        <v>3</v>
      </c>
      <c r="U314" s="9">
        <v>0</v>
      </c>
      <c r="V314" s="9">
        <v>0</v>
      </c>
      <c r="W314" s="10">
        <v>4.1100000000000003</v>
      </c>
    </row>
    <row r="315" spans="1:34" x14ac:dyDescent="0.3">
      <c r="A315" s="9" t="s">
        <v>398</v>
      </c>
      <c r="B315" s="9" t="s">
        <v>512</v>
      </c>
      <c r="C315" s="9" t="s">
        <v>513</v>
      </c>
      <c r="D315" s="9" t="s">
        <v>22</v>
      </c>
      <c r="E315" s="9">
        <v>0</v>
      </c>
      <c r="F315" s="9">
        <v>0</v>
      </c>
      <c r="G315" s="9">
        <v>0</v>
      </c>
      <c r="H315" s="9">
        <v>2.89</v>
      </c>
      <c r="I315" s="9">
        <v>1</v>
      </c>
      <c r="J315" s="9">
        <v>0</v>
      </c>
      <c r="K315" s="9">
        <v>25.1</v>
      </c>
      <c r="L315" s="9">
        <v>0</v>
      </c>
      <c r="M315" s="9">
        <v>0.5</v>
      </c>
      <c r="N315" s="9">
        <v>1.2</v>
      </c>
      <c r="O315" s="9">
        <v>0.5</v>
      </c>
      <c r="P315" s="9">
        <v>0.8</v>
      </c>
      <c r="Q315" s="9">
        <v>0.6</v>
      </c>
      <c r="R315" s="9">
        <v>1</v>
      </c>
      <c r="S315" s="9">
        <v>0.8</v>
      </c>
      <c r="T315" s="9">
        <v>3</v>
      </c>
      <c r="U315" s="9">
        <v>0</v>
      </c>
      <c r="V315" s="9">
        <v>0</v>
      </c>
      <c r="W315" s="9">
        <v>4</v>
      </c>
      <c r="X315">
        <f xml:space="preserve"> Z315 + AA315 + (AB315*G315) + (AC315*H315) + (AD315*I315) + (AE315*J315) + (AF315*(K315/100)) + (AG315*(L315/100))+ (AH315*(M315))</f>
        <v>2.496</v>
      </c>
      <c r="Y315" s="1">
        <f>X315-W315</f>
        <v>-1.504</v>
      </c>
      <c r="Z315">
        <f>U315</f>
        <v>0</v>
      </c>
      <c r="AA315">
        <f>V315</f>
        <v>0</v>
      </c>
      <c r="AB315">
        <f>N315</f>
        <v>1.2</v>
      </c>
      <c r="AC315">
        <f>O315</f>
        <v>0.5</v>
      </c>
      <c r="AD315">
        <f>P315</f>
        <v>0.8</v>
      </c>
      <c r="AE315">
        <f>Q315</f>
        <v>0.6</v>
      </c>
      <c r="AF315">
        <f>R315</f>
        <v>1</v>
      </c>
      <c r="AG315">
        <f>S315</f>
        <v>0.8</v>
      </c>
    </row>
    <row r="316" spans="1:34" x14ac:dyDescent="0.3">
      <c r="A316" s="9" t="s">
        <v>398</v>
      </c>
      <c r="B316" s="9" t="s">
        <v>434</v>
      </c>
      <c r="C316" s="9" t="s">
        <v>435</v>
      </c>
      <c r="D316" s="9" t="s">
        <v>22</v>
      </c>
      <c r="E316" s="9">
        <v>0</v>
      </c>
      <c r="F316" s="9">
        <v>0</v>
      </c>
      <c r="G316" s="9">
        <v>0.8</v>
      </c>
      <c r="H316" s="9">
        <v>1.1000000000000001</v>
      </c>
      <c r="I316" s="9">
        <v>1</v>
      </c>
      <c r="J316" s="9">
        <v>0</v>
      </c>
      <c r="K316" s="9">
        <v>11.1</v>
      </c>
      <c r="L316" s="9">
        <v>0</v>
      </c>
      <c r="M316" s="9">
        <v>0.5</v>
      </c>
      <c r="N316" s="9">
        <v>1.2</v>
      </c>
      <c r="O316" s="9">
        <v>0.5</v>
      </c>
      <c r="P316" s="9">
        <v>0.8</v>
      </c>
      <c r="Q316" s="9">
        <v>0.6</v>
      </c>
      <c r="R316" s="9">
        <v>1</v>
      </c>
      <c r="S316" s="9">
        <v>0.8</v>
      </c>
      <c r="T316" s="9">
        <v>3</v>
      </c>
      <c r="U316" s="9">
        <v>0</v>
      </c>
      <c r="V316" s="9">
        <v>0</v>
      </c>
      <c r="W316" s="9">
        <v>3.91</v>
      </c>
      <c r="X316">
        <f xml:space="preserve"> Z316 + AA316 + (AB316*G316) + (AC316*H316) + (AD316*I316) + (AE316*J316) + (AF316*(K316/100)) + (AG316*(L316/100))+ (AH316*(M316))</f>
        <v>2.4210000000000003</v>
      </c>
      <c r="Y316" s="1">
        <f>X316-W316</f>
        <v>-1.4889999999999999</v>
      </c>
      <c r="Z316">
        <f>U316</f>
        <v>0</v>
      </c>
      <c r="AA316">
        <f>V316</f>
        <v>0</v>
      </c>
      <c r="AB316">
        <f>N316</f>
        <v>1.2</v>
      </c>
      <c r="AC316">
        <f>O316</f>
        <v>0.5</v>
      </c>
      <c r="AD316">
        <f>P316</f>
        <v>0.8</v>
      </c>
      <c r="AE316">
        <f>Q316</f>
        <v>0.6</v>
      </c>
      <c r="AF316">
        <f>R316</f>
        <v>1</v>
      </c>
      <c r="AG316">
        <f>S316</f>
        <v>0.8</v>
      </c>
    </row>
    <row r="317" spans="1:34" x14ac:dyDescent="0.3">
      <c r="A317" s="9" t="s">
        <v>398</v>
      </c>
      <c r="B317" s="9" t="s">
        <v>522</v>
      </c>
      <c r="C317" s="9" t="s">
        <v>523</v>
      </c>
      <c r="D317" s="9" t="s">
        <v>22</v>
      </c>
      <c r="E317" s="9">
        <v>0</v>
      </c>
      <c r="F317" s="9">
        <v>0</v>
      </c>
      <c r="G317" s="9">
        <v>0</v>
      </c>
      <c r="H317" s="9">
        <v>2.4</v>
      </c>
      <c r="I317" s="9">
        <v>1</v>
      </c>
      <c r="J317" s="9">
        <v>0</v>
      </c>
      <c r="K317" s="9">
        <v>34.1</v>
      </c>
      <c r="L317" s="9">
        <v>0</v>
      </c>
      <c r="M317" s="9">
        <v>0.5</v>
      </c>
      <c r="N317" s="9">
        <v>1.2</v>
      </c>
      <c r="O317" s="9">
        <v>0.5</v>
      </c>
      <c r="P317" s="9">
        <v>0.8</v>
      </c>
      <c r="Q317" s="9">
        <v>0.6</v>
      </c>
      <c r="R317" s="9">
        <v>1</v>
      </c>
      <c r="S317" s="9">
        <v>0.8</v>
      </c>
      <c r="T317" s="9">
        <v>3</v>
      </c>
      <c r="U317" s="9">
        <v>0</v>
      </c>
      <c r="V317" s="9">
        <v>0</v>
      </c>
      <c r="W317" s="9">
        <v>3.84</v>
      </c>
      <c r="X317">
        <f xml:space="preserve"> Z317 + AA317 + (AB317*G317) + (AC317*H317) + (AD317*I317) + (AE317*J317) + (AF317*(K317/100)) + (AG317*(L317/100))+ (AH317*(M317))</f>
        <v>2.3410000000000002</v>
      </c>
      <c r="Y317" s="1">
        <f>X317-W317</f>
        <v>-1.4989999999999997</v>
      </c>
      <c r="Z317">
        <f>U317</f>
        <v>0</v>
      </c>
      <c r="AA317">
        <f>V317</f>
        <v>0</v>
      </c>
      <c r="AB317">
        <f>N317</f>
        <v>1.2</v>
      </c>
      <c r="AC317">
        <f>O317</f>
        <v>0.5</v>
      </c>
      <c r="AD317">
        <f>P317</f>
        <v>0.8</v>
      </c>
      <c r="AE317">
        <f>Q317</f>
        <v>0.6</v>
      </c>
      <c r="AF317">
        <f>R317</f>
        <v>1</v>
      </c>
      <c r="AG317">
        <f>S317</f>
        <v>0.8</v>
      </c>
    </row>
    <row r="318" spans="1:34" hidden="1" x14ac:dyDescent="0.3">
      <c r="A318" s="9" t="s">
        <v>54</v>
      </c>
      <c r="B318" s="9" t="s">
        <v>82</v>
      </c>
      <c r="C318" s="9" t="s">
        <v>83</v>
      </c>
      <c r="D318" s="9" t="s">
        <v>22</v>
      </c>
      <c r="E318" s="9">
        <v>0</v>
      </c>
      <c r="F318" s="9">
        <v>0</v>
      </c>
      <c r="G318" s="9">
        <v>1.8</v>
      </c>
      <c r="H318" s="9">
        <v>0</v>
      </c>
      <c r="I318" s="9">
        <v>1</v>
      </c>
      <c r="J318" s="9">
        <v>0</v>
      </c>
      <c r="K318" s="9">
        <v>39.9</v>
      </c>
      <c r="L318" s="9">
        <v>0</v>
      </c>
      <c r="M318" s="9">
        <v>0.1</v>
      </c>
      <c r="N318" s="9">
        <v>1.2</v>
      </c>
      <c r="O318" s="9">
        <v>0.5</v>
      </c>
      <c r="P318" s="9">
        <v>0.8</v>
      </c>
      <c r="Q318" s="9">
        <v>0.6</v>
      </c>
      <c r="R318" s="9">
        <v>1</v>
      </c>
      <c r="S318" s="9">
        <v>0.8</v>
      </c>
      <c r="T318" s="9">
        <v>3</v>
      </c>
      <c r="U318" s="9">
        <v>0</v>
      </c>
      <c r="V318" s="9">
        <v>0</v>
      </c>
      <c r="W318" s="9">
        <v>3.64</v>
      </c>
      <c r="X318">
        <f xml:space="preserve"> Z318 + AA318 + (AB318*G318) + (AC318*H318) + (AD318*I318) + (AE318*J318) + (AF318*(K318/100)) + (AG318*(L318/100))+ (AH318*(M318))</f>
        <v>3.359</v>
      </c>
      <c r="Y318" s="1">
        <f>X318-W318</f>
        <v>-0.28100000000000014</v>
      </c>
      <c r="Z318">
        <f>U318</f>
        <v>0</v>
      </c>
      <c r="AA318">
        <f>V318</f>
        <v>0</v>
      </c>
      <c r="AB318">
        <f>N318</f>
        <v>1.2</v>
      </c>
      <c r="AC318">
        <f>O318</f>
        <v>0.5</v>
      </c>
      <c r="AD318">
        <f>P318</f>
        <v>0.8</v>
      </c>
      <c r="AE318">
        <f>Q318</f>
        <v>0.6</v>
      </c>
      <c r="AF318">
        <f>R318</f>
        <v>1</v>
      </c>
      <c r="AG318">
        <f>S318</f>
        <v>0.8</v>
      </c>
    </row>
    <row r="319" spans="1:34" hidden="1" x14ac:dyDescent="0.3">
      <c r="A319" s="9" t="s">
        <v>533</v>
      </c>
      <c r="B319" s="9" t="s">
        <v>583</v>
      </c>
      <c r="C319" s="9" t="s">
        <v>584</v>
      </c>
      <c r="D319" s="9" t="s">
        <v>22</v>
      </c>
      <c r="E319" s="9">
        <v>0</v>
      </c>
      <c r="F319" s="9">
        <v>0</v>
      </c>
      <c r="G319" s="9">
        <v>0</v>
      </c>
      <c r="H319" s="9">
        <v>0</v>
      </c>
      <c r="I319" s="9">
        <v>1</v>
      </c>
      <c r="J319" s="9">
        <v>0</v>
      </c>
      <c r="K319" s="9">
        <v>42.8</v>
      </c>
      <c r="L319" s="9">
        <v>0</v>
      </c>
      <c r="M319" s="9">
        <v>0.66700000000000004</v>
      </c>
      <c r="N319" s="9">
        <v>1.2</v>
      </c>
      <c r="O319" s="9">
        <v>0.5</v>
      </c>
      <c r="P319" s="9">
        <v>0.8</v>
      </c>
      <c r="Q319" s="9">
        <v>0.6</v>
      </c>
      <c r="R319" s="9">
        <v>1</v>
      </c>
      <c r="S319" s="9">
        <v>0.8</v>
      </c>
      <c r="T319" s="9">
        <v>3</v>
      </c>
      <c r="U319" s="9">
        <v>0</v>
      </c>
      <c r="V319" s="9">
        <v>0</v>
      </c>
      <c r="W319" s="10">
        <v>3.23</v>
      </c>
      <c r="X319" s="5">
        <f xml:space="preserve"> Z319 + AA319 + (AB319*G319) + (AC319*H319) + (AD319*I319) + (AE319*J319) + (AF319*(K319/100)) + (AG319*(L319/100))+ (AH319*(M319))</f>
        <v>1.228</v>
      </c>
      <c r="Y319" s="1">
        <f>X319-W319</f>
        <v>-2.0019999999999998</v>
      </c>
      <c r="Z319">
        <f>U319</f>
        <v>0</v>
      </c>
      <c r="AA319">
        <f>V319</f>
        <v>0</v>
      </c>
      <c r="AB319">
        <f>N319</f>
        <v>1.2</v>
      </c>
      <c r="AC319">
        <f>O319</f>
        <v>0.5</v>
      </c>
      <c r="AD319">
        <f>P319</f>
        <v>0.8</v>
      </c>
      <c r="AE319">
        <f>Q319</f>
        <v>0.6</v>
      </c>
      <c r="AF319">
        <f>R319</f>
        <v>1</v>
      </c>
      <c r="AG319">
        <f>S319</f>
        <v>0.8</v>
      </c>
    </row>
    <row r="320" spans="1:34" hidden="1" x14ac:dyDescent="0.3">
      <c r="A320" s="9" t="s">
        <v>533</v>
      </c>
      <c r="B320" s="9" t="s">
        <v>615</v>
      </c>
      <c r="C320" s="9" t="s">
        <v>616</v>
      </c>
      <c r="D320" s="9" t="s">
        <v>22</v>
      </c>
      <c r="E320" s="9">
        <v>0</v>
      </c>
      <c r="F320" s="9">
        <v>0</v>
      </c>
      <c r="G320" s="9">
        <v>0</v>
      </c>
      <c r="H320" s="9">
        <v>0</v>
      </c>
      <c r="I320" s="9">
        <v>1</v>
      </c>
      <c r="J320" s="9">
        <v>0</v>
      </c>
      <c r="K320" s="9">
        <v>42.8</v>
      </c>
      <c r="L320" s="9">
        <v>0</v>
      </c>
      <c r="M320" s="9">
        <v>0.66700000000000004</v>
      </c>
      <c r="N320" s="9">
        <v>1.2</v>
      </c>
      <c r="O320" s="9">
        <v>0.5</v>
      </c>
      <c r="P320" s="9">
        <v>0.8</v>
      </c>
      <c r="Q320" s="9">
        <v>0.6</v>
      </c>
      <c r="R320" s="9">
        <v>1</v>
      </c>
      <c r="S320" s="9">
        <v>0.8</v>
      </c>
      <c r="T320" s="9">
        <v>3</v>
      </c>
      <c r="U320" s="9">
        <v>0</v>
      </c>
      <c r="V320" s="9">
        <v>0</v>
      </c>
      <c r="W320" s="10">
        <v>3.23</v>
      </c>
      <c r="X320" s="5">
        <f xml:space="preserve"> Z320 + AA320 + (AB320*G320) + (AC320*H320) + (AD320*I320) + (AE320*J320) + (AF320*(K320/100)) + (AG320*(L320/100))+ (AH320*(M320))</f>
        <v>1.228</v>
      </c>
      <c r="Y320" s="1">
        <f>X320-W320</f>
        <v>-2.0019999999999998</v>
      </c>
      <c r="Z320">
        <f>U320</f>
        <v>0</v>
      </c>
      <c r="AA320">
        <f>V320</f>
        <v>0</v>
      </c>
      <c r="AB320">
        <f>N320</f>
        <v>1.2</v>
      </c>
      <c r="AC320">
        <f>O320</f>
        <v>0.5</v>
      </c>
      <c r="AD320">
        <f>P320</f>
        <v>0.8</v>
      </c>
      <c r="AE320">
        <f>Q320</f>
        <v>0.6</v>
      </c>
      <c r="AF320">
        <f>R320</f>
        <v>1</v>
      </c>
      <c r="AG320">
        <f>S320</f>
        <v>0.8</v>
      </c>
    </row>
    <row r="321" spans="1:33" hidden="1" x14ac:dyDescent="0.3">
      <c r="A321" s="9" t="s">
        <v>533</v>
      </c>
      <c r="B321" s="9" t="s">
        <v>646</v>
      </c>
      <c r="C321" s="9" t="s">
        <v>641</v>
      </c>
      <c r="D321" s="9" t="s">
        <v>22</v>
      </c>
      <c r="E321" s="9">
        <v>0</v>
      </c>
      <c r="F321" s="9">
        <v>0</v>
      </c>
      <c r="G321" s="9">
        <v>0</v>
      </c>
      <c r="H321" s="9">
        <v>0</v>
      </c>
      <c r="I321" s="9">
        <v>1</v>
      </c>
      <c r="J321" s="9">
        <v>2</v>
      </c>
      <c r="K321" s="9">
        <v>42</v>
      </c>
      <c r="L321" s="9">
        <v>41.2</v>
      </c>
      <c r="M321" s="9">
        <v>0.105</v>
      </c>
      <c r="N321" s="9">
        <v>1.2</v>
      </c>
      <c r="O321" s="9">
        <v>0.5</v>
      </c>
      <c r="P321" s="9">
        <v>0.8</v>
      </c>
      <c r="Q321" s="9">
        <v>0.6</v>
      </c>
      <c r="R321" s="9">
        <v>1</v>
      </c>
      <c r="S321" s="9">
        <v>0.8</v>
      </c>
      <c r="T321" s="9">
        <v>3</v>
      </c>
      <c r="U321" s="9">
        <v>0</v>
      </c>
      <c r="V321" s="9">
        <v>0</v>
      </c>
      <c r="W321" s="9">
        <v>3.06</v>
      </c>
      <c r="X321"/>
    </row>
    <row r="322" spans="1:33" hidden="1" x14ac:dyDescent="0.3">
      <c r="A322" s="9" t="s">
        <v>221</v>
      </c>
      <c r="B322" s="9" t="s">
        <v>366</v>
      </c>
      <c r="C322" s="9" t="s">
        <v>367</v>
      </c>
      <c r="D322" s="9" t="s">
        <v>22</v>
      </c>
      <c r="E322" s="9">
        <v>0</v>
      </c>
      <c r="F322" s="9">
        <v>0</v>
      </c>
      <c r="G322" s="9">
        <v>0.4</v>
      </c>
      <c r="H322" s="9">
        <v>0</v>
      </c>
      <c r="I322" s="9">
        <v>1</v>
      </c>
      <c r="J322" s="9">
        <v>0</v>
      </c>
      <c r="K322" s="9">
        <v>28.2</v>
      </c>
      <c r="L322" s="9">
        <v>0</v>
      </c>
      <c r="M322" s="9">
        <v>0.5</v>
      </c>
      <c r="N322" s="9">
        <v>1.2</v>
      </c>
      <c r="O322" s="9">
        <v>0.5</v>
      </c>
      <c r="P322" s="9">
        <v>0.8</v>
      </c>
      <c r="Q322" s="9">
        <v>0.6</v>
      </c>
      <c r="R322" s="9">
        <v>1</v>
      </c>
      <c r="S322" s="9">
        <v>0.8</v>
      </c>
      <c r="T322" s="9">
        <v>3</v>
      </c>
      <c r="U322" s="9">
        <v>0</v>
      </c>
      <c r="V322" s="9">
        <v>0</v>
      </c>
      <c r="W322" s="10">
        <v>3.05</v>
      </c>
      <c r="X322" s="5">
        <f xml:space="preserve"> Z322 + AA322 + (AB322*G322) + (AC322*H322) + (AD322*I322) + (AE322*J322) + (AF322*(K322/100)) + (AG322*(L322/100))+ (AH322*(M322))</f>
        <v>1.5620000000000001</v>
      </c>
      <c r="Y322" s="1">
        <f>X322-W322</f>
        <v>-1.4879999999999998</v>
      </c>
      <c r="Z322">
        <f>U322</f>
        <v>0</v>
      </c>
      <c r="AA322">
        <f>V322</f>
        <v>0</v>
      </c>
      <c r="AB322">
        <f>N322</f>
        <v>1.2</v>
      </c>
      <c r="AC322">
        <f>O322</f>
        <v>0.5</v>
      </c>
      <c r="AD322">
        <f>P322</f>
        <v>0.8</v>
      </c>
      <c r="AE322">
        <f>Q322</f>
        <v>0.6</v>
      </c>
      <c r="AF322">
        <f>R322</f>
        <v>1</v>
      </c>
      <c r="AG322">
        <f>S322</f>
        <v>0.8</v>
      </c>
    </row>
    <row r="323" spans="1:33" hidden="1" x14ac:dyDescent="0.3">
      <c r="A323" s="9" t="s">
        <v>54</v>
      </c>
      <c r="B323" s="9" t="s">
        <v>138</v>
      </c>
      <c r="C323" s="9" t="s">
        <v>139</v>
      </c>
      <c r="D323" s="9" t="s">
        <v>22</v>
      </c>
      <c r="E323" s="9">
        <v>0</v>
      </c>
      <c r="F323" s="9">
        <v>0</v>
      </c>
      <c r="G323" s="9">
        <v>0</v>
      </c>
      <c r="H323" s="9">
        <v>2.48</v>
      </c>
      <c r="I323" s="9">
        <v>1</v>
      </c>
      <c r="J323" s="9">
        <v>0</v>
      </c>
      <c r="K323" s="9">
        <v>39.9</v>
      </c>
      <c r="L323" s="9">
        <v>0</v>
      </c>
      <c r="M323" s="9">
        <v>0.154</v>
      </c>
      <c r="N323" s="9">
        <v>1.2</v>
      </c>
      <c r="O323" s="9">
        <v>0.5</v>
      </c>
      <c r="P323" s="9">
        <v>0.8</v>
      </c>
      <c r="Q323" s="9">
        <v>0.6</v>
      </c>
      <c r="R323" s="9">
        <v>1</v>
      </c>
      <c r="S323" s="9">
        <v>0.8</v>
      </c>
      <c r="T323" s="9">
        <v>3</v>
      </c>
      <c r="U323" s="9">
        <v>0</v>
      </c>
      <c r="V323" s="9">
        <v>0</v>
      </c>
      <c r="W323" s="9">
        <v>2.9</v>
      </c>
      <c r="X323">
        <f xml:space="preserve"> Z323 + AA323 + (AB323*G323) + (AC323*H323) + (AD323*I323) + (AE323*J323) + (AF323*(K323/100)) + (AG323*(L323/100))+ (AH323*(M323))</f>
        <v>2.4390000000000001</v>
      </c>
      <c r="Y323" s="1">
        <f>X323-W323</f>
        <v>-0.46099999999999985</v>
      </c>
      <c r="Z323">
        <f>U323</f>
        <v>0</v>
      </c>
      <c r="AA323">
        <f>V323</f>
        <v>0</v>
      </c>
      <c r="AB323">
        <f>N323</f>
        <v>1.2</v>
      </c>
      <c r="AC323">
        <f>O323</f>
        <v>0.5</v>
      </c>
      <c r="AD323">
        <f>P323</f>
        <v>0.8</v>
      </c>
      <c r="AE323">
        <f>Q323</f>
        <v>0.6</v>
      </c>
      <c r="AF323">
        <f>R323</f>
        <v>1</v>
      </c>
      <c r="AG323">
        <f>S323</f>
        <v>0.8</v>
      </c>
    </row>
    <row r="324" spans="1:33" hidden="1" x14ac:dyDescent="0.3">
      <c r="A324" s="9" t="s">
        <v>221</v>
      </c>
      <c r="B324" s="9" t="s">
        <v>362</v>
      </c>
      <c r="C324" s="9" t="s">
        <v>363</v>
      </c>
      <c r="D324" s="9" t="s">
        <v>22</v>
      </c>
      <c r="E324" s="9">
        <v>0</v>
      </c>
      <c r="F324" s="9">
        <v>0</v>
      </c>
      <c r="G324" s="9">
        <v>0.8</v>
      </c>
      <c r="H324" s="9">
        <v>0</v>
      </c>
      <c r="I324" s="9">
        <v>1</v>
      </c>
      <c r="J324" s="9">
        <v>0</v>
      </c>
      <c r="K324" s="9">
        <v>21</v>
      </c>
      <c r="L324" s="9">
        <v>0</v>
      </c>
      <c r="M324" s="9">
        <v>0.28599999999999998</v>
      </c>
      <c r="N324" s="9">
        <v>1.2</v>
      </c>
      <c r="O324" s="9">
        <v>0.5</v>
      </c>
      <c r="P324" s="9">
        <v>0.8</v>
      </c>
      <c r="Q324" s="9">
        <v>0.6</v>
      </c>
      <c r="R324" s="9">
        <v>1</v>
      </c>
      <c r="S324" s="9">
        <v>0.8</v>
      </c>
      <c r="T324" s="9">
        <v>3</v>
      </c>
      <c r="U324" s="9">
        <v>0</v>
      </c>
      <c r="V324" s="9">
        <v>0</v>
      </c>
      <c r="W324" s="10">
        <v>2.81</v>
      </c>
      <c r="X324" s="5">
        <f xml:space="preserve"> Z324 + AA324 + (AB324*G324) + (AC324*H324) + (AD324*I324) + (AE324*J324) + (AF324*(K324/100)) + (AG324*(L324/100))+ (AH324*(M324))</f>
        <v>1.97</v>
      </c>
      <c r="Y324" s="1">
        <f>X324-W324</f>
        <v>-0.84000000000000008</v>
      </c>
      <c r="Z324">
        <f>U324</f>
        <v>0</v>
      </c>
      <c r="AA324">
        <f>V324</f>
        <v>0</v>
      </c>
      <c r="AB324">
        <f>N324</f>
        <v>1.2</v>
      </c>
      <c r="AC324">
        <f>O324</f>
        <v>0.5</v>
      </c>
      <c r="AD324">
        <f>P324</f>
        <v>0.8</v>
      </c>
      <c r="AE324">
        <f>Q324</f>
        <v>0.6</v>
      </c>
      <c r="AF324">
        <f>R324</f>
        <v>1</v>
      </c>
      <c r="AG324">
        <f>S324</f>
        <v>0.8</v>
      </c>
    </row>
    <row r="325" spans="1:33" hidden="1" x14ac:dyDescent="0.3">
      <c r="A325" s="9" t="s">
        <v>533</v>
      </c>
      <c r="B325" s="9" t="s">
        <v>563</v>
      </c>
      <c r="C325" s="9" t="s">
        <v>564</v>
      </c>
      <c r="D325" s="9" t="s">
        <v>22</v>
      </c>
      <c r="E325" s="9">
        <v>0</v>
      </c>
      <c r="F325" s="9">
        <v>0</v>
      </c>
      <c r="G325" s="9">
        <v>0</v>
      </c>
      <c r="H325" s="9">
        <v>0</v>
      </c>
      <c r="I325" s="9">
        <v>1</v>
      </c>
      <c r="J325" s="9">
        <v>0</v>
      </c>
      <c r="K325" s="9">
        <v>41.9</v>
      </c>
      <c r="L325" s="9">
        <v>0</v>
      </c>
      <c r="M325" s="9">
        <v>0.5</v>
      </c>
      <c r="N325" s="9">
        <v>1.2</v>
      </c>
      <c r="O325" s="9">
        <v>0.5</v>
      </c>
      <c r="P325" s="9">
        <v>0.8</v>
      </c>
      <c r="Q325" s="9">
        <v>0.6</v>
      </c>
      <c r="R325" s="9">
        <v>1</v>
      </c>
      <c r="S325" s="9">
        <v>0.8</v>
      </c>
      <c r="T325" s="9">
        <v>3</v>
      </c>
      <c r="U325" s="9">
        <v>0</v>
      </c>
      <c r="V325" s="9">
        <v>0</v>
      </c>
      <c r="W325" s="10">
        <v>2.72</v>
      </c>
      <c r="X325" s="5">
        <f xml:space="preserve"> Z325 + AA325 + (AB325*G325) + (AC325*H325) + (AD325*I325) + (AE325*J325) + (AF325*(K325/100)) + (AG325*(L325/100))+ (AH325*(M325))</f>
        <v>1.2190000000000001</v>
      </c>
      <c r="Y325" s="1">
        <f>X325-W325</f>
        <v>-1.5010000000000001</v>
      </c>
      <c r="Z325">
        <f>U325</f>
        <v>0</v>
      </c>
      <c r="AA325">
        <f>V325</f>
        <v>0</v>
      </c>
      <c r="AB325">
        <f>N325</f>
        <v>1.2</v>
      </c>
      <c r="AC325">
        <f>O325</f>
        <v>0.5</v>
      </c>
      <c r="AD325">
        <f>P325</f>
        <v>0.8</v>
      </c>
      <c r="AE325">
        <f>Q325</f>
        <v>0.6</v>
      </c>
      <c r="AF325">
        <f>R325</f>
        <v>1</v>
      </c>
      <c r="AG325">
        <f>S325</f>
        <v>0.8</v>
      </c>
    </row>
    <row r="326" spans="1:33" hidden="1" x14ac:dyDescent="0.3">
      <c r="A326" s="9" t="s">
        <v>533</v>
      </c>
      <c r="B326" s="9" t="s">
        <v>569</v>
      </c>
      <c r="C326" s="9" t="s">
        <v>570</v>
      </c>
      <c r="D326" s="9" t="s">
        <v>22</v>
      </c>
      <c r="E326" s="9">
        <v>0</v>
      </c>
      <c r="F326" s="9">
        <v>0</v>
      </c>
      <c r="G326" s="9">
        <v>0</v>
      </c>
      <c r="H326" s="9">
        <v>0</v>
      </c>
      <c r="I326" s="9">
        <v>1</v>
      </c>
      <c r="J326" s="9">
        <v>0</v>
      </c>
      <c r="K326" s="9">
        <v>41.9</v>
      </c>
      <c r="L326" s="9">
        <v>0</v>
      </c>
      <c r="M326" s="9">
        <v>0.5</v>
      </c>
      <c r="N326" s="9">
        <v>1.2</v>
      </c>
      <c r="O326" s="9">
        <v>0.5</v>
      </c>
      <c r="P326" s="9">
        <v>0.8</v>
      </c>
      <c r="Q326" s="9">
        <v>0.6</v>
      </c>
      <c r="R326" s="9">
        <v>1</v>
      </c>
      <c r="S326" s="9">
        <v>0.8</v>
      </c>
      <c r="T326" s="9">
        <v>3</v>
      </c>
      <c r="U326" s="9">
        <v>0</v>
      </c>
      <c r="V326" s="9">
        <v>0</v>
      </c>
      <c r="W326" s="9">
        <v>2.72</v>
      </c>
      <c r="X326">
        <f xml:space="preserve"> Z326 + AA326 + (AB326*G326) + (AC326*H326) + (AD326*I326) + (AE326*J326) + (AF326*(K326/100)) + (AG326*(L326/100))+ (AH326*(M326))</f>
        <v>1.2190000000000001</v>
      </c>
      <c r="Y326" s="1">
        <f>X326-W326</f>
        <v>-1.5010000000000001</v>
      </c>
      <c r="Z326">
        <f>U326</f>
        <v>0</v>
      </c>
      <c r="AA326">
        <f>V326</f>
        <v>0</v>
      </c>
      <c r="AB326">
        <f>N326</f>
        <v>1.2</v>
      </c>
      <c r="AC326">
        <f>O326</f>
        <v>0.5</v>
      </c>
      <c r="AD326">
        <f>P326</f>
        <v>0.8</v>
      </c>
      <c r="AE326">
        <f>Q326</f>
        <v>0.6</v>
      </c>
      <c r="AF326">
        <f>R326</f>
        <v>1</v>
      </c>
      <c r="AG326">
        <f>S326</f>
        <v>0.8</v>
      </c>
    </row>
    <row r="327" spans="1:33" hidden="1" x14ac:dyDescent="0.3">
      <c r="A327" s="9" t="s">
        <v>533</v>
      </c>
      <c r="B327" s="9" t="s">
        <v>591</v>
      </c>
      <c r="C327" s="9" t="s">
        <v>592</v>
      </c>
      <c r="D327" s="9" t="s">
        <v>22</v>
      </c>
      <c r="E327" s="9">
        <v>0</v>
      </c>
      <c r="F327" s="9">
        <v>0</v>
      </c>
      <c r="G327" s="9">
        <v>0</v>
      </c>
      <c r="H327" s="9">
        <v>0</v>
      </c>
      <c r="I327" s="9">
        <v>1</v>
      </c>
      <c r="J327" s="9">
        <v>0</v>
      </c>
      <c r="K327" s="9">
        <v>41.9</v>
      </c>
      <c r="L327" s="9">
        <v>0</v>
      </c>
      <c r="M327" s="9">
        <v>0.5</v>
      </c>
      <c r="N327" s="9">
        <v>1.2</v>
      </c>
      <c r="O327" s="9">
        <v>0.5</v>
      </c>
      <c r="P327" s="9">
        <v>0.8</v>
      </c>
      <c r="Q327" s="9">
        <v>0.6</v>
      </c>
      <c r="R327" s="9">
        <v>1</v>
      </c>
      <c r="S327" s="9">
        <v>0.8</v>
      </c>
      <c r="T327" s="9">
        <v>3</v>
      </c>
      <c r="U327" s="9">
        <v>0</v>
      </c>
      <c r="V327" s="9">
        <v>0</v>
      </c>
      <c r="W327" s="10">
        <v>2.72</v>
      </c>
      <c r="X327" s="5">
        <f xml:space="preserve"> Z327 + AA327 + (AB327*G327) + (AC327*H327) + (AD327*I327) + (AE327*J327) + (AF327*(K327/100)) + (AG327*(L327/100))+ (AH327*(M327))</f>
        <v>1.2190000000000001</v>
      </c>
      <c r="Y327" s="1">
        <f>X327-W327</f>
        <v>-1.5010000000000001</v>
      </c>
      <c r="Z327">
        <f>U327</f>
        <v>0</v>
      </c>
      <c r="AA327">
        <f>V327</f>
        <v>0</v>
      </c>
      <c r="AB327">
        <f>N327</f>
        <v>1.2</v>
      </c>
      <c r="AC327">
        <f>O327</f>
        <v>0.5</v>
      </c>
      <c r="AD327">
        <f>P327</f>
        <v>0.8</v>
      </c>
      <c r="AE327">
        <f>Q327</f>
        <v>0.6</v>
      </c>
      <c r="AF327">
        <f>R327</f>
        <v>1</v>
      </c>
      <c r="AG327">
        <f>S327</f>
        <v>0.8</v>
      </c>
    </row>
    <row r="328" spans="1:33" hidden="1" x14ac:dyDescent="0.3">
      <c r="A328" s="9" t="s">
        <v>533</v>
      </c>
      <c r="B328" s="9" t="s">
        <v>593</v>
      </c>
      <c r="C328" s="9" t="s">
        <v>594</v>
      </c>
      <c r="D328" s="9" t="s">
        <v>22</v>
      </c>
      <c r="E328" s="9">
        <v>0</v>
      </c>
      <c r="F328" s="9">
        <v>0</v>
      </c>
      <c r="G328" s="9">
        <v>0</v>
      </c>
      <c r="H328" s="9">
        <v>0</v>
      </c>
      <c r="I328" s="9">
        <v>1</v>
      </c>
      <c r="J328" s="9">
        <v>0</v>
      </c>
      <c r="K328" s="9">
        <v>41.9</v>
      </c>
      <c r="L328" s="9">
        <v>0</v>
      </c>
      <c r="M328" s="9">
        <v>0.5</v>
      </c>
      <c r="N328" s="9">
        <v>1.2</v>
      </c>
      <c r="O328" s="9">
        <v>0.5</v>
      </c>
      <c r="P328" s="9">
        <v>0.8</v>
      </c>
      <c r="Q328" s="9">
        <v>0.6</v>
      </c>
      <c r="R328" s="9">
        <v>1</v>
      </c>
      <c r="S328" s="9">
        <v>0.8</v>
      </c>
      <c r="T328" s="9">
        <v>3</v>
      </c>
      <c r="U328" s="9">
        <v>0</v>
      </c>
      <c r="V328" s="9">
        <v>0</v>
      </c>
      <c r="W328" s="9">
        <v>2.72</v>
      </c>
      <c r="X328">
        <f xml:space="preserve"> Z328 + AA328 + (AB328*G328) + (AC328*H328) + (AD328*I328) + (AE328*J328) + (AF328*(K328/100)) + (AG328*(L328/100))+ (AH328*(M328))</f>
        <v>1.2190000000000001</v>
      </c>
      <c r="Y328" s="1">
        <f>X328-W328</f>
        <v>-1.5010000000000001</v>
      </c>
      <c r="Z328">
        <f>U328</f>
        <v>0</v>
      </c>
      <c r="AA328">
        <f>V328</f>
        <v>0</v>
      </c>
      <c r="AB328">
        <f>N328</f>
        <v>1.2</v>
      </c>
      <c r="AC328">
        <f>O328</f>
        <v>0.5</v>
      </c>
      <c r="AD328">
        <f>P328</f>
        <v>0.8</v>
      </c>
      <c r="AE328">
        <f>Q328</f>
        <v>0.6</v>
      </c>
      <c r="AF328">
        <f>R328</f>
        <v>1</v>
      </c>
      <c r="AG328">
        <f>S328</f>
        <v>0.8</v>
      </c>
    </row>
    <row r="329" spans="1:33" hidden="1" x14ac:dyDescent="0.3">
      <c r="A329" s="9" t="s">
        <v>533</v>
      </c>
      <c r="B329" s="9" t="s">
        <v>609</v>
      </c>
      <c r="C329" s="9" t="s">
        <v>610</v>
      </c>
      <c r="D329" s="9" t="s">
        <v>22</v>
      </c>
      <c r="E329" s="9">
        <v>0</v>
      </c>
      <c r="F329" s="9">
        <v>0</v>
      </c>
      <c r="G329" s="9">
        <v>0</v>
      </c>
      <c r="H329" s="9">
        <v>0</v>
      </c>
      <c r="I329" s="9">
        <v>1</v>
      </c>
      <c r="J329" s="9">
        <v>0</v>
      </c>
      <c r="K329" s="9">
        <v>41.3</v>
      </c>
      <c r="L329" s="9">
        <v>0</v>
      </c>
      <c r="M329" s="9">
        <v>0.5</v>
      </c>
      <c r="N329" s="9">
        <v>1.2</v>
      </c>
      <c r="O329" s="9">
        <v>0.5</v>
      </c>
      <c r="P329" s="9">
        <v>0.8</v>
      </c>
      <c r="Q329" s="9">
        <v>0.6</v>
      </c>
      <c r="R329" s="9">
        <v>1</v>
      </c>
      <c r="S329" s="9">
        <v>0.8</v>
      </c>
      <c r="T329" s="9">
        <v>3</v>
      </c>
      <c r="U329" s="9">
        <v>0</v>
      </c>
      <c r="V329" s="9">
        <v>0</v>
      </c>
      <c r="W329" s="9">
        <v>2.71</v>
      </c>
      <c r="X329">
        <f xml:space="preserve"> Z329 + AA329 + (AB329*G329) + (AC329*H329) + (AD329*I329) + (AE329*J329) + (AF329*(K329/100)) + (AG329*(L329/100))+ (AH329*(M329))</f>
        <v>1.2130000000000001</v>
      </c>
      <c r="Y329" s="1">
        <f>X329-W329</f>
        <v>-1.4969999999999999</v>
      </c>
      <c r="Z329">
        <f>U329</f>
        <v>0</v>
      </c>
      <c r="AA329">
        <f>V329</f>
        <v>0</v>
      </c>
      <c r="AB329">
        <f>N329</f>
        <v>1.2</v>
      </c>
      <c r="AC329">
        <f>O329</f>
        <v>0.5</v>
      </c>
      <c r="AD329">
        <f>P329</f>
        <v>0.8</v>
      </c>
      <c r="AE329">
        <f>Q329</f>
        <v>0.6</v>
      </c>
      <c r="AF329">
        <f>R329</f>
        <v>1</v>
      </c>
      <c r="AG329">
        <f>S329</f>
        <v>0.8</v>
      </c>
    </row>
    <row r="330" spans="1:33" hidden="1" x14ac:dyDescent="0.3">
      <c r="A330" s="9" t="s">
        <v>533</v>
      </c>
      <c r="B330" s="9" t="s">
        <v>620</v>
      </c>
      <c r="C330" s="9" t="s">
        <v>621</v>
      </c>
      <c r="D330" s="9" t="s">
        <v>22</v>
      </c>
      <c r="E330" s="9">
        <v>0</v>
      </c>
      <c r="F330" s="9">
        <v>0</v>
      </c>
      <c r="G330" s="9">
        <v>0</v>
      </c>
      <c r="H330" s="9">
        <v>0</v>
      </c>
      <c r="I330" s="9">
        <v>1</v>
      </c>
      <c r="J330" s="9">
        <v>0</v>
      </c>
      <c r="K330" s="9">
        <v>39.5</v>
      </c>
      <c r="L330" s="9">
        <v>0</v>
      </c>
      <c r="M330" s="9">
        <v>0.5</v>
      </c>
      <c r="N330" s="9">
        <v>1.2</v>
      </c>
      <c r="O330" s="9">
        <v>0.5</v>
      </c>
      <c r="P330" s="9">
        <v>0.8</v>
      </c>
      <c r="Q330" s="9">
        <v>0.6</v>
      </c>
      <c r="R330" s="9">
        <v>1</v>
      </c>
      <c r="S330" s="9">
        <v>0.8</v>
      </c>
      <c r="T330" s="9">
        <v>3</v>
      </c>
      <c r="U330" s="9">
        <v>0</v>
      </c>
      <c r="V330" s="9">
        <v>0</v>
      </c>
      <c r="W330" s="10">
        <v>2.7</v>
      </c>
      <c r="X330" s="5">
        <f xml:space="preserve"> Z330 + AA330 + (AB330*G330) + (AC330*H330) + (AD330*I330) + (AE330*J330) + (AF330*(K330/100)) + (AG330*(L330/100))+ (AH330*(M330))</f>
        <v>1.1950000000000001</v>
      </c>
      <c r="Y330" s="1">
        <f>X330-W330</f>
        <v>-1.5050000000000001</v>
      </c>
      <c r="Z330">
        <f>U330</f>
        <v>0</v>
      </c>
      <c r="AA330">
        <f>V330</f>
        <v>0</v>
      </c>
      <c r="AB330">
        <f>N330</f>
        <v>1.2</v>
      </c>
      <c r="AC330">
        <f>O330</f>
        <v>0.5</v>
      </c>
      <c r="AD330">
        <f>P330</f>
        <v>0.8</v>
      </c>
      <c r="AE330">
        <f>Q330</f>
        <v>0.6</v>
      </c>
      <c r="AF330">
        <f>R330</f>
        <v>1</v>
      </c>
      <c r="AG330">
        <f>S330</f>
        <v>0.8</v>
      </c>
    </row>
    <row r="331" spans="1:33" hidden="1" x14ac:dyDescent="0.3">
      <c r="A331" s="9" t="s">
        <v>661</v>
      </c>
      <c r="B331" s="9" t="s">
        <v>620</v>
      </c>
      <c r="C331" s="9" t="s">
        <v>621</v>
      </c>
      <c r="D331" s="9" t="s">
        <v>22</v>
      </c>
      <c r="E331" s="9">
        <v>0</v>
      </c>
      <c r="F331" s="9">
        <v>0</v>
      </c>
      <c r="G331" s="9">
        <v>0</v>
      </c>
      <c r="H331" s="9">
        <v>0</v>
      </c>
      <c r="I331" s="9">
        <v>1</v>
      </c>
      <c r="J331" s="9">
        <v>0</v>
      </c>
      <c r="K331" s="9">
        <v>39.5</v>
      </c>
      <c r="L331" s="9">
        <v>0</v>
      </c>
      <c r="M331" s="9">
        <v>0.5</v>
      </c>
      <c r="N331" s="9">
        <v>1.2</v>
      </c>
      <c r="O331" s="9">
        <v>0.5</v>
      </c>
      <c r="P331" s="9">
        <v>0.8</v>
      </c>
      <c r="Q331" s="9">
        <v>0.6</v>
      </c>
      <c r="R331" s="9">
        <v>1</v>
      </c>
      <c r="S331" s="9">
        <v>0.8</v>
      </c>
      <c r="T331" s="9">
        <v>3</v>
      </c>
      <c r="U331" s="9">
        <v>0</v>
      </c>
      <c r="V331" s="9">
        <v>0</v>
      </c>
      <c r="W331" s="9">
        <v>2.7</v>
      </c>
      <c r="X331"/>
    </row>
    <row r="332" spans="1:33" hidden="1" x14ac:dyDescent="0.3">
      <c r="A332" s="9" t="s">
        <v>54</v>
      </c>
      <c r="B332" s="9" t="s">
        <v>144</v>
      </c>
      <c r="C332" s="9" t="s">
        <v>145</v>
      </c>
      <c r="D332" s="9" t="s">
        <v>22</v>
      </c>
      <c r="E332" s="9">
        <v>0</v>
      </c>
      <c r="F332" s="9">
        <v>0</v>
      </c>
      <c r="G332" s="9">
        <v>0</v>
      </c>
      <c r="H332" s="9">
        <v>1.1000000000000001</v>
      </c>
      <c r="I332" s="9">
        <v>0</v>
      </c>
      <c r="J332" s="9">
        <v>2</v>
      </c>
      <c r="K332" s="9">
        <v>0</v>
      </c>
      <c r="L332" s="9">
        <v>44.2</v>
      </c>
      <c r="M332" s="9">
        <v>0.182</v>
      </c>
      <c r="N332" s="9">
        <v>1.2</v>
      </c>
      <c r="O332" s="9">
        <v>0.5</v>
      </c>
      <c r="P332" s="9">
        <v>0.8</v>
      </c>
      <c r="Q332" s="9">
        <v>0.6</v>
      </c>
      <c r="R332" s="9">
        <v>1</v>
      </c>
      <c r="S332" s="9">
        <v>0.8</v>
      </c>
      <c r="T332" s="9">
        <v>3</v>
      </c>
      <c r="U332" s="9">
        <v>0</v>
      </c>
      <c r="V332" s="9">
        <v>0</v>
      </c>
      <c r="W332" s="9">
        <v>2.65</v>
      </c>
      <c r="X332">
        <f xml:space="preserve"> Z332 + AA332 + (AB332*G332) + (AC332*H332) + (AD332*I332) + (AE332*J332) + (AF332*(K332/100)) + (AG332*(L332/100))+ (AH332*(M332))</f>
        <v>2.1036000000000001</v>
      </c>
      <c r="Y332" s="1">
        <f>X332-W332</f>
        <v>-0.54639999999999977</v>
      </c>
      <c r="Z332">
        <f>U332</f>
        <v>0</v>
      </c>
      <c r="AA332">
        <f>V332</f>
        <v>0</v>
      </c>
      <c r="AB332">
        <f>N332</f>
        <v>1.2</v>
      </c>
      <c r="AC332">
        <f>O332</f>
        <v>0.5</v>
      </c>
      <c r="AD332">
        <f>P332</f>
        <v>0.8</v>
      </c>
      <c r="AE332">
        <f>Q332</f>
        <v>0.6</v>
      </c>
      <c r="AF332">
        <f>R332</f>
        <v>1</v>
      </c>
      <c r="AG332">
        <f>S332</f>
        <v>0.8</v>
      </c>
    </row>
    <row r="333" spans="1:33" hidden="1" x14ac:dyDescent="0.3">
      <c r="A333" s="9" t="s">
        <v>533</v>
      </c>
      <c r="B333" s="9" t="s">
        <v>653</v>
      </c>
      <c r="C333" s="9" t="s">
        <v>654</v>
      </c>
      <c r="D333" s="9" t="s">
        <v>22</v>
      </c>
      <c r="E333" s="9">
        <v>0</v>
      </c>
      <c r="F333" s="9">
        <v>0</v>
      </c>
      <c r="G333" s="9">
        <v>0</v>
      </c>
      <c r="H333" s="9">
        <v>0.69</v>
      </c>
      <c r="I333" s="9">
        <v>1</v>
      </c>
      <c r="J333" s="9">
        <v>0</v>
      </c>
      <c r="K333" s="9">
        <v>37.299999999999997</v>
      </c>
      <c r="L333" s="9">
        <v>0</v>
      </c>
      <c r="M333" s="9">
        <v>0.25</v>
      </c>
      <c r="N333" s="9">
        <v>1.2</v>
      </c>
      <c r="O333" s="9">
        <v>0.5</v>
      </c>
      <c r="P333" s="9">
        <v>0.8</v>
      </c>
      <c r="Q333" s="9">
        <v>0.6</v>
      </c>
      <c r="R333" s="9">
        <v>1</v>
      </c>
      <c r="S333" s="9">
        <v>0.8</v>
      </c>
      <c r="T333" s="9">
        <v>3</v>
      </c>
      <c r="U333" s="9">
        <v>0</v>
      </c>
      <c r="V333" s="9">
        <v>0</v>
      </c>
      <c r="W333" s="9">
        <v>2.27</v>
      </c>
      <c r="X333"/>
    </row>
    <row r="334" spans="1:33" hidden="1" x14ac:dyDescent="0.3"/>
    <row r="335" spans="1:33" hidden="1" x14ac:dyDescent="0.3"/>
    <row r="336" spans="1:33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</sheetData>
  <autoFilter ref="A1:AG333" xr:uid="{2C383649-E734-4ECC-8DDB-F6811672A31A}">
    <filterColumn colId="0">
      <filters>
        <filter val="definition"/>
      </filters>
    </filterColumn>
    <sortState xmlns:xlrd2="http://schemas.microsoft.com/office/spreadsheetml/2017/richdata2" ref="A2:AG333">
      <sortCondition descending="1" ref="W1:W3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debug_scores_mode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2025-11-09T07:24:14Z</dcterms:created>
  <dcterms:modified xsi:type="dcterms:W3CDTF">2025-11-10T06:09:39Z</dcterms:modified>
</cp:coreProperties>
</file>