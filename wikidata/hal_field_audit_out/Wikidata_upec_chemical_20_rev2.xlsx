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1_{A0DCA4B8-A2E5-4E53-ABDE-841AFB2973D3}" xr6:coauthVersionLast="47" xr6:coauthVersionMax="47" xr10:uidLastSave="{00000000-0000-0000-0000-000000000000}"/>
  <bookViews>
    <workbookView xWindow="-108" yWindow="-108" windowWidth="23256" windowHeight="12456" xr2:uid="{B94CFD69-61F1-4950-B09D-9EE9202C93BD}"/>
  </bookViews>
  <sheets>
    <sheet name="Wikidata_upec_chemical_20" sheetId="1" r:id="rId1"/>
  </sheets>
  <externalReferences>
    <externalReference r:id="rId2"/>
    <externalReference r:id="rId3"/>
  </externalReferences>
  <definedNames>
    <definedName name="_xlnm._FilterDatabase" localSheetId="0" hidden="1">Wikidata_upec_chemical_20!$A$1:$V$104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10" i="1"/>
  <c r="Y3" i="1"/>
  <c r="Y4" i="1"/>
  <c r="Y5" i="1"/>
  <c r="Y6" i="1"/>
  <c r="Y7" i="1"/>
  <c r="Y8" i="1"/>
  <c r="Y9" i="1"/>
  <c r="Y11" i="1"/>
  <c r="Y12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2" i="1"/>
  <c r="O3" i="1"/>
  <c r="P3" i="1"/>
  <c r="Q3" i="1"/>
  <c r="R3" i="1"/>
  <c r="U3" i="1" s="1"/>
  <c r="O4" i="1"/>
  <c r="P4" i="1"/>
  <c r="Q4" i="1"/>
  <c r="R4" i="1"/>
  <c r="U4" i="1" s="1"/>
  <c r="O5" i="1"/>
  <c r="P5" i="1"/>
  <c r="Q5" i="1"/>
  <c r="R5" i="1"/>
  <c r="U5" i="1" s="1"/>
  <c r="O6" i="1"/>
  <c r="P6" i="1"/>
  <c r="Q6" i="1"/>
  <c r="R6" i="1"/>
  <c r="U6" i="1" s="1"/>
  <c r="O7" i="1"/>
  <c r="P7" i="1"/>
  <c r="Q7" i="1"/>
  <c r="R7" i="1"/>
  <c r="O8" i="1"/>
  <c r="P8" i="1"/>
  <c r="Q8" i="1"/>
  <c r="R8" i="1"/>
  <c r="U8" i="1" s="1"/>
  <c r="O9" i="1"/>
  <c r="P9" i="1"/>
  <c r="Q9" i="1"/>
  <c r="R9" i="1"/>
  <c r="U9" i="1" s="1"/>
  <c r="O10" i="1"/>
  <c r="P10" i="1"/>
  <c r="Q10" i="1"/>
  <c r="R10" i="1"/>
  <c r="O11" i="1"/>
  <c r="P11" i="1"/>
  <c r="Q11" i="1"/>
  <c r="R11" i="1"/>
  <c r="U11" i="1" s="1"/>
  <c r="O12" i="1"/>
  <c r="P12" i="1"/>
  <c r="Q12" i="1"/>
  <c r="R12" i="1"/>
  <c r="U12" i="1" s="1"/>
  <c r="O13" i="1"/>
  <c r="P13" i="1"/>
  <c r="Q13" i="1"/>
  <c r="R13" i="1"/>
  <c r="O14" i="1"/>
  <c r="P14" i="1"/>
  <c r="Q14" i="1"/>
  <c r="R14" i="1"/>
  <c r="U14" i="1" s="1"/>
  <c r="O15" i="1"/>
  <c r="P15" i="1"/>
  <c r="Q15" i="1"/>
  <c r="R15" i="1"/>
  <c r="U15" i="1" s="1"/>
  <c r="O16" i="1"/>
  <c r="P16" i="1"/>
  <c r="Q16" i="1"/>
  <c r="R16" i="1"/>
  <c r="U16" i="1" s="1"/>
  <c r="O17" i="1"/>
  <c r="P17" i="1"/>
  <c r="Q17" i="1"/>
  <c r="R17" i="1"/>
  <c r="U17" i="1" s="1"/>
  <c r="O18" i="1"/>
  <c r="P18" i="1"/>
  <c r="Q18" i="1"/>
  <c r="R18" i="1"/>
  <c r="U18" i="1" s="1"/>
  <c r="O19" i="1"/>
  <c r="P19" i="1"/>
  <c r="Q19" i="1"/>
  <c r="R19" i="1"/>
  <c r="U19" i="1" s="1"/>
  <c r="O20" i="1"/>
  <c r="P20" i="1"/>
  <c r="Q20" i="1"/>
  <c r="R20" i="1"/>
  <c r="U20" i="1" s="1"/>
  <c r="O21" i="1"/>
  <c r="P21" i="1"/>
  <c r="Q21" i="1"/>
  <c r="R21" i="1"/>
  <c r="U21" i="1" s="1"/>
  <c r="O22" i="1"/>
  <c r="P22" i="1"/>
  <c r="Q22" i="1"/>
  <c r="R22" i="1"/>
  <c r="U22" i="1" s="1"/>
  <c r="O23" i="1"/>
  <c r="P23" i="1"/>
  <c r="Q23" i="1"/>
  <c r="R23" i="1"/>
  <c r="U23" i="1" s="1"/>
  <c r="O24" i="1"/>
  <c r="P24" i="1"/>
  <c r="Q24" i="1"/>
  <c r="R24" i="1"/>
  <c r="U24" i="1" s="1"/>
  <c r="O25" i="1"/>
  <c r="P25" i="1"/>
  <c r="Q25" i="1"/>
  <c r="R25" i="1"/>
  <c r="U25" i="1" s="1"/>
  <c r="O26" i="1"/>
  <c r="P26" i="1"/>
  <c r="Q26" i="1"/>
  <c r="R26" i="1"/>
  <c r="U26" i="1" s="1"/>
  <c r="O27" i="1"/>
  <c r="P27" i="1"/>
  <c r="Q27" i="1"/>
  <c r="R27" i="1"/>
  <c r="U27" i="1" s="1"/>
  <c r="O28" i="1"/>
  <c r="P28" i="1"/>
  <c r="Q28" i="1"/>
  <c r="R28" i="1"/>
  <c r="U28" i="1" s="1"/>
  <c r="O29" i="1"/>
  <c r="P29" i="1"/>
  <c r="Q29" i="1"/>
  <c r="R29" i="1"/>
  <c r="U29" i="1" s="1"/>
  <c r="O30" i="1"/>
  <c r="P30" i="1"/>
  <c r="Q30" i="1"/>
  <c r="R30" i="1"/>
  <c r="U30" i="1" s="1"/>
  <c r="O31" i="1"/>
  <c r="P31" i="1"/>
  <c r="Q31" i="1"/>
  <c r="R31" i="1"/>
  <c r="U31" i="1" s="1"/>
  <c r="O32" i="1"/>
  <c r="P32" i="1"/>
  <c r="Q32" i="1"/>
  <c r="R32" i="1"/>
  <c r="U32" i="1" s="1"/>
  <c r="O33" i="1"/>
  <c r="P33" i="1"/>
  <c r="Q33" i="1"/>
  <c r="R33" i="1"/>
  <c r="U33" i="1" s="1"/>
  <c r="O34" i="1"/>
  <c r="P34" i="1"/>
  <c r="Q34" i="1"/>
  <c r="R34" i="1"/>
  <c r="U34" i="1" s="1"/>
  <c r="O35" i="1"/>
  <c r="P35" i="1"/>
  <c r="Q35" i="1"/>
  <c r="R35" i="1"/>
  <c r="U35" i="1" s="1"/>
  <c r="O36" i="1"/>
  <c r="P36" i="1"/>
  <c r="Q36" i="1"/>
  <c r="R36" i="1"/>
  <c r="U36" i="1" s="1"/>
  <c r="O37" i="1"/>
  <c r="P37" i="1"/>
  <c r="Q37" i="1"/>
  <c r="R37" i="1"/>
  <c r="U37" i="1" s="1"/>
  <c r="O38" i="1"/>
  <c r="P38" i="1"/>
  <c r="Q38" i="1"/>
  <c r="R38" i="1"/>
  <c r="U38" i="1" s="1"/>
  <c r="O39" i="1"/>
  <c r="P39" i="1"/>
  <c r="Q39" i="1"/>
  <c r="R39" i="1"/>
  <c r="U39" i="1" s="1"/>
  <c r="O40" i="1"/>
  <c r="P40" i="1"/>
  <c r="Q40" i="1"/>
  <c r="R40" i="1"/>
  <c r="U40" i="1" s="1"/>
  <c r="O41" i="1"/>
  <c r="P41" i="1"/>
  <c r="Q41" i="1"/>
  <c r="R41" i="1"/>
  <c r="U41" i="1" s="1"/>
  <c r="O42" i="1"/>
  <c r="P42" i="1"/>
  <c r="Q42" i="1"/>
  <c r="R42" i="1"/>
  <c r="U42" i="1" s="1"/>
  <c r="O43" i="1"/>
  <c r="P43" i="1"/>
  <c r="Q43" i="1"/>
  <c r="R43" i="1"/>
  <c r="U43" i="1" s="1"/>
  <c r="O44" i="1"/>
  <c r="P44" i="1"/>
  <c r="Q44" i="1"/>
  <c r="R44" i="1"/>
  <c r="U44" i="1" s="1"/>
  <c r="O45" i="1"/>
  <c r="P45" i="1"/>
  <c r="Q45" i="1"/>
  <c r="R45" i="1"/>
  <c r="U45" i="1" s="1"/>
  <c r="O46" i="1"/>
  <c r="P46" i="1"/>
  <c r="Q46" i="1"/>
  <c r="R46" i="1"/>
  <c r="U46" i="1" s="1"/>
  <c r="O47" i="1"/>
  <c r="P47" i="1"/>
  <c r="Q47" i="1"/>
  <c r="R47" i="1"/>
  <c r="U47" i="1" s="1"/>
  <c r="O48" i="1"/>
  <c r="P48" i="1"/>
  <c r="Q48" i="1"/>
  <c r="R48" i="1"/>
  <c r="U48" i="1" s="1"/>
  <c r="O49" i="1"/>
  <c r="P49" i="1"/>
  <c r="Q49" i="1"/>
  <c r="R49" i="1"/>
  <c r="U49" i="1" s="1"/>
  <c r="O50" i="1"/>
  <c r="P50" i="1"/>
  <c r="Q50" i="1"/>
  <c r="R50" i="1"/>
  <c r="U50" i="1" s="1"/>
  <c r="O51" i="1"/>
  <c r="P51" i="1"/>
  <c r="Q51" i="1"/>
  <c r="R51" i="1"/>
  <c r="U51" i="1" s="1"/>
  <c r="O52" i="1"/>
  <c r="P52" i="1"/>
  <c r="Q52" i="1"/>
  <c r="R52" i="1"/>
  <c r="U52" i="1" s="1"/>
  <c r="O53" i="1"/>
  <c r="P53" i="1"/>
  <c r="Q53" i="1"/>
  <c r="R53" i="1"/>
  <c r="U53" i="1" s="1"/>
  <c r="O54" i="1"/>
  <c r="P54" i="1"/>
  <c r="Q54" i="1"/>
  <c r="R54" i="1"/>
  <c r="U54" i="1" s="1"/>
  <c r="O55" i="1"/>
  <c r="P55" i="1"/>
  <c r="Q55" i="1"/>
  <c r="R55" i="1"/>
  <c r="U55" i="1" s="1"/>
  <c r="O56" i="1"/>
  <c r="P56" i="1"/>
  <c r="Q56" i="1"/>
  <c r="R56" i="1"/>
  <c r="U56" i="1" s="1"/>
  <c r="O57" i="1"/>
  <c r="P57" i="1"/>
  <c r="Q57" i="1"/>
  <c r="R57" i="1"/>
  <c r="U57" i="1" s="1"/>
  <c r="O58" i="1"/>
  <c r="P58" i="1"/>
  <c r="Q58" i="1"/>
  <c r="R58" i="1"/>
  <c r="U58" i="1" s="1"/>
  <c r="O59" i="1"/>
  <c r="P59" i="1"/>
  <c r="Q59" i="1"/>
  <c r="R59" i="1"/>
  <c r="U59" i="1" s="1"/>
  <c r="O60" i="1"/>
  <c r="P60" i="1"/>
  <c r="Q60" i="1"/>
  <c r="R60" i="1"/>
  <c r="U60" i="1" s="1"/>
  <c r="O61" i="1"/>
  <c r="P61" i="1"/>
  <c r="Q61" i="1"/>
  <c r="R61" i="1"/>
  <c r="U61" i="1" s="1"/>
  <c r="O62" i="1"/>
  <c r="P62" i="1"/>
  <c r="Q62" i="1"/>
  <c r="R62" i="1"/>
  <c r="U62" i="1" s="1"/>
  <c r="O63" i="1"/>
  <c r="P63" i="1"/>
  <c r="Q63" i="1"/>
  <c r="R63" i="1"/>
  <c r="U63" i="1" s="1"/>
  <c r="O64" i="1"/>
  <c r="P64" i="1"/>
  <c r="Q64" i="1"/>
  <c r="R64" i="1"/>
  <c r="U64" i="1" s="1"/>
  <c r="O65" i="1"/>
  <c r="P65" i="1"/>
  <c r="Q65" i="1"/>
  <c r="R65" i="1"/>
  <c r="U65" i="1" s="1"/>
  <c r="O66" i="1"/>
  <c r="P66" i="1"/>
  <c r="Q66" i="1"/>
  <c r="R66" i="1"/>
  <c r="U66" i="1" s="1"/>
  <c r="O67" i="1"/>
  <c r="P67" i="1"/>
  <c r="Q67" i="1"/>
  <c r="R67" i="1"/>
  <c r="U67" i="1" s="1"/>
  <c r="O68" i="1"/>
  <c r="P68" i="1"/>
  <c r="Q68" i="1"/>
  <c r="R68" i="1"/>
  <c r="U68" i="1" s="1"/>
  <c r="O69" i="1"/>
  <c r="P69" i="1"/>
  <c r="Q69" i="1"/>
  <c r="R69" i="1"/>
  <c r="U69" i="1" s="1"/>
  <c r="O70" i="1"/>
  <c r="P70" i="1"/>
  <c r="Q70" i="1"/>
  <c r="R70" i="1"/>
  <c r="U70" i="1" s="1"/>
  <c r="O71" i="1"/>
  <c r="P71" i="1"/>
  <c r="Q71" i="1"/>
  <c r="R71" i="1"/>
  <c r="U71" i="1" s="1"/>
  <c r="O72" i="1"/>
  <c r="P72" i="1"/>
  <c r="Q72" i="1"/>
  <c r="R72" i="1"/>
  <c r="U72" i="1" s="1"/>
  <c r="O73" i="1"/>
  <c r="P73" i="1"/>
  <c r="Q73" i="1"/>
  <c r="R73" i="1"/>
  <c r="U73" i="1" s="1"/>
  <c r="O74" i="1"/>
  <c r="P74" i="1"/>
  <c r="Q74" i="1"/>
  <c r="R74" i="1"/>
  <c r="U74" i="1" s="1"/>
  <c r="O75" i="1"/>
  <c r="P75" i="1"/>
  <c r="Q75" i="1"/>
  <c r="R75" i="1"/>
  <c r="U75" i="1" s="1"/>
  <c r="O76" i="1"/>
  <c r="P76" i="1"/>
  <c r="Q76" i="1"/>
  <c r="R76" i="1"/>
  <c r="U76" i="1" s="1"/>
  <c r="O77" i="1"/>
  <c r="P77" i="1"/>
  <c r="Q77" i="1"/>
  <c r="R77" i="1"/>
  <c r="U77" i="1" s="1"/>
  <c r="O78" i="1"/>
  <c r="P78" i="1"/>
  <c r="Q78" i="1"/>
  <c r="R78" i="1"/>
  <c r="U78" i="1" s="1"/>
  <c r="O79" i="1"/>
  <c r="P79" i="1"/>
  <c r="Q79" i="1"/>
  <c r="R79" i="1"/>
  <c r="U79" i="1" s="1"/>
  <c r="O80" i="1"/>
  <c r="P80" i="1"/>
  <c r="Q80" i="1"/>
  <c r="R80" i="1"/>
  <c r="U80" i="1" s="1"/>
  <c r="O81" i="1"/>
  <c r="P81" i="1"/>
  <c r="Q81" i="1"/>
  <c r="R81" i="1"/>
  <c r="U81" i="1" s="1"/>
  <c r="O82" i="1"/>
  <c r="P82" i="1"/>
  <c r="Q82" i="1"/>
  <c r="R82" i="1"/>
  <c r="U82" i="1" s="1"/>
  <c r="O83" i="1"/>
  <c r="P83" i="1"/>
  <c r="Q83" i="1"/>
  <c r="R83" i="1"/>
  <c r="U83" i="1" s="1"/>
  <c r="O84" i="1"/>
  <c r="P84" i="1"/>
  <c r="Q84" i="1"/>
  <c r="R84" i="1"/>
  <c r="U84" i="1" s="1"/>
  <c r="O85" i="1"/>
  <c r="P85" i="1"/>
  <c r="Q85" i="1"/>
  <c r="R85" i="1"/>
  <c r="U85" i="1" s="1"/>
  <c r="O86" i="1"/>
  <c r="P86" i="1"/>
  <c r="Q86" i="1"/>
  <c r="R86" i="1"/>
  <c r="U86" i="1" s="1"/>
  <c r="O87" i="1"/>
  <c r="P87" i="1"/>
  <c r="Q87" i="1"/>
  <c r="R87" i="1"/>
  <c r="U87" i="1" s="1"/>
  <c r="O88" i="1"/>
  <c r="P88" i="1"/>
  <c r="Q88" i="1"/>
  <c r="R88" i="1"/>
  <c r="U88" i="1" s="1"/>
  <c r="O89" i="1"/>
  <c r="P89" i="1"/>
  <c r="Q89" i="1"/>
  <c r="R89" i="1"/>
  <c r="U89" i="1" s="1"/>
  <c r="O90" i="1"/>
  <c r="P90" i="1"/>
  <c r="Q90" i="1"/>
  <c r="R90" i="1"/>
  <c r="U90" i="1" s="1"/>
  <c r="O91" i="1"/>
  <c r="P91" i="1"/>
  <c r="Q91" i="1"/>
  <c r="R91" i="1"/>
  <c r="U91" i="1" s="1"/>
  <c r="O92" i="1"/>
  <c r="P92" i="1"/>
  <c r="Q92" i="1"/>
  <c r="R92" i="1"/>
  <c r="U92" i="1" s="1"/>
  <c r="O93" i="1"/>
  <c r="P93" i="1"/>
  <c r="Q93" i="1"/>
  <c r="R93" i="1"/>
  <c r="U93" i="1" s="1"/>
  <c r="O94" i="1"/>
  <c r="P94" i="1"/>
  <c r="Q94" i="1"/>
  <c r="R94" i="1"/>
  <c r="U94" i="1" s="1"/>
  <c r="O95" i="1"/>
  <c r="P95" i="1"/>
  <c r="Q95" i="1"/>
  <c r="R95" i="1"/>
  <c r="U95" i="1" s="1"/>
  <c r="O96" i="1"/>
  <c r="P96" i="1"/>
  <c r="Q96" i="1"/>
  <c r="R96" i="1"/>
  <c r="U96" i="1" s="1"/>
  <c r="O97" i="1"/>
  <c r="P97" i="1"/>
  <c r="Q97" i="1"/>
  <c r="R97" i="1"/>
  <c r="U97" i="1" s="1"/>
  <c r="O98" i="1"/>
  <c r="P98" i="1"/>
  <c r="Q98" i="1"/>
  <c r="R98" i="1"/>
  <c r="U98" i="1" s="1"/>
  <c r="O99" i="1"/>
  <c r="P99" i="1"/>
  <c r="Q99" i="1"/>
  <c r="R99" i="1"/>
  <c r="U99" i="1" s="1"/>
  <c r="O100" i="1"/>
  <c r="P100" i="1"/>
  <c r="Q100" i="1"/>
  <c r="R100" i="1"/>
  <c r="U100" i="1" s="1"/>
  <c r="O101" i="1"/>
  <c r="P101" i="1"/>
  <c r="Q101" i="1"/>
  <c r="R101" i="1"/>
  <c r="U101" i="1" s="1"/>
  <c r="O102" i="1"/>
  <c r="P102" i="1"/>
  <c r="Q102" i="1"/>
  <c r="R102" i="1"/>
  <c r="U102" i="1" s="1"/>
  <c r="O103" i="1"/>
  <c r="P103" i="1"/>
  <c r="Q103" i="1"/>
  <c r="R103" i="1"/>
  <c r="U103" i="1" s="1"/>
  <c r="O104" i="1"/>
  <c r="P104" i="1"/>
  <c r="Q104" i="1"/>
  <c r="R104" i="1"/>
  <c r="U104" i="1" s="1"/>
  <c r="R2" i="1"/>
  <c r="U2" i="1" s="1"/>
  <c r="Q2" i="1"/>
  <c r="P2" i="1"/>
  <c r="O2" i="1"/>
  <c r="V10" i="1" l="1"/>
  <c r="P106" i="1"/>
  <c r="V70" i="1"/>
  <c r="V58" i="1"/>
  <c r="V22" i="1"/>
  <c r="U106" i="1"/>
  <c r="R106" i="1"/>
  <c r="V103" i="1"/>
  <c r="V104" i="1"/>
  <c r="V62" i="1"/>
  <c r="V67" i="1"/>
  <c r="V7" i="1"/>
  <c r="V79" i="1"/>
  <c r="V86" i="1"/>
  <c r="V74" i="1"/>
  <c r="V50" i="1"/>
  <c r="V73" i="1"/>
  <c r="V37" i="1"/>
  <c r="V97" i="1"/>
  <c r="V96" i="1"/>
  <c r="V43" i="1"/>
  <c r="V31" i="1"/>
  <c r="V102" i="1"/>
  <c r="V90" i="1"/>
  <c r="V66" i="1"/>
  <c r="V54" i="1"/>
  <c r="V30" i="1"/>
  <c r="V76" i="1"/>
  <c r="V88" i="1"/>
  <c r="V25" i="1"/>
  <c r="V38" i="1"/>
  <c r="V24" i="1"/>
  <c r="V52" i="1"/>
  <c r="V60" i="1"/>
  <c r="V78" i="1"/>
  <c r="V80" i="1"/>
  <c r="V68" i="1"/>
  <c r="V44" i="1"/>
  <c r="V14" i="1"/>
  <c r="V8" i="1"/>
  <c r="V28" i="1"/>
  <c r="V13" i="1"/>
  <c r="V82" i="1"/>
  <c r="V46" i="1"/>
  <c r="V16" i="1"/>
  <c r="V36" i="1"/>
  <c r="V45" i="1"/>
  <c r="V100" i="1"/>
  <c r="V32" i="1"/>
  <c r="V2" i="1"/>
  <c r="V56" i="1"/>
  <c r="V98" i="1"/>
  <c r="V55" i="1"/>
  <c r="V12" i="1"/>
  <c r="V94" i="1"/>
  <c r="V61" i="1"/>
  <c r="V34" i="1"/>
  <c r="V64" i="1"/>
  <c r="V53" i="1"/>
  <c r="V42" i="1"/>
  <c r="V89" i="1"/>
  <c r="V85" i="1"/>
  <c r="V20" i="1"/>
  <c r="V9" i="1"/>
  <c r="V84" i="1"/>
  <c r="V40" i="1"/>
  <c r="V19" i="1"/>
  <c r="V72" i="1"/>
  <c r="V17" i="1"/>
  <c r="V92" i="1"/>
  <c r="V81" i="1"/>
  <c r="V49" i="1"/>
  <c r="V18" i="1"/>
  <c r="V6" i="1"/>
  <c r="V91" i="1"/>
  <c r="V48" i="1"/>
  <c r="V26" i="1"/>
  <c r="V4" i="1"/>
  <c r="V95" i="1"/>
  <c r="V59" i="1"/>
  <c r="V23" i="1"/>
  <c r="V87" i="1"/>
  <c r="V51" i="1"/>
  <c r="V15" i="1"/>
  <c r="V101" i="1"/>
  <c r="V65" i="1"/>
  <c r="V29" i="1"/>
  <c r="V93" i="1"/>
  <c r="V57" i="1"/>
  <c r="V21" i="1"/>
  <c r="V71" i="1"/>
  <c r="V35" i="1"/>
  <c r="V99" i="1"/>
  <c r="V63" i="1"/>
  <c r="V27" i="1"/>
  <c r="V77" i="1"/>
  <c r="V41" i="1"/>
  <c r="V5" i="1"/>
  <c r="V69" i="1"/>
  <c r="V33" i="1"/>
  <c r="V83" i="1"/>
  <c r="V47" i="1"/>
  <c r="V11" i="1"/>
  <c r="V75" i="1"/>
  <c r="V39" i="1"/>
  <c r="V3" i="1"/>
</calcChain>
</file>

<file path=xl/sharedStrings.xml><?xml version="1.0" encoding="utf-8"?>
<sst xmlns="http://schemas.openxmlformats.org/spreadsheetml/2006/main" count="863" uniqueCount="322">
  <si>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</si>
  <si>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</si>
  <si>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</si>
  <si>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</si>
  <si>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</si>
  <si>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</si>
  <si>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</si>
  <si>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</si>
  <si>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</si>
  <si>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</si>
  <si>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</si>
  <si>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</si>
  <si>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</si>
  <si>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</si>
  <si>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</si>
  <si>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</si>
  <si>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</si>
  <si>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</si>
  <si>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</si>
  <si>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</si>
  <si>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</si>
  <si>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context</t>
  </si>
  <si>
    <t>Rectangular channel</t>
  </si>
  <si>
    <t>Harmonic inlet excitation</t>
  </si>
  <si>
    <t>CVD</t>
  </si>
  <si>
    <t>3D numerical simulations</t>
  </si>
  <si>
    <t>Design of experiments</t>
  </si>
  <si>
    <t>design of experiments</t>
  </si>
  <si>
    <t>Q2334061</t>
  </si>
  <si>
    <t>11939604p</t>
  </si>
  <si>
    <t>Q1047113;Q1799072</t>
  </si>
  <si>
    <t>Identification of a new pseudo-binary hydroxide during calendar corrosion of (La, Mg)2Ni7-type hydrogen storage alloys for Nickel-Metal Hydride batteries</t>
  </si>
  <si>
    <t>Corrosion</t>
  </si>
  <si>
    <t>corrosion</t>
  </si>
  <si>
    <t>Q137056</t>
  </si>
  <si>
    <t>11975888z</t>
  </si>
  <si>
    <t>Q3382117</t>
  </si>
  <si>
    <t>chemical phenomenon</t>
  </si>
  <si>
    <t>Ni-MH batteries</t>
  </si>
  <si>
    <t>Raman micro spectroscopy</t>
  </si>
  <si>
    <t>TEM</t>
  </si>
  <si>
    <t>Combination of techniques</t>
  </si>
  <si>
    <t>Ï€-Conjugated sulfonium-based photoacid generators: an integrated molecular approach for efficient one and two-photon polymerization</t>
  </si>
  <si>
    <t>Nsfc</t>
  </si>
  <si>
    <t>National natural science foundation of china</t>
  </si>
  <si>
    <t>National Natural Science Foundation of China</t>
  </si>
  <si>
    <t>Q4501917</t>
  </si>
  <si>
    <t>Q327333;Q45400320;Q5509032;Q98675100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</si>
  <si>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</si>
  <si>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</si>
  <si>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</si>
  <si>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</si>
  <si>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</si>
  <si>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</si>
  <si>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</si>
  <si>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Q47154513</t>
  </si>
  <si>
    <t>structural class of chemical entities</t>
  </si>
  <si>
    <t>In situ analysis of Titan's tholins by Laser 2 steps Desorption Ionisation</t>
  </si>
  <si>
    <t>5210 PLANETARY SCIENCES ASTROBIOLOGY Planetary atmospheres</t>
  </si>
  <si>
    <t>Clouds</t>
  </si>
  <si>
    <t>cloud</t>
  </si>
  <si>
    <t>Q8074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</si>
  <si>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</si>
  <si>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</si>
  <si>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</si>
  <si>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</si>
  <si>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</si>
  <si>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</si>
  <si>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</si>
  <si>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</si>
  <si>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</si>
  <si>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</si>
  <si>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</si>
  <si>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</si>
  <si>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</si>
  <si>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</si>
  <si>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Monte Carlo simulations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</si>
  <si>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</si>
  <si>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</si>
  <si>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</si>
  <si>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</si>
  <si>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</si>
  <si>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</si>
  <si>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</si>
  <si>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</si>
  <si>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</si>
  <si>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</si>
  <si>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</si>
  <si>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</si>
  <si>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Biosensors</t>
  </si>
  <si>
    <t>Electrochemical biosensors: Recommended definitions and classification (Technical Report)</t>
  </si>
  <si>
    <t>Electrochemical biosensor</t>
  </si>
  <si>
    <t>Classification</t>
  </si>
  <si>
    <t>Definition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</si>
  <si>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</si>
  <si>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</si>
  <si>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</si>
  <si>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</si>
  <si>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</si>
  <si>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</si>
  <si>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 oxidase</t>
  </si>
  <si>
    <t>Q8054</t>
  </si>
  <si>
    <t>protein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</si>
  <si>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</si>
  <si>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</si>
  <si>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</si>
  <si>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</si>
  <si>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</si>
  <si>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</si>
  <si>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</si>
  <si>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Instrumentation</t>
  </si>
  <si>
    <t>instrumentation</t>
  </si>
  <si>
    <t>Q1770203</t>
  </si>
  <si>
    <t>Waste water treatment plant</t>
  </si>
  <si>
    <t>Oxygen</t>
  </si>
  <si>
    <t>Activated sludge</t>
  </si>
  <si>
    <t>activated sludge</t>
  </si>
  <si>
    <t>Q815353</t>
  </si>
  <si>
    <t>Redox potential</t>
  </si>
  <si>
    <t>Influence of calcium on glucose biosensor response and on hydrogen peroxide detection</t>
  </si>
  <si>
    <t>Glucose sensor</t>
  </si>
  <si>
    <t>Calcium</t>
  </si>
  <si>
    <t>calcium</t>
  </si>
  <si>
    <t>Q706</t>
  </si>
  <si>
    <t>11976285h</t>
  </si>
  <si>
    <t>Q1130479;Q11344;Q35456</t>
  </si>
  <si>
    <t>chemical element;essential medicine;lithophile</t>
  </si>
  <si>
    <t>Hydrogen peroxide</t>
  </si>
  <si>
    <t>hydrogen peroxide</t>
  </si>
  <si>
    <t>Q171877</t>
  </si>
  <si>
    <t>Q113145171</t>
  </si>
  <si>
    <t>type of chemical entity</t>
  </si>
  <si>
    <t>Koutecky-Levich plots</t>
  </si>
  <si>
    <t>Platinum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</si>
  <si>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</si>
  <si>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</si>
  <si>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</si>
  <si>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</si>
  <si>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</si>
  <si>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</si>
  <si>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</si>
  <si>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</si>
  <si>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</si>
  <si>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</si>
  <si>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</si>
  <si>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</si>
  <si>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</si>
  <si>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</si>
  <si>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</si>
  <si>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</si>
  <si>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</si>
  <si>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</si>
  <si>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</si>
  <si>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</si>
  <si>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Budget</t>
  </si>
  <si>
    <t>Seine</t>
  </si>
  <si>
    <t>River</t>
  </si>
  <si>
    <t>Ni</t>
  </si>
  <si>
    <t>Trace metal determination in total atmospheric deposition in rural and urban areas</t>
  </si>
  <si>
    <t>Anthropogenic impacts</t>
  </si>
  <si>
    <t>Sampling procedures</t>
  </si>
  <si>
    <t>Atmospheric fallout</t>
  </si>
  <si>
    <t>Trace elements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</si>
  <si>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</si>
  <si>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</si>
  <si>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</si>
  <si>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</si>
  <si>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</si>
  <si>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</si>
  <si>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</si>
  <si>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</si>
  <si>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</si>
  <si>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</si>
  <si>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</si>
  <si>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</si>
  <si>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</si>
  <si>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</si>
  <si>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</si>
  <si>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POLYMER</t>
  </si>
  <si>
    <t>polymer</t>
  </si>
  <si>
    <t>Q81163</t>
  </si>
  <si>
    <t>Q17339814</t>
  </si>
  <si>
    <t>group or class of chemical substances</t>
  </si>
  <si>
    <t>COMPOSITES</t>
  </si>
  <si>
    <t>BLENDS</t>
  </si>
  <si>
    <t>NANOPARTICLES</t>
  </si>
  <si>
    <t>nanoparticle</t>
  </si>
  <si>
    <t>Q61231</t>
  </si>
  <si>
    <t>12293062x</t>
  </si>
  <si>
    <t>CRYSTALLIZATION</t>
  </si>
  <si>
    <t>crystallization</t>
  </si>
  <si>
    <t>Q284256</t>
  </si>
  <si>
    <t>v0</t>
  </si>
  <si>
    <t>v1</t>
  </si>
  <si>
    <t>Mod vs 0</t>
  </si>
  <si>
    <t>v2</t>
  </si>
  <si>
    <t>Mod vs 1</t>
  </si>
  <si>
    <t>Check</t>
  </si>
  <si>
    <t>ok</t>
  </si>
  <si>
    <t>National Society of Film Critics</t>
  </si>
  <si>
    <t>Q1206671</t>
  </si>
  <si>
    <t>electrospray ionization</t>
  </si>
  <si>
    <t>Q902061</t>
  </si>
  <si>
    <t>Monte Carlo method</t>
  </si>
  <si>
    <t>Q232207</t>
  </si>
  <si>
    <t>Q583461</t>
  </si>
  <si>
    <t>randomized algorithm</t>
  </si>
  <si>
    <t>polyatomic anion</t>
  </si>
  <si>
    <t>Q55511438</t>
  </si>
  <si>
    <t>DNA microarray</t>
  </si>
  <si>
    <t>Q591745</t>
  </si>
  <si>
    <t>secrecy</t>
  </si>
  <si>
    <t>Q1503443</t>
  </si>
  <si>
    <t>Q100195948</t>
  </si>
  <si>
    <t>relative quality</t>
  </si>
  <si>
    <t>history of chemistry</t>
  </si>
  <si>
    <t>Q501353</t>
  </si>
  <si>
    <t>Q17524420</t>
  </si>
  <si>
    <t>aspect of history</t>
  </si>
  <si>
    <t>wastewater treatment plant</t>
  </si>
  <si>
    <t>Q15242449</t>
  </si>
  <si>
    <t>reduction potential</t>
  </si>
  <si>
    <t>Q186487</t>
  </si>
  <si>
    <t>SNF3</t>
  </si>
  <si>
    <t>Q7547717</t>
  </si>
  <si>
    <t>Q7187</t>
  </si>
  <si>
    <t>gene</t>
  </si>
  <si>
    <t>Q3624078;Q6256</t>
  </si>
  <si>
    <t>sovereign state;country</t>
  </si>
  <si>
    <t>copper</t>
  </si>
  <si>
    <t>Q753</t>
  </si>
  <si>
    <t>Q11344;Q1929547;Q2512777</t>
  </si>
  <si>
    <t>Democratic Republic of the Congo</t>
  </si>
  <si>
    <t>Q974</t>
  </si>
  <si>
    <t>13339496v</t>
  </si>
  <si>
    <t>United Nations</t>
  </si>
  <si>
    <t>Q1065</t>
  </si>
  <si>
    <t>Q245065;Q484652</t>
  </si>
  <si>
    <t>international organization;intergovernmental organization</t>
  </si>
  <si>
    <t>mercury</t>
  </si>
  <si>
    <t>Q925</t>
  </si>
  <si>
    <t>11948174f</t>
  </si>
  <si>
    <t>Q106192073;Q11344;Q11426;Q1929547</t>
  </si>
  <si>
    <t>lead</t>
  </si>
  <si>
    <t>Q708</t>
  </si>
  <si>
    <t>Q106192073;Q11344;Q1929547;Q2512777</t>
  </si>
  <si>
    <t>Q105789</t>
  </si>
  <si>
    <t>Non-Inscrits</t>
  </si>
  <si>
    <t>Q1440626</t>
  </si>
  <si>
    <t>Q2415493;Q779079</t>
  </si>
  <si>
    <t>microelement</t>
  </si>
  <si>
    <t>Q11781028</t>
  </si>
  <si>
    <t>spinâ€“orbit interaction</t>
  </si>
  <si>
    <t>Q1570979</t>
  </si>
  <si>
    <t>calcium oxide</t>
  </si>
  <si>
    <t>Q185006</t>
  </si>
  <si>
    <t>mechanical property</t>
  </si>
  <si>
    <t>Q5725005</t>
  </si>
  <si>
    <t>12088335h</t>
  </si>
  <si>
    <t>union</t>
  </si>
  <si>
    <t>Q17853087</t>
  </si>
  <si>
    <t>blindness</t>
  </si>
  <si>
    <t>Q10874</t>
  </si>
  <si>
    <t>11976340t</t>
  </si>
  <si>
    <t>Q112193867;Q112965645</t>
  </si>
  <si>
    <t>symptom or sign;class of disease</t>
  </si>
  <si>
    <t>exact_safety_net</t>
  </si>
  <si>
    <t>Chemical vapor deposition</t>
  </si>
  <si>
    <t>Q505668</t>
  </si>
  <si>
    <t>Tem</t>
  </si>
  <si>
    <t>Q36531</t>
  </si>
  <si>
    <t>12167223r</t>
  </si>
  <si>
    <t>Q1288568;Q34770</t>
  </si>
  <si>
    <t>chromium</t>
  </si>
  <si>
    <t>Q725</t>
  </si>
  <si>
    <t>12104829h</t>
  </si>
  <si>
    <t>Q1130479;Q11344</t>
  </si>
  <si>
    <t>chemical element;lithophile</t>
  </si>
  <si>
    <t>transmission electron microscope</t>
  </si>
  <si>
    <t>Q744818</t>
  </si>
  <si>
    <t>collage</t>
  </si>
  <si>
    <t>Q22669857</t>
  </si>
  <si>
    <t>Q1792644</t>
  </si>
  <si>
    <t>art style</t>
  </si>
  <si>
    <t>ontology concept definition</t>
  </si>
  <si>
    <t>Q106205899</t>
  </si>
  <si>
    <t>aldehydo-D-glucose</t>
  </si>
  <si>
    <t>Q21036645</t>
  </si>
  <si>
    <t>CPSG_04633-t26_1</t>
  </si>
  <si>
    <t>Q62863961</t>
  </si>
  <si>
    <t>Glucose dehydrogenase Dmel_CG1152</t>
  </si>
  <si>
    <t>Q29814692</t>
  </si>
  <si>
    <t>graphical widget</t>
  </si>
  <si>
    <t>Q605117</t>
  </si>
  <si>
    <t>dioxygen</t>
  </si>
  <si>
    <t>Q5203615</t>
  </si>
  <si>
    <t>Essentials</t>
  </si>
  <si>
    <t>Q2605789</t>
  </si>
  <si>
    <t>Q3646467</t>
  </si>
  <si>
    <t>budget range</t>
  </si>
  <si>
    <t>chemical element;chalcophile element;simple substance</t>
  </si>
  <si>
    <t>chemical element;chalcophile element;superconducting element;metal</t>
  </si>
  <si>
    <t>chemical element;chalcophile element;superconducting element;simple substance</t>
  </si>
  <si>
    <t>government budget</t>
  </si>
  <si>
    <t>Q271855</t>
  </si>
  <si>
    <t>scythe</t>
  </si>
  <si>
    <t>Q130912</t>
  </si>
  <si>
    <t>Q15142889;Q3629395</t>
  </si>
  <si>
    <t>agricultural tool;weapon family</t>
  </si>
  <si>
    <t>watercourse</t>
  </si>
  <si>
    <t>Q355304</t>
  </si>
  <si>
    <t>11952208p</t>
  </si>
  <si>
    <t>Q12046615</t>
  </si>
  <si>
    <t>feature type</t>
  </si>
  <si>
    <t>political group of the European Parliament;non-attached</t>
  </si>
  <si>
    <t>field of study;method</t>
  </si>
  <si>
    <t>Mod2b vs 2a</t>
  </si>
  <si>
    <t>Q110548120</t>
  </si>
  <si>
    <t>Q11060274;Q18218093;Q838948</t>
  </si>
  <si>
    <t>language;modern language</t>
  </si>
  <si>
    <t>funding body;open-access publisher;government agency;vice-ministerial level institution</t>
  </si>
  <si>
    <t>print;work of art;etching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</si>
</sst>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da\Documents\Langara_College\DANA-4850-001-Capstone_Project\hall-api-test-db-mysql\wikidata\hal_field_audit_out\Wikidata_upec_Checked.xlsx" TargetMode="External"/><Relationship Id="rId1" Type="http://schemas.openxmlformats.org/officeDocument/2006/relationships/externalLinkPath" Target="Wikidata_upec_Check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da\Documents\Langara_College\DANA-4850-001-Capstone_Project\hall-api-test-db-mysql\wikidata\hal_field_audit_out\Wikidata_upec_chemical_20_rev1.xlsx" TargetMode="External"/><Relationship Id="rId1" Type="http://schemas.openxmlformats.org/officeDocument/2006/relationships/externalLinkPath" Target="Wikidata_upec_chemical_20_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Wikidata_upec_chemical_20"/>
      <sheetName val="Sheet2"/>
      <sheetName val="Wikidata_upec_civil_20"/>
      <sheetName val="Wikidata_upec_civil_20_part2"/>
      <sheetName val="Sheet1"/>
      <sheetName val="Wikidata_upec_computer_20"/>
      <sheetName val="Wikidata_upec_computer_20_check"/>
      <sheetName val="Wikidata_upec_political_20"/>
      <sheetName val="Wikidata_upec_marketing_20.csv"/>
    </sheetNames>
    <sheetDataSet>
      <sheetData sheetId="0"/>
      <sheetData sheetId="1"/>
      <sheetData sheetId="2">
        <row r="1">
          <cell r="C1" t="str">
            <v>keyword</v>
          </cell>
          <cell r="D1" t="str">
            <v>wikidata_label</v>
          </cell>
          <cell r="E1" t="str">
            <v>wikidata_qid</v>
          </cell>
          <cell r="F1" t="str">
            <v>bnf_id</v>
          </cell>
          <cell r="G1" t="str">
            <v>match_stage</v>
          </cell>
          <cell r="H1" t="str">
            <v>is_disambiguation</v>
          </cell>
          <cell r="I1" t="str">
            <v>label_similarity</v>
          </cell>
          <cell r="J1" t="str">
            <v>match_score</v>
          </cell>
          <cell r="K1" t="str">
            <v>p31_types</v>
          </cell>
          <cell r="L1" t="str">
            <v>p31_label</v>
          </cell>
          <cell r="M1" t="str">
            <v>Check</v>
          </cell>
        </row>
        <row r="2">
          <cell r="C2" t="str">
            <v>Mixed convection</v>
          </cell>
          <cell r="G2" t="str">
            <v>none</v>
          </cell>
          <cell r="H2" t="str">
            <v>no</v>
          </cell>
          <cell r="I2">
            <v>0</v>
          </cell>
          <cell r="J2">
            <v>0</v>
          </cell>
          <cell r="M2" t="str">
            <v>ok</v>
          </cell>
        </row>
        <row r="3">
          <cell r="C3" t="str">
            <v>Poiseuille-Rayleigh-BÃ©nard flow</v>
          </cell>
          <cell r="G3" t="str">
            <v>none</v>
          </cell>
          <cell r="H3" t="str">
            <v>no</v>
          </cell>
          <cell r="I3">
            <v>0</v>
          </cell>
          <cell r="J3">
            <v>0</v>
          </cell>
          <cell r="M3" t="str">
            <v>ok</v>
          </cell>
        </row>
        <row r="4">
          <cell r="C4" t="str">
            <v>Convective instability</v>
          </cell>
          <cell r="D4" t="str">
            <v>Convective instability</v>
          </cell>
          <cell r="E4" t="str">
            <v>Q3268911</v>
          </cell>
          <cell r="G4" t="str">
            <v>context</v>
          </cell>
          <cell r="H4" t="str">
            <v>no</v>
          </cell>
          <cell r="I4">
            <v>100</v>
          </cell>
          <cell r="J4">
            <v>111</v>
          </cell>
          <cell r="M4" t="str">
            <v>ok</v>
          </cell>
        </row>
        <row r="5">
          <cell r="C5" t="str">
            <v>Rectangular channel</v>
          </cell>
          <cell r="G5" t="str">
            <v>none</v>
          </cell>
          <cell r="H5" t="str">
            <v>no</v>
          </cell>
          <cell r="I5">
            <v>0</v>
          </cell>
          <cell r="J5">
            <v>0</v>
          </cell>
          <cell r="M5" t="str">
            <v>ok</v>
          </cell>
        </row>
        <row r="6">
          <cell r="C6" t="str">
            <v>Harmonic inlet excitation</v>
          </cell>
          <cell r="G6" t="str">
            <v>none</v>
          </cell>
          <cell r="H6" t="str">
            <v>no</v>
          </cell>
          <cell r="I6">
            <v>0</v>
          </cell>
          <cell r="J6">
            <v>0</v>
          </cell>
          <cell r="M6" t="str">
            <v>ok</v>
          </cell>
        </row>
        <row r="7">
          <cell r="C7" t="str">
            <v>CVD</v>
          </cell>
          <cell r="G7" t="str">
            <v>none</v>
          </cell>
          <cell r="H7" t="str">
            <v>no</v>
          </cell>
          <cell r="I7">
            <v>0</v>
          </cell>
          <cell r="J7">
            <v>0</v>
          </cell>
          <cell r="M7" t="str">
            <v>ok</v>
          </cell>
        </row>
        <row r="8">
          <cell r="C8" t="str">
            <v>3D numerical simulations</v>
          </cell>
          <cell r="G8" t="str">
            <v>none</v>
          </cell>
          <cell r="H8" t="str">
            <v>no</v>
          </cell>
          <cell r="I8">
            <v>0</v>
          </cell>
          <cell r="J8">
            <v>0</v>
          </cell>
          <cell r="M8" t="str">
            <v>ok</v>
          </cell>
        </row>
        <row r="9">
          <cell r="C9" t="str">
            <v>Design of experiments</v>
          </cell>
          <cell r="D9" t="str">
            <v>Design of experiments</v>
          </cell>
          <cell r="E9" t="str">
            <v>Q18465858</v>
          </cell>
          <cell r="G9" t="str">
            <v>context</v>
          </cell>
          <cell r="H9" t="str">
            <v>no</v>
          </cell>
          <cell r="I9">
            <v>100</v>
          </cell>
          <cell r="J9">
            <v>113</v>
          </cell>
          <cell r="M9" t="str">
            <v>Wrong</v>
          </cell>
          <cell r="N9" t="str">
            <v>No descrption defined</v>
          </cell>
        </row>
        <row r="10">
          <cell r="C10" t="str">
            <v>Corrosion</v>
          </cell>
          <cell r="D10" t="str">
            <v>Corrosion</v>
          </cell>
          <cell r="E10" t="str">
            <v>Q5173028</v>
          </cell>
          <cell r="G10" t="str">
            <v>context</v>
          </cell>
          <cell r="H10" t="str">
            <v>no</v>
          </cell>
          <cell r="I10">
            <v>100</v>
          </cell>
          <cell r="J10">
            <v>112</v>
          </cell>
          <cell r="K10" t="str">
            <v>Q169930</v>
          </cell>
          <cell r="L10" t="str">
            <v>extended play</v>
          </cell>
          <cell r="M10" t="str">
            <v>Wrong</v>
          </cell>
          <cell r="N10" t="str">
            <v>extended play by Front Line Assembly</v>
          </cell>
        </row>
        <row r="11">
          <cell r="C11" t="str">
            <v>Ni-MH batteries</v>
          </cell>
          <cell r="G11" t="str">
            <v>none</v>
          </cell>
          <cell r="H11" t="str">
            <v>no</v>
          </cell>
          <cell r="I11">
            <v>0</v>
          </cell>
          <cell r="J11">
            <v>0</v>
          </cell>
          <cell r="M11" t="str">
            <v>ok</v>
          </cell>
        </row>
        <row r="12">
          <cell r="C12" t="str">
            <v>Raman micro spectroscopy</v>
          </cell>
          <cell r="G12" t="str">
            <v>none</v>
          </cell>
          <cell r="H12" t="str">
            <v>no</v>
          </cell>
          <cell r="I12">
            <v>0</v>
          </cell>
          <cell r="J12">
            <v>0</v>
          </cell>
          <cell r="M12" t="str">
            <v>ok</v>
          </cell>
        </row>
        <row r="13">
          <cell r="C13" t="str">
            <v>TEM</v>
          </cell>
          <cell r="D13" t="str">
            <v>Tem</v>
          </cell>
          <cell r="E13" t="str">
            <v>Q36531</v>
          </cell>
          <cell r="F13" t="str">
            <v>12167223r</v>
          </cell>
          <cell r="G13" t="str">
            <v>exact_label</v>
          </cell>
          <cell r="H13" t="str">
            <v>no</v>
          </cell>
          <cell r="I13">
            <v>100</v>
          </cell>
          <cell r="J13">
            <v>50</v>
          </cell>
          <cell r="K13" t="str">
            <v>Q1288568;Q34770</v>
          </cell>
          <cell r="L13" t="str">
            <v>modern language;language</v>
          </cell>
          <cell r="M13" t="str">
            <v>Wrong</v>
          </cell>
          <cell r="N13" t="str">
            <v>transmission electron microscopy</v>
          </cell>
        </row>
        <row r="14">
          <cell r="C14" t="str">
            <v>Combination of techniques</v>
          </cell>
          <cell r="G14" t="str">
            <v>none</v>
          </cell>
          <cell r="H14" t="str">
            <v>no</v>
          </cell>
          <cell r="I14">
            <v>0</v>
          </cell>
          <cell r="J14">
            <v>0</v>
          </cell>
          <cell r="M14" t="str">
            <v>ok</v>
          </cell>
        </row>
        <row r="15">
          <cell r="C15">
            <v>20902069</v>
          </cell>
          <cell r="G15" t="str">
            <v>none</v>
          </cell>
          <cell r="H15" t="str">
            <v>no</v>
          </cell>
          <cell r="I15">
            <v>0</v>
          </cell>
          <cell r="J15">
            <v>0</v>
          </cell>
          <cell r="M15" t="str">
            <v>ok</v>
          </cell>
        </row>
        <row r="16">
          <cell r="C16" t="str">
            <v>Nsfc</v>
          </cell>
          <cell r="G16" t="str">
            <v>none</v>
          </cell>
          <cell r="H16" t="str">
            <v>yes</v>
          </cell>
          <cell r="I16">
            <v>0</v>
          </cell>
          <cell r="J16">
            <v>0</v>
          </cell>
          <cell r="M16" t="str">
            <v>ok</v>
          </cell>
        </row>
        <row r="17">
          <cell r="C17" t="str">
            <v>National natural science foundation of china</v>
          </cell>
          <cell r="D17" t="str">
            <v>National Natural Science Foundation of China</v>
          </cell>
          <cell r="E17" t="str">
            <v>Q4501917</v>
          </cell>
          <cell r="G17" t="str">
            <v>exact_label</v>
          </cell>
          <cell r="H17" t="str">
            <v>no</v>
          </cell>
          <cell r="I17">
            <v>100</v>
          </cell>
          <cell r="J17">
            <v>50</v>
          </cell>
          <cell r="K17" t="str">
            <v>Q327333;Q45400320;Q5509032;Q98675100</v>
          </cell>
          <cell r="L17" t="str">
            <v>open-access publisher;government agency;funding body;vice-ministerial level institution</v>
          </cell>
          <cell r="M17" t="str">
            <v>ok</v>
          </cell>
        </row>
        <row r="18">
          <cell r="C18">
            <v>21074094</v>
          </cell>
          <cell r="G18" t="str">
            <v>none</v>
          </cell>
          <cell r="H18" t="str">
            <v>no</v>
          </cell>
          <cell r="I18">
            <v>0</v>
          </cell>
          <cell r="J18">
            <v>0</v>
          </cell>
          <cell r="M18" t="str">
            <v>ok</v>
          </cell>
        </row>
        <row r="19">
          <cell r="C19">
            <v>51173134</v>
          </cell>
          <cell r="G19" t="str">
            <v>none</v>
          </cell>
          <cell r="H19" t="str">
            <v>no</v>
          </cell>
          <cell r="I19">
            <v>0</v>
          </cell>
          <cell r="J19">
            <v>0</v>
          </cell>
          <cell r="M19" t="str">
            <v>ok</v>
          </cell>
        </row>
        <row r="20">
          <cell r="C20" t="str">
            <v>Potential curves</v>
          </cell>
          <cell r="G20" t="str">
            <v>none</v>
          </cell>
          <cell r="H20" t="str">
            <v>no</v>
          </cell>
          <cell r="I20">
            <v>0</v>
          </cell>
          <cell r="J20">
            <v>0</v>
          </cell>
          <cell r="M20" t="str">
            <v>ok</v>
          </cell>
        </row>
        <row r="21">
          <cell r="C21" t="str">
            <v>Long range interactions</v>
          </cell>
          <cell r="G21" t="str">
            <v>none</v>
          </cell>
          <cell r="H21" t="str">
            <v>no</v>
          </cell>
          <cell r="I21">
            <v>0</v>
          </cell>
          <cell r="J21">
            <v>0</v>
          </cell>
          <cell r="M21" t="str">
            <v>ok</v>
          </cell>
        </row>
        <row r="22">
          <cell r="C22" t="str">
            <v>Ab-initio calculations</v>
          </cell>
          <cell r="G22" t="str">
            <v>none</v>
          </cell>
          <cell r="H22" t="str">
            <v>no</v>
          </cell>
          <cell r="I22">
            <v>0</v>
          </cell>
          <cell r="J22">
            <v>0</v>
          </cell>
          <cell r="M22" t="str">
            <v>ok</v>
          </cell>
        </row>
        <row r="23">
          <cell r="C23" t="str">
            <v>Hydrogen halides</v>
          </cell>
          <cell r="D23" t="str">
            <v>hydrogen halide</v>
          </cell>
          <cell r="E23" t="str">
            <v>Q1572088</v>
          </cell>
          <cell r="G23" t="str">
            <v>exact_label</v>
          </cell>
          <cell r="H23" t="str">
            <v>no</v>
          </cell>
          <cell r="I23">
            <v>100</v>
          </cell>
          <cell r="J23">
            <v>50</v>
          </cell>
          <cell r="K23" t="str">
            <v>Q47154513</v>
          </cell>
          <cell r="L23" t="str">
            <v>structural class of chemical entities</v>
          </cell>
          <cell r="M23" t="str">
            <v>ok</v>
          </cell>
        </row>
        <row r="24">
          <cell r="C24" t="str">
            <v>5210 PLANETARY SCIENCES ASTROBIOLOGY Planetary atmospheres</v>
          </cell>
          <cell r="G24" t="str">
            <v>none</v>
          </cell>
          <cell r="H24" t="str">
            <v>no</v>
          </cell>
          <cell r="I24">
            <v>0</v>
          </cell>
          <cell r="J24">
            <v>0</v>
          </cell>
          <cell r="M24" t="str">
            <v>ok</v>
          </cell>
        </row>
        <row r="25">
          <cell r="C25" t="str">
            <v>Clouds</v>
          </cell>
          <cell r="D25" t="str">
            <v>Clouds</v>
          </cell>
          <cell r="E25" t="str">
            <v>Q110548120</v>
          </cell>
          <cell r="G25" t="str">
            <v>context</v>
          </cell>
          <cell r="H25" t="str">
            <v>no</v>
          </cell>
          <cell r="I25">
            <v>100</v>
          </cell>
          <cell r="J25">
            <v>114</v>
          </cell>
          <cell r="K25" t="str">
            <v>Q11060274;Q18218093;Q838948</v>
          </cell>
          <cell r="L25" t="str">
            <v>print;etching print;work of art</v>
          </cell>
          <cell r="M25" t="str">
            <v>Wrong</v>
          </cell>
        </row>
        <row r="26">
          <cell r="C26" t="str">
            <v>And hazes</v>
          </cell>
          <cell r="G26" t="str">
            <v>none</v>
          </cell>
          <cell r="H26" t="str">
            <v>no</v>
          </cell>
          <cell r="I26">
            <v>0</v>
          </cell>
          <cell r="J26">
            <v>0</v>
          </cell>
          <cell r="M26" t="str">
            <v>ok</v>
          </cell>
        </row>
        <row r="27">
          <cell r="C27" t="str">
            <v>5405 PLANETARY SCIENCES SOLID SURFACE PLANETS Atmospheres</v>
          </cell>
          <cell r="G27" t="str">
            <v>none</v>
          </cell>
          <cell r="H27" t="str">
            <v>no</v>
          </cell>
          <cell r="I27">
            <v>0</v>
          </cell>
          <cell r="J27">
            <v>0</v>
          </cell>
          <cell r="M27" t="str">
            <v>ok</v>
          </cell>
        </row>
        <row r="28">
          <cell r="C28" t="str">
            <v>0305 ATMOSPHERIC COMPOSITION AND STRUCTURE Aerosols and particles</v>
          </cell>
          <cell r="G28" t="str">
            <v>none</v>
          </cell>
          <cell r="H28" t="str">
            <v>no</v>
          </cell>
          <cell r="I28">
            <v>0</v>
          </cell>
          <cell r="J28">
            <v>0</v>
          </cell>
          <cell r="M28" t="str">
            <v>ok</v>
          </cell>
        </row>
        <row r="29">
          <cell r="C29" t="str">
            <v>Parallel Charging</v>
          </cell>
          <cell r="G29" t="str">
            <v>none</v>
          </cell>
          <cell r="H29" t="str">
            <v>no</v>
          </cell>
          <cell r="I29">
            <v>0</v>
          </cell>
          <cell r="J29">
            <v>0</v>
          </cell>
          <cell r="M29" t="str">
            <v>ok</v>
          </cell>
        </row>
        <row r="30">
          <cell r="C30" t="str">
            <v>Parallel Tempering</v>
          </cell>
          <cell r="D30" t="str">
            <v>parallel tempering</v>
          </cell>
          <cell r="E30" t="str">
            <v>Q7135015</v>
          </cell>
          <cell r="G30" t="str">
            <v>context</v>
          </cell>
          <cell r="H30" t="str">
            <v>no</v>
          </cell>
          <cell r="I30">
            <v>88.9</v>
          </cell>
          <cell r="J30">
            <v>106.3</v>
          </cell>
          <cell r="M30" t="str">
            <v>ok</v>
          </cell>
        </row>
        <row r="31">
          <cell r="C31" t="str">
            <v>Electrospray ionisation</v>
          </cell>
          <cell r="G31" t="str">
            <v>none</v>
          </cell>
          <cell r="H31" t="str">
            <v>no</v>
          </cell>
          <cell r="I31">
            <v>0</v>
          </cell>
          <cell r="J31">
            <v>0</v>
          </cell>
          <cell r="M31" t="str">
            <v>ok</v>
          </cell>
        </row>
        <row r="32">
          <cell r="C32" t="str">
            <v>Charged droplets</v>
          </cell>
          <cell r="G32" t="str">
            <v>none</v>
          </cell>
          <cell r="H32" t="str">
            <v>no</v>
          </cell>
          <cell r="I32">
            <v>0</v>
          </cell>
          <cell r="J32">
            <v>0</v>
          </cell>
          <cell r="M32" t="str">
            <v>ok</v>
          </cell>
        </row>
        <row r="33">
          <cell r="C33" t="str">
            <v>Charged clusters</v>
          </cell>
          <cell r="G33" t="str">
            <v>none</v>
          </cell>
          <cell r="H33" t="str">
            <v>no</v>
          </cell>
          <cell r="I33">
            <v>0</v>
          </cell>
          <cell r="J33">
            <v>0</v>
          </cell>
          <cell r="M33" t="str">
            <v>ok</v>
          </cell>
        </row>
        <row r="34">
          <cell r="C34" t="str">
            <v>Coarse-grained models</v>
          </cell>
          <cell r="D34" t="str">
            <v>Coarse-grained model</v>
          </cell>
          <cell r="E34" t="str">
            <v>Q25305554</v>
          </cell>
          <cell r="G34" t="str">
            <v>context</v>
          </cell>
          <cell r="H34" t="str">
            <v>no</v>
          </cell>
          <cell r="I34">
            <v>97.6</v>
          </cell>
          <cell r="J34">
            <v>109.5</v>
          </cell>
          <cell r="M34" t="str">
            <v>ok</v>
          </cell>
        </row>
        <row r="35">
          <cell r="C35" t="str">
            <v>Monte Carlo simulations</v>
          </cell>
          <cell r="D35" t="str">
            <v>Monte Carlo Simulation Studies</v>
          </cell>
          <cell r="E35" t="str">
            <v>Q57429452</v>
          </cell>
          <cell r="G35" t="str">
            <v>context</v>
          </cell>
          <cell r="H35" t="str">
            <v>no</v>
          </cell>
          <cell r="I35">
            <v>83</v>
          </cell>
          <cell r="J35">
            <v>52.8</v>
          </cell>
          <cell r="K35" t="str">
            <v>Q1980247</v>
          </cell>
          <cell r="L35" t="str">
            <v>chapter</v>
          </cell>
          <cell r="M35" t="str">
            <v>Wrong</v>
          </cell>
          <cell r="N35" t="str">
            <v>Chapter in a book</v>
          </cell>
        </row>
        <row r="36">
          <cell r="C36" t="str">
            <v>Potential energy functions</v>
          </cell>
          <cell r="G36" t="str">
            <v>none</v>
          </cell>
          <cell r="H36" t="str">
            <v>no</v>
          </cell>
          <cell r="I36">
            <v>0</v>
          </cell>
          <cell r="J36">
            <v>0</v>
          </cell>
          <cell r="M36" t="str">
            <v>ok</v>
          </cell>
        </row>
        <row r="37">
          <cell r="C37" t="str">
            <v>Excited states</v>
          </cell>
          <cell r="D37" t="str">
            <v>excited state</v>
          </cell>
          <cell r="E37" t="str">
            <v>Q215328</v>
          </cell>
          <cell r="G37" t="str">
            <v>context</v>
          </cell>
          <cell r="H37" t="str">
            <v>no</v>
          </cell>
          <cell r="I37">
            <v>88.9</v>
          </cell>
          <cell r="J37">
            <v>110.3</v>
          </cell>
          <cell r="K37" t="str">
            <v>Q669532</v>
          </cell>
          <cell r="L37" t="str">
            <v>energy level</v>
          </cell>
          <cell r="M37" t="str">
            <v>ok</v>
          </cell>
        </row>
        <row r="38">
          <cell r="C38" t="str">
            <v>Molecular anions</v>
          </cell>
          <cell r="G38" t="str">
            <v>none</v>
          </cell>
          <cell r="H38" t="str">
            <v>no</v>
          </cell>
          <cell r="I38">
            <v>0</v>
          </cell>
          <cell r="J38">
            <v>0</v>
          </cell>
          <cell r="M38" t="str">
            <v>ok</v>
          </cell>
        </row>
        <row r="39">
          <cell r="C39" t="str">
            <v>Glocose oxidase</v>
          </cell>
          <cell r="G39" t="str">
            <v>none</v>
          </cell>
          <cell r="H39" t="str">
            <v>no</v>
          </cell>
          <cell r="I39">
            <v>0</v>
          </cell>
          <cell r="J39">
            <v>0</v>
          </cell>
          <cell r="M39" t="str">
            <v>ok</v>
          </cell>
        </row>
        <row r="40">
          <cell r="C40" t="str">
            <v>Amperometric biosensor</v>
          </cell>
          <cell r="G40" t="str">
            <v>none</v>
          </cell>
          <cell r="H40" t="str">
            <v>no</v>
          </cell>
          <cell r="I40">
            <v>0</v>
          </cell>
          <cell r="J40">
            <v>0</v>
          </cell>
          <cell r="M40" t="str">
            <v>ok</v>
          </cell>
        </row>
        <row r="41">
          <cell r="C41" t="str">
            <v>Collagen</v>
          </cell>
          <cell r="D41" t="str">
            <v>collagen</v>
          </cell>
          <cell r="E41" t="str">
            <v>Q26868</v>
          </cell>
          <cell r="G41" t="str">
            <v>context</v>
          </cell>
          <cell r="H41" t="str">
            <v>no</v>
          </cell>
          <cell r="I41">
            <v>87.5</v>
          </cell>
          <cell r="J41">
            <v>106.5</v>
          </cell>
          <cell r="K41" t="str">
            <v>Q5058355;Q78155096</v>
          </cell>
          <cell r="L41" t="str">
            <v>family of protein complexes;cellular component</v>
          </cell>
          <cell r="M41" t="str">
            <v>ok</v>
          </cell>
        </row>
        <row r="42">
          <cell r="C42" t="str">
            <v>Biosensors</v>
          </cell>
          <cell r="D42" t="str">
            <v>Biosensors</v>
          </cell>
          <cell r="E42" t="str">
            <v>Q27709294</v>
          </cell>
          <cell r="G42" t="str">
            <v>context</v>
          </cell>
          <cell r="H42" t="str">
            <v>no</v>
          </cell>
          <cell r="I42">
            <v>100</v>
          </cell>
          <cell r="J42">
            <v>110</v>
          </cell>
          <cell r="K42" t="str">
            <v>Q5633421</v>
          </cell>
          <cell r="L42" t="str">
            <v>scientific journal</v>
          </cell>
          <cell r="M42" t="str">
            <v>Wrong</v>
          </cell>
          <cell r="N42" t="str">
            <v>journal</v>
          </cell>
        </row>
        <row r="43">
          <cell r="C43" t="str">
            <v>Electrochemical biosensor</v>
          </cell>
          <cell r="G43" t="str">
            <v>none</v>
          </cell>
          <cell r="H43" t="str">
            <v>no</v>
          </cell>
          <cell r="I43">
            <v>0</v>
          </cell>
          <cell r="J43">
            <v>0</v>
          </cell>
          <cell r="M43" t="str">
            <v>ok</v>
          </cell>
        </row>
        <row r="44">
          <cell r="C44" t="str">
            <v>Classification</v>
          </cell>
          <cell r="D44" t="str">
            <v>classification</v>
          </cell>
          <cell r="E44" t="str">
            <v>Q5128386</v>
          </cell>
          <cell r="G44" t="str">
            <v>context</v>
          </cell>
          <cell r="H44" t="str">
            <v>no</v>
          </cell>
          <cell r="I44">
            <v>92.9</v>
          </cell>
          <cell r="J44">
            <v>109.7</v>
          </cell>
          <cell r="M44" t="str">
            <v>ok</v>
          </cell>
        </row>
        <row r="45">
          <cell r="C45" t="str">
            <v>Definition</v>
          </cell>
          <cell r="D45" t="str">
            <v>Definition</v>
          </cell>
          <cell r="E45" t="str">
            <v>Q16247949</v>
          </cell>
          <cell r="G45" t="str">
            <v>context</v>
          </cell>
          <cell r="H45" t="str">
            <v>no</v>
          </cell>
          <cell r="I45">
            <v>100</v>
          </cell>
          <cell r="J45">
            <v>113</v>
          </cell>
          <cell r="K45" t="str">
            <v>Q169930</v>
          </cell>
          <cell r="L45" t="str">
            <v>extended play</v>
          </cell>
          <cell r="M45" t="str">
            <v>Wrong</v>
          </cell>
          <cell r="N45" t="str">
            <v>2001 extended play by Jersey</v>
          </cell>
        </row>
        <row r="46">
          <cell r="C46" t="str">
            <v>Electrochemical biosensor</v>
          </cell>
          <cell r="G46" t="str">
            <v>none</v>
          </cell>
          <cell r="H46" t="str">
            <v>no</v>
          </cell>
          <cell r="I46">
            <v>0</v>
          </cell>
          <cell r="J46">
            <v>0</v>
          </cell>
          <cell r="M46" t="str">
            <v>ok</v>
          </cell>
        </row>
        <row r="47">
          <cell r="C47" t="str">
            <v>Implantable sensor</v>
          </cell>
          <cell r="D47" t="str">
            <v>Implantable sensor</v>
          </cell>
          <cell r="E47" t="str">
            <v>Q124665234</v>
          </cell>
          <cell r="G47" t="str">
            <v>context</v>
          </cell>
          <cell r="H47" t="str">
            <v>no</v>
          </cell>
          <cell r="I47">
            <v>100</v>
          </cell>
          <cell r="J47">
            <v>112</v>
          </cell>
          <cell r="K47" t="str">
            <v>Q43305660</v>
          </cell>
          <cell r="L47" t="str">
            <v>United States patent</v>
          </cell>
          <cell r="M47" t="str">
            <v>Wrong</v>
          </cell>
          <cell r="N47" t="str">
            <v>United States patent</v>
          </cell>
        </row>
        <row r="48">
          <cell r="C48" t="str">
            <v>Glucose</v>
          </cell>
          <cell r="D48" t="str">
            <v>glucose</v>
          </cell>
          <cell r="E48" t="str">
            <v>Q37525</v>
          </cell>
          <cell r="G48" t="str">
            <v>context</v>
          </cell>
          <cell r="H48" t="str">
            <v>no</v>
          </cell>
          <cell r="I48">
            <v>85.7</v>
          </cell>
          <cell r="J48">
            <v>103.4</v>
          </cell>
          <cell r="K48" t="str">
            <v>Q136192523;Q15711994</v>
          </cell>
          <cell r="L48" t="str">
            <v>group of isomeric entities;simple carbohydrates</v>
          </cell>
          <cell r="M48" t="str">
            <v>ok</v>
          </cell>
        </row>
        <row r="49">
          <cell r="C49" t="str">
            <v>Glucose oxidase</v>
          </cell>
          <cell r="D49" t="str">
            <v>Glucose oxidase</v>
          </cell>
          <cell r="E49" t="str">
            <v>Q61497978</v>
          </cell>
          <cell r="G49" t="str">
            <v>context</v>
          </cell>
          <cell r="H49" t="str">
            <v>no</v>
          </cell>
          <cell r="I49">
            <v>100</v>
          </cell>
          <cell r="J49">
            <v>111</v>
          </cell>
          <cell r="K49" t="str">
            <v>Q8054</v>
          </cell>
          <cell r="L49" t="str">
            <v>protein</v>
          </cell>
          <cell r="M49" t="str">
            <v>ok</v>
          </cell>
        </row>
        <row r="50">
          <cell r="C50" t="str">
            <v>Electrochemical biosensor</v>
          </cell>
          <cell r="G50" t="str">
            <v>none</v>
          </cell>
          <cell r="H50" t="str">
            <v>no</v>
          </cell>
          <cell r="I50">
            <v>0</v>
          </cell>
          <cell r="J50">
            <v>0</v>
          </cell>
          <cell r="M50" t="str">
            <v>ok</v>
          </cell>
        </row>
        <row r="51">
          <cell r="C51" t="str">
            <v>Glucose</v>
          </cell>
          <cell r="D51" t="str">
            <v>glucose</v>
          </cell>
          <cell r="E51" t="str">
            <v>Q37525</v>
          </cell>
          <cell r="G51" t="str">
            <v>context</v>
          </cell>
          <cell r="H51" t="str">
            <v>no</v>
          </cell>
          <cell r="I51">
            <v>85.7</v>
          </cell>
          <cell r="J51">
            <v>104.4</v>
          </cell>
          <cell r="K51" t="str">
            <v>Q136192523;Q15711994</v>
          </cell>
          <cell r="L51" t="str">
            <v>group of isomeric entities;simple carbohydrates</v>
          </cell>
          <cell r="M51" t="str">
            <v>ok</v>
          </cell>
        </row>
        <row r="52">
          <cell r="C52" t="str">
            <v>Glucose oxidase</v>
          </cell>
          <cell r="D52" t="str">
            <v>Glucose oxidase</v>
          </cell>
          <cell r="E52" t="str">
            <v>Q61497978</v>
          </cell>
          <cell r="G52" t="str">
            <v>context</v>
          </cell>
          <cell r="H52" t="str">
            <v>no</v>
          </cell>
          <cell r="I52">
            <v>100</v>
          </cell>
          <cell r="J52">
            <v>111</v>
          </cell>
          <cell r="K52" t="str">
            <v>Q8054</v>
          </cell>
          <cell r="L52" t="str">
            <v>protein</v>
          </cell>
          <cell r="M52" t="str">
            <v>ok</v>
          </cell>
        </row>
        <row r="53">
          <cell r="C53" t="str">
            <v>Chemistry history</v>
          </cell>
          <cell r="G53" t="str">
            <v>none</v>
          </cell>
          <cell r="H53" t="str">
            <v>no</v>
          </cell>
          <cell r="I53">
            <v>0</v>
          </cell>
          <cell r="J53">
            <v>0</v>
          </cell>
          <cell r="M53" t="str">
            <v>ok</v>
          </cell>
        </row>
        <row r="54">
          <cell r="C54" t="str">
            <v>Chemical bond concepts</v>
          </cell>
          <cell r="G54" t="str">
            <v>none</v>
          </cell>
          <cell r="H54" t="str">
            <v>no</v>
          </cell>
          <cell r="I54">
            <v>0</v>
          </cell>
          <cell r="J54">
            <v>0</v>
          </cell>
          <cell r="M54" t="str">
            <v>ok</v>
          </cell>
        </row>
        <row r="55">
          <cell r="C55" t="str">
            <v>Long range interactions</v>
          </cell>
          <cell r="G55" t="str">
            <v>none</v>
          </cell>
          <cell r="H55" t="str">
            <v>no</v>
          </cell>
          <cell r="I55">
            <v>0</v>
          </cell>
          <cell r="J55">
            <v>0</v>
          </cell>
          <cell r="M55" t="str">
            <v>ok</v>
          </cell>
        </row>
        <row r="56">
          <cell r="C56" t="str">
            <v>Potential energy functions</v>
          </cell>
          <cell r="G56" t="str">
            <v>none</v>
          </cell>
          <cell r="H56" t="str">
            <v>no</v>
          </cell>
          <cell r="I56">
            <v>0</v>
          </cell>
          <cell r="J56">
            <v>0</v>
          </cell>
          <cell r="M56" t="str">
            <v>ok</v>
          </cell>
        </row>
        <row r="57">
          <cell r="C57" t="str">
            <v>Control</v>
          </cell>
          <cell r="D57" t="str">
            <v>Control</v>
          </cell>
          <cell r="E57" t="str">
            <v>Q3689255</v>
          </cell>
          <cell r="G57" t="str">
            <v>context</v>
          </cell>
          <cell r="H57" t="str">
            <v>no</v>
          </cell>
          <cell r="I57">
            <v>100</v>
          </cell>
          <cell r="J57">
            <v>112</v>
          </cell>
          <cell r="K57" t="str">
            <v>Q134556</v>
          </cell>
          <cell r="L57" t="str">
            <v>single</v>
          </cell>
          <cell r="M57" t="str">
            <v>Wrong</v>
          </cell>
        </row>
        <row r="58">
          <cell r="C58" t="str">
            <v>Instrumentation</v>
          </cell>
          <cell r="D58" t="str">
            <v>Instrumentation</v>
          </cell>
          <cell r="E58" t="str">
            <v>Q28471383</v>
          </cell>
          <cell r="G58" t="str">
            <v>context</v>
          </cell>
          <cell r="H58" t="str">
            <v>no</v>
          </cell>
          <cell r="I58">
            <v>100</v>
          </cell>
          <cell r="J58">
            <v>111</v>
          </cell>
          <cell r="K58" t="str">
            <v>Q3305213</v>
          </cell>
          <cell r="L58" t="str">
            <v>painting</v>
          </cell>
          <cell r="M58" t="str">
            <v>Wrong</v>
          </cell>
        </row>
        <row r="59">
          <cell r="C59" t="str">
            <v>Waste water treatment plant</v>
          </cell>
          <cell r="D59" t="str">
            <v>Waste Water Treatment Plant</v>
          </cell>
          <cell r="E59" t="str">
            <v>Q116719041</v>
          </cell>
          <cell r="G59" t="str">
            <v>exact_label</v>
          </cell>
          <cell r="H59" t="str">
            <v>no</v>
          </cell>
          <cell r="I59">
            <v>100</v>
          </cell>
          <cell r="J59">
            <v>50</v>
          </cell>
          <cell r="K59" t="str">
            <v>Q1003207</v>
          </cell>
          <cell r="L59" t="str">
            <v>photovoltaic power station</v>
          </cell>
          <cell r="M59" t="str">
            <v>Wrong</v>
          </cell>
        </row>
        <row r="60">
          <cell r="C60" t="str">
            <v>Oxygen</v>
          </cell>
          <cell r="D60" t="str">
            <v>Oxygen</v>
          </cell>
          <cell r="E60" t="str">
            <v>Q15618</v>
          </cell>
          <cell r="G60" t="str">
            <v>context</v>
          </cell>
          <cell r="H60" t="str">
            <v>no</v>
          </cell>
          <cell r="I60">
            <v>100</v>
          </cell>
          <cell r="J60">
            <v>112</v>
          </cell>
          <cell r="K60" t="str">
            <v>Q11424</v>
          </cell>
          <cell r="L60" t="str">
            <v>film</v>
          </cell>
          <cell r="M60" t="str">
            <v>Wrong</v>
          </cell>
        </row>
        <row r="61">
          <cell r="C61" t="str">
            <v>Activated sludge</v>
          </cell>
          <cell r="D61" t="str">
            <v>activated sludge</v>
          </cell>
          <cell r="E61" t="str">
            <v>Q815353</v>
          </cell>
          <cell r="G61" t="str">
            <v>context</v>
          </cell>
          <cell r="H61" t="str">
            <v>no</v>
          </cell>
          <cell r="I61">
            <v>93.8</v>
          </cell>
          <cell r="J61">
            <v>108.2</v>
          </cell>
          <cell r="M61" t="str">
            <v>ok</v>
          </cell>
        </row>
        <row r="62">
          <cell r="C62" t="str">
            <v>Redox potential</v>
          </cell>
          <cell r="D62" t="str">
            <v>redox potential</v>
          </cell>
          <cell r="E62" t="str">
            <v>Q1640043</v>
          </cell>
          <cell r="G62" t="str">
            <v>exact_label</v>
          </cell>
          <cell r="H62" t="str">
            <v>no</v>
          </cell>
          <cell r="I62">
            <v>100</v>
          </cell>
          <cell r="J62">
            <v>50</v>
          </cell>
          <cell r="M62" t="str">
            <v>ok</v>
          </cell>
        </row>
        <row r="63">
          <cell r="C63" t="str">
            <v>Glucose sensor</v>
          </cell>
          <cell r="D63" t="str">
            <v>Glucose sensor</v>
          </cell>
          <cell r="E63" t="str">
            <v>Q126364723</v>
          </cell>
          <cell r="G63" t="str">
            <v>context</v>
          </cell>
          <cell r="H63" t="str">
            <v>no</v>
          </cell>
          <cell r="I63">
            <v>100</v>
          </cell>
          <cell r="J63">
            <v>112</v>
          </cell>
          <cell r="K63" t="str">
            <v>Q43305660</v>
          </cell>
          <cell r="L63" t="str">
            <v>United States patent</v>
          </cell>
          <cell r="M63" t="str">
            <v>Wrong</v>
          </cell>
        </row>
        <row r="64">
          <cell r="C64" t="str">
            <v>Calcium</v>
          </cell>
          <cell r="D64" t="str">
            <v>Calcium</v>
          </cell>
          <cell r="E64" t="str">
            <v>Q3461363</v>
          </cell>
          <cell r="G64" t="str">
            <v>context</v>
          </cell>
          <cell r="H64" t="str">
            <v>no</v>
          </cell>
          <cell r="I64">
            <v>100</v>
          </cell>
          <cell r="J64">
            <v>111</v>
          </cell>
          <cell r="K64" t="str">
            <v>Q17343829;Q498162</v>
          </cell>
          <cell r="L64" t="str">
            <v>unincorporated community in the United States;census-designated place in the United States</v>
          </cell>
          <cell r="M64" t="str">
            <v>Wrong</v>
          </cell>
        </row>
        <row r="65">
          <cell r="C65" t="str">
            <v>Hydrogen peroxide</v>
          </cell>
          <cell r="D65" t="str">
            <v>hydrogen peroxide</v>
          </cell>
          <cell r="E65" t="str">
            <v>Q171877</v>
          </cell>
          <cell r="F65">
            <v>119510333</v>
          </cell>
          <cell r="G65" t="str">
            <v>context</v>
          </cell>
          <cell r="H65" t="str">
            <v>no</v>
          </cell>
          <cell r="I65">
            <v>94.1</v>
          </cell>
          <cell r="J65">
            <v>108.5</v>
          </cell>
          <cell r="K65" t="str">
            <v>Q113145171</v>
          </cell>
          <cell r="L65" t="str">
            <v>type of chemical entity</v>
          </cell>
          <cell r="M65" t="str">
            <v>ok</v>
          </cell>
        </row>
        <row r="66">
          <cell r="C66" t="str">
            <v>Koutecky-Levich plots</v>
          </cell>
          <cell r="G66" t="str">
            <v>none</v>
          </cell>
          <cell r="H66" t="str">
            <v>no</v>
          </cell>
          <cell r="I66">
            <v>0</v>
          </cell>
          <cell r="J66">
            <v>0</v>
          </cell>
          <cell r="M66" t="str">
            <v>ok</v>
          </cell>
        </row>
        <row r="67">
          <cell r="C67" t="str">
            <v>Platinum</v>
          </cell>
          <cell r="D67" t="str">
            <v>Platinum</v>
          </cell>
          <cell r="E67" t="str">
            <v>Q929074</v>
          </cell>
          <cell r="G67" t="str">
            <v>context</v>
          </cell>
          <cell r="H67" t="str">
            <v>no</v>
          </cell>
          <cell r="I67">
            <v>100</v>
          </cell>
          <cell r="J67">
            <v>112</v>
          </cell>
          <cell r="K67" t="str">
            <v>Q482994</v>
          </cell>
          <cell r="L67" t="str">
            <v>album</v>
          </cell>
          <cell r="M67" t="str">
            <v>Wrong</v>
          </cell>
        </row>
        <row r="68">
          <cell r="C68" t="str">
            <v>Electrochemical biosensor</v>
          </cell>
          <cell r="G68" t="str">
            <v>none</v>
          </cell>
          <cell r="H68" t="str">
            <v>no</v>
          </cell>
          <cell r="I68">
            <v>0</v>
          </cell>
          <cell r="J68">
            <v>0</v>
          </cell>
          <cell r="M68" t="str">
            <v>ok</v>
          </cell>
        </row>
        <row r="69">
          <cell r="C69" t="str">
            <v>Definition</v>
          </cell>
          <cell r="D69" t="str">
            <v>Definition</v>
          </cell>
          <cell r="E69" t="str">
            <v>Q16247949</v>
          </cell>
          <cell r="G69" t="str">
            <v>context</v>
          </cell>
          <cell r="H69" t="str">
            <v>no</v>
          </cell>
          <cell r="I69">
            <v>100</v>
          </cell>
          <cell r="J69">
            <v>113</v>
          </cell>
          <cell r="K69" t="str">
            <v>Q169930</v>
          </cell>
          <cell r="L69" t="str">
            <v>extended play</v>
          </cell>
          <cell r="M69" t="str">
            <v>Wrong</v>
          </cell>
        </row>
        <row r="70">
          <cell r="C70" t="str">
            <v>Single use biosensor</v>
          </cell>
          <cell r="G70" t="str">
            <v>none</v>
          </cell>
          <cell r="H70" t="str">
            <v>no</v>
          </cell>
          <cell r="I70">
            <v>0</v>
          </cell>
          <cell r="J70">
            <v>0</v>
          </cell>
          <cell r="M70" t="str">
            <v>ok</v>
          </cell>
        </row>
        <row r="71">
          <cell r="C71" t="str">
            <v>Calibration characteristics</v>
          </cell>
          <cell r="G71" t="str">
            <v>none</v>
          </cell>
          <cell r="H71" t="str">
            <v>no</v>
          </cell>
          <cell r="I71">
            <v>0</v>
          </cell>
          <cell r="J71">
            <v>0</v>
          </cell>
          <cell r="M71" t="str">
            <v>ok</v>
          </cell>
        </row>
        <row r="72">
          <cell r="C72" t="str">
            <v>Performance criteria</v>
          </cell>
          <cell r="D72" t="str">
            <v>Performance Criteria</v>
          </cell>
          <cell r="E72" t="str">
            <v>Q134702323</v>
          </cell>
          <cell r="G72" t="str">
            <v>exact_label</v>
          </cell>
          <cell r="H72" t="str">
            <v>no</v>
          </cell>
          <cell r="I72">
            <v>100</v>
          </cell>
          <cell r="J72">
            <v>50</v>
          </cell>
          <cell r="K72" t="str">
            <v>Q7725634</v>
          </cell>
          <cell r="L72" t="str">
            <v>literary work</v>
          </cell>
          <cell r="M72" t="str">
            <v>Wrong</v>
          </cell>
        </row>
        <row r="73">
          <cell r="C73" t="str">
            <v>Analytes</v>
          </cell>
          <cell r="D73" t="str">
            <v>analyte</v>
          </cell>
          <cell r="E73" t="str">
            <v>Q2282401</v>
          </cell>
          <cell r="G73" t="str">
            <v>context</v>
          </cell>
          <cell r="H73" t="str">
            <v>no</v>
          </cell>
          <cell r="I73">
            <v>80</v>
          </cell>
          <cell r="J73">
            <v>102</v>
          </cell>
          <cell r="M73" t="str">
            <v>ok</v>
          </cell>
        </row>
        <row r="74">
          <cell r="C74" t="str">
            <v>Cr</v>
          </cell>
          <cell r="G74" t="str">
            <v>none</v>
          </cell>
          <cell r="H74" t="str">
            <v>no</v>
          </cell>
          <cell r="I74">
            <v>0</v>
          </cell>
          <cell r="J74">
            <v>0</v>
          </cell>
          <cell r="M74" t="str">
            <v>ok</v>
          </cell>
        </row>
        <row r="75">
          <cell r="C75" t="str">
            <v>Cu</v>
          </cell>
          <cell r="G75" t="str">
            <v>none</v>
          </cell>
          <cell r="H75" t="str">
            <v>no</v>
          </cell>
          <cell r="I75">
            <v>0</v>
          </cell>
          <cell r="J75">
            <v>0</v>
          </cell>
          <cell r="M75" t="str">
            <v>ok</v>
          </cell>
        </row>
        <row r="76">
          <cell r="C76" t="str">
            <v>Cd</v>
          </cell>
          <cell r="G76" t="str">
            <v>none</v>
          </cell>
          <cell r="H76" t="str">
            <v>no</v>
          </cell>
          <cell r="I76">
            <v>0</v>
          </cell>
          <cell r="J76">
            <v>0</v>
          </cell>
          <cell r="M76" t="str">
            <v>ok</v>
          </cell>
        </row>
        <row r="77">
          <cell r="C77" t="str">
            <v>Zn</v>
          </cell>
          <cell r="G77" t="str">
            <v>none</v>
          </cell>
          <cell r="H77" t="str">
            <v>no</v>
          </cell>
          <cell r="I77">
            <v>0</v>
          </cell>
          <cell r="J77">
            <v>0</v>
          </cell>
          <cell r="M77" t="str">
            <v>ok</v>
          </cell>
        </row>
        <row r="78">
          <cell r="C78" t="str">
            <v>Hg</v>
          </cell>
          <cell r="G78" t="str">
            <v>none</v>
          </cell>
          <cell r="H78" t="str">
            <v>no</v>
          </cell>
          <cell r="I78">
            <v>0</v>
          </cell>
          <cell r="J78">
            <v>0</v>
          </cell>
          <cell r="M78" t="str">
            <v>ok</v>
          </cell>
        </row>
        <row r="79">
          <cell r="C79" t="str">
            <v>Pb</v>
          </cell>
          <cell r="G79" t="str">
            <v>none</v>
          </cell>
          <cell r="H79" t="str">
            <v>no</v>
          </cell>
          <cell r="I79">
            <v>0</v>
          </cell>
          <cell r="J79">
            <v>0</v>
          </cell>
          <cell r="M79" t="str">
            <v>ok</v>
          </cell>
        </row>
        <row r="80">
          <cell r="C80" t="str">
            <v>Heavy metals</v>
          </cell>
          <cell r="D80" t="str">
            <v>Heavy Metal</v>
          </cell>
          <cell r="E80" t="str">
            <v>Q5695115</v>
          </cell>
          <cell r="G80" t="str">
            <v>context</v>
          </cell>
          <cell r="H80" t="str">
            <v>no</v>
          </cell>
          <cell r="I80">
            <v>87</v>
          </cell>
          <cell r="J80">
            <v>108.2</v>
          </cell>
          <cell r="K80" t="str">
            <v>Q15773317</v>
          </cell>
          <cell r="L80" t="str">
            <v>television character</v>
          </cell>
          <cell r="M80" t="str">
            <v>Wrong</v>
          </cell>
        </row>
        <row r="81">
          <cell r="C81" t="str">
            <v>Budget</v>
          </cell>
          <cell r="D81" t="str">
            <v>budget</v>
          </cell>
          <cell r="E81" t="str">
            <v>Q41263</v>
          </cell>
          <cell r="G81" t="str">
            <v>context</v>
          </cell>
          <cell r="H81" t="str">
            <v>no</v>
          </cell>
          <cell r="I81">
            <v>83.3</v>
          </cell>
          <cell r="J81">
            <v>103</v>
          </cell>
          <cell r="K81" t="str">
            <v>Q1047113;Q2267705</v>
          </cell>
          <cell r="L81" t="str">
            <v>field of study;field of study</v>
          </cell>
          <cell r="M81" t="str">
            <v>Wrong</v>
          </cell>
        </row>
        <row r="82">
          <cell r="C82" t="str">
            <v>Seine</v>
          </cell>
          <cell r="D82" t="str">
            <v>Seine</v>
          </cell>
          <cell r="E82" t="str">
            <v>Q25344232</v>
          </cell>
          <cell r="G82" t="str">
            <v>context</v>
          </cell>
          <cell r="H82" t="str">
            <v>no</v>
          </cell>
          <cell r="I82">
            <v>100</v>
          </cell>
          <cell r="J82">
            <v>114</v>
          </cell>
          <cell r="K82" t="str">
            <v>Q132017</v>
          </cell>
          <cell r="L82" t="str">
            <v>river basin district</v>
          </cell>
          <cell r="M82" t="str">
            <v>Wrong</v>
          </cell>
        </row>
        <row r="83">
          <cell r="C83" t="str">
            <v>River</v>
          </cell>
          <cell r="D83" t="str">
            <v>River</v>
          </cell>
          <cell r="E83" t="str">
            <v>Q1189823</v>
          </cell>
          <cell r="G83" t="str">
            <v>context</v>
          </cell>
          <cell r="H83" t="str">
            <v>no</v>
          </cell>
          <cell r="I83">
            <v>100</v>
          </cell>
          <cell r="J83">
            <v>115</v>
          </cell>
          <cell r="K83" t="str">
            <v>Q134556</v>
          </cell>
          <cell r="L83" t="str">
            <v>single</v>
          </cell>
          <cell r="M83" t="str">
            <v>Wrong</v>
          </cell>
        </row>
        <row r="84">
          <cell r="C84" t="str">
            <v>Ni</v>
          </cell>
          <cell r="D84" t="str">
            <v>Ni</v>
          </cell>
          <cell r="E84" t="str">
            <v>Q6854084</v>
          </cell>
          <cell r="G84" t="str">
            <v>context</v>
          </cell>
          <cell r="H84" t="str">
            <v>no</v>
          </cell>
          <cell r="I84">
            <v>100</v>
          </cell>
          <cell r="J84">
            <v>111</v>
          </cell>
          <cell r="K84" t="str">
            <v>Q101352;Q1093580</v>
          </cell>
          <cell r="L84" t="str">
            <v>Chinese family name;family name</v>
          </cell>
          <cell r="M84" t="str">
            <v>Wrong</v>
          </cell>
        </row>
        <row r="85">
          <cell r="C85" t="str">
            <v>Anthropogenic impacts</v>
          </cell>
          <cell r="G85" t="str">
            <v>none</v>
          </cell>
          <cell r="H85" t="str">
            <v>no</v>
          </cell>
          <cell r="I85">
            <v>0</v>
          </cell>
          <cell r="J85">
            <v>0</v>
          </cell>
          <cell r="M85" t="str">
            <v>ok</v>
          </cell>
        </row>
        <row r="86">
          <cell r="C86" t="str">
            <v>Sampling procedures</v>
          </cell>
          <cell r="D86" t="str">
            <v>sampling procedure</v>
          </cell>
          <cell r="E86" t="str">
            <v>Q114658653</v>
          </cell>
          <cell r="G86" t="str">
            <v>exact_label</v>
          </cell>
          <cell r="H86" t="str">
            <v>no</v>
          </cell>
          <cell r="I86">
            <v>100</v>
          </cell>
          <cell r="J86">
            <v>50</v>
          </cell>
          <cell r="M86" t="str">
            <v>ok</v>
          </cell>
        </row>
        <row r="87">
          <cell r="C87" t="str">
            <v>Atmospheric fallout</v>
          </cell>
          <cell r="G87" t="str">
            <v>none</v>
          </cell>
          <cell r="H87" t="str">
            <v>no</v>
          </cell>
          <cell r="I87">
            <v>0</v>
          </cell>
          <cell r="J87">
            <v>0</v>
          </cell>
          <cell r="M87" t="str">
            <v>ok</v>
          </cell>
        </row>
        <row r="88">
          <cell r="C88" t="str">
            <v>Trace elements</v>
          </cell>
          <cell r="D88" t="str">
            <v>trace element</v>
          </cell>
          <cell r="E88" t="str">
            <v>Q351792</v>
          </cell>
          <cell r="F88" t="str">
            <v>11975502k</v>
          </cell>
          <cell r="G88" t="str">
            <v>exact_label</v>
          </cell>
          <cell r="H88" t="str">
            <v>no</v>
          </cell>
          <cell r="I88">
            <v>100</v>
          </cell>
          <cell r="J88">
            <v>50</v>
          </cell>
          <cell r="M88" t="str">
            <v>ok</v>
          </cell>
        </row>
        <row r="89">
          <cell r="C89" t="str">
            <v>Vibronic states</v>
          </cell>
          <cell r="G89" t="str">
            <v>none</v>
          </cell>
          <cell r="H89" t="str">
            <v>no</v>
          </cell>
          <cell r="I89">
            <v>0</v>
          </cell>
          <cell r="J89">
            <v>0</v>
          </cell>
          <cell r="M89" t="str">
            <v>ok</v>
          </cell>
        </row>
        <row r="90">
          <cell r="C90" t="str">
            <v>Spinâ€“orbit coupling</v>
          </cell>
          <cell r="G90" t="str">
            <v>none</v>
          </cell>
          <cell r="H90" t="str">
            <v>no</v>
          </cell>
          <cell r="I90">
            <v>0</v>
          </cell>
          <cell r="J90">
            <v>0</v>
          </cell>
          <cell r="M90" t="str">
            <v>ok</v>
          </cell>
        </row>
        <row r="91">
          <cell r="C91" t="str">
            <v>MRCI+Q</v>
          </cell>
          <cell r="G91" t="str">
            <v>none</v>
          </cell>
          <cell r="H91" t="str">
            <v>no</v>
          </cell>
          <cell r="I91">
            <v>0</v>
          </cell>
          <cell r="J91">
            <v>0</v>
          </cell>
          <cell r="M91" t="str">
            <v>ok</v>
          </cell>
        </row>
        <row r="92">
          <cell r="C92" t="str">
            <v>Stable dication</v>
          </cell>
          <cell r="G92" t="str">
            <v>none</v>
          </cell>
          <cell r="H92" t="str">
            <v>no</v>
          </cell>
          <cell r="I92">
            <v>0</v>
          </cell>
          <cell r="J92">
            <v>0</v>
          </cell>
          <cell r="M92" t="str">
            <v>ok</v>
          </cell>
        </row>
        <row r="93">
          <cell r="C93" t="str">
            <v>CaO</v>
          </cell>
          <cell r="D93" t="str">
            <v>Cao</v>
          </cell>
          <cell r="E93" t="str">
            <v>Q710706</v>
          </cell>
          <cell r="G93" t="str">
            <v>exact_label</v>
          </cell>
          <cell r="H93" t="str">
            <v>no</v>
          </cell>
          <cell r="I93">
            <v>100</v>
          </cell>
          <cell r="J93">
            <v>50</v>
          </cell>
          <cell r="K93" t="str">
            <v>Q101352;Q1093580;Q11420694</v>
          </cell>
          <cell r="L93" t="str">
            <v>royal surname;Chinese family name;family name</v>
          </cell>
          <cell r="M93" t="str">
            <v>Wrong</v>
          </cell>
        </row>
        <row r="94">
          <cell r="C94" t="str">
            <v>Calcium monoxide</v>
          </cell>
          <cell r="G94" t="str">
            <v>none</v>
          </cell>
          <cell r="H94" t="str">
            <v>no</v>
          </cell>
          <cell r="I94">
            <v>0</v>
          </cell>
          <cell r="J94">
            <v>0</v>
          </cell>
          <cell r="M94" t="str">
            <v>ok</v>
          </cell>
        </row>
        <row r="95">
          <cell r="C95" t="str">
            <v>SILANE-GRAFTED POLYPROPYLENE</v>
          </cell>
          <cell r="G95" t="str">
            <v>none</v>
          </cell>
          <cell r="H95" t="str">
            <v>no</v>
          </cell>
          <cell r="I95">
            <v>0</v>
          </cell>
          <cell r="J95">
            <v>0</v>
          </cell>
          <cell r="M95" t="str">
            <v>ok</v>
          </cell>
        </row>
        <row r="96">
          <cell r="C96" t="str">
            <v>GAS BARRIER PROPERTIES</v>
          </cell>
          <cell r="G96" t="str">
            <v>none</v>
          </cell>
          <cell r="H96" t="str">
            <v>no</v>
          </cell>
          <cell r="I96">
            <v>0</v>
          </cell>
          <cell r="J96">
            <v>0</v>
          </cell>
          <cell r="M96" t="str">
            <v>ok</v>
          </cell>
        </row>
        <row r="97">
          <cell r="C97" t="str">
            <v>MECHANICAL-PROPERTIES</v>
          </cell>
          <cell r="G97" t="str">
            <v>none</v>
          </cell>
          <cell r="H97" t="str">
            <v>no</v>
          </cell>
          <cell r="I97">
            <v>0</v>
          </cell>
          <cell r="J97">
            <v>0</v>
          </cell>
          <cell r="M97" t="str">
            <v>ok</v>
          </cell>
        </row>
        <row r="98">
          <cell r="C98" t="str">
            <v>CLAY NANOCOMPOSITES</v>
          </cell>
          <cell r="G98" t="str">
            <v>none</v>
          </cell>
          <cell r="H98" t="str">
            <v>no</v>
          </cell>
          <cell r="I98">
            <v>0</v>
          </cell>
          <cell r="J98">
            <v>0</v>
          </cell>
          <cell r="M98" t="str">
            <v>ok</v>
          </cell>
        </row>
        <row r="99">
          <cell r="C99" t="str">
            <v>CARBON NANOTUBES</v>
          </cell>
          <cell r="D99" t="str">
            <v>carbon nanotube</v>
          </cell>
          <cell r="E99" t="str">
            <v>Q1778729</v>
          </cell>
          <cell r="G99" t="str">
            <v>exact_label</v>
          </cell>
          <cell r="H99" t="str">
            <v>no</v>
          </cell>
          <cell r="I99">
            <v>100</v>
          </cell>
          <cell r="J99">
            <v>50</v>
          </cell>
          <cell r="M99" t="str">
            <v>ok</v>
          </cell>
        </row>
        <row r="100">
          <cell r="C100" t="str">
            <v>POLYMER</v>
          </cell>
          <cell r="D100" t="str">
            <v>Polymer</v>
          </cell>
          <cell r="E100" t="str">
            <v>Q3395619</v>
          </cell>
          <cell r="G100" t="str">
            <v>exact_label</v>
          </cell>
          <cell r="H100" t="str">
            <v>no</v>
          </cell>
          <cell r="I100">
            <v>100</v>
          </cell>
          <cell r="J100">
            <v>50</v>
          </cell>
          <cell r="K100" t="str">
            <v>Q41298;Q5633421</v>
          </cell>
          <cell r="L100" t="str">
            <v>magazine;scientific journal</v>
          </cell>
          <cell r="M100" t="str">
            <v>Wrong</v>
          </cell>
        </row>
        <row r="101">
          <cell r="C101" t="str">
            <v>COMPOSITES</v>
          </cell>
          <cell r="D101" t="str">
            <v>composite</v>
          </cell>
          <cell r="E101" t="str">
            <v>Q66539734</v>
          </cell>
          <cell r="G101" t="str">
            <v>exact_label</v>
          </cell>
          <cell r="H101" t="str">
            <v>no</v>
          </cell>
          <cell r="I101">
            <v>100</v>
          </cell>
          <cell r="J101">
            <v>50</v>
          </cell>
          <cell r="M101" t="str">
            <v>Wrong</v>
          </cell>
        </row>
        <row r="102">
          <cell r="C102" t="str">
            <v>BLENDS</v>
          </cell>
          <cell r="D102" t="str">
            <v>blend</v>
          </cell>
          <cell r="E102" t="str">
            <v>Q12055133</v>
          </cell>
          <cell r="G102" t="str">
            <v>exact_label</v>
          </cell>
          <cell r="H102" t="str">
            <v>no</v>
          </cell>
          <cell r="I102">
            <v>100</v>
          </cell>
          <cell r="J102">
            <v>50</v>
          </cell>
          <cell r="M102" t="str">
            <v>Wrong</v>
          </cell>
        </row>
        <row r="103">
          <cell r="C103" t="str">
            <v>NANOPARTICLES</v>
          </cell>
          <cell r="D103" t="str">
            <v>nanoparticle</v>
          </cell>
          <cell r="E103" t="str">
            <v>Q61231</v>
          </cell>
          <cell r="F103" t="str">
            <v>12293062x</v>
          </cell>
          <cell r="G103" t="str">
            <v>exact_label</v>
          </cell>
          <cell r="H103" t="str">
            <v>no</v>
          </cell>
          <cell r="I103">
            <v>100</v>
          </cell>
          <cell r="J103">
            <v>50</v>
          </cell>
          <cell r="M103" t="str">
            <v>ok</v>
          </cell>
        </row>
        <row r="104">
          <cell r="C104" t="str">
            <v>CRYSTALLIZATION</v>
          </cell>
          <cell r="D104" t="str">
            <v>crystallization</v>
          </cell>
          <cell r="E104" t="str">
            <v>Q284256</v>
          </cell>
          <cell r="F104">
            <v>119788740</v>
          </cell>
          <cell r="G104" t="str">
            <v>exact_label</v>
          </cell>
          <cell r="H104" t="str">
            <v>no</v>
          </cell>
          <cell r="I104">
            <v>100</v>
          </cell>
          <cell r="J104">
            <v>50</v>
          </cell>
          <cell r="M104" t="str">
            <v>ok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kidata_upec_chemical_20"/>
    </sheetNames>
    <sheetDataSet>
      <sheetData sheetId="0">
        <row r="1">
          <cell r="C1" t="str">
            <v>keyword</v>
          </cell>
          <cell r="D1" t="str">
            <v>wikidata_label</v>
          </cell>
          <cell r="E1" t="str">
            <v>wikidata_qid</v>
          </cell>
          <cell r="F1" t="str">
            <v>bnf_id</v>
          </cell>
          <cell r="G1" t="str">
            <v>p279_path</v>
          </cell>
          <cell r="H1" t="str">
            <v>retry_source</v>
          </cell>
          <cell r="I1" t="str">
            <v>match_stage</v>
          </cell>
          <cell r="J1" t="str">
            <v>is_disambiguation</v>
          </cell>
          <cell r="K1" t="str">
            <v>label_similarity</v>
          </cell>
          <cell r="L1" t="str">
            <v>match_score</v>
          </cell>
          <cell r="M1" t="str">
            <v>p31_types</v>
          </cell>
          <cell r="N1" t="str">
            <v>p31_label</v>
          </cell>
          <cell r="S1" t="str">
            <v>Check</v>
          </cell>
        </row>
        <row r="2">
          <cell r="C2" t="str">
            <v>Mixed convection</v>
          </cell>
          <cell r="H2" t="str">
            <v>none</v>
          </cell>
          <cell r="I2" t="str">
            <v>none</v>
          </cell>
          <cell r="J2" t="str">
            <v>no</v>
          </cell>
          <cell r="K2">
            <v>0</v>
          </cell>
          <cell r="L2">
            <v>0</v>
          </cell>
          <cell r="O2">
            <v>0</v>
          </cell>
          <cell r="P2">
            <v>0</v>
          </cell>
          <cell r="Q2" t="str">
            <v/>
          </cell>
          <cell r="R2" t="str">
            <v>ok</v>
          </cell>
          <cell r="S2" t="str">
            <v>ok</v>
          </cell>
        </row>
        <row r="3">
          <cell r="C3" t="str">
            <v>Poiseuille-Rayleigh-BÃ©nard flow</v>
          </cell>
          <cell r="H3" t="str">
            <v>none</v>
          </cell>
          <cell r="I3" t="str">
            <v>none</v>
          </cell>
          <cell r="J3" t="str">
            <v>no</v>
          </cell>
          <cell r="K3">
            <v>0</v>
          </cell>
          <cell r="L3">
            <v>0</v>
          </cell>
          <cell r="O3">
            <v>0</v>
          </cell>
          <cell r="P3">
            <v>0</v>
          </cell>
          <cell r="Q3" t="str">
            <v/>
          </cell>
          <cell r="R3" t="str">
            <v>ok</v>
          </cell>
          <cell r="S3" t="str">
            <v>ok</v>
          </cell>
        </row>
        <row r="4">
          <cell r="C4" t="str">
            <v>Convective instability</v>
          </cell>
          <cell r="D4" t="str">
            <v>Convective instability</v>
          </cell>
          <cell r="E4" t="str">
            <v>Q3268911</v>
          </cell>
          <cell r="H4" t="str">
            <v>context</v>
          </cell>
          <cell r="I4" t="str">
            <v>context</v>
          </cell>
          <cell r="J4" t="str">
            <v>no</v>
          </cell>
          <cell r="K4">
            <v>100</v>
          </cell>
          <cell r="L4">
            <v>129.69999999999999</v>
          </cell>
          <cell r="O4" t="str">
            <v>Q3268911</v>
          </cell>
          <cell r="P4" t="str">
            <v>Q3268911</v>
          </cell>
          <cell r="Q4" t="str">
            <v/>
          </cell>
          <cell r="R4" t="str">
            <v>ok</v>
          </cell>
          <cell r="S4" t="str">
            <v>ok</v>
          </cell>
        </row>
        <row r="5">
          <cell r="C5" t="str">
            <v>Rectangular channel</v>
          </cell>
          <cell r="H5" t="str">
            <v>none</v>
          </cell>
          <cell r="I5" t="str">
            <v>none</v>
          </cell>
          <cell r="J5" t="str">
            <v>no</v>
          </cell>
          <cell r="K5">
            <v>0</v>
          </cell>
          <cell r="L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ok</v>
          </cell>
          <cell r="S5" t="str">
            <v>ok</v>
          </cell>
        </row>
        <row r="6">
          <cell r="C6" t="str">
            <v>Harmonic inlet excitation</v>
          </cell>
          <cell r="H6" t="str">
            <v>none</v>
          </cell>
          <cell r="I6" t="str">
            <v>none</v>
          </cell>
          <cell r="J6" t="str">
            <v>no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ok</v>
          </cell>
          <cell r="S6" t="str">
            <v>ok</v>
          </cell>
        </row>
        <row r="7">
          <cell r="C7" t="str">
            <v>CVD</v>
          </cell>
          <cell r="H7" t="str">
            <v>none</v>
          </cell>
          <cell r="I7" t="str">
            <v>none</v>
          </cell>
          <cell r="J7" t="str">
            <v>no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ok</v>
          </cell>
          <cell r="S7" t="str">
            <v>ok</v>
          </cell>
        </row>
        <row r="8">
          <cell r="C8" t="str">
            <v>3D numerical simulations</v>
          </cell>
          <cell r="H8" t="str">
            <v>none</v>
          </cell>
          <cell r="I8" t="str">
            <v>none</v>
          </cell>
          <cell r="J8" t="str">
            <v>no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ok</v>
          </cell>
          <cell r="S8" t="str">
            <v>ok</v>
          </cell>
        </row>
        <row r="9">
          <cell r="C9" t="str">
            <v>Design of experiments</v>
          </cell>
          <cell r="D9" t="str">
            <v>design of experiments</v>
          </cell>
          <cell r="E9" t="str">
            <v>Q2334061</v>
          </cell>
          <cell r="F9" t="str">
            <v>11939604p</v>
          </cell>
          <cell r="H9" t="str">
            <v>context</v>
          </cell>
          <cell r="I9" t="str">
            <v>context</v>
          </cell>
          <cell r="J9" t="str">
            <v>no</v>
          </cell>
          <cell r="K9">
            <v>95.2</v>
          </cell>
          <cell r="L9">
            <v>218.1</v>
          </cell>
          <cell r="M9" t="str">
            <v>Q1047113;Q1799072</v>
          </cell>
          <cell r="N9" t="str">
            <v>method;field of study</v>
          </cell>
          <cell r="O9" t="str">
            <v>Q18465858</v>
          </cell>
          <cell r="P9" t="str">
            <v>Q2334061</v>
          </cell>
          <cell r="Q9" t="str">
            <v>Mod</v>
          </cell>
          <cell r="R9" t="str">
            <v>Wrong</v>
          </cell>
          <cell r="S9" t="str">
            <v>ok</v>
          </cell>
        </row>
        <row r="10">
          <cell r="C10" t="str">
            <v>Corrosion</v>
          </cell>
          <cell r="D10" t="str">
            <v>corrosion</v>
          </cell>
          <cell r="E10" t="str">
            <v>Q137056</v>
          </cell>
          <cell r="F10" t="str">
            <v>11975888z</v>
          </cell>
          <cell r="H10" t="str">
            <v>exact_label</v>
          </cell>
          <cell r="I10" t="str">
            <v>exact_label</v>
          </cell>
          <cell r="J10" t="str">
            <v>no</v>
          </cell>
          <cell r="K10">
            <v>100</v>
          </cell>
          <cell r="L10">
            <v>50</v>
          </cell>
          <cell r="M10" t="str">
            <v>Q3382117</v>
          </cell>
          <cell r="N10" t="str">
            <v>chemical phenomenon</v>
          </cell>
          <cell r="O10" t="str">
            <v>Q5173028</v>
          </cell>
          <cell r="P10" t="str">
            <v>Q137056</v>
          </cell>
          <cell r="Q10" t="str">
            <v>Mod</v>
          </cell>
          <cell r="R10" t="str">
            <v>Wrong</v>
          </cell>
          <cell r="S10" t="str">
            <v>ok</v>
          </cell>
        </row>
        <row r="11">
          <cell r="C11" t="str">
            <v>Ni-MH batteries</v>
          </cell>
          <cell r="H11" t="str">
            <v>none</v>
          </cell>
          <cell r="I11" t="str">
            <v>none</v>
          </cell>
          <cell r="J11" t="str">
            <v>no</v>
          </cell>
          <cell r="K11">
            <v>0</v>
          </cell>
          <cell r="L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ok</v>
          </cell>
          <cell r="S11" t="str">
            <v>ok</v>
          </cell>
        </row>
        <row r="12">
          <cell r="C12" t="str">
            <v>Raman micro spectroscopy</v>
          </cell>
          <cell r="H12" t="str">
            <v>none</v>
          </cell>
          <cell r="I12" t="str">
            <v>none</v>
          </cell>
          <cell r="J12" t="str">
            <v>no</v>
          </cell>
          <cell r="K12">
            <v>0</v>
          </cell>
          <cell r="L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ok</v>
          </cell>
          <cell r="S12" t="str">
            <v>ok</v>
          </cell>
        </row>
        <row r="13">
          <cell r="C13" t="str">
            <v>TEM</v>
          </cell>
          <cell r="H13" t="str">
            <v>none</v>
          </cell>
          <cell r="I13" t="str">
            <v>none</v>
          </cell>
          <cell r="J13" t="str">
            <v>no</v>
          </cell>
          <cell r="K13">
            <v>0</v>
          </cell>
          <cell r="L13">
            <v>0</v>
          </cell>
          <cell r="O13" t="str">
            <v>Q36531</v>
          </cell>
          <cell r="P13">
            <v>0</v>
          </cell>
          <cell r="Q13" t="str">
            <v>Mod</v>
          </cell>
          <cell r="R13" t="str">
            <v>Wrong</v>
          </cell>
          <cell r="S13" t="str">
            <v>ok</v>
          </cell>
        </row>
        <row r="14">
          <cell r="C14" t="str">
            <v>Combination of techniques</v>
          </cell>
          <cell r="H14" t="str">
            <v>none</v>
          </cell>
          <cell r="I14" t="str">
            <v>none</v>
          </cell>
          <cell r="J14" t="str">
            <v>no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 t="str">
            <v/>
          </cell>
          <cell r="R14" t="str">
            <v>ok</v>
          </cell>
          <cell r="S14" t="str">
            <v>ok</v>
          </cell>
        </row>
        <row r="15">
          <cell r="C15">
            <v>20902069</v>
          </cell>
          <cell r="H15" t="str">
            <v>none</v>
          </cell>
          <cell r="I15" t="str">
            <v>none</v>
          </cell>
          <cell r="J15" t="str">
            <v>no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 t="str">
            <v/>
          </cell>
          <cell r="R15" t="str">
            <v>ok</v>
          </cell>
          <cell r="S15" t="str">
            <v>ok</v>
          </cell>
        </row>
        <row r="16">
          <cell r="C16" t="str">
            <v>Nsfc</v>
          </cell>
          <cell r="H16" t="str">
            <v>none</v>
          </cell>
          <cell r="I16" t="str">
            <v>none</v>
          </cell>
          <cell r="J16" t="str">
            <v>no</v>
          </cell>
          <cell r="K16">
            <v>0</v>
          </cell>
          <cell r="L16">
            <v>0</v>
          </cell>
          <cell r="O16">
            <v>0</v>
          </cell>
          <cell r="P16">
            <v>0</v>
          </cell>
          <cell r="Q16" t="str">
            <v/>
          </cell>
          <cell r="R16" t="str">
            <v>ok</v>
          </cell>
          <cell r="S16" t="str">
            <v>ok</v>
          </cell>
        </row>
        <row r="17">
          <cell r="C17" t="str">
            <v>National natural science foundation of china</v>
          </cell>
          <cell r="D17" t="str">
            <v>National Natural Science Foundation of China</v>
          </cell>
          <cell r="E17" t="str">
            <v>Q4501917</v>
          </cell>
          <cell r="H17" t="str">
            <v>exact_label</v>
          </cell>
          <cell r="I17" t="str">
            <v>exact_label</v>
          </cell>
          <cell r="J17" t="str">
            <v>no</v>
          </cell>
          <cell r="K17">
            <v>100</v>
          </cell>
          <cell r="L17">
            <v>50</v>
          </cell>
          <cell r="M17" t="str">
            <v>Q327333;Q45400320;Q5509032;Q98675100</v>
          </cell>
          <cell r="N17" t="str">
            <v>government agency;funding body;open-access publisher;vice-ministerial level institution</v>
          </cell>
          <cell r="O17" t="str">
            <v>Q4501917</v>
          </cell>
          <cell r="P17" t="str">
            <v>Q4501917</v>
          </cell>
          <cell r="Q17" t="str">
            <v/>
          </cell>
          <cell r="R17" t="str">
            <v>ok</v>
          </cell>
          <cell r="S17" t="str">
            <v>ok</v>
          </cell>
        </row>
        <row r="18">
          <cell r="C18">
            <v>21074094</v>
          </cell>
          <cell r="H18" t="str">
            <v>none</v>
          </cell>
          <cell r="I18" t="str">
            <v>none</v>
          </cell>
          <cell r="J18" t="str">
            <v>no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Q18" t="str">
            <v/>
          </cell>
          <cell r="R18" t="str">
            <v>ok</v>
          </cell>
          <cell r="S18" t="str">
            <v>ok</v>
          </cell>
        </row>
        <row r="19">
          <cell r="C19">
            <v>51173134</v>
          </cell>
          <cell r="H19" t="str">
            <v>none</v>
          </cell>
          <cell r="I19" t="str">
            <v>none</v>
          </cell>
          <cell r="J19" t="str">
            <v>no</v>
          </cell>
          <cell r="K19">
            <v>0</v>
          </cell>
          <cell r="L19">
            <v>0</v>
          </cell>
          <cell r="O19">
            <v>0</v>
          </cell>
          <cell r="P19">
            <v>0</v>
          </cell>
          <cell r="Q19" t="str">
            <v/>
          </cell>
          <cell r="R19" t="str">
            <v>ok</v>
          </cell>
          <cell r="S19" t="str">
            <v>ok</v>
          </cell>
        </row>
        <row r="20">
          <cell r="C20" t="str">
            <v>Potential curves</v>
          </cell>
          <cell r="H20" t="str">
            <v>none</v>
          </cell>
          <cell r="I20" t="str">
            <v>none</v>
          </cell>
          <cell r="J20" t="str">
            <v>no</v>
          </cell>
          <cell r="K20">
            <v>0</v>
          </cell>
          <cell r="L20">
            <v>0</v>
          </cell>
          <cell r="O20">
            <v>0</v>
          </cell>
          <cell r="P20">
            <v>0</v>
          </cell>
          <cell r="Q20" t="str">
            <v/>
          </cell>
          <cell r="R20" t="str">
            <v>ok</v>
          </cell>
          <cell r="S20" t="str">
            <v>ok</v>
          </cell>
        </row>
        <row r="21">
          <cell r="C21" t="str">
            <v>Long range interactions</v>
          </cell>
          <cell r="H21" t="str">
            <v>none</v>
          </cell>
          <cell r="I21" t="str">
            <v>none</v>
          </cell>
          <cell r="J21" t="str">
            <v>no</v>
          </cell>
          <cell r="K21">
            <v>0</v>
          </cell>
          <cell r="L21">
            <v>0</v>
          </cell>
          <cell r="O21">
            <v>0</v>
          </cell>
          <cell r="P21">
            <v>0</v>
          </cell>
          <cell r="Q21" t="str">
            <v/>
          </cell>
          <cell r="R21" t="str">
            <v>ok</v>
          </cell>
          <cell r="S21" t="str">
            <v>ok</v>
          </cell>
        </row>
        <row r="22">
          <cell r="C22" t="str">
            <v>Ab-initio calculations</v>
          </cell>
          <cell r="H22" t="str">
            <v>none</v>
          </cell>
          <cell r="I22" t="str">
            <v>none</v>
          </cell>
          <cell r="J22" t="str">
            <v>no</v>
          </cell>
          <cell r="K22">
            <v>0</v>
          </cell>
          <cell r="L22">
            <v>0</v>
          </cell>
          <cell r="O22">
            <v>0</v>
          </cell>
          <cell r="P22">
            <v>0</v>
          </cell>
          <cell r="Q22" t="str">
            <v/>
          </cell>
          <cell r="R22" t="str">
            <v>ok</v>
          </cell>
          <cell r="S22" t="str">
            <v>ok</v>
          </cell>
        </row>
        <row r="23">
          <cell r="C23" t="str">
            <v>Hydrogen halides</v>
          </cell>
          <cell r="D23" t="str">
            <v>hydrogen halide</v>
          </cell>
          <cell r="E23" t="str">
            <v>Q1572088</v>
          </cell>
          <cell r="H23" t="str">
            <v>exact_label</v>
          </cell>
          <cell r="I23" t="str">
            <v>exact_label</v>
          </cell>
          <cell r="J23" t="str">
            <v>no</v>
          </cell>
          <cell r="K23">
            <v>100</v>
          </cell>
          <cell r="L23">
            <v>50</v>
          </cell>
          <cell r="M23" t="str">
            <v>Q47154513</v>
          </cell>
          <cell r="N23" t="str">
            <v>structural class of chemical entities</v>
          </cell>
          <cell r="O23" t="str">
            <v>Q1572088</v>
          </cell>
          <cell r="P23" t="str">
            <v>Q1572088</v>
          </cell>
          <cell r="Q23" t="str">
            <v/>
          </cell>
          <cell r="R23" t="str">
            <v>ok</v>
          </cell>
          <cell r="S23" t="str">
            <v>ok</v>
          </cell>
        </row>
        <row r="24">
          <cell r="C24" t="str">
            <v>5210 PLANETARY SCIENCES ASTROBIOLOGY Planetary atmospheres</v>
          </cell>
          <cell r="H24" t="str">
            <v>none</v>
          </cell>
          <cell r="I24" t="str">
            <v>none</v>
          </cell>
          <cell r="J24" t="str">
            <v>no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 t="str">
            <v/>
          </cell>
          <cell r="R24" t="str">
            <v>ok</v>
          </cell>
          <cell r="S24" t="str">
            <v>ok</v>
          </cell>
        </row>
        <row r="25">
          <cell r="C25" t="str">
            <v>Clouds</v>
          </cell>
          <cell r="D25" t="str">
            <v>cloud</v>
          </cell>
          <cell r="E25" t="str">
            <v>Q8074</v>
          </cell>
          <cell r="F25" t="str">
            <v>11952827m</v>
          </cell>
          <cell r="H25" t="str">
            <v>exact_label</v>
          </cell>
          <cell r="I25" t="str">
            <v>exact_label</v>
          </cell>
          <cell r="J25" t="str">
            <v>no</v>
          </cell>
          <cell r="K25">
            <v>100</v>
          </cell>
          <cell r="L25">
            <v>50</v>
          </cell>
          <cell r="M25" t="str">
            <v>Q118733587</v>
          </cell>
          <cell r="N25" t="str">
            <v>type of meteorological phenomenon</v>
          </cell>
          <cell r="O25" t="str">
            <v>Q110548120</v>
          </cell>
          <cell r="P25" t="str">
            <v>Q8074</v>
          </cell>
          <cell r="Q25" t="str">
            <v>Mod</v>
          </cell>
          <cell r="R25" t="str">
            <v>Wrong</v>
          </cell>
          <cell r="S25" t="str">
            <v>ok</v>
          </cell>
        </row>
        <row r="26">
          <cell r="C26" t="str">
            <v>And hazes</v>
          </cell>
          <cell r="H26" t="str">
            <v>none</v>
          </cell>
          <cell r="I26" t="str">
            <v>none</v>
          </cell>
          <cell r="J26" t="str">
            <v>no</v>
          </cell>
          <cell r="K26">
            <v>0</v>
          </cell>
          <cell r="L26">
            <v>0</v>
          </cell>
          <cell r="O26">
            <v>0</v>
          </cell>
          <cell r="P26">
            <v>0</v>
          </cell>
          <cell r="Q26" t="str">
            <v/>
          </cell>
          <cell r="R26" t="str">
            <v>ok</v>
          </cell>
          <cell r="S26" t="str">
            <v>ok</v>
          </cell>
        </row>
        <row r="27">
          <cell r="C27" t="str">
            <v>5405 PLANETARY SCIENCES SOLID SURFACE PLANETS Atmospheres</v>
          </cell>
          <cell r="H27" t="str">
            <v>none</v>
          </cell>
          <cell r="I27" t="str">
            <v>none</v>
          </cell>
          <cell r="J27" t="str">
            <v>no</v>
          </cell>
          <cell r="K27">
            <v>0</v>
          </cell>
          <cell r="L27">
            <v>0</v>
          </cell>
          <cell r="O27">
            <v>0</v>
          </cell>
          <cell r="P27">
            <v>0</v>
          </cell>
          <cell r="Q27" t="str">
            <v/>
          </cell>
          <cell r="R27" t="str">
            <v>ok</v>
          </cell>
          <cell r="S27" t="str">
            <v>ok</v>
          </cell>
        </row>
        <row r="28">
          <cell r="C28" t="str">
            <v>0305 ATMOSPHERIC COMPOSITION AND STRUCTURE Aerosols and particles</v>
          </cell>
          <cell r="H28" t="str">
            <v>none</v>
          </cell>
          <cell r="I28" t="str">
            <v>none</v>
          </cell>
          <cell r="J28" t="str">
            <v>no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 t="str">
            <v/>
          </cell>
          <cell r="R28" t="str">
            <v>ok</v>
          </cell>
          <cell r="S28" t="str">
            <v>ok</v>
          </cell>
        </row>
        <row r="29">
          <cell r="C29" t="str">
            <v>Parallel Charging</v>
          </cell>
          <cell r="H29" t="str">
            <v>none</v>
          </cell>
          <cell r="I29" t="str">
            <v>none</v>
          </cell>
          <cell r="J29" t="str">
            <v>no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  <cell r="Q29" t="str">
            <v/>
          </cell>
          <cell r="R29" t="str">
            <v>ok</v>
          </cell>
          <cell r="S29" t="str">
            <v>ok</v>
          </cell>
        </row>
        <row r="30">
          <cell r="C30" t="str">
            <v>Parallel Tempering</v>
          </cell>
          <cell r="D30" t="str">
            <v>parallel tempering</v>
          </cell>
          <cell r="E30" t="str">
            <v>Q7135015</v>
          </cell>
          <cell r="H30" t="str">
            <v>context</v>
          </cell>
          <cell r="I30" t="str">
            <v>context</v>
          </cell>
          <cell r="J30" t="str">
            <v>no</v>
          </cell>
          <cell r="K30">
            <v>88.9</v>
          </cell>
          <cell r="L30">
            <v>99.5</v>
          </cell>
          <cell r="O30" t="str">
            <v>Q7135015</v>
          </cell>
          <cell r="P30" t="str">
            <v>Q7135015</v>
          </cell>
          <cell r="Q30" t="str">
            <v/>
          </cell>
          <cell r="R30" t="str">
            <v>ok</v>
          </cell>
          <cell r="S30" t="str">
            <v>ok</v>
          </cell>
        </row>
        <row r="31">
          <cell r="C31" t="str">
            <v>Electrospray ionisation</v>
          </cell>
          <cell r="H31" t="str">
            <v>none</v>
          </cell>
          <cell r="I31" t="str">
            <v>none</v>
          </cell>
          <cell r="J31" t="str">
            <v>no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 t="str">
            <v/>
          </cell>
          <cell r="R31" t="str">
            <v>ok</v>
          </cell>
          <cell r="S31" t="str">
            <v>ok</v>
          </cell>
        </row>
        <row r="32">
          <cell r="C32" t="str">
            <v>Charged droplets</v>
          </cell>
          <cell r="H32" t="str">
            <v>none</v>
          </cell>
          <cell r="I32" t="str">
            <v>none</v>
          </cell>
          <cell r="J32" t="str">
            <v>no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 t="str">
            <v/>
          </cell>
          <cell r="R32" t="str">
            <v>ok</v>
          </cell>
          <cell r="S32" t="str">
            <v>ok</v>
          </cell>
        </row>
        <row r="33">
          <cell r="C33" t="str">
            <v>Charged clusters</v>
          </cell>
          <cell r="H33" t="str">
            <v>none</v>
          </cell>
          <cell r="I33" t="str">
            <v>none</v>
          </cell>
          <cell r="J33" t="str">
            <v>no</v>
          </cell>
          <cell r="K33">
            <v>0</v>
          </cell>
          <cell r="L33">
            <v>0</v>
          </cell>
          <cell r="O33">
            <v>0</v>
          </cell>
          <cell r="P33">
            <v>0</v>
          </cell>
          <cell r="Q33" t="str">
            <v/>
          </cell>
          <cell r="R33" t="str">
            <v>ok</v>
          </cell>
          <cell r="S33" t="str">
            <v>ok</v>
          </cell>
        </row>
        <row r="34">
          <cell r="C34" t="str">
            <v>Coarse-grained models</v>
          </cell>
          <cell r="D34" t="str">
            <v>Coarse-grained model</v>
          </cell>
          <cell r="E34" t="str">
            <v>Q25305554</v>
          </cell>
          <cell r="H34" t="str">
            <v>exact_label</v>
          </cell>
          <cell r="I34" t="str">
            <v>exact_label</v>
          </cell>
          <cell r="J34" t="str">
            <v>no</v>
          </cell>
          <cell r="K34">
            <v>100</v>
          </cell>
          <cell r="L34">
            <v>50</v>
          </cell>
          <cell r="O34" t="str">
            <v>Q25305554</v>
          </cell>
          <cell r="P34" t="str">
            <v>Q25305554</v>
          </cell>
          <cell r="Q34" t="str">
            <v/>
          </cell>
          <cell r="R34" t="str">
            <v>ok</v>
          </cell>
          <cell r="S34" t="str">
            <v>ok</v>
          </cell>
        </row>
        <row r="35">
          <cell r="C35" t="str">
            <v>Monte Carlo simulations</v>
          </cell>
          <cell r="H35" t="str">
            <v>none</v>
          </cell>
          <cell r="I35" t="str">
            <v>none</v>
          </cell>
          <cell r="J35" t="str">
            <v>no</v>
          </cell>
          <cell r="K35">
            <v>0</v>
          </cell>
          <cell r="L35">
            <v>0</v>
          </cell>
          <cell r="O35" t="str">
            <v>Q57429452</v>
          </cell>
          <cell r="P35">
            <v>0</v>
          </cell>
          <cell r="Q35" t="str">
            <v>Mod</v>
          </cell>
          <cell r="R35" t="str">
            <v>Wrong</v>
          </cell>
          <cell r="S35" t="str">
            <v>ok</v>
          </cell>
        </row>
        <row r="36">
          <cell r="C36" t="str">
            <v>Potential energy functions</v>
          </cell>
          <cell r="H36" t="str">
            <v>none</v>
          </cell>
          <cell r="I36" t="str">
            <v>none</v>
          </cell>
          <cell r="J36" t="str">
            <v>no</v>
          </cell>
          <cell r="K36">
            <v>0</v>
          </cell>
          <cell r="L36">
            <v>0</v>
          </cell>
          <cell r="O36">
            <v>0</v>
          </cell>
          <cell r="P36">
            <v>0</v>
          </cell>
          <cell r="Q36" t="str">
            <v/>
          </cell>
          <cell r="R36" t="str">
            <v>ok</v>
          </cell>
          <cell r="S36" t="str">
            <v>ok</v>
          </cell>
        </row>
        <row r="37">
          <cell r="C37" t="str">
            <v>Excited states</v>
          </cell>
          <cell r="D37" t="str">
            <v>excited state</v>
          </cell>
          <cell r="E37" t="str">
            <v>Q215328</v>
          </cell>
          <cell r="H37" t="str">
            <v>exact_label</v>
          </cell>
          <cell r="I37" t="str">
            <v>exact_label</v>
          </cell>
          <cell r="J37" t="str">
            <v>no</v>
          </cell>
          <cell r="K37">
            <v>100</v>
          </cell>
          <cell r="L37">
            <v>50</v>
          </cell>
          <cell r="M37" t="str">
            <v>Q669532</v>
          </cell>
          <cell r="N37" t="str">
            <v>energy level</v>
          </cell>
          <cell r="O37" t="str">
            <v>Q215328</v>
          </cell>
          <cell r="P37" t="str">
            <v>Q215328</v>
          </cell>
          <cell r="Q37" t="str">
            <v/>
          </cell>
          <cell r="R37" t="str">
            <v>ok</v>
          </cell>
          <cell r="S37" t="str">
            <v>ok</v>
          </cell>
        </row>
        <row r="38">
          <cell r="C38" t="str">
            <v>Molecular anions</v>
          </cell>
          <cell r="H38" t="str">
            <v>none</v>
          </cell>
          <cell r="I38" t="str">
            <v>none</v>
          </cell>
          <cell r="J38" t="str">
            <v>no</v>
          </cell>
          <cell r="K38">
            <v>0</v>
          </cell>
          <cell r="L38">
            <v>0</v>
          </cell>
          <cell r="O38">
            <v>0</v>
          </cell>
          <cell r="P38">
            <v>0</v>
          </cell>
          <cell r="Q38" t="str">
            <v/>
          </cell>
          <cell r="R38" t="str">
            <v>ok</v>
          </cell>
          <cell r="S38" t="str">
            <v>ok</v>
          </cell>
        </row>
        <row r="39">
          <cell r="C39" t="str">
            <v>Glocose oxidase</v>
          </cell>
          <cell r="H39" t="str">
            <v>none</v>
          </cell>
          <cell r="I39" t="str">
            <v>none</v>
          </cell>
          <cell r="J39" t="str">
            <v>no</v>
          </cell>
          <cell r="K39">
            <v>0</v>
          </cell>
          <cell r="L39">
            <v>0</v>
          </cell>
          <cell r="O39">
            <v>0</v>
          </cell>
          <cell r="P39">
            <v>0</v>
          </cell>
          <cell r="Q39" t="str">
            <v/>
          </cell>
          <cell r="R39" t="str">
            <v>ok</v>
          </cell>
          <cell r="S39" t="str">
            <v>ok</v>
          </cell>
        </row>
        <row r="40">
          <cell r="C40" t="str">
            <v>Amperometric biosensor</v>
          </cell>
          <cell r="H40" t="str">
            <v>none</v>
          </cell>
          <cell r="I40" t="str">
            <v>none</v>
          </cell>
          <cell r="J40" t="str">
            <v>no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 t="str">
            <v/>
          </cell>
          <cell r="R40" t="str">
            <v>ok</v>
          </cell>
          <cell r="S40" t="str">
            <v>ok</v>
          </cell>
        </row>
        <row r="41">
          <cell r="C41" t="str">
            <v>Collagen</v>
          </cell>
          <cell r="D41" t="str">
            <v>collagen</v>
          </cell>
          <cell r="E41" t="str">
            <v>Q26868</v>
          </cell>
          <cell r="H41" t="str">
            <v>exact_label</v>
          </cell>
          <cell r="I41" t="str">
            <v>exact_label</v>
          </cell>
          <cell r="J41" t="str">
            <v>no</v>
          </cell>
          <cell r="K41">
            <v>100</v>
          </cell>
          <cell r="L41">
            <v>50</v>
          </cell>
          <cell r="M41" t="str">
            <v>Q5058355;Q78155096</v>
          </cell>
          <cell r="N41" t="str">
            <v>family of protein complexes;cellular component</v>
          </cell>
          <cell r="O41" t="str">
            <v>Q26868</v>
          </cell>
          <cell r="P41" t="str">
            <v>Q26868</v>
          </cell>
          <cell r="Q41" t="str">
            <v/>
          </cell>
          <cell r="R41" t="str">
            <v>ok</v>
          </cell>
          <cell r="S41" t="str">
            <v>ok</v>
          </cell>
        </row>
        <row r="42">
          <cell r="C42" t="str">
            <v>Biosensors</v>
          </cell>
          <cell r="D42" t="str">
            <v>biosensor</v>
          </cell>
          <cell r="E42" t="str">
            <v>Q669391</v>
          </cell>
          <cell r="F42" t="str">
            <v>12125424b</v>
          </cell>
          <cell r="H42" t="str">
            <v>exact_label</v>
          </cell>
          <cell r="I42" t="str">
            <v>exact_label</v>
          </cell>
          <cell r="J42" t="str">
            <v>no</v>
          </cell>
          <cell r="K42">
            <v>100</v>
          </cell>
          <cell r="L42">
            <v>50</v>
          </cell>
          <cell r="O42" t="str">
            <v>Q27709294</v>
          </cell>
          <cell r="P42" t="str">
            <v>Q669391</v>
          </cell>
          <cell r="Q42" t="str">
            <v>Mod</v>
          </cell>
          <cell r="R42" t="str">
            <v>Wrong</v>
          </cell>
          <cell r="S42" t="str">
            <v>ok</v>
          </cell>
          <cell r="T42" t="str">
            <v>Q669391</v>
          </cell>
        </row>
        <row r="43">
          <cell r="C43" t="str">
            <v>Electrochemical biosensor</v>
          </cell>
          <cell r="H43" t="str">
            <v>none</v>
          </cell>
          <cell r="I43" t="str">
            <v>none</v>
          </cell>
          <cell r="J43" t="str">
            <v>no</v>
          </cell>
          <cell r="K43">
            <v>0</v>
          </cell>
          <cell r="L43">
            <v>0</v>
          </cell>
          <cell r="O43">
            <v>0</v>
          </cell>
          <cell r="P43">
            <v>0</v>
          </cell>
          <cell r="Q43" t="str">
            <v/>
          </cell>
          <cell r="R43" t="str">
            <v>ok</v>
          </cell>
          <cell r="S43" t="str">
            <v>ok</v>
          </cell>
        </row>
        <row r="44">
          <cell r="C44" t="str">
            <v>Classification</v>
          </cell>
          <cell r="D44" t="str">
            <v>classification</v>
          </cell>
          <cell r="E44" t="str">
            <v>Q13582682</v>
          </cell>
          <cell r="F44">
            <v>133183064</v>
          </cell>
          <cell r="H44" t="str">
            <v>exact_label</v>
          </cell>
          <cell r="I44" t="str">
            <v>exact_label</v>
          </cell>
          <cell r="J44" t="str">
            <v>no</v>
          </cell>
          <cell r="K44">
            <v>100</v>
          </cell>
          <cell r="L44">
            <v>50</v>
          </cell>
          <cell r="M44" t="str">
            <v>Q116505632</v>
          </cell>
          <cell r="N44" t="str">
            <v>type of process</v>
          </cell>
          <cell r="O44" t="str">
            <v>Q5128386</v>
          </cell>
          <cell r="P44" t="str">
            <v>Q13582682</v>
          </cell>
          <cell r="Q44" t="str">
            <v>Mod</v>
          </cell>
          <cell r="R44" t="str">
            <v>ok</v>
          </cell>
          <cell r="S44" t="str">
            <v>ok</v>
          </cell>
        </row>
        <row r="45">
          <cell r="C45" t="str">
            <v>Definition</v>
          </cell>
          <cell r="D45" t="str">
            <v>Definitions</v>
          </cell>
          <cell r="E45" t="str">
            <v>Q5251610</v>
          </cell>
          <cell r="H45" t="str">
            <v>context</v>
          </cell>
          <cell r="I45" t="str">
            <v>context</v>
          </cell>
          <cell r="J45" t="str">
            <v>no</v>
          </cell>
          <cell r="K45">
            <v>95.2</v>
          </cell>
          <cell r="L45">
            <v>166.7</v>
          </cell>
          <cell r="M45" t="str">
            <v>Q21191270</v>
          </cell>
          <cell r="N45" t="str">
            <v>television series episode</v>
          </cell>
          <cell r="O45" t="str">
            <v>Q16247949</v>
          </cell>
          <cell r="P45" t="str">
            <v>Q5251610</v>
          </cell>
          <cell r="Q45" t="str">
            <v>Mod</v>
          </cell>
          <cell r="R45" t="str">
            <v>Wrong</v>
          </cell>
          <cell r="S45" t="str">
            <v>Wrong</v>
          </cell>
        </row>
        <row r="46">
          <cell r="C46" t="str">
            <v>Electrochemical biosensor</v>
          </cell>
          <cell r="H46" t="str">
            <v>none</v>
          </cell>
          <cell r="I46" t="str">
            <v>none</v>
          </cell>
          <cell r="J46" t="str">
            <v>no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  <cell r="Q46" t="str">
            <v/>
          </cell>
          <cell r="R46" t="str">
            <v>ok</v>
          </cell>
          <cell r="S46" t="str">
            <v>ok</v>
          </cell>
        </row>
        <row r="47">
          <cell r="C47" t="str">
            <v>Implantable sensor</v>
          </cell>
          <cell r="D47" t="str">
            <v>Implantable sensor</v>
          </cell>
          <cell r="E47" t="str">
            <v>Q124665234</v>
          </cell>
          <cell r="H47" t="str">
            <v>context</v>
          </cell>
          <cell r="I47" t="str">
            <v>context</v>
          </cell>
          <cell r="J47" t="str">
            <v>no</v>
          </cell>
          <cell r="K47">
            <v>100</v>
          </cell>
          <cell r="L47">
            <v>205.6</v>
          </cell>
          <cell r="M47" t="str">
            <v>Q43305660</v>
          </cell>
          <cell r="N47" t="str">
            <v>United States patent</v>
          </cell>
          <cell r="O47" t="str">
            <v>Q124665234</v>
          </cell>
          <cell r="P47" t="str">
            <v>Q124665234</v>
          </cell>
          <cell r="Q47" t="str">
            <v/>
          </cell>
          <cell r="R47" t="str">
            <v>Wrong</v>
          </cell>
          <cell r="S47" t="str">
            <v>Wrong</v>
          </cell>
        </row>
        <row r="48">
          <cell r="C48" t="str">
            <v>Glucose</v>
          </cell>
          <cell r="D48" t="str">
            <v>glucose</v>
          </cell>
          <cell r="E48" t="str">
            <v>Q37525</v>
          </cell>
          <cell r="H48" t="str">
            <v>context</v>
          </cell>
          <cell r="I48" t="str">
            <v>context</v>
          </cell>
          <cell r="J48" t="str">
            <v>no</v>
          </cell>
          <cell r="K48">
            <v>85.7</v>
          </cell>
          <cell r="L48">
            <v>130.30000000000001</v>
          </cell>
          <cell r="M48" t="str">
            <v>Q136192523;Q15711994</v>
          </cell>
          <cell r="N48" t="str">
            <v>group of isomeric entities;simple carbohydrates</v>
          </cell>
          <cell r="O48" t="str">
            <v>Q37525</v>
          </cell>
          <cell r="P48" t="str">
            <v>Q37525</v>
          </cell>
          <cell r="Q48" t="str">
            <v/>
          </cell>
          <cell r="R48" t="str">
            <v>ok</v>
          </cell>
          <cell r="S48" t="str">
            <v>ok</v>
          </cell>
        </row>
        <row r="49">
          <cell r="C49" t="str">
            <v>Glucose oxidase</v>
          </cell>
          <cell r="D49" t="str">
            <v>glucose oxidase gox</v>
          </cell>
          <cell r="E49" t="str">
            <v>Q98207203</v>
          </cell>
          <cell r="H49" t="str">
            <v>context</v>
          </cell>
          <cell r="I49" t="str">
            <v>context</v>
          </cell>
          <cell r="J49" t="str">
            <v>no</v>
          </cell>
          <cell r="K49">
            <v>82.4</v>
          </cell>
          <cell r="L49">
            <v>111.5</v>
          </cell>
          <cell r="M49" t="str">
            <v>Q8054</v>
          </cell>
          <cell r="N49" t="str">
            <v>protein</v>
          </cell>
          <cell r="O49" t="str">
            <v>Q61497978</v>
          </cell>
          <cell r="P49" t="str">
            <v>Q98207203</v>
          </cell>
          <cell r="Q49" t="str">
            <v>Mod</v>
          </cell>
          <cell r="R49" t="str">
            <v>ok</v>
          </cell>
          <cell r="S49" t="str">
            <v>Wrong</v>
          </cell>
          <cell r="T49" t="str">
            <v>Q61497978</v>
          </cell>
          <cell r="U49" t="str">
            <v>Q98207203</v>
          </cell>
        </row>
        <row r="50">
          <cell r="C50" t="str">
            <v>Electrochemical biosensor</v>
          </cell>
          <cell r="H50" t="str">
            <v>none</v>
          </cell>
          <cell r="I50" t="str">
            <v>none</v>
          </cell>
          <cell r="J50" t="str">
            <v>no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Q50" t="str">
            <v/>
          </cell>
          <cell r="R50" t="str">
            <v>ok</v>
          </cell>
          <cell r="S50" t="str">
            <v>ok</v>
          </cell>
        </row>
        <row r="51">
          <cell r="C51" t="str">
            <v>Glucose</v>
          </cell>
          <cell r="D51" t="str">
            <v>glucose</v>
          </cell>
          <cell r="E51" t="str">
            <v>Q37525</v>
          </cell>
          <cell r="H51" t="str">
            <v>context</v>
          </cell>
          <cell r="I51" t="str">
            <v>context</v>
          </cell>
          <cell r="J51" t="str">
            <v>no</v>
          </cell>
          <cell r="K51">
            <v>85.7</v>
          </cell>
          <cell r="L51">
            <v>132.9</v>
          </cell>
          <cell r="M51" t="str">
            <v>Q136192523;Q15711994</v>
          </cell>
          <cell r="N51" t="str">
            <v>group of isomeric entities;simple carbohydrates</v>
          </cell>
          <cell r="O51" t="str">
            <v>Q37525</v>
          </cell>
          <cell r="P51" t="str">
            <v>Q37525</v>
          </cell>
          <cell r="Q51" t="str">
            <v/>
          </cell>
          <cell r="R51" t="str">
            <v>ok</v>
          </cell>
          <cell r="S51" t="str">
            <v>ok</v>
          </cell>
        </row>
        <row r="52">
          <cell r="C52" t="str">
            <v>Glucose oxidase</v>
          </cell>
          <cell r="D52" t="str">
            <v>glucose oxidase</v>
          </cell>
          <cell r="E52" t="str">
            <v>Q419321</v>
          </cell>
          <cell r="H52" t="str">
            <v>context</v>
          </cell>
          <cell r="I52" t="str">
            <v>context</v>
          </cell>
          <cell r="J52" t="str">
            <v>no</v>
          </cell>
          <cell r="K52">
            <v>93.3</v>
          </cell>
          <cell r="L52">
            <v>158.4</v>
          </cell>
          <cell r="M52" t="str">
            <v>Q67015883</v>
          </cell>
          <cell r="N52" t="str">
            <v>group or class of enzymes</v>
          </cell>
          <cell r="O52" t="str">
            <v>Q61497978</v>
          </cell>
          <cell r="P52" t="str">
            <v>Q419321</v>
          </cell>
          <cell r="Q52" t="str">
            <v>Mod</v>
          </cell>
          <cell r="R52" t="str">
            <v>ok</v>
          </cell>
          <cell r="S52" t="str">
            <v>ok</v>
          </cell>
          <cell r="T52"/>
          <cell r="U52"/>
        </row>
        <row r="53">
          <cell r="C53" t="str">
            <v>Chemistry history</v>
          </cell>
          <cell r="H53" t="str">
            <v>none</v>
          </cell>
          <cell r="I53" t="str">
            <v>none</v>
          </cell>
          <cell r="J53" t="str">
            <v>no</v>
          </cell>
          <cell r="K53">
            <v>0</v>
          </cell>
          <cell r="L53">
            <v>0</v>
          </cell>
          <cell r="O53">
            <v>0</v>
          </cell>
          <cell r="P53">
            <v>0</v>
          </cell>
          <cell r="Q53" t="str">
            <v/>
          </cell>
          <cell r="R53" t="str">
            <v>ok</v>
          </cell>
          <cell r="S53" t="str">
            <v>ok</v>
          </cell>
        </row>
        <row r="54">
          <cell r="C54" t="str">
            <v>Chemical bond concepts</v>
          </cell>
          <cell r="H54" t="str">
            <v>none</v>
          </cell>
          <cell r="I54" t="str">
            <v>none</v>
          </cell>
          <cell r="J54" t="str">
            <v>no</v>
          </cell>
          <cell r="K54">
            <v>0</v>
          </cell>
          <cell r="L54">
            <v>0</v>
          </cell>
          <cell r="O54">
            <v>0</v>
          </cell>
          <cell r="P54">
            <v>0</v>
          </cell>
          <cell r="Q54" t="str">
            <v/>
          </cell>
          <cell r="R54" t="str">
            <v>ok</v>
          </cell>
          <cell r="S54" t="str">
            <v>ok</v>
          </cell>
        </row>
        <row r="55">
          <cell r="C55" t="str">
            <v>Long range interactions</v>
          </cell>
          <cell r="H55" t="str">
            <v>none</v>
          </cell>
          <cell r="I55" t="str">
            <v>none</v>
          </cell>
          <cell r="J55" t="str">
            <v>no</v>
          </cell>
          <cell r="K55">
            <v>0</v>
          </cell>
          <cell r="L55">
            <v>0</v>
          </cell>
          <cell r="O55">
            <v>0</v>
          </cell>
          <cell r="P55">
            <v>0</v>
          </cell>
          <cell r="Q55" t="str">
            <v/>
          </cell>
          <cell r="R55" t="str">
            <v>ok</v>
          </cell>
          <cell r="S55" t="str">
            <v>ok</v>
          </cell>
        </row>
        <row r="56">
          <cell r="C56" t="str">
            <v>Potential energy functions</v>
          </cell>
          <cell r="H56" t="str">
            <v>none</v>
          </cell>
          <cell r="I56" t="str">
            <v>none</v>
          </cell>
          <cell r="J56" t="str">
            <v>no</v>
          </cell>
          <cell r="K56">
            <v>0</v>
          </cell>
          <cell r="L56">
            <v>0</v>
          </cell>
          <cell r="O56">
            <v>0</v>
          </cell>
          <cell r="P56">
            <v>0</v>
          </cell>
          <cell r="Q56" t="str">
            <v/>
          </cell>
          <cell r="R56" t="str">
            <v>ok</v>
          </cell>
          <cell r="S56" t="str">
            <v>ok</v>
          </cell>
        </row>
        <row r="57">
          <cell r="C57" t="str">
            <v>Control</v>
          </cell>
          <cell r="H57" t="str">
            <v>none</v>
          </cell>
          <cell r="I57" t="str">
            <v>none</v>
          </cell>
          <cell r="J57" t="str">
            <v>no</v>
          </cell>
          <cell r="K57">
            <v>0</v>
          </cell>
          <cell r="L57">
            <v>0</v>
          </cell>
          <cell r="O57" t="str">
            <v>Q3689255</v>
          </cell>
          <cell r="P57">
            <v>0</v>
          </cell>
          <cell r="Q57" t="str">
            <v>Mod</v>
          </cell>
          <cell r="R57" t="str">
            <v>Wrong</v>
          </cell>
          <cell r="S57" t="str">
            <v>ok</v>
          </cell>
          <cell r="T57"/>
          <cell r="U57"/>
        </row>
        <row r="58">
          <cell r="C58" t="str">
            <v>Instrumentation</v>
          </cell>
          <cell r="D58" t="str">
            <v>instrumentation</v>
          </cell>
          <cell r="E58" t="str">
            <v>Q1770203</v>
          </cell>
          <cell r="H58" t="str">
            <v>context</v>
          </cell>
          <cell r="I58" t="str">
            <v>context</v>
          </cell>
          <cell r="J58" t="str">
            <v>no</v>
          </cell>
          <cell r="K58">
            <v>93.3</v>
          </cell>
          <cell r="L58">
            <v>104.8</v>
          </cell>
          <cell r="O58" t="str">
            <v>Q28471383</v>
          </cell>
          <cell r="P58" t="str">
            <v>Q1770203</v>
          </cell>
          <cell r="Q58" t="str">
            <v>Mod</v>
          </cell>
          <cell r="R58" t="str">
            <v>Wrong</v>
          </cell>
          <cell r="S58" t="str">
            <v>ok</v>
          </cell>
          <cell r="T58" t="str">
            <v>Q28471383</v>
          </cell>
        </row>
        <row r="59">
          <cell r="C59" t="str">
            <v>Waste water treatment plant</v>
          </cell>
          <cell r="D59" t="str">
            <v>Waste Water Treatment Plant</v>
          </cell>
          <cell r="E59" t="str">
            <v>Q116719041</v>
          </cell>
          <cell r="H59" t="str">
            <v>exact_label</v>
          </cell>
          <cell r="I59" t="str">
            <v>exact_label</v>
          </cell>
          <cell r="J59" t="str">
            <v>no</v>
          </cell>
          <cell r="K59">
            <v>100</v>
          </cell>
          <cell r="L59">
            <v>50</v>
          </cell>
          <cell r="M59" t="str">
            <v>Q1003207</v>
          </cell>
          <cell r="N59" t="str">
            <v>photovoltaic power station</v>
          </cell>
          <cell r="O59" t="str">
            <v>Q116719041</v>
          </cell>
          <cell r="P59" t="str">
            <v>Q116719041</v>
          </cell>
          <cell r="Q59" t="str">
            <v/>
          </cell>
          <cell r="R59" t="str">
            <v>Wrong</v>
          </cell>
          <cell r="S59" t="str">
            <v>Wrong</v>
          </cell>
        </row>
        <row r="60">
          <cell r="C60" t="str">
            <v>Oxygen</v>
          </cell>
          <cell r="D60" t="str">
            <v>oxygen</v>
          </cell>
          <cell r="E60" t="str">
            <v>Q629</v>
          </cell>
          <cell r="F60" t="str">
            <v>11977353d</v>
          </cell>
          <cell r="H60" t="str">
            <v>exact_label</v>
          </cell>
          <cell r="I60" t="str">
            <v>exact_label</v>
          </cell>
          <cell r="J60" t="str">
            <v>no</v>
          </cell>
          <cell r="K60">
            <v>100</v>
          </cell>
          <cell r="L60">
            <v>50</v>
          </cell>
          <cell r="M60" t="str">
            <v>Q1130479;Q11344;Q19600</v>
          </cell>
          <cell r="N60" t="str">
            <v>nonmetal;lithophile;chemical element</v>
          </cell>
          <cell r="O60" t="str">
            <v>Q15618</v>
          </cell>
          <cell r="P60" t="str">
            <v>Q629</v>
          </cell>
          <cell r="Q60" t="str">
            <v>Mod</v>
          </cell>
          <cell r="R60" t="str">
            <v>Wrong</v>
          </cell>
          <cell r="S60" t="str">
            <v>ok</v>
          </cell>
        </row>
        <row r="61">
          <cell r="C61" t="str">
            <v>Activated sludge</v>
          </cell>
          <cell r="D61" t="str">
            <v>activated sludge</v>
          </cell>
          <cell r="E61" t="str">
            <v>Q815353</v>
          </cell>
          <cell r="H61" t="str">
            <v>context</v>
          </cell>
          <cell r="I61" t="str">
            <v>context</v>
          </cell>
          <cell r="J61" t="str">
            <v>no</v>
          </cell>
          <cell r="K61">
            <v>93.8</v>
          </cell>
          <cell r="L61">
            <v>225.5</v>
          </cell>
          <cell r="O61" t="str">
            <v>Q815353</v>
          </cell>
          <cell r="P61" t="str">
            <v>Q815353</v>
          </cell>
          <cell r="Q61" t="str">
            <v/>
          </cell>
          <cell r="R61" t="str">
            <v>ok</v>
          </cell>
          <cell r="S61" t="str">
            <v>ok</v>
          </cell>
        </row>
        <row r="62">
          <cell r="C62" t="str">
            <v>Redox potential</v>
          </cell>
          <cell r="D62" t="str">
            <v>redox potential</v>
          </cell>
          <cell r="E62" t="str">
            <v>Q1640043</v>
          </cell>
          <cell r="H62" t="str">
            <v>exact_label</v>
          </cell>
          <cell r="I62" t="str">
            <v>exact_label</v>
          </cell>
          <cell r="J62" t="str">
            <v>no</v>
          </cell>
          <cell r="K62">
            <v>100</v>
          </cell>
          <cell r="L62">
            <v>50</v>
          </cell>
          <cell r="O62" t="str">
            <v>Q1640043</v>
          </cell>
          <cell r="P62" t="str">
            <v>Q1640043</v>
          </cell>
          <cell r="Q62" t="str">
            <v/>
          </cell>
          <cell r="R62" t="str">
            <v>ok</v>
          </cell>
          <cell r="S62" t="str">
            <v>ok</v>
          </cell>
        </row>
        <row r="63">
          <cell r="C63" t="str">
            <v>Glucose sensor</v>
          </cell>
          <cell r="D63" t="str">
            <v>RGT2</v>
          </cell>
          <cell r="E63" t="str">
            <v>Q27541060</v>
          </cell>
          <cell r="H63" t="str">
            <v>context</v>
          </cell>
          <cell r="I63" t="str">
            <v>context</v>
          </cell>
          <cell r="J63" t="str">
            <v>no</v>
          </cell>
          <cell r="K63">
            <v>84.8</v>
          </cell>
          <cell r="L63">
            <v>191.1</v>
          </cell>
          <cell r="M63" t="str">
            <v>Q7187</v>
          </cell>
          <cell r="N63" t="str">
            <v>gene</v>
          </cell>
          <cell r="O63" t="str">
            <v>Q126364723</v>
          </cell>
          <cell r="P63" t="str">
            <v>Q27541060</v>
          </cell>
          <cell r="Q63" t="str">
            <v>Mod</v>
          </cell>
          <cell r="R63" t="str">
            <v>Wrong</v>
          </cell>
          <cell r="S63" t="str">
            <v>Wrong</v>
          </cell>
          <cell r="T63" t="str">
            <v>Dereria estar vacio</v>
          </cell>
          <cell r="U63" t="str">
            <v>Q126364723</v>
          </cell>
        </row>
        <row r="64">
          <cell r="C64" t="str">
            <v>Calcium</v>
          </cell>
          <cell r="D64" t="str">
            <v>calcium</v>
          </cell>
          <cell r="E64" t="str">
            <v>Q706</v>
          </cell>
          <cell r="F64" t="str">
            <v>11976285h</v>
          </cell>
          <cell r="H64" t="str">
            <v>exact_label</v>
          </cell>
          <cell r="I64" t="str">
            <v>exact_label</v>
          </cell>
          <cell r="J64" t="str">
            <v>no</v>
          </cell>
          <cell r="K64">
            <v>100</v>
          </cell>
          <cell r="L64">
            <v>50</v>
          </cell>
          <cell r="M64" t="str">
            <v>Q1130479;Q11344;Q35456</v>
          </cell>
          <cell r="N64" t="str">
            <v>lithophile;chemical element;essential medicine</v>
          </cell>
          <cell r="O64" t="str">
            <v>Q3461363</v>
          </cell>
          <cell r="P64" t="str">
            <v>Q706</v>
          </cell>
          <cell r="Q64" t="str">
            <v>Mod</v>
          </cell>
          <cell r="R64" t="str">
            <v>Wrong</v>
          </cell>
          <cell r="S64" t="str">
            <v>ok</v>
          </cell>
        </row>
        <row r="65">
          <cell r="C65" t="str">
            <v>Hydrogen peroxide</v>
          </cell>
          <cell r="D65" t="str">
            <v>hydrogen peroxide</v>
          </cell>
          <cell r="E65" t="str">
            <v>Q171877</v>
          </cell>
          <cell r="F65">
            <v>119510333</v>
          </cell>
          <cell r="H65" t="str">
            <v>context</v>
          </cell>
          <cell r="I65" t="str">
            <v>context</v>
          </cell>
          <cell r="J65" t="str">
            <v>no</v>
          </cell>
          <cell r="K65">
            <v>94.1</v>
          </cell>
          <cell r="L65">
            <v>203.1</v>
          </cell>
          <cell r="M65" t="str">
            <v>Q113145171</v>
          </cell>
          <cell r="N65" t="str">
            <v>type of chemical entity</v>
          </cell>
          <cell r="O65" t="str">
            <v>Q171877</v>
          </cell>
          <cell r="P65" t="str">
            <v>Q171877</v>
          </cell>
          <cell r="Q65" t="str">
            <v/>
          </cell>
          <cell r="R65" t="str">
            <v>ok</v>
          </cell>
          <cell r="S65" t="str">
            <v>ok</v>
          </cell>
        </row>
        <row r="66">
          <cell r="C66" t="str">
            <v>Koutecky-Levich plots</v>
          </cell>
          <cell r="H66" t="str">
            <v>none</v>
          </cell>
          <cell r="I66" t="str">
            <v>none</v>
          </cell>
          <cell r="J66" t="str">
            <v>no</v>
          </cell>
          <cell r="K66">
            <v>0</v>
          </cell>
          <cell r="L66">
            <v>0</v>
          </cell>
          <cell r="O66">
            <v>0</v>
          </cell>
          <cell r="P66">
            <v>0</v>
          </cell>
          <cell r="Q66" t="str">
            <v/>
          </cell>
          <cell r="R66" t="str">
            <v>ok</v>
          </cell>
          <cell r="S66" t="str">
            <v>ok</v>
          </cell>
        </row>
        <row r="67">
          <cell r="C67" t="str">
            <v>Platinum</v>
          </cell>
          <cell r="D67" t="str">
            <v>Platinum</v>
          </cell>
          <cell r="E67" t="str">
            <v>Q80139</v>
          </cell>
          <cell r="H67" t="str">
            <v>context</v>
          </cell>
          <cell r="I67" t="str">
            <v>context</v>
          </cell>
          <cell r="J67" t="str">
            <v>no</v>
          </cell>
          <cell r="K67">
            <v>100</v>
          </cell>
          <cell r="L67">
            <v>203.8</v>
          </cell>
          <cell r="M67" t="str">
            <v>Q1093829</v>
          </cell>
          <cell r="N67" t="str">
            <v>city in the United States</v>
          </cell>
          <cell r="O67" t="str">
            <v>Q929074</v>
          </cell>
          <cell r="P67" t="str">
            <v>Q80139</v>
          </cell>
          <cell r="Q67" t="str">
            <v>Mod</v>
          </cell>
          <cell r="R67" t="str">
            <v>Wrong</v>
          </cell>
          <cell r="S67" t="str">
            <v>Wrong</v>
          </cell>
        </row>
        <row r="68">
          <cell r="C68" t="str">
            <v>Electrochemical biosensor</v>
          </cell>
          <cell r="H68" t="str">
            <v>none</v>
          </cell>
          <cell r="I68" t="str">
            <v>none</v>
          </cell>
          <cell r="J68" t="str">
            <v>no</v>
          </cell>
          <cell r="K68">
            <v>0</v>
          </cell>
          <cell r="L68">
            <v>0</v>
          </cell>
          <cell r="O68">
            <v>0</v>
          </cell>
          <cell r="P68">
            <v>0</v>
          </cell>
          <cell r="Q68" t="str">
            <v/>
          </cell>
          <cell r="R68" t="str">
            <v>ok</v>
          </cell>
          <cell r="S68" t="str">
            <v>ok</v>
          </cell>
        </row>
        <row r="69">
          <cell r="C69" t="str">
            <v>Definition</v>
          </cell>
          <cell r="D69" t="str">
            <v>Definitions</v>
          </cell>
          <cell r="E69" t="str">
            <v>Q5251610</v>
          </cell>
          <cell r="H69" t="str">
            <v>context</v>
          </cell>
          <cell r="I69" t="str">
            <v>context</v>
          </cell>
          <cell r="J69" t="str">
            <v>no</v>
          </cell>
          <cell r="K69">
            <v>95.2</v>
          </cell>
          <cell r="L69">
            <v>166.7</v>
          </cell>
          <cell r="M69" t="str">
            <v>Q21191270</v>
          </cell>
          <cell r="N69" t="str">
            <v>television series episode</v>
          </cell>
          <cell r="O69" t="str">
            <v>Q16247949</v>
          </cell>
          <cell r="P69" t="str">
            <v>Q5251610</v>
          </cell>
          <cell r="Q69" t="str">
            <v>Mod</v>
          </cell>
          <cell r="R69" t="str">
            <v>Wrong</v>
          </cell>
          <cell r="S69" t="str">
            <v>Wrong</v>
          </cell>
        </row>
        <row r="70">
          <cell r="C70" t="str">
            <v>Single use biosensor</v>
          </cell>
          <cell r="H70" t="str">
            <v>none</v>
          </cell>
          <cell r="I70" t="str">
            <v>none</v>
          </cell>
          <cell r="J70" t="str">
            <v>no</v>
          </cell>
          <cell r="K70">
            <v>0</v>
          </cell>
          <cell r="L70">
            <v>0</v>
          </cell>
          <cell r="O70">
            <v>0</v>
          </cell>
          <cell r="P70">
            <v>0</v>
          </cell>
          <cell r="Q70" t="str">
            <v/>
          </cell>
          <cell r="R70" t="str">
            <v>ok</v>
          </cell>
          <cell r="S70" t="str">
            <v>ok</v>
          </cell>
        </row>
        <row r="71">
          <cell r="C71" t="str">
            <v>Calibration characteristics</v>
          </cell>
          <cell r="H71" t="str">
            <v>none</v>
          </cell>
          <cell r="I71" t="str">
            <v>none</v>
          </cell>
          <cell r="J71" t="str">
            <v>no</v>
          </cell>
          <cell r="K71">
            <v>0</v>
          </cell>
          <cell r="L71">
            <v>0</v>
          </cell>
          <cell r="O71">
            <v>0</v>
          </cell>
          <cell r="P71">
            <v>0</v>
          </cell>
          <cell r="Q71" t="str">
            <v/>
          </cell>
          <cell r="R71" t="str">
            <v>ok</v>
          </cell>
          <cell r="S71" t="str">
            <v>ok</v>
          </cell>
        </row>
        <row r="72">
          <cell r="C72" t="str">
            <v>Performance criteria</v>
          </cell>
          <cell r="D72" t="str">
            <v>Performance Criteria</v>
          </cell>
          <cell r="E72" t="str">
            <v>Q134702323</v>
          </cell>
          <cell r="H72" t="str">
            <v>exact_label</v>
          </cell>
          <cell r="I72" t="str">
            <v>exact_label</v>
          </cell>
          <cell r="J72" t="str">
            <v>no</v>
          </cell>
          <cell r="K72">
            <v>100</v>
          </cell>
          <cell r="L72">
            <v>50</v>
          </cell>
          <cell r="M72" t="str">
            <v>Q7725634</v>
          </cell>
          <cell r="N72" t="str">
            <v>literary work</v>
          </cell>
          <cell r="O72" t="str">
            <v>Q134702323</v>
          </cell>
          <cell r="P72" t="str">
            <v>Q134702323</v>
          </cell>
          <cell r="Q72" t="str">
            <v/>
          </cell>
          <cell r="R72" t="str">
            <v>Wrong</v>
          </cell>
          <cell r="S72" t="str">
            <v>Wrong</v>
          </cell>
        </row>
        <row r="73">
          <cell r="C73" t="str">
            <v>Analytes</v>
          </cell>
          <cell r="D73" t="str">
            <v>analyte</v>
          </cell>
          <cell r="E73" t="str">
            <v>Q2282401</v>
          </cell>
          <cell r="H73" t="str">
            <v>exact_label</v>
          </cell>
          <cell r="I73" t="str">
            <v>exact_label</v>
          </cell>
          <cell r="J73" t="str">
            <v>no</v>
          </cell>
          <cell r="K73">
            <v>100</v>
          </cell>
          <cell r="L73">
            <v>50</v>
          </cell>
          <cell r="O73" t="str">
            <v>Q2282401</v>
          </cell>
          <cell r="P73" t="str">
            <v>Q2282401</v>
          </cell>
          <cell r="Q73" t="str">
            <v/>
          </cell>
          <cell r="R73" t="str">
            <v>ok</v>
          </cell>
          <cell r="S73" t="str">
            <v>ok</v>
          </cell>
        </row>
        <row r="74">
          <cell r="C74" t="str">
            <v>Cr</v>
          </cell>
          <cell r="H74" t="str">
            <v>none</v>
          </cell>
          <cell r="I74" t="str">
            <v>none</v>
          </cell>
          <cell r="J74" t="str">
            <v>no</v>
          </cell>
          <cell r="K74">
            <v>0</v>
          </cell>
          <cell r="L74">
            <v>0</v>
          </cell>
          <cell r="O74">
            <v>0</v>
          </cell>
          <cell r="P74">
            <v>0</v>
          </cell>
          <cell r="Q74" t="str">
            <v/>
          </cell>
          <cell r="R74" t="str">
            <v>ok</v>
          </cell>
          <cell r="S74" t="str">
            <v>ok</v>
          </cell>
        </row>
        <row r="75">
          <cell r="C75" t="str">
            <v>Cu</v>
          </cell>
          <cell r="H75" t="str">
            <v>none</v>
          </cell>
          <cell r="I75" t="str">
            <v>none</v>
          </cell>
          <cell r="J75" t="str">
            <v>no</v>
          </cell>
          <cell r="K75">
            <v>0</v>
          </cell>
          <cell r="L75">
            <v>0</v>
          </cell>
          <cell r="O75">
            <v>0</v>
          </cell>
          <cell r="P75">
            <v>0</v>
          </cell>
          <cell r="Q75" t="str">
            <v/>
          </cell>
          <cell r="R75" t="str">
            <v>ok</v>
          </cell>
          <cell r="S75" t="str">
            <v>ok</v>
          </cell>
        </row>
        <row r="76">
          <cell r="C76" t="str">
            <v>Cd</v>
          </cell>
          <cell r="H76" t="str">
            <v>none</v>
          </cell>
          <cell r="I76" t="str">
            <v>none</v>
          </cell>
          <cell r="J76" t="str">
            <v>no</v>
          </cell>
          <cell r="K76">
            <v>0</v>
          </cell>
          <cell r="L76">
            <v>0</v>
          </cell>
          <cell r="O76">
            <v>0</v>
          </cell>
          <cell r="P76">
            <v>0</v>
          </cell>
          <cell r="Q76" t="str">
            <v/>
          </cell>
          <cell r="R76" t="str">
            <v>ok</v>
          </cell>
          <cell r="S76" t="str">
            <v>ok</v>
          </cell>
        </row>
        <row r="77">
          <cell r="C77" t="str">
            <v>Zn</v>
          </cell>
          <cell r="H77" t="str">
            <v>none</v>
          </cell>
          <cell r="I77" t="str">
            <v>none</v>
          </cell>
          <cell r="J77" t="str">
            <v>no</v>
          </cell>
          <cell r="K77">
            <v>0</v>
          </cell>
          <cell r="L77">
            <v>0</v>
          </cell>
          <cell r="O77">
            <v>0</v>
          </cell>
          <cell r="P77">
            <v>0</v>
          </cell>
          <cell r="Q77" t="str">
            <v/>
          </cell>
          <cell r="R77" t="str">
            <v>ok</v>
          </cell>
          <cell r="S77" t="str">
            <v>ok</v>
          </cell>
        </row>
        <row r="78">
          <cell r="C78" t="str">
            <v>Hg</v>
          </cell>
          <cell r="H78" t="str">
            <v>none</v>
          </cell>
          <cell r="I78" t="str">
            <v>none</v>
          </cell>
          <cell r="J78" t="str">
            <v>no</v>
          </cell>
          <cell r="K78">
            <v>0</v>
          </cell>
          <cell r="L78">
            <v>0</v>
          </cell>
          <cell r="O78">
            <v>0</v>
          </cell>
          <cell r="P78">
            <v>0</v>
          </cell>
          <cell r="Q78" t="str">
            <v/>
          </cell>
          <cell r="R78" t="str">
            <v>ok</v>
          </cell>
          <cell r="S78" t="str">
            <v>ok</v>
          </cell>
        </row>
        <row r="79">
          <cell r="C79" t="str">
            <v>Pb</v>
          </cell>
          <cell r="H79" t="str">
            <v>none</v>
          </cell>
          <cell r="I79" t="str">
            <v>none</v>
          </cell>
          <cell r="J79" t="str">
            <v>no</v>
          </cell>
          <cell r="K79">
            <v>0</v>
          </cell>
          <cell r="L79">
            <v>0</v>
          </cell>
          <cell r="O79">
            <v>0</v>
          </cell>
          <cell r="P79">
            <v>0</v>
          </cell>
          <cell r="Q79" t="str">
            <v/>
          </cell>
          <cell r="R79" t="str">
            <v>ok</v>
          </cell>
          <cell r="S79" t="str">
            <v>ok</v>
          </cell>
        </row>
        <row r="80">
          <cell r="C80" t="str">
            <v>Heavy metals</v>
          </cell>
          <cell r="D80" t="str">
            <v>Heavy Metal</v>
          </cell>
          <cell r="E80" t="str">
            <v>Q102366719</v>
          </cell>
          <cell r="H80" t="str">
            <v>context</v>
          </cell>
          <cell r="I80" t="str">
            <v>context</v>
          </cell>
          <cell r="J80" t="str">
            <v>no</v>
          </cell>
          <cell r="K80">
            <v>87</v>
          </cell>
          <cell r="L80">
            <v>195.5</v>
          </cell>
          <cell r="M80" t="str">
            <v>Q21191270</v>
          </cell>
          <cell r="N80" t="str">
            <v>television series episode</v>
          </cell>
          <cell r="O80" t="str">
            <v>Q5695115</v>
          </cell>
          <cell r="P80" t="str">
            <v>Q102366719</v>
          </cell>
          <cell r="Q80" t="str">
            <v>Mod</v>
          </cell>
          <cell r="R80" t="str">
            <v>Wrong</v>
          </cell>
          <cell r="S80" t="str">
            <v>Wrong</v>
          </cell>
        </row>
        <row r="81">
          <cell r="C81" t="str">
            <v>Budget</v>
          </cell>
          <cell r="D81" t="str">
            <v>budget</v>
          </cell>
          <cell r="E81" t="str">
            <v>Q41263</v>
          </cell>
          <cell r="H81" t="str">
            <v>exact_label</v>
          </cell>
          <cell r="I81" t="str">
            <v>exact_label</v>
          </cell>
          <cell r="J81" t="str">
            <v>no</v>
          </cell>
          <cell r="K81">
            <v>100</v>
          </cell>
          <cell r="L81">
            <v>50</v>
          </cell>
          <cell r="M81" t="str">
            <v>Q1047113;Q2267705</v>
          </cell>
          <cell r="N81" t="str">
            <v>field of study;field of study</v>
          </cell>
          <cell r="O81" t="str">
            <v>Q41263</v>
          </cell>
          <cell r="P81" t="str">
            <v>Q41263</v>
          </cell>
          <cell r="Q81" t="str">
            <v/>
          </cell>
          <cell r="R81" t="str">
            <v>Wrong</v>
          </cell>
          <cell r="S81" t="str">
            <v>Wrong</v>
          </cell>
        </row>
        <row r="82">
          <cell r="C82" t="str">
            <v>Seine</v>
          </cell>
          <cell r="D82" t="str">
            <v>Seine</v>
          </cell>
          <cell r="E82" t="str">
            <v>Q1471</v>
          </cell>
          <cell r="F82">
            <v>119582905</v>
          </cell>
          <cell r="H82" t="str">
            <v>context</v>
          </cell>
          <cell r="I82" t="str">
            <v>context</v>
          </cell>
          <cell r="J82" t="str">
            <v>no</v>
          </cell>
          <cell r="K82">
            <v>100</v>
          </cell>
          <cell r="L82">
            <v>242</v>
          </cell>
          <cell r="M82" t="str">
            <v>Q4022;Q573344</v>
          </cell>
          <cell r="N82" t="str">
            <v>main stem;river</v>
          </cell>
          <cell r="O82" t="str">
            <v>Q25344232</v>
          </cell>
          <cell r="P82" t="str">
            <v>Q1471</v>
          </cell>
          <cell r="Q82" t="str">
            <v>Mod</v>
          </cell>
          <cell r="R82" t="str">
            <v>Wrong</v>
          </cell>
          <cell r="S82" t="str">
            <v>ok</v>
          </cell>
        </row>
        <row r="83">
          <cell r="C83" t="str">
            <v>River</v>
          </cell>
          <cell r="D83" t="str">
            <v>river</v>
          </cell>
          <cell r="E83" t="str">
            <v>Q4022</v>
          </cell>
          <cell r="H83" t="str">
            <v>context</v>
          </cell>
          <cell r="I83" t="str">
            <v>context</v>
          </cell>
          <cell r="J83" t="str">
            <v>no</v>
          </cell>
          <cell r="K83">
            <v>80</v>
          </cell>
          <cell r="L83">
            <v>226.3</v>
          </cell>
          <cell r="M83" t="str">
            <v>Q125824188;Q1428660</v>
          </cell>
          <cell r="N83" t="str">
            <v>ecosystem type;type of watercourse</v>
          </cell>
          <cell r="O83" t="str">
            <v>Q1189823</v>
          </cell>
          <cell r="P83" t="str">
            <v>Q4022</v>
          </cell>
          <cell r="Q83" t="str">
            <v>Mod</v>
          </cell>
          <cell r="R83" t="str">
            <v>Wrong</v>
          </cell>
          <cell r="S83" t="str">
            <v>ok</v>
          </cell>
        </row>
        <row r="84">
          <cell r="C84" t="str">
            <v>Ni</v>
          </cell>
          <cell r="H84" t="str">
            <v>none</v>
          </cell>
          <cell r="I84" t="str">
            <v>none</v>
          </cell>
          <cell r="J84" t="str">
            <v>no</v>
          </cell>
          <cell r="K84">
            <v>0</v>
          </cell>
          <cell r="L84">
            <v>0</v>
          </cell>
          <cell r="O84" t="str">
            <v>Q6854084</v>
          </cell>
          <cell r="P84">
            <v>0</v>
          </cell>
          <cell r="Q84" t="str">
            <v>Mod</v>
          </cell>
          <cell r="R84" t="str">
            <v>Wrong</v>
          </cell>
          <cell r="S84" t="str">
            <v>Wrong</v>
          </cell>
          <cell r="T84" t="str">
            <v>Tendria que ser elemento quimico</v>
          </cell>
        </row>
        <row r="85">
          <cell r="C85" t="str">
            <v>Anthropogenic impacts</v>
          </cell>
          <cell r="H85" t="str">
            <v>none</v>
          </cell>
          <cell r="I85" t="str">
            <v>none</v>
          </cell>
          <cell r="J85" t="str">
            <v>no</v>
          </cell>
          <cell r="K85">
            <v>0</v>
          </cell>
          <cell r="L85">
            <v>0</v>
          </cell>
          <cell r="O85">
            <v>0</v>
          </cell>
          <cell r="P85">
            <v>0</v>
          </cell>
          <cell r="Q85" t="str">
            <v/>
          </cell>
          <cell r="R85" t="str">
            <v>ok</v>
          </cell>
          <cell r="S85" t="str">
            <v>ok</v>
          </cell>
        </row>
        <row r="86">
          <cell r="C86" t="str">
            <v>Sampling procedures</v>
          </cell>
          <cell r="H86" t="str">
            <v>none</v>
          </cell>
          <cell r="I86" t="str">
            <v>none</v>
          </cell>
          <cell r="J86" t="str">
            <v>no</v>
          </cell>
          <cell r="K86">
            <v>0</v>
          </cell>
          <cell r="L86">
            <v>0</v>
          </cell>
          <cell r="O86" t="str">
            <v>Q114658653</v>
          </cell>
          <cell r="P86">
            <v>0</v>
          </cell>
          <cell r="Q86" t="str">
            <v>Mod</v>
          </cell>
          <cell r="R86" t="str">
            <v>ok</v>
          </cell>
          <cell r="S86" t="str">
            <v>ok</v>
          </cell>
        </row>
        <row r="87">
          <cell r="C87" t="str">
            <v>Atmospheric fallout</v>
          </cell>
          <cell r="H87" t="str">
            <v>none</v>
          </cell>
          <cell r="I87" t="str">
            <v>none</v>
          </cell>
          <cell r="J87" t="str">
            <v>no</v>
          </cell>
          <cell r="K87">
            <v>0</v>
          </cell>
          <cell r="L87">
            <v>0</v>
          </cell>
          <cell r="O87">
            <v>0</v>
          </cell>
          <cell r="P87">
            <v>0</v>
          </cell>
          <cell r="Q87" t="str">
            <v/>
          </cell>
          <cell r="R87" t="str">
            <v>ok</v>
          </cell>
          <cell r="S87" t="str">
            <v>ok</v>
          </cell>
        </row>
        <row r="88">
          <cell r="C88" t="str">
            <v>Trace elements</v>
          </cell>
          <cell r="D88" t="str">
            <v>trace element</v>
          </cell>
          <cell r="E88" t="str">
            <v>Q351792</v>
          </cell>
          <cell r="F88" t="str">
            <v>11975502k</v>
          </cell>
          <cell r="H88" t="str">
            <v>exact_label</v>
          </cell>
          <cell r="I88" t="str">
            <v>exact_label</v>
          </cell>
          <cell r="J88" t="str">
            <v>no</v>
          </cell>
          <cell r="K88">
            <v>100</v>
          </cell>
          <cell r="L88">
            <v>50</v>
          </cell>
          <cell r="O88" t="str">
            <v>Q351792</v>
          </cell>
          <cell r="P88" t="str">
            <v>Q351792</v>
          </cell>
          <cell r="Q88" t="str">
            <v/>
          </cell>
          <cell r="R88" t="str">
            <v>ok</v>
          </cell>
          <cell r="S88" t="str">
            <v>ok</v>
          </cell>
        </row>
        <row r="89">
          <cell r="C89" t="str">
            <v>Vibronic states</v>
          </cell>
          <cell r="H89" t="str">
            <v>none</v>
          </cell>
          <cell r="I89" t="str">
            <v>none</v>
          </cell>
          <cell r="J89" t="str">
            <v>no</v>
          </cell>
          <cell r="K89">
            <v>0</v>
          </cell>
          <cell r="L89">
            <v>0</v>
          </cell>
          <cell r="O89">
            <v>0</v>
          </cell>
          <cell r="P89">
            <v>0</v>
          </cell>
          <cell r="Q89" t="str">
            <v/>
          </cell>
          <cell r="R89" t="str">
            <v>ok</v>
          </cell>
          <cell r="S89" t="str">
            <v>ok</v>
          </cell>
        </row>
        <row r="90">
          <cell r="C90" t="str">
            <v>Spinâ€“orbit coupling</v>
          </cell>
          <cell r="H90" t="str">
            <v>none</v>
          </cell>
          <cell r="I90" t="str">
            <v>none</v>
          </cell>
          <cell r="J90" t="str">
            <v>no</v>
          </cell>
          <cell r="K90">
            <v>0</v>
          </cell>
          <cell r="L90">
            <v>0</v>
          </cell>
          <cell r="O90">
            <v>0</v>
          </cell>
          <cell r="P90">
            <v>0</v>
          </cell>
          <cell r="Q90" t="str">
            <v/>
          </cell>
          <cell r="R90" t="str">
            <v>ok</v>
          </cell>
          <cell r="S90" t="str">
            <v>ok</v>
          </cell>
        </row>
        <row r="91">
          <cell r="C91" t="str">
            <v>MRCI+Q</v>
          </cell>
          <cell r="H91" t="str">
            <v>none</v>
          </cell>
          <cell r="I91" t="str">
            <v>none</v>
          </cell>
          <cell r="J91" t="str">
            <v>no</v>
          </cell>
          <cell r="K91">
            <v>0</v>
          </cell>
          <cell r="L91">
            <v>0</v>
          </cell>
          <cell r="O91">
            <v>0</v>
          </cell>
          <cell r="P91">
            <v>0</v>
          </cell>
          <cell r="Q91" t="str">
            <v/>
          </cell>
          <cell r="R91" t="str">
            <v>ok</v>
          </cell>
          <cell r="S91" t="str">
            <v>ok</v>
          </cell>
        </row>
        <row r="92">
          <cell r="C92" t="str">
            <v>Stable dication</v>
          </cell>
          <cell r="H92" t="str">
            <v>none</v>
          </cell>
          <cell r="I92" t="str">
            <v>none</v>
          </cell>
          <cell r="J92" t="str">
            <v>no</v>
          </cell>
          <cell r="K92">
            <v>0</v>
          </cell>
          <cell r="L92">
            <v>0</v>
          </cell>
          <cell r="O92">
            <v>0</v>
          </cell>
          <cell r="P92">
            <v>0</v>
          </cell>
          <cell r="Q92" t="str">
            <v/>
          </cell>
          <cell r="R92" t="str">
            <v>ok</v>
          </cell>
          <cell r="S92" t="str">
            <v>ok</v>
          </cell>
        </row>
        <row r="93">
          <cell r="C93" t="str">
            <v>CaO</v>
          </cell>
          <cell r="D93" t="str">
            <v>Cao</v>
          </cell>
          <cell r="E93" t="str">
            <v>Q710706</v>
          </cell>
          <cell r="H93" t="str">
            <v>exact_label</v>
          </cell>
          <cell r="I93" t="str">
            <v>exact_label</v>
          </cell>
          <cell r="J93" t="str">
            <v>no</v>
          </cell>
          <cell r="K93">
            <v>100</v>
          </cell>
          <cell r="L93">
            <v>50</v>
          </cell>
          <cell r="M93" t="str">
            <v>Q101352;Q1093580;Q11420694</v>
          </cell>
          <cell r="N93" t="str">
            <v>Chinese family name;royal surname;family name</v>
          </cell>
          <cell r="O93" t="str">
            <v>Q710706</v>
          </cell>
          <cell r="P93" t="str">
            <v>Q710706</v>
          </cell>
          <cell r="Q93" t="str">
            <v/>
          </cell>
          <cell r="R93" t="str">
            <v>Wrong</v>
          </cell>
          <cell r="S93" t="str">
            <v>Wrong</v>
          </cell>
        </row>
        <row r="94">
          <cell r="C94" t="str">
            <v>Calcium monoxide</v>
          </cell>
          <cell r="H94" t="str">
            <v>none</v>
          </cell>
          <cell r="I94" t="str">
            <v>none</v>
          </cell>
          <cell r="J94" t="str">
            <v>no</v>
          </cell>
          <cell r="K94">
            <v>0</v>
          </cell>
          <cell r="L94">
            <v>0</v>
          </cell>
          <cell r="O94">
            <v>0</v>
          </cell>
          <cell r="P94">
            <v>0</v>
          </cell>
          <cell r="Q94" t="str">
            <v/>
          </cell>
          <cell r="R94" t="str">
            <v>ok</v>
          </cell>
          <cell r="S94" t="str">
            <v>ok</v>
          </cell>
        </row>
        <row r="95">
          <cell r="C95" t="str">
            <v>SILANE-GRAFTED POLYPROPYLENE</v>
          </cell>
          <cell r="H95" t="str">
            <v>none</v>
          </cell>
          <cell r="I95" t="str">
            <v>none</v>
          </cell>
          <cell r="J95" t="str">
            <v>no</v>
          </cell>
          <cell r="K95">
            <v>0</v>
          </cell>
          <cell r="L95">
            <v>0</v>
          </cell>
          <cell r="O95">
            <v>0</v>
          </cell>
          <cell r="P95">
            <v>0</v>
          </cell>
          <cell r="Q95" t="str">
            <v/>
          </cell>
          <cell r="R95" t="str">
            <v>ok</v>
          </cell>
          <cell r="S95" t="str">
            <v>ok</v>
          </cell>
        </row>
        <row r="96">
          <cell r="C96" t="str">
            <v>GAS BARRIER PROPERTIES</v>
          </cell>
          <cell r="H96" t="str">
            <v>none</v>
          </cell>
          <cell r="I96" t="str">
            <v>none</v>
          </cell>
          <cell r="J96" t="str">
            <v>no</v>
          </cell>
          <cell r="K96">
            <v>0</v>
          </cell>
          <cell r="L96">
            <v>0</v>
          </cell>
          <cell r="O96">
            <v>0</v>
          </cell>
          <cell r="P96">
            <v>0</v>
          </cell>
          <cell r="Q96" t="str">
            <v/>
          </cell>
          <cell r="R96" t="str">
            <v>ok</v>
          </cell>
          <cell r="S96" t="str">
            <v>ok</v>
          </cell>
        </row>
        <row r="97">
          <cell r="C97" t="str">
            <v>MECHANICAL-PROPERTIES</v>
          </cell>
          <cell r="H97" t="str">
            <v>none</v>
          </cell>
          <cell r="I97" t="str">
            <v>none</v>
          </cell>
          <cell r="J97" t="str">
            <v>no</v>
          </cell>
          <cell r="K97">
            <v>0</v>
          </cell>
          <cell r="L97">
            <v>0</v>
          </cell>
          <cell r="O97">
            <v>0</v>
          </cell>
          <cell r="P97">
            <v>0</v>
          </cell>
          <cell r="Q97" t="str">
            <v/>
          </cell>
          <cell r="R97" t="str">
            <v>ok</v>
          </cell>
          <cell r="S97" t="str">
            <v>ok</v>
          </cell>
        </row>
        <row r="98">
          <cell r="C98" t="str">
            <v>CLAY NANOCOMPOSITES</v>
          </cell>
          <cell r="H98" t="str">
            <v>none</v>
          </cell>
          <cell r="I98" t="str">
            <v>none</v>
          </cell>
          <cell r="J98" t="str">
            <v>no</v>
          </cell>
          <cell r="K98">
            <v>0</v>
          </cell>
          <cell r="L98">
            <v>0</v>
          </cell>
          <cell r="O98">
            <v>0</v>
          </cell>
          <cell r="P98">
            <v>0</v>
          </cell>
          <cell r="Q98" t="str">
            <v/>
          </cell>
          <cell r="R98" t="str">
            <v>ok</v>
          </cell>
          <cell r="S98" t="str">
            <v>ok</v>
          </cell>
        </row>
        <row r="99">
          <cell r="C99" t="str">
            <v>CARBON NANOTUBES</v>
          </cell>
          <cell r="D99" t="str">
            <v>carbon nanotube</v>
          </cell>
          <cell r="E99" t="str">
            <v>Q1778729</v>
          </cell>
          <cell r="H99" t="str">
            <v>exact_label</v>
          </cell>
          <cell r="I99" t="str">
            <v>exact_label</v>
          </cell>
          <cell r="J99" t="str">
            <v>no</v>
          </cell>
          <cell r="K99">
            <v>100</v>
          </cell>
          <cell r="L99">
            <v>50</v>
          </cell>
          <cell r="O99" t="str">
            <v>Q1778729</v>
          </cell>
          <cell r="P99" t="str">
            <v>Q1778729</v>
          </cell>
          <cell r="Q99" t="str">
            <v/>
          </cell>
          <cell r="R99" t="str">
            <v>ok</v>
          </cell>
          <cell r="S99" t="str">
            <v>ok</v>
          </cell>
        </row>
        <row r="100">
          <cell r="C100" t="str">
            <v>POLYMER</v>
          </cell>
          <cell r="D100" t="str">
            <v>polymer</v>
          </cell>
          <cell r="E100" t="str">
            <v>Q81163</v>
          </cell>
          <cell r="F100">
            <v>119328276</v>
          </cell>
          <cell r="H100" t="str">
            <v>exact_label</v>
          </cell>
          <cell r="I100" t="str">
            <v>exact_label</v>
          </cell>
          <cell r="J100" t="str">
            <v>no</v>
          </cell>
          <cell r="K100">
            <v>100</v>
          </cell>
          <cell r="L100">
            <v>50</v>
          </cell>
          <cell r="M100" t="str">
            <v>Q17339814</v>
          </cell>
          <cell r="N100" t="str">
            <v>group or class of chemical substances</v>
          </cell>
          <cell r="O100" t="str">
            <v>Q3395619</v>
          </cell>
          <cell r="P100" t="str">
            <v>Q81163</v>
          </cell>
          <cell r="Q100" t="str">
            <v>Mod</v>
          </cell>
          <cell r="R100" t="str">
            <v>Wrong</v>
          </cell>
          <cell r="S100" t="str">
            <v>ok</v>
          </cell>
        </row>
        <row r="101">
          <cell r="C101" t="str">
            <v>COMPOSITES</v>
          </cell>
          <cell r="H101" t="str">
            <v>none</v>
          </cell>
          <cell r="I101" t="str">
            <v>none</v>
          </cell>
          <cell r="J101" t="str">
            <v>no</v>
          </cell>
          <cell r="K101">
            <v>0</v>
          </cell>
          <cell r="L101">
            <v>0</v>
          </cell>
          <cell r="O101" t="str">
            <v>Q66539734</v>
          </cell>
          <cell r="P101">
            <v>0</v>
          </cell>
          <cell r="Q101" t="str">
            <v>Mod</v>
          </cell>
          <cell r="R101" t="str">
            <v>Wrong</v>
          </cell>
          <cell r="S101" t="str">
            <v>ok</v>
          </cell>
        </row>
        <row r="102">
          <cell r="C102" t="str">
            <v>BLENDS</v>
          </cell>
          <cell r="D102" t="str">
            <v>blend</v>
          </cell>
          <cell r="E102" t="str">
            <v>Q12055133</v>
          </cell>
          <cell r="H102" t="str">
            <v>exact_label</v>
          </cell>
          <cell r="I102" t="str">
            <v>exact_label</v>
          </cell>
          <cell r="J102" t="str">
            <v>no</v>
          </cell>
          <cell r="K102">
            <v>100</v>
          </cell>
          <cell r="L102">
            <v>50</v>
          </cell>
          <cell r="O102" t="str">
            <v>Q12055133</v>
          </cell>
          <cell r="P102" t="str">
            <v>Q12055133</v>
          </cell>
          <cell r="Q102" t="str">
            <v/>
          </cell>
          <cell r="R102" t="str">
            <v>Wrong</v>
          </cell>
          <cell r="S102" t="str">
            <v>Wrong</v>
          </cell>
        </row>
        <row r="103">
          <cell r="C103" t="str">
            <v>NANOPARTICLES</v>
          </cell>
          <cell r="D103" t="str">
            <v>nanoparticle</v>
          </cell>
          <cell r="E103" t="str">
            <v>Q61231</v>
          </cell>
          <cell r="F103" t="str">
            <v>12293062x</v>
          </cell>
          <cell r="H103" t="str">
            <v>exact_label</v>
          </cell>
          <cell r="I103" t="str">
            <v>exact_label</v>
          </cell>
          <cell r="J103" t="str">
            <v>no</v>
          </cell>
          <cell r="K103">
            <v>100</v>
          </cell>
          <cell r="L103">
            <v>50</v>
          </cell>
          <cell r="O103" t="str">
            <v>Q61231</v>
          </cell>
          <cell r="P103" t="str">
            <v>Q61231</v>
          </cell>
          <cell r="Q103" t="str">
            <v/>
          </cell>
          <cell r="R103" t="str">
            <v>ok</v>
          </cell>
          <cell r="S103" t="str">
            <v>ok</v>
          </cell>
        </row>
        <row r="104">
          <cell r="C104" t="str">
            <v>CRYSTALLIZATION</v>
          </cell>
          <cell r="D104" t="str">
            <v>crystallization</v>
          </cell>
          <cell r="E104" t="str">
            <v>Q284256</v>
          </cell>
          <cell r="F104">
            <v>119788740</v>
          </cell>
          <cell r="H104" t="str">
            <v>exact_label</v>
          </cell>
          <cell r="I104" t="str">
            <v>exact_label</v>
          </cell>
          <cell r="J104" t="str">
            <v>no</v>
          </cell>
          <cell r="K104">
            <v>100</v>
          </cell>
          <cell r="L104">
            <v>50</v>
          </cell>
          <cell r="O104" t="str">
            <v>Q284256</v>
          </cell>
          <cell r="P104" t="str">
            <v>Q284256</v>
          </cell>
          <cell r="Q104" t="str">
            <v/>
          </cell>
          <cell r="R104" t="str">
            <v>ok</v>
          </cell>
          <cell r="S104" t="str">
            <v>ok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F430-0357-4ED2-80C0-C755800CD5D2}">
  <dimension ref="A1:Y106"/>
  <sheetViews>
    <sheetView tabSelected="1" topLeftCell="A4" workbookViewId="0">
      <selection activeCell="C25" sqref="C25"/>
    </sheetView>
  </sheetViews>
  <sheetFormatPr defaultRowHeight="14.4" x14ac:dyDescent="0.3"/>
  <cols>
    <col min="1" max="1" width="15.5546875" customWidth="1"/>
    <col min="3" max="3" width="22.5546875" customWidth="1"/>
    <col min="4" max="4" width="23.109375" customWidth="1"/>
    <col min="23" max="23" width="11.88671875" customWidth="1"/>
    <col min="24" max="24" width="10.6640625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 t="s">
        <v>192</v>
      </c>
      <c r="P1" s="1" t="s">
        <v>197</v>
      </c>
      <c r="Q1" s="2" t="s">
        <v>193</v>
      </c>
      <c r="R1" s="2" t="s">
        <v>197</v>
      </c>
      <c r="S1" s="2" t="s">
        <v>194</v>
      </c>
      <c r="T1" s="3" t="s">
        <v>195</v>
      </c>
      <c r="U1" s="3" t="s">
        <v>197</v>
      </c>
      <c r="V1" s="3" t="s">
        <v>196</v>
      </c>
      <c r="Y1" s="3" t="s">
        <v>316</v>
      </c>
    </row>
    <row r="2" spans="1:25" x14ac:dyDescent="0.3">
      <c r="A2" s="6">
        <v>1006198</v>
      </c>
      <c r="B2" s="6" t="s">
        <v>14</v>
      </c>
      <c r="C2" s="6" t="s">
        <v>15</v>
      </c>
      <c r="D2" s="6"/>
      <c r="E2" s="6"/>
      <c r="F2" s="6"/>
      <c r="G2" s="6"/>
      <c r="H2" s="6" t="s">
        <v>16</v>
      </c>
      <c r="I2" s="6" t="s">
        <v>16</v>
      </c>
      <c r="J2" s="6" t="s">
        <v>17</v>
      </c>
      <c r="K2" s="6">
        <v>0</v>
      </c>
      <c r="L2" s="6">
        <v>0</v>
      </c>
      <c r="M2" s="6"/>
      <c r="N2" s="6"/>
      <c r="O2" s="1">
        <f>VLOOKUP(C2,[1]Sheet2!$C:$N,3,FALSE)</f>
        <v>0</v>
      </c>
      <c r="P2" s="1" t="str">
        <f>VLOOKUP(C2,[1]Sheet2!$C:$N,11,FALSE)</f>
        <v>ok</v>
      </c>
      <c r="Q2" s="2">
        <f>VLOOKUP(C2,[2]Wikidata_upec_chemical_20!$C:$U,3,FALSE)</f>
        <v>0</v>
      </c>
      <c r="R2" s="2" t="str">
        <f>VLOOKUP(C2,[2]Wikidata_upec_chemical_20!$C:$U,17,FALSE)</f>
        <v>ok</v>
      </c>
      <c r="S2" s="2" t="str">
        <f>VLOOKUP(C2,[2]Wikidata_upec_chemical_20!$C:$U,15,FALSE)</f>
        <v/>
      </c>
      <c r="T2" s="3">
        <f>E2</f>
        <v>0</v>
      </c>
      <c r="U2" s="3" t="str">
        <f>R2</f>
        <v>ok</v>
      </c>
      <c r="V2" s="3" t="str">
        <f>IF(T2&lt;&gt;Q2,"Mod","")</f>
        <v/>
      </c>
      <c r="W2">
        <v>0</v>
      </c>
      <c r="X2">
        <v>0</v>
      </c>
      <c r="Y2" s="3" t="str">
        <f>IF(X2&lt;&gt;E2,"Mod","")</f>
        <v/>
      </c>
    </row>
    <row r="3" spans="1:25" x14ac:dyDescent="0.3">
      <c r="A3" s="6">
        <v>1006198</v>
      </c>
      <c r="B3" s="6" t="s">
        <v>14</v>
      </c>
      <c r="C3" s="6" t="s">
        <v>18</v>
      </c>
      <c r="D3" s="6"/>
      <c r="E3" s="6"/>
      <c r="F3" s="6"/>
      <c r="G3" s="6"/>
      <c r="H3" s="6" t="s">
        <v>16</v>
      </c>
      <c r="I3" s="6" t="s">
        <v>16</v>
      </c>
      <c r="J3" s="6" t="s">
        <v>17</v>
      </c>
      <c r="K3" s="6">
        <v>0</v>
      </c>
      <c r="L3" s="6">
        <v>0</v>
      </c>
      <c r="M3" s="6"/>
      <c r="N3" s="6"/>
      <c r="O3" s="1">
        <f>VLOOKUP(C3,[1]Sheet2!$C:$N,3,FALSE)</f>
        <v>0</v>
      </c>
      <c r="P3" s="1" t="str">
        <f>VLOOKUP(C3,[1]Sheet2!$C:$N,11,FALSE)</f>
        <v>ok</v>
      </c>
      <c r="Q3" s="2">
        <f>VLOOKUP(C3,[2]Wikidata_upec_chemical_20!$C:$U,3,FALSE)</f>
        <v>0</v>
      </c>
      <c r="R3" s="2" t="str">
        <f>VLOOKUP(C3,[2]Wikidata_upec_chemical_20!$C:$U,17,FALSE)</f>
        <v>ok</v>
      </c>
      <c r="S3" s="2" t="str">
        <f>VLOOKUP(C3,[2]Wikidata_upec_chemical_20!$C:$U,15,FALSE)</f>
        <v/>
      </c>
      <c r="T3" s="3">
        <f t="shared" ref="T3:T66" si="0">E3</f>
        <v>0</v>
      </c>
      <c r="U3" s="3" t="str">
        <f t="shared" ref="U3:U66" si="1">R3</f>
        <v>ok</v>
      </c>
      <c r="V3" s="3" t="str">
        <f t="shared" ref="V3:V67" si="2">IF(T3&lt;&gt;Q3,"Mod","")</f>
        <v/>
      </c>
      <c r="W3">
        <v>0</v>
      </c>
      <c r="X3">
        <v>0</v>
      </c>
      <c r="Y3" s="3" t="str">
        <f t="shared" ref="Y3:Y66" si="3">IF(X3&lt;&gt;E3,"Mod","")</f>
        <v/>
      </c>
    </row>
    <row r="4" spans="1:25" x14ac:dyDescent="0.3">
      <c r="A4" s="6">
        <v>1006198</v>
      </c>
      <c r="B4" s="6" t="s">
        <v>14</v>
      </c>
      <c r="C4" s="6" t="s">
        <v>19</v>
      </c>
      <c r="D4" s="6" t="s">
        <v>19</v>
      </c>
      <c r="E4" s="6" t="s">
        <v>20</v>
      </c>
      <c r="F4" s="6"/>
      <c r="G4" s="6"/>
      <c r="H4" s="6" t="s">
        <v>266</v>
      </c>
      <c r="I4" s="6" t="s">
        <v>266</v>
      </c>
      <c r="J4" s="6" t="s">
        <v>17</v>
      </c>
      <c r="K4" s="6">
        <v>100</v>
      </c>
      <c r="L4" s="6">
        <v>137.1</v>
      </c>
      <c r="M4" s="6"/>
      <c r="N4" s="6"/>
      <c r="O4" s="1" t="str">
        <f>VLOOKUP(C4,[1]Sheet2!$C:$N,3,FALSE)</f>
        <v>Q3268911</v>
      </c>
      <c r="P4" s="1" t="str">
        <f>VLOOKUP(C4,[1]Sheet2!$C:$N,11,FALSE)</f>
        <v>ok</v>
      </c>
      <c r="Q4" s="2" t="str">
        <f>VLOOKUP(C4,[2]Wikidata_upec_chemical_20!$C:$U,3,FALSE)</f>
        <v>Q3268911</v>
      </c>
      <c r="R4" s="2" t="str">
        <f>VLOOKUP(C4,[2]Wikidata_upec_chemical_20!$C:$U,17,FALSE)</f>
        <v>ok</v>
      </c>
      <c r="S4" s="2" t="str">
        <f>VLOOKUP(C4,[2]Wikidata_upec_chemical_20!$C:$U,15,FALSE)</f>
        <v/>
      </c>
      <c r="T4" s="3" t="str">
        <f t="shared" si="0"/>
        <v>Q3268911</v>
      </c>
      <c r="U4" s="3" t="str">
        <f t="shared" si="1"/>
        <v>ok</v>
      </c>
      <c r="V4" s="3" t="str">
        <f t="shared" si="2"/>
        <v/>
      </c>
      <c r="W4" t="s">
        <v>19</v>
      </c>
      <c r="X4" t="s">
        <v>20</v>
      </c>
      <c r="Y4" s="3" t="str">
        <f t="shared" si="3"/>
        <v/>
      </c>
    </row>
    <row r="5" spans="1:25" x14ac:dyDescent="0.3">
      <c r="A5" s="6">
        <v>1006198</v>
      </c>
      <c r="B5" s="6" t="s">
        <v>14</v>
      </c>
      <c r="C5" s="6" t="s">
        <v>22</v>
      </c>
      <c r="D5" s="6"/>
      <c r="E5" s="6"/>
      <c r="F5" s="6"/>
      <c r="G5" s="6"/>
      <c r="H5" s="6" t="s">
        <v>16</v>
      </c>
      <c r="I5" s="6" t="s">
        <v>16</v>
      </c>
      <c r="J5" s="6" t="s">
        <v>17</v>
      </c>
      <c r="K5" s="6">
        <v>0</v>
      </c>
      <c r="L5" s="6">
        <v>0</v>
      </c>
      <c r="M5" s="6"/>
      <c r="N5" s="6"/>
      <c r="O5" s="1">
        <f>VLOOKUP(C5,[1]Sheet2!$C:$N,3,FALSE)</f>
        <v>0</v>
      </c>
      <c r="P5" s="1" t="str">
        <f>VLOOKUP(C5,[1]Sheet2!$C:$N,11,FALSE)</f>
        <v>ok</v>
      </c>
      <c r="Q5" s="2">
        <f>VLOOKUP(C5,[2]Wikidata_upec_chemical_20!$C:$U,3,FALSE)</f>
        <v>0</v>
      </c>
      <c r="R5" s="2" t="str">
        <f>VLOOKUP(C5,[2]Wikidata_upec_chemical_20!$C:$U,17,FALSE)</f>
        <v>ok</v>
      </c>
      <c r="S5" s="2" t="str">
        <f>VLOOKUP(C5,[2]Wikidata_upec_chemical_20!$C:$U,15,FALSE)</f>
        <v/>
      </c>
      <c r="T5" s="3">
        <f t="shared" si="0"/>
        <v>0</v>
      </c>
      <c r="U5" s="3" t="str">
        <f t="shared" si="1"/>
        <v>ok</v>
      </c>
      <c r="V5" s="3" t="str">
        <f t="shared" si="2"/>
        <v/>
      </c>
      <c r="W5">
        <v>0</v>
      </c>
      <c r="X5">
        <v>0</v>
      </c>
      <c r="Y5" s="3" t="str">
        <f t="shared" si="3"/>
        <v/>
      </c>
    </row>
    <row r="6" spans="1:25" x14ac:dyDescent="0.3">
      <c r="A6" s="6">
        <v>1006198</v>
      </c>
      <c r="B6" s="6" t="s">
        <v>14</v>
      </c>
      <c r="C6" s="6" t="s">
        <v>23</v>
      </c>
      <c r="D6" s="6"/>
      <c r="E6" s="6"/>
      <c r="F6" s="6"/>
      <c r="G6" s="6"/>
      <c r="H6" s="6" t="s">
        <v>16</v>
      </c>
      <c r="I6" s="6" t="s">
        <v>16</v>
      </c>
      <c r="J6" s="6" t="s">
        <v>17</v>
      </c>
      <c r="K6" s="6">
        <v>0</v>
      </c>
      <c r="L6" s="6">
        <v>0</v>
      </c>
      <c r="M6" s="6"/>
      <c r="N6" s="6"/>
      <c r="O6" s="1">
        <f>VLOOKUP(C6,[1]Sheet2!$C:$N,3,FALSE)</f>
        <v>0</v>
      </c>
      <c r="P6" s="1" t="str">
        <f>VLOOKUP(C6,[1]Sheet2!$C:$N,11,FALSE)</f>
        <v>ok</v>
      </c>
      <c r="Q6" s="2">
        <f>VLOOKUP(C6,[2]Wikidata_upec_chemical_20!$C:$U,3,FALSE)</f>
        <v>0</v>
      </c>
      <c r="R6" s="2" t="str">
        <f>VLOOKUP(C6,[2]Wikidata_upec_chemical_20!$C:$U,17,FALSE)</f>
        <v>ok</v>
      </c>
      <c r="S6" s="2" t="str">
        <f>VLOOKUP(C6,[2]Wikidata_upec_chemical_20!$C:$U,15,FALSE)</f>
        <v/>
      </c>
      <c r="T6" s="3">
        <f t="shared" si="0"/>
        <v>0</v>
      </c>
      <c r="U6" s="3" t="str">
        <f t="shared" si="1"/>
        <v>ok</v>
      </c>
      <c r="V6" s="3" t="str">
        <f t="shared" si="2"/>
        <v/>
      </c>
      <c r="W6">
        <v>0</v>
      </c>
      <c r="X6">
        <v>0</v>
      </c>
      <c r="Y6" s="3" t="str">
        <f t="shared" si="3"/>
        <v/>
      </c>
    </row>
    <row r="7" spans="1:25" x14ac:dyDescent="0.3">
      <c r="A7" s="6">
        <v>1006198</v>
      </c>
      <c r="B7" s="6" t="s">
        <v>14</v>
      </c>
      <c r="C7" s="5" t="s">
        <v>24</v>
      </c>
      <c r="D7" s="6" t="s">
        <v>267</v>
      </c>
      <c r="E7" s="6" t="s">
        <v>268</v>
      </c>
      <c r="F7" s="6"/>
      <c r="G7" s="6"/>
      <c r="H7" s="6" t="s">
        <v>266</v>
      </c>
      <c r="I7" s="6" t="s">
        <v>266</v>
      </c>
      <c r="J7" s="6" t="s">
        <v>17</v>
      </c>
      <c r="K7" s="6">
        <v>100</v>
      </c>
      <c r="L7" s="6">
        <v>144.30000000000001</v>
      </c>
      <c r="M7" s="6"/>
      <c r="N7" s="6"/>
      <c r="O7" s="1">
        <f>VLOOKUP(C7,[1]Sheet2!$C:$N,3,FALSE)</f>
        <v>0</v>
      </c>
      <c r="P7" s="1" t="str">
        <f>VLOOKUP(C7,[1]Sheet2!$C:$N,11,FALSE)</f>
        <v>ok</v>
      </c>
      <c r="Q7" s="2">
        <f>VLOOKUP(C7,[2]Wikidata_upec_chemical_20!$C:$U,3,FALSE)</f>
        <v>0</v>
      </c>
      <c r="R7" s="2" t="str">
        <f>VLOOKUP(C7,[2]Wikidata_upec_chemical_20!$C:$U,17,FALSE)</f>
        <v>ok</v>
      </c>
      <c r="S7" s="2" t="str">
        <f>VLOOKUP(C7,[2]Wikidata_upec_chemical_20!$C:$U,15,FALSE)</f>
        <v/>
      </c>
      <c r="T7" s="3" t="str">
        <f t="shared" si="0"/>
        <v>Q505668</v>
      </c>
      <c r="U7" s="4" t="s">
        <v>198</v>
      </c>
      <c r="V7" s="3" t="str">
        <f t="shared" si="2"/>
        <v>Mod</v>
      </c>
      <c r="W7" t="s">
        <v>267</v>
      </c>
      <c r="X7" t="s">
        <v>268</v>
      </c>
      <c r="Y7" s="3" t="str">
        <f t="shared" si="3"/>
        <v/>
      </c>
    </row>
    <row r="8" spans="1:25" x14ac:dyDescent="0.3">
      <c r="A8" s="6">
        <v>1006198</v>
      </c>
      <c r="B8" s="6" t="s">
        <v>14</v>
      </c>
      <c r="C8" s="6" t="s">
        <v>25</v>
      </c>
      <c r="D8" s="6"/>
      <c r="E8" s="6"/>
      <c r="F8" s="6"/>
      <c r="G8" s="6"/>
      <c r="H8" s="6" t="s">
        <v>16</v>
      </c>
      <c r="I8" s="6" t="s">
        <v>16</v>
      </c>
      <c r="J8" s="6" t="s">
        <v>17</v>
      </c>
      <c r="K8" s="6">
        <v>0</v>
      </c>
      <c r="L8" s="6">
        <v>0</v>
      </c>
      <c r="M8" s="6"/>
      <c r="N8" s="6"/>
      <c r="O8" s="1">
        <f>VLOOKUP(C8,[1]Sheet2!$C:$N,3,FALSE)</f>
        <v>0</v>
      </c>
      <c r="P8" s="1" t="str">
        <f>VLOOKUP(C8,[1]Sheet2!$C:$N,11,FALSE)</f>
        <v>ok</v>
      </c>
      <c r="Q8" s="2">
        <f>VLOOKUP(C8,[2]Wikidata_upec_chemical_20!$C:$U,3,FALSE)</f>
        <v>0</v>
      </c>
      <c r="R8" s="2" t="str">
        <f>VLOOKUP(C8,[2]Wikidata_upec_chemical_20!$C:$U,17,FALSE)</f>
        <v>ok</v>
      </c>
      <c r="S8" s="2" t="str">
        <f>VLOOKUP(C8,[2]Wikidata_upec_chemical_20!$C:$U,15,FALSE)</f>
        <v/>
      </c>
      <c r="T8" s="3">
        <f t="shared" si="0"/>
        <v>0</v>
      </c>
      <c r="U8" s="3" t="str">
        <f t="shared" si="1"/>
        <v>ok</v>
      </c>
      <c r="V8" s="3" t="str">
        <f t="shared" si="2"/>
        <v/>
      </c>
      <c r="W8">
        <v>0</v>
      </c>
      <c r="X8">
        <v>0</v>
      </c>
      <c r="Y8" s="3" t="str">
        <f t="shared" si="3"/>
        <v/>
      </c>
    </row>
    <row r="9" spans="1:25" x14ac:dyDescent="0.3">
      <c r="A9" s="6">
        <v>1006198</v>
      </c>
      <c r="B9" s="6" t="s">
        <v>14</v>
      </c>
      <c r="C9" s="6" t="s">
        <v>26</v>
      </c>
      <c r="D9" s="6" t="s">
        <v>27</v>
      </c>
      <c r="E9" s="6" t="s">
        <v>28</v>
      </c>
      <c r="F9" s="6" t="s">
        <v>29</v>
      </c>
      <c r="G9" s="6"/>
      <c r="H9" s="6" t="s">
        <v>266</v>
      </c>
      <c r="I9" s="6" t="s">
        <v>266</v>
      </c>
      <c r="J9" s="6" t="s">
        <v>17</v>
      </c>
      <c r="K9" s="6">
        <v>100</v>
      </c>
      <c r="L9" s="6">
        <v>222.4</v>
      </c>
      <c r="M9" s="6" t="s">
        <v>30</v>
      </c>
      <c r="N9" s="6" t="s">
        <v>315</v>
      </c>
      <c r="O9" s="1" t="str">
        <f>VLOOKUP(C9,[1]Sheet2!$C:$N,3,FALSE)</f>
        <v>Q18465858</v>
      </c>
      <c r="P9" s="1" t="str">
        <f>VLOOKUP(C9,[1]Sheet2!$C:$N,11,FALSE)</f>
        <v>Wrong</v>
      </c>
      <c r="Q9" s="2" t="str">
        <f>VLOOKUP(C9,[2]Wikidata_upec_chemical_20!$C:$U,3,FALSE)</f>
        <v>Q2334061</v>
      </c>
      <c r="R9" s="2" t="str">
        <f>VLOOKUP(C9,[2]Wikidata_upec_chemical_20!$C:$U,17,FALSE)</f>
        <v>ok</v>
      </c>
      <c r="S9" s="2" t="str">
        <f>VLOOKUP(C9,[2]Wikidata_upec_chemical_20!$C:$U,15,FALSE)</f>
        <v>Mod</v>
      </c>
      <c r="T9" s="3" t="str">
        <f t="shared" si="0"/>
        <v>Q2334061</v>
      </c>
      <c r="U9" s="3" t="str">
        <f t="shared" si="1"/>
        <v>ok</v>
      </c>
      <c r="V9" s="3" t="str">
        <f t="shared" si="2"/>
        <v/>
      </c>
      <c r="W9" t="s">
        <v>27</v>
      </c>
      <c r="X9" t="s">
        <v>28</v>
      </c>
      <c r="Y9" s="3" t="str">
        <f t="shared" si="3"/>
        <v/>
      </c>
    </row>
    <row r="10" spans="1:25" x14ac:dyDescent="0.3">
      <c r="A10" s="6">
        <v>1025697</v>
      </c>
      <c r="B10" s="6" t="s">
        <v>31</v>
      </c>
      <c r="C10" s="5" t="s">
        <v>32</v>
      </c>
      <c r="D10" s="6" t="s">
        <v>33</v>
      </c>
      <c r="E10" s="6" t="s">
        <v>34</v>
      </c>
      <c r="F10" s="6" t="s">
        <v>35</v>
      </c>
      <c r="G10" s="6"/>
      <c r="H10" s="6" t="s">
        <v>266</v>
      </c>
      <c r="I10" s="6" t="s">
        <v>266</v>
      </c>
      <c r="J10" s="6" t="s">
        <v>17</v>
      </c>
      <c r="K10" s="6">
        <v>100</v>
      </c>
      <c r="L10" s="6">
        <v>165</v>
      </c>
      <c r="M10" s="6" t="s">
        <v>36</v>
      </c>
      <c r="N10" s="6" t="s">
        <v>37</v>
      </c>
      <c r="O10" s="1" t="str">
        <f>VLOOKUP(C10,[1]Sheet2!$C:$N,3,FALSE)</f>
        <v>Q5173028</v>
      </c>
      <c r="P10" s="1" t="str">
        <f>VLOOKUP(C10,[1]Sheet2!$C:$N,11,FALSE)</f>
        <v>Wrong</v>
      </c>
      <c r="Q10" s="2" t="str">
        <f>VLOOKUP(C10,[2]Wikidata_upec_chemical_20!$C:$U,3,FALSE)</f>
        <v>Q137056</v>
      </c>
      <c r="R10" s="2" t="str">
        <f>VLOOKUP(C10,[2]Wikidata_upec_chemical_20!$C:$U,17,FALSE)</f>
        <v>ok</v>
      </c>
      <c r="S10" s="2" t="str">
        <f>VLOOKUP(C10,[2]Wikidata_upec_chemical_20!$C:$U,15,FALSE)</f>
        <v>Mod</v>
      </c>
      <c r="T10" s="3" t="str">
        <f t="shared" si="0"/>
        <v>Q137056</v>
      </c>
      <c r="U10" s="4" t="s">
        <v>198</v>
      </c>
      <c r="V10" s="3" t="str">
        <f t="shared" si="2"/>
        <v/>
      </c>
      <c r="W10" t="s">
        <v>33</v>
      </c>
      <c r="X10" t="s">
        <v>34</v>
      </c>
      <c r="Y10" s="3" t="str">
        <f t="shared" si="3"/>
        <v/>
      </c>
    </row>
    <row r="11" spans="1:25" x14ac:dyDescent="0.3">
      <c r="A11" s="6">
        <v>1025697</v>
      </c>
      <c r="B11" s="6" t="s">
        <v>31</v>
      </c>
      <c r="C11" s="6" t="s">
        <v>38</v>
      </c>
      <c r="D11" s="6"/>
      <c r="E11" s="6"/>
      <c r="F11" s="6"/>
      <c r="G11" s="6"/>
      <c r="H11" s="6" t="s">
        <v>16</v>
      </c>
      <c r="I11" s="6" t="s">
        <v>16</v>
      </c>
      <c r="J11" s="6" t="s">
        <v>17</v>
      </c>
      <c r="K11" s="6">
        <v>0</v>
      </c>
      <c r="L11" s="6">
        <v>0</v>
      </c>
      <c r="M11" s="6"/>
      <c r="N11" s="6"/>
      <c r="O11" s="1">
        <f>VLOOKUP(C11,[1]Sheet2!$C:$N,3,FALSE)</f>
        <v>0</v>
      </c>
      <c r="P11" s="1" t="str">
        <f>VLOOKUP(C11,[1]Sheet2!$C:$N,11,FALSE)</f>
        <v>ok</v>
      </c>
      <c r="Q11" s="2">
        <f>VLOOKUP(C11,[2]Wikidata_upec_chemical_20!$C:$U,3,FALSE)</f>
        <v>0</v>
      </c>
      <c r="R11" s="2" t="str">
        <f>VLOOKUP(C11,[2]Wikidata_upec_chemical_20!$C:$U,17,FALSE)</f>
        <v>ok</v>
      </c>
      <c r="S11" s="2" t="str">
        <f>VLOOKUP(C11,[2]Wikidata_upec_chemical_20!$C:$U,15,FALSE)</f>
        <v/>
      </c>
      <c r="T11" s="3">
        <f t="shared" si="0"/>
        <v>0</v>
      </c>
      <c r="U11" s="3" t="str">
        <f t="shared" si="1"/>
        <v>ok</v>
      </c>
      <c r="V11" s="3" t="str">
        <f t="shared" si="2"/>
        <v/>
      </c>
      <c r="W11">
        <v>0</v>
      </c>
      <c r="X11">
        <v>0</v>
      </c>
      <c r="Y11" s="3" t="str">
        <f t="shared" si="3"/>
        <v/>
      </c>
    </row>
    <row r="12" spans="1:25" x14ac:dyDescent="0.3">
      <c r="A12" s="6">
        <v>1025697</v>
      </c>
      <c r="B12" s="6" t="s">
        <v>31</v>
      </c>
      <c r="C12" s="6" t="s">
        <v>39</v>
      </c>
      <c r="D12" s="6"/>
      <c r="E12" s="6"/>
      <c r="F12" s="6"/>
      <c r="G12" s="6"/>
      <c r="H12" s="6" t="s">
        <v>16</v>
      </c>
      <c r="I12" s="6" t="s">
        <v>16</v>
      </c>
      <c r="J12" s="6" t="s">
        <v>17</v>
      </c>
      <c r="K12" s="6">
        <v>0</v>
      </c>
      <c r="L12" s="6">
        <v>0</v>
      </c>
      <c r="M12" s="6"/>
      <c r="N12" s="6"/>
      <c r="O12" s="1">
        <f>VLOOKUP(C12,[1]Sheet2!$C:$N,3,FALSE)</f>
        <v>0</v>
      </c>
      <c r="P12" s="1" t="str">
        <f>VLOOKUP(C12,[1]Sheet2!$C:$N,11,FALSE)</f>
        <v>ok</v>
      </c>
      <c r="Q12" s="2">
        <f>VLOOKUP(C12,[2]Wikidata_upec_chemical_20!$C:$U,3,FALSE)</f>
        <v>0</v>
      </c>
      <c r="R12" s="2" t="str">
        <f>VLOOKUP(C12,[2]Wikidata_upec_chemical_20!$C:$U,17,FALSE)</f>
        <v>ok</v>
      </c>
      <c r="S12" s="2" t="str">
        <f>VLOOKUP(C12,[2]Wikidata_upec_chemical_20!$C:$U,15,FALSE)</f>
        <v/>
      </c>
      <c r="T12" s="3">
        <f t="shared" si="0"/>
        <v>0</v>
      </c>
      <c r="U12" s="3" t="str">
        <f t="shared" si="1"/>
        <v>ok</v>
      </c>
      <c r="V12" s="3" t="str">
        <f t="shared" si="2"/>
        <v/>
      </c>
      <c r="W12">
        <v>0</v>
      </c>
      <c r="X12">
        <v>0</v>
      </c>
      <c r="Y12" s="3" t="str">
        <f t="shared" si="3"/>
        <v/>
      </c>
    </row>
    <row r="13" spans="1:25" x14ac:dyDescent="0.3">
      <c r="A13" s="6">
        <v>1025697</v>
      </c>
      <c r="B13" s="6" t="s">
        <v>31</v>
      </c>
      <c r="C13" s="5" t="s">
        <v>40</v>
      </c>
      <c r="D13" s="6" t="s">
        <v>269</v>
      </c>
      <c r="E13" s="6" t="s">
        <v>270</v>
      </c>
      <c r="F13" s="6" t="s">
        <v>271</v>
      </c>
      <c r="G13" s="6"/>
      <c r="H13" s="6" t="s">
        <v>266</v>
      </c>
      <c r="I13" s="6" t="s">
        <v>266</v>
      </c>
      <c r="J13" s="6" t="s">
        <v>17</v>
      </c>
      <c r="K13" s="6">
        <v>100</v>
      </c>
      <c r="L13" s="6">
        <v>120.3</v>
      </c>
      <c r="M13" s="6" t="s">
        <v>272</v>
      </c>
      <c r="N13" s="6" t="s">
        <v>319</v>
      </c>
      <c r="O13" s="1" t="str">
        <f>VLOOKUP(C13,[1]Sheet2!$C:$N,3,FALSE)</f>
        <v>Q36531</v>
      </c>
      <c r="P13" s="1" t="str">
        <f>VLOOKUP(C13,[1]Sheet2!$C:$N,11,FALSE)</f>
        <v>Wrong</v>
      </c>
      <c r="Q13" s="2">
        <f>VLOOKUP(C13,[2]Wikidata_upec_chemical_20!$C:$U,3,FALSE)</f>
        <v>0</v>
      </c>
      <c r="R13" s="2" t="str">
        <f>VLOOKUP(C13,[2]Wikidata_upec_chemical_20!$C:$U,17,FALSE)</f>
        <v>ok</v>
      </c>
      <c r="S13" s="2" t="str">
        <f>VLOOKUP(C13,[2]Wikidata_upec_chemical_20!$C:$U,15,FALSE)</f>
        <v>Mod</v>
      </c>
      <c r="T13" s="3" t="str">
        <f t="shared" si="0"/>
        <v>Q36531</v>
      </c>
      <c r="U13" s="4" t="s">
        <v>198</v>
      </c>
      <c r="V13" s="5" t="str">
        <f t="shared" si="2"/>
        <v>Mod</v>
      </c>
      <c r="W13" t="s">
        <v>278</v>
      </c>
      <c r="X13" t="s">
        <v>279</v>
      </c>
      <c r="Y13" s="3" t="str">
        <f t="shared" si="3"/>
        <v>Mod</v>
      </c>
    </row>
    <row r="14" spans="1:25" x14ac:dyDescent="0.3">
      <c r="A14" s="6">
        <v>1025697</v>
      </c>
      <c r="B14" s="6" t="s">
        <v>31</v>
      </c>
      <c r="C14" s="6" t="s">
        <v>41</v>
      </c>
      <c r="D14" s="6"/>
      <c r="E14" s="6"/>
      <c r="F14" s="6"/>
      <c r="G14" s="6"/>
      <c r="H14" s="6" t="s">
        <v>16</v>
      </c>
      <c r="I14" s="6" t="s">
        <v>16</v>
      </c>
      <c r="J14" s="6" t="s">
        <v>17</v>
      </c>
      <c r="K14" s="6">
        <v>0</v>
      </c>
      <c r="L14" s="6">
        <v>0</v>
      </c>
      <c r="M14" s="6"/>
      <c r="N14" s="6"/>
      <c r="O14" s="1">
        <f>VLOOKUP(C14,[1]Sheet2!$C:$N,3,FALSE)</f>
        <v>0</v>
      </c>
      <c r="P14" s="1" t="str">
        <f>VLOOKUP(C14,[1]Sheet2!$C:$N,11,FALSE)</f>
        <v>ok</v>
      </c>
      <c r="Q14" s="2">
        <f>VLOOKUP(C14,[2]Wikidata_upec_chemical_20!$C:$U,3,FALSE)</f>
        <v>0</v>
      </c>
      <c r="R14" s="2" t="str">
        <f>VLOOKUP(C14,[2]Wikidata_upec_chemical_20!$C:$U,17,FALSE)</f>
        <v>ok</v>
      </c>
      <c r="S14" s="2" t="str">
        <f>VLOOKUP(C14,[2]Wikidata_upec_chemical_20!$C:$U,15,FALSE)</f>
        <v/>
      </c>
      <c r="T14" s="3">
        <f t="shared" si="0"/>
        <v>0</v>
      </c>
      <c r="U14" s="3" t="str">
        <f t="shared" si="1"/>
        <v>ok</v>
      </c>
      <c r="V14" s="3" t="str">
        <f t="shared" si="2"/>
        <v/>
      </c>
      <c r="W14">
        <v>0</v>
      </c>
      <c r="X14">
        <v>0</v>
      </c>
      <c r="Y14" s="3" t="str">
        <f t="shared" si="3"/>
        <v/>
      </c>
    </row>
    <row r="15" spans="1:25" x14ac:dyDescent="0.3">
      <c r="A15" s="6">
        <v>1060481</v>
      </c>
      <c r="B15" s="6" t="s">
        <v>42</v>
      </c>
      <c r="C15" s="6">
        <v>20902069</v>
      </c>
      <c r="D15" s="6"/>
      <c r="E15" s="6"/>
      <c r="F15" s="6"/>
      <c r="G15" s="6"/>
      <c r="H15" s="6" t="s">
        <v>16</v>
      </c>
      <c r="I15" s="6" t="s">
        <v>16</v>
      </c>
      <c r="J15" s="6" t="s">
        <v>17</v>
      </c>
      <c r="K15" s="6">
        <v>0</v>
      </c>
      <c r="L15" s="6">
        <v>0</v>
      </c>
      <c r="M15" s="6"/>
      <c r="N15" s="6"/>
      <c r="O15" s="1">
        <f>VLOOKUP(C15,[1]Sheet2!$C:$N,3,FALSE)</f>
        <v>0</v>
      </c>
      <c r="P15" s="1" t="str">
        <f>VLOOKUP(C15,[1]Sheet2!$C:$N,11,FALSE)</f>
        <v>ok</v>
      </c>
      <c r="Q15" s="2">
        <f>VLOOKUP(C15,[2]Wikidata_upec_chemical_20!$C:$U,3,FALSE)</f>
        <v>0</v>
      </c>
      <c r="R15" s="2" t="str">
        <f>VLOOKUP(C15,[2]Wikidata_upec_chemical_20!$C:$U,17,FALSE)</f>
        <v>ok</v>
      </c>
      <c r="S15" s="2" t="str">
        <f>VLOOKUP(C15,[2]Wikidata_upec_chemical_20!$C:$U,15,FALSE)</f>
        <v/>
      </c>
      <c r="T15" s="3">
        <f t="shared" si="0"/>
        <v>0</v>
      </c>
      <c r="U15" s="3" t="str">
        <f t="shared" si="1"/>
        <v>ok</v>
      </c>
      <c r="V15" s="3" t="str">
        <f t="shared" si="2"/>
        <v/>
      </c>
      <c r="W15">
        <v>0</v>
      </c>
      <c r="X15">
        <v>0</v>
      </c>
      <c r="Y15" s="3" t="str">
        <f t="shared" si="3"/>
        <v/>
      </c>
    </row>
    <row r="16" spans="1:25" x14ac:dyDescent="0.3">
      <c r="A16" s="6">
        <v>1060481</v>
      </c>
      <c r="B16" s="6" t="s">
        <v>42</v>
      </c>
      <c r="C16" s="5" t="s">
        <v>43</v>
      </c>
      <c r="D16" s="6" t="s">
        <v>45</v>
      </c>
      <c r="E16" s="6" t="s">
        <v>46</v>
      </c>
      <c r="F16" s="6"/>
      <c r="G16" s="6"/>
      <c r="H16" s="6" t="s">
        <v>266</v>
      </c>
      <c r="I16" s="6" t="s">
        <v>266</v>
      </c>
      <c r="J16" s="6" t="s">
        <v>17</v>
      </c>
      <c r="K16" s="6">
        <v>100</v>
      </c>
      <c r="L16" s="6">
        <v>61</v>
      </c>
      <c r="M16" s="6" t="s">
        <v>47</v>
      </c>
      <c r="N16" s="6" t="s">
        <v>320</v>
      </c>
      <c r="O16" s="1">
        <f>VLOOKUP(C16,[1]Sheet2!$C:$N,3,FALSE)</f>
        <v>0</v>
      </c>
      <c r="P16" s="1" t="str">
        <f>VLOOKUP(C16,[1]Sheet2!$C:$N,11,FALSE)</f>
        <v>ok</v>
      </c>
      <c r="Q16" s="2">
        <f>VLOOKUP(C16,[2]Wikidata_upec_chemical_20!$C:$U,3,FALSE)</f>
        <v>0</v>
      </c>
      <c r="R16" s="2" t="str">
        <f>VLOOKUP(C16,[2]Wikidata_upec_chemical_20!$C:$U,17,FALSE)</f>
        <v>ok</v>
      </c>
      <c r="S16" s="2" t="str">
        <f>VLOOKUP(C16,[2]Wikidata_upec_chemical_20!$C:$U,15,FALSE)</f>
        <v/>
      </c>
      <c r="T16" s="3" t="str">
        <f t="shared" si="0"/>
        <v>Q4501917</v>
      </c>
      <c r="U16" s="3" t="str">
        <f t="shared" si="1"/>
        <v>ok</v>
      </c>
      <c r="V16" s="5" t="str">
        <f t="shared" si="2"/>
        <v>Mod</v>
      </c>
      <c r="W16" t="s">
        <v>199</v>
      </c>
      <c r="X16" t="s">
        <v>200</v>
      </c>
      <c r="Y16" s="3" t="str">
        <f t="shared" si="3"/>
        <v>Mod</v>
      </c>
    </row>
    <row r="17" spans="1:25" x14ac:dyDescent="0.3">
      <c r="A17" s="6">
        <v>1060481</v>
      </c>
      <c r="B17" s="6" t="s">
        <v>42</v>
      </c>
      <c r="C17" s="6" t="s">
        <v>44</v>
      </c>
      <c r="D17" s="6" t="s">
        <v>45</v>
      </c>
      <c r="E17" s="6" t="s">
        <v>46</v>
      </c>
      <c r="F17" s="6"/>
      <c r="G17" s="6"/>
      <c r="H17" s="6" t="s">
        <v>266</v>
      </c>
      <c r="I17" s="6" t="s">
        <v>266</v>
      </c>
      <c r="J17" s="6" t="s">
        <v>17</v>
      </c>
      <c r="K17" s="6">
        <v>100</v>
      </c>
      <c r="L17" s="6">
        <v>79.8</v>
      </c>
      <c r="M17" s="6" t="s">
        <v>47</v>
      </c>
      <c r="N17" s="6" t="s">
        <v>320</v>
      </c>
      <c r="O17" s="1" t="str">
        <f>VLOOKUP(C17,[1]Sheet2!$C:$N,3,FALSE)</f>
        <v>Q4501917</v>
      </c>
      <c r="P17" s="1" t="str">
        <f>VLOOKUP(C17,[1]Sheet2!$C:$N,11,FALSE)</f>
        <v>ok</v>
      </c>
      <c r="Q17" s="2" t="str">
        <f>VLOOKUP(C17,[2]Wikidata_upec_chemical_20!$C:$U,3,FALSE)</f>
        <v>Q4501917</v>
      </c>
      <c r="R17" s="2" t="str">
        <f>VLOOKUP(C17,[2]Wikidata_upec_chemical_20!$C:$U,17,FALSE)</f>
        <v>ok</v>
      </c>
      <c r="S17" s="2" t="str">
        <f>VLOOKUP(C17,[2]Wikidata_upec_chemical_20!$C:$U,15,FALSE)</f>
        <v/>
      </c>
      <c r="T17" s="3" t="str">
        <f t="shared" si="0"/>
        <v>Q4501917</v>
      </c>
      <c r="U17" s="3" t="str">
        <f t="shared" si="1"/>
        <v>ok</v>
      </c>
      <c r="V17" s="3" t="str">
        <f t="shared" si="2"/>
        <v/>
      </c>
      <c r="W17" t="s">
        <v>45</v>
      </c>
      <c r="X17" t="s">
        <v>46</v>
      </c>
      <c r="Y17" s="3" t="str">
        <f t="shared" si="3"/>
        <v/>
      </c>
    </row>
    <row r="18" spans="1:25" x14ac:dyDescent="0.3">
      <c r="A18" s="6">
        <v>1060481</v>
      </c>
      <c r="B18" s="6" t="s">
        <v>42</v>
      </c>
      <c r="C18" s="6">
        <v>21074094</v>
      </c>
      <c r="D18" s="6"/>
      <c r="E18" s="6"/>
      <c r="F18" s="6"/>
      <c r="G18" s="6"/>
      <c r="H18" s="6" t="s">
        <v>16</v>
      </c>
      <c r="I18" s="6" t="s">
        <v>16</v>
      </c>
      <c r="J18" s="6" t="s">
        <v>17</v>
      </c>
      <c r="K18" s="6">
        <v>0</v>
      </c>
      <c r="L18" s="6">
        <v>0</v>
      </c>
      <c r="M18" s="6"/>
      <c r="N18" s="6"/>
      <c r="O18" s="1">
        <f>VLOOKUP(C18,[1]Sheet2!$C:$N,3,FALSE)</f>
        <v>0</v>
      </c>
      <c r="P18" s="1" t="str">
        <f>VLOOKUP(C18,[1]Sheet2!$C:$N,11,FALSE)</f>
        <v>ok</v>
      </c>
      <c r="Q18" s="2">
        <f>VLOOKUP(C18,[2]Wikidata_upec_chemical_20!$C:$U,3,FALSE)</f>
        <v>0</v>
      </c>
      <c r="R18" s="2" t="str">
        <f>VLOOKUP(C18,[2]Wikidata_upec_chemical_20!$C:$U,17,FALSE)</f>
        <v>ok</v>
      </c>
      <c r="S18" s="2" t="str">
        <f>VLOOKUP(C18,[2]Wikidata_upec_chemical_20!$C:$U,15,FALSE)</f>
        <v/>
      </c>
      <c r="T18" s="3">
        <f t="shared" si="0"/>
        <v>0</v>
      </c>
      <c r="U18" s="3" t="str">
        <f t="shared" si="1"/>
        <v>ok</v>
      </c>
      <c r="V18" s="3" t="str">
        <f t="shared" si="2"/>
        <v/>
      </c>
      <c r="W18">
        <v>0</v>
      </c>
      <c r="X18">
        <v>0</v>
      </c>
      <c r="Y18" s="3" t="str">
        <f t="shared" si="3"/>
        <v/>
      </c>
    </row>
    <row r="19" spans="1:25" x14ac:dyDescent="0.3">
      <c r="A19" s="6">
        <v>1060481</v>
      </c>
      <c r="B19" s="6" t="s">
        <v>42</v>
      </c>
      <c r="C19" s="6">
        <v>51173134</v>
      </c>
      <c r="D19" s="6"/>
      <c r="E19" s="6"/>
      <c r="F19" s="6"/>
      <c r="G19" s="6"/>
      <c r="H19" s="6" t="s">
        <v>16</v>
      </c>
      <c r="I19" s="6" t="s">
        <v>16</v>
      </c>
      <c r="J19" s="6" t="s">
        <v>17</v>
      </c>
      <c r="K19" s="6">
        <v>0</v>
      </c>
      <c r="L19" s="6">
        <v>0</v>
      </c>
      <c r="M19" s="6"/>
      <c r="N19" s="6"/>
      <c r="O19" s="1">
        <f>VLOOKUP(C19,[1]Sheet2!$C:$N,3,FALSE)</f>
        <v>0</v>
      </c>
      <c r="P19" s="1" t="str">
        <f>VLOOKUP(C19,[1]Sheet2!$C:$N,11,FALSE)</f>
        <v>ok</v>
      </c>
      <c r="Q19" s="2">
        <f>VLOOKUP(C19,[2]Wikidata_upec_chemical_20!$C:$U,3,FALSE)</f>
        <v>0</v>
      </c>
      <c r="R19" s="2" t="str">
        <f>VLOOKUP(C19,[2]Wikidata_upec_chemical_20!$C:$U,17,FALSE)</f>
        <v>ok</v>
      </c>
      <c r="S19" s="2" t="str">
        <f>VLOOKUP(C19,[2]Wikidata_upec_chemical_20!$C:$U,15,FALSE)</f>
        <v/>
      </c>
      <c r="T19" s="3">
        <f t="shared" si="0"/>
        <v>0</v>
      </c>
      <c r="U19" s="3" t="str">
        <f t="shared" si="1"/>
        <v>ok</v>
      </c>
      <c r="V19" s="3" t="str">
        <f t="shared" si="2"/>
        <v/>
      </c>
      <c r="W19">
        <v>0</v>
      </c>
      <c r="X19">
        <v>0</v>
      </c>
      <c r="Y19" s="3" t="str">
        <f t="shared" si="3"/>
        <v/>
      </c>
    </row>
    <row r="20" spans="1:25" x14ac:dyDescent="0.3">
      <c r="A20" s="6">
        <v>1064801</v>
      </c>
      <c r="B20" s="6" t="s">
        <v>48</v>
      </c>
      <c r="C20" s="6" t="s">
        <v>49</v>
      </c>
      <c r="D20" s="6"/>
      <c r="E20" s="6"/>
      <c r="F20" s="6"/>
      <c r="G20" s="6"/>
      <c r="H20" s="6" t="s">
        <v>16</v>
      </c>
      <c r="I20" s="6" t="s">
        <v>16</v>
      </c>
      <c r="J20" s="6" t="s">
        <v>17</v>
      </c>
      <c r="K20" s="6">
        <v>0</v>
      </c>
      <c r="L20" s="6">
        <v>0</v>
      </c>
      <c r="M20" s="6"/>
      <c r="N20" s="6"/>
      <c r="O20" s="1">
        <f>VLOOKUP(C20,[1]Sheet2!$C:$N,3,FALSE)</f>
        <v>0</v>
      </c>
      <c r="P20" s="1" t="str">
        <f>VLOOKUP(C20,[1]Sheet2!$C:$N,11,FALSE)</f>
        <v>ok</v>
      </c>
      <c r="Q20" s="2">
        <f>VLOOKUP(C20,[2]Wikidata_upec_chemical_20!$C:$U,3,FALSE)</f>
        <v>0</v>
      </c>
      <c r="R20" s="2" t="str">
        <f>VLOOKUP(C20,[2]Wikidata_upec_chemical_20!$C:$U,17,FALSE)</f>
        <v>ok</v>
      </c>
      <c r="S20" s="2" t="str">
        <f>VLOOKUP(C20,[2]Wikidata_upec_chemical_20!$C:$U,15,FALSE)</f>
        <v/>
      </c>
      <c r="T20" s="3">
        <f t="shared" si="0"/>
        <v>0</v>
      </c>
      <c r="U20" s="3" t="str">
        <f t="shared" si="1"/>
        <v>ok</v>
      </c>
      <c r="V20" s="3" t="str">
        <f t="shared" si="2"/>
        <v/>
      </c>
      <c r="W20">
        <v>0</v>
      </c>
      <c r="X20">
        <v>0</v>
      </c>
      <c r="Y20" s="3" t="str">
        <f t="shared" si="3"/>
        <v/>
      </c>
    </row>
    <row r="21" spans="1:25" x14ac:dyDescent="0.3">
      <c r="A21" s="6">
        <v>1064801</v>
      </c>
      <c r="B21" s="6" t="s">
        <v>48</v>
      </c>
      <c r="C21" s="6" t="s">
        <v>50</v>
      </c>
      <c r="D21" s="6"/>
      <c r="E21" s="6"/>
      <c r="F21" s="6"/>
      <c r="G21" s="6"/>
      <c r="H21" s="6" t="s">
        <v>16</v>
      </c>
      <c r="I21" s="6" t="s">
        <v>16</v>
      </c>
      <c r="J21" s="6" t="s">
        <v>17</v>
      </c>
      <c r="K21" s="6">
        <v>0</v>
      </c>
      <c r="L21" s="6">
        <v>0</v>
      </c>
      <c r="M21" s="6"/>
      <c r="N21" s="6"/>
      <c r="O21" s="1">
        <f>VLOOKUP(C21,[1]Sheet2!$C:$N,3,FALSE)</f>
        <v>0</v>
      </c>
      <c r="P21" s="1" t="str">
        <f>VLOOKUP(C21,[1]Sheet2!$C:$N,11,FALSE)</f>
        <v>ok</v>
      </c>
      <c r="Q21" s="2">
        <f>VLOOKUP(C21,[2]Wikidata_upec_chemical_20!$C:$U,3,FALSE)</f>
        <v>0</v>
      </c>
      <c r="R21" s="2" t="str">
        <f>VLOOKUP(C21,[2]Wikidata_upec_chemical_20!$C:$U,17,FALSE)</f>
        <v>ok</v>
      </c>
      <c r="S21" s="2" t="str">
        <f>VLOOKUP(C21,[2]Wikidata_upec_chemical_20!$C:$U,15,FALSE)</f>
        <v/>
      </c>
      <c r="T21" s="3">
        <f t="shared" si="0"/>
        <v>0</v>
      </c>
      <c r="U21" s="3" t="str">
        <f t="shared" si="1"/>
        <v>ok</v>
      </c>
      <c r="V21" s="3" t="str">
        <f t="shared" si="2"/>
        <v/>
      </c>
      <c r="W21">
        <v>0</v>
      </c>
      <c r="X21">
        <v>0</v>
      </c>
      <c r="Y21" s="3" t="str">
        <f t="shared" si="3"/>
        <v/>
      </c>
    </row>
    <row r="22" spans="1:25" x14ac:dyDescent="0.3">
      <c r="A22" s="6">
        <v>1064801</v>
      </c>
      <c r="B22" s="6" t="s">
        <v>48</v>
      </c>
      <c r="C22" s="6" t="s">
        <v>51</v>
      </c>
      <c r="D22" s="6"/>
      <c r="E22" s="6"/>
      <c r="F22" s="6"/>
      <c r="G22" s="6"/>
      <c r="H22" s="6" t="s">
        <v>16</v>
      </c>
      <c r="I22" s="6" t="s">
        <v>16</v>
      </c>
      <c r="J22" s="6" t="s">
        <v>17</v>
      </c>
      <c r="K22" s="6">
        <v>0</v>
      </c>
      <c r="L22" s="6">
        <v>0</v>
      </c>
      <c r="M22" s="6"/>
      <c r="N22" s="6"/>
      <c r="O22" s="1">
        <f>VLOOKUP(C22,[1]Sheet2!$C:$N,3,FALSE)</f>
        <v>0</v>
      </c>
      <c r="P22" s="1" t="str">
        <f>VLOOKUP(C22,[1]Sheet2!$C:$N,11,FALSE)</f>
        <v>ok</v>
      </c>
      <c r="Q22" s="2">
        <f>VLOOKUP(C22,[2]Wikidata_upec_chemical_20!$C:$U,3,FALSE)</f>
        <v>0</v>
      </c>
      <c r="R22" s="2" t="str">
        <f>VLOOKUP(C22,[2]Wikidata_upec_chemical_20!$C:$U,17,FALSE)</f>
        <v>ok</v>
      </c>
      <c r="S22" s="2" t="str">
        <f>VLOOKUP(C22,[2]Wikidata_upec_chemical_20!$C:$U,15,FALSE)</f>
        <v/>
      </c>
      <c r="T22" s="3">
        <f t="shared" si="0"/>
        <v>0</v>
      </c>
      <c r="U22" s="3" t="str">
        <f t="shared" si="1"/>
        <v>ok</v>
      </c>
      <c r="V22" s="3" t="str">
        <f t="shared" si="2"/>
        <v/>
      </c>
      <c r="W22">
        <v>0</v>
      </c>
      <c r="X22">
        <v>0</v>
      </c>
      <c r="Y22" s="3" t="str">
        <f t="shared" si="3"/>
        <v/>
      </c>
    </row>
    <row r="23" spans="1:25" x14ac:dyDescent="0.3">
      <c r="A23" s="6">
        <v>1064801</v>
      </c>
      <c r="B23" s="6" t="s">
        <v>48</v>
      </c>
      <c r="C23" s="6" t="s">
        <v>52</v>
      </c>
      <c r="D23" s="6" t="s">
        <v>53</v>
      </c>
      <c r="E23" s="6" t="s">
        <v>54</v>
      </c>
      <c r="F23" s="6"/>
      <c r="G23" s="6"/>
      <c r="H23" s="6" t="s">
        <v>21</v>
      </c>
      <c r="I23" s="6" t="s">
        <v>21</v>
      </c>
      <c r="J23" s="6" t="s">
        <v>17</v>
      </c>
      <c r="K23" s="6">
        <v>96.8</v>
      </c>
      <c r="L23" s="6">
        <v>141.9</v>
      </c>
      <c r="M23" s="6" t="s">
        <v>55</v>
      </c>
      <c r="N23" s="6" t="s">
        <v>56</v>
      </c>
      <c r="O23" s="1" t="str">
        <f>VLOOKUP(C23,[1]Sheet2!$C:$N,3,FALSE)</f>
        <v>Q1572088</v>
      </c>
      <c r="P23" s="1" t="str">
        <f>VLOOKUP(C23,[1]Sheet2!$C:$N,11,FALSE)</f>
        <v>ok</v>
      </c>
      <c r="Q23" s="2" t="str">
        <f>VLOOKUP(C23,[2]Wikidata_upec_chemical_20!$C:$U,3,FALSE)</f>
        <v>Q1572088</v>
      </c>
      <c r="R23" s="2" t="str">
        <f>VLOOKUP(C23,[2]Wikidata_upec_chemical_20!$C:$U,17,FALSE)</f>
        <v>ok</v>
      </c>
      <c r="S23" s="2" t="str">
        <f>VLOOKUP(C23,[2]Wikidata_upec_chemical_20!$C:$U,15,FALSE)</f>
        <v/>
      </c>
      <c r="T23" s="3" t="str">
        <f t="shared" si="0"/>
        <v>Q1572088</v>
      </c>
      <c r="U23" s="3" t="str">
        <f t="shared" si="1"/>
        <v>ok</v>
      </c>
      <c r="V23" s="3" t="str">
        <f t="shared" si="2"/>
        <v/>
      </c>
      <c r="W23" t="s">
        <v>53</v>
      </c>
      <c r="X23" t="s">
        <v>54</v>
      </c>
      <c r="Y23" s="3" t="str">
        <f t="shared" si="3"/>
        <v/>
      </c>
    </row>
    <row r="24" spans="1:25" x14ac:dyDescent="0.3">
      <c r="A24" s="6">
        <v>1067996</v>
      </c>
      <c r="B24" s="6" t="s">
        <v>57</v>
      </c>
      <c r="C24" s="6" t="s">
        <v>58</v>
      </c>
      <c r="D24" s="6"/>
      <c r="E24" s="6"/>
      <c r="F24" s="6"/>
      <c r="G24" s="6"/>
      <c r="H24" s="6" t="s">
        <v>16</v>
      </c>
      <c r="I24" s="6" t="s">
        <v>16</v>
      </c>
      <c r="J24" s="6" t="s">
        <v>17</v>
      </c>
      <c r="K24" s="6">
        <v>0</v>
      </c>
      <c r="L24" s="6">
        <v>0</v>
      </c>
      <c r="M24" s="6"/>
      <c r="N24" s="6"/>
      <c r="O24" s="1">
        <f>VLOOKUP(C24,[1]Sheet2!$C:$N,3,FALSE)</f>
        <v>0</v>
      </c>
      <c r="P24" s="1" t="str">
        <f>VLOOKUP(C24,[1]Sheet2!$C:$N,11,FALSE)</f>
        <v>ok</v>
      </c>
      <c r="Q24" s="2">
        <f>VLOOKUP(C24,[2]Wikidata_upec_chemical_20!$C:$U,3,FALSE)</f>
        <v>0</v>
      </c>
      <c r="R24" s="2" t="str">
        <f>VLOOKUP(C24,[2]Wikidata_upec_chemical_20!$C:$U,17,FALSE)</f>
        <v>ok</v>
      </c>
      <c r="S24" s="2" t="str">
        <f>VLOOKUP(C24,[2]Wikidata_upec_chemical_20!$C:$U,15,FALSE)</f>
        <v/>
      </c>
      <c r="T24" s="3">
        <f t="shared" si="0"/>
        <v>0</v>
      </c>
      <c r="U24" s="3" t="str">
        <f t="shared" si="1"/>
        <v>ok</v>
      </c>
      <c r="V24" s="3" t="str">
        <f t="shared" si="2"/>
        <v/>
      </c>
      <c r="W24">
        <v>0</v>
      </c>
      <c r="X24">
        <v>0</v>
      </c>
      <c r="Y24" s="3" t="str">
        <f t="shared" si="3"/>
        <v/>
      </c>
    </row>
    <row r="25" spans="1:25" x14ac:dyDescent="0.3">
      <c r="A25" s="6">
        <v>1067996</v>
      </c>
      <c r="B25" s="6" t="s">
        <v>57</v>
      </c>
      <c r="C25" s="5" t="s">
        <v>59</v>
      </c>
      <c r="D25" s="6" t="s">
        <v>59</v>
      </c>
      <c r="E25" s="6" t="s">
        <v>317</v>
      </c>
      <c r="F25" s="6"/>
      <c r="G25" s="6"/>
      <c r="H25" s="6" t="s">
        <v>266</v>
      </c>
      <c r="I25" s="6" t="s">
        <v>266</v>
      </c>
      <c r="J25" s="6" t="s">
        <v>17</v>
      </c>
      <c r="K25" s="6">
        <v>100</v>
      </c>
      <c r="L25" s="6">
        <v>75.599999999999994</v>
      </c>
      <c r="M25" s="6" t="s">
        <v>318</v>
      </c>
      <c r="N25" s="6" t="s">
        <v>321</v>
      </c>
      <c r="O25" s="1" t="str">
        <f>VLOOKUP(C25,[1]Sheet2!$C:$N,3,FALSE)</f>
        <v>Q110548120</v>
      </c>
      <c r="P25" s="1" t="str">
        <f>VLOOKUP(C25,[1]Sheet2!$C:$N,11,FALSE)</f>
        <v>Wrong</v>
      </c>
      <c r="Q25" s="2" t="str">
        <f>VLOOKUP(C25,[2]Wikidata_upec_chemical_20!$C:$U,3,FALSE)</f>
        <v>Q8074</v>
      </c>
      <c r="R25" s="2" t="str">
        <f>VLOOKUP(C25,[2]Wikidata_upec_chemical_20!$C:$U,17,FALSE)</f>
        <v>ok</v>
      </c>
      <c r="S25" s="2" t="str">
        <f>VLOOKUP(C25,[2]Wikidata_upec_chemical_20!$C:$U,15,FALSE)</f>
        <v>Mod</v>
      </c>
      <c r="T25" s="3" t="str">
        <f t="shared" si="0"/>
        <v>Q110548120</v>
      </c>
      <c r="U25" s="3" t="str">
        <f t="shared" si="1"/>
        <v>ok</v>
      </c>
      <c r="V25" s="3" t="str">
        <f t="shared" si="2"/>
        <v>Mod</v>
      </c>
      <c r="W25" t="s">
        <v>60</v>
      </c>
      <c r="X25" t="s">
        <v>61</v>
      </c>
      <c r="Y25" s="3" t="str">
        <f t="shared" si="3"/>
        <v>Mod</v>
      </c>
    </row>
    <row r="26" spans="1:25" x14ac:dyDescent="0.3">
      <c r="A26" s="6">
        <v>1067996</v>
      </c>
      <c r="B26" s="6" t="s">
        <v>57</v>
      </c>
      <c r="C26" s="6" t="s">
        <v>62</v>
      </c>
      <c r="D26" s="6"/>
      <c r="E26" s="6"/>
      <c r="F26" s="6"/>
      <c r="G26" s="6"/>
      <c r="H26" s="6" t="s">
        <v>16</v>
      </c>
      <c r="I26" s="6" t="s">
        <v>16</v>
      </c>
      <c r="J26" s="6" t="s">
        <v>17</v>
      </c>
      <c r="K26" s="6">
        <v>0</v>
      </c>
      <c r="L26" s="6">
        <v>0</v>
      </c>
      <c r="M26" s="6"/>
      <c r="N26" s="6"/>
      <c r="O26" s="1">
        <f>VLOOKUP(C26,[1]Sheet2!$C:$N,3,FALSE)</f>
        <v>0</v>
      </c>
      <c r="P26" s="1" t="str">
        <f>VLOOKUP(C26,[1]Sheet2!$C:$N,11,FALSE)</f>
        <v>ok</v>
      </c>
      <c r="Q26" s="2">
        <f>VLOOKUP(C26,[2]Wikidata_upec_chemical_20!$C:$U,3,FALSE)</f>
        <v>0</v>
      </c>
      <c r="R26" s="2" t="str">
        <f>VLOOKUP(C26,[2]Wikidata_upec_chemical_20!$C:$U,17,FALSE)</f>
        <v>ok</v>
      </c>
      <c r="S26" s="2" t="str">
        <f>VLOOKUP(C26,[2]Wikidata_upec_chemical_20!$C:$U,15,FALSE)</f>
        <v/>
      </c>
      <c r="T26" s="3">
        <f t="shared" si="0"/>
        <v>0</v>
      </c>
      <c r="U26" s="3" t="str">
        <f t="shared" si="1"/>
        <v>ok</v>
      </c>
      <c r="V26" s="3" t="str">
        <f t="shared" si="2"/>
        <v/>
      </c>
      <c r="W26">
        <v>0</v>
      </c>
      <c r="X26">
        <v>0</v>
      </c>
      <c r="Y26" s="3" t="str">
        <f t="shared" si="3"/>
        <v/>
      </c>
    </row>
    <row r="27" spans="1:25" x14ac:dyDescent="0.3">
      <c r="A27" s="6">
        <v>1067996</v>
      </c>
      <c r="B27" s="6" t="s">
        <v>57</v>
      </c>
      <c r="C27" s="6" t="s">
        <v>63</v>
      </c>
      <c r="D27" s="6"/>
      <c r="E27" s="6"/>
      <c r="F27" s="6"/>
      <c r="G27" s="6"/>
      <c r="H27" s="6" t="s">
        <v>16</v>
      </c>
      <c r="I27" s="6" t="s">
        <v>16</v>
      </c>
      <c r="J27" s="6" t="s">
        <v>17</v>
      </c>
      <c r="K27" s="6">
        <v>0</v>
      </c>
      <c r="L27" s="6">
        <v>0</v>
      </c>
      <c r="M27" s="6"/>
      <c r="N27" s="6"/>
      <c r="O27" s="1">
        <f>VLOOKUP(C27,[1]Sheet2!$C:$N,3,FALSE)</f>
        <v>0</v>
      </c>
      <c r="P27" s="1" t="str">
        <f>VLOOKUP(C27,[1]Sheet2!$C:$N,11,FALSE)</f>
        <v>ok</v>
      </c>
      <c r="Q27" s="2">
        <f>VLOOKUP(C27,[2]Wikidata_upec_chemical_20!$C:$U,3,FALSE)</f>
        <v>0</v>
      </c>
      <c r="R27" s="2" t="str">
        <f>VLOOKUP(C27,[2]Wikidata_upec_chemical_20!$C:$U,17,FALSE)</f>
        <v>ok</v>
      </c>
      <c r="S27" s="2" t="str">
        <f>VLOOKUP(C27,[2]Wikidata_upec_chemical_20!$C:$U,15,FALSE)</f>
        <v/>
      </c>
      <c r="T27" s="3">
        <f t="shared" si="0"/>
        <v>0</v>
      </c>
      <c r="U27" s="3" t="str">
        <f t="shared" si="1"/>
        <v>ok</v>
      </c>
      <c r="V27" s="3" t="str">
        <f t="shared" si="2"/>
        <v/>
      </c>
      <c r="W27">
        <v>0</v>
      </c>
      <c r="X27">
        <v>0</v>
      </c>
      <c r="Y27" s="3" t="str">
        <f t="shared" si="3"/>
        <v/>
      </c>
    </row>
    <row r="28" spans="1:25" x14ac:dyDescent="0.3">
      <c r="A28" s="6">
        <v>1067996</v>
      </c>
      <c r="B28" s="6" t="s">
        <v>57</v>
      </c>
      <c r="C28" s="6" t="s">
        <v>64</v>
      </c>
      <c r="D28" s="6"/>
      <c r="E28" s="6"/>
      <c r="F28" s="6"/>
      <c r="G28" s="6"/>
      <c r="H28" s="6" t="s">
        <v>16</v>
      </c>
      <c r="I28" s="6" t="s">
        <v>16</v>
      </c>
      <c r="J28" s="6" t="s">
        <v>17</v>
      </c>
      <c r="K28" s="6">
        <v>0</v>
      </c>
      <c r="L28" s="6">
        <v>0</v>
      </c>
      <c r="M28" s="6"/>
      <c r="N28" s="6"/>
      <c r="O28" s="1">
        <f>VLOOKUP(C28,[1]Sheet2!$C:$N,3,FALSE)</f>
        <v>0</v>
      </c>
      <c r="P28" s="1" t="str">
        <f>VLOOKUP(C28,[1]Sheet2!$C:$N,11,FALSE)</f>
        <v>ok</v>
      </c>
      <c r="Q28" s="2">
        <f>VLOOKUP(C28,[2]Wikidata_upec_chemical_20!$C:$U,3,FALSE)</f>
        <v>0</v>
      </c>
      <c r="R28" s="2" t="str">
        <f>VLOOKUP(C28,[2]Wikidata_upec_chemical_20!$C:$U,17,FALSE)</f>
        <v>ok</v>
      </c>
      <c r="S28" s="2" t="str">
        <f>VLOOKUP(C28,[2]Wikidata_upec_chemical_20!$C:$U,15,FALSE)</f>
        <v/>
      </c>
      <c r="T28" s="3">
        <f t="shared" si="0"/>
        <v>0</v>
      </c>
      <c r="U28" s="3" t="str">
        <f t="shared" si="1"/>
        <v>ok</v>
      </c>
      <c r="V28" s="3" t="str">
        <f t="shared" si="2"/>
        <v/>
      </c>
      <c r="W28">
        <v>0</v>
      </c>
      <c r="X28">
        <v>0</v>
      </c>
      <c r="Y28" s="3" t="str">
        <f t="shared" si="3"/>
        <v/>
      </c>
    </row>
    <row r="29" spans="1:25" x14ac:dyDescent="0.3">
      <c r="A29">
        <v>1078652</v>
      </c>
      <c r="B29" t="s">
        <v>65</v>
      </c>
      <c r="C29" t="s">
        <v>66</v>
      </c>
      <c r="H29" t="s">
        <v>16</v>
      </c>
      <c r="I29" t="s">
        <v>16</v>
      </c>
      <c r="J29" t="s">
        <v>17</v>
      </c>
      <c r="K29">
        <v>0</v>
      </c>
      <c r="L29">
        <v>0</v>
      </c>
      <c r="O29" s="1">
        <f>VLOOKUP(C29,[1]Sheet2!$C:$N,3,FALSE)</f>
        <v>0</v>
      </c>
      <c r="P29" s="1" t="str">
        <f>VLOOKUP(C29,[1]Sheet2!$C:$N,11,FALSE)</f>
        <v>ok</v>
      </c>
      <c r="Q29" s="2">
        <f>VLOOKUP(C29,[2]Wikidata_upec_chemical_20!$C:$U,3,FALSE)</f>
        <v>0</v>
      </c>
      <c r="R29" s="2" t="str">
        <f>VLOOKUP(C29,[2]Wikidata_upec_chemical_20!$C:$U,17,FALSE)</f>
        <v>ok</v>
      </c>
      <c r="S29" s="2" t="str">
        <f>VLOOKUP(C29,[2]Wikidata_upec_chemical_20!$C:$U,15,FALSE)</f>
        <v/>
      </c>
      <c r="T29" s="3">
        <f t="shared" si="0"/>
        <v>0</v>
      </c>
      <c r="U29" s="3" t="str">
        <f t="shared" si="1"/>
        <v>ok</v>
      </c>
      <c r="V29" s="3" t="str">
        <f t="shared" si="2"/>
        <v/>
      </c>
      <c r="W29">
        <v>0</v>
      </c>
      <c r="X29">
        <v>0</v>
      </c>
      <c r="Y29" s="3" t="str">
        <f t="shared" si="3"/>
        <v/>
      </c>
    </row>
    <row r="30" spans="1:25" x14ac:dyDescent="0.3">
      <c r="A30">
        <v>1078652</v>
      </c>
      <c r="B30" t="s">
        <v>65</v>
      </c>
      <c r="C30" t="s">
        <v>67</v>
      </c>
      <c r="D30" t="s">
        <v>68</v>
      </c>
      <c r="E30" t="s">
        <v>69</v>
      </c>
      <c r="H30" t="s">
        <v>266</v>
      </c>
      <c r="I30" t="s">
        <v>266</v>
      </c>
      <c r="J30" t="s">
        <v>17</v>
      </c>
      <c r="K30">
        <v>100</v>
      </c>
      <c r="L30">
        <v>109.9</v>
      </c>
      <c r="O30" s="1" t="str">
        <f>VLOOKUP(C30,[1]Sheet2!$C:$N,3,FALSE)</f>
        <v>Q7135015</v>
      </c>
      <c r="P30" s="1" t="str">
        <f>VLOOKUP(C30,[1]Sheet2!$C:$N,11,FALSE)</f>
        <v>ok</v>
      </c>
      <c r="Q30" s="2" t="str">
        <f>VLOOKUP(C30,[2]Wikidata_upec_chemical_20!$C:$U,3,FALSE)</f>
        <v>Q7135015</v>
      </c>
      <c r="R30" s="2" t="str">
        <f>VLOOKUP(C30,[2]Wikidata_upec_chemical_20!$C:$U,17,FALSE)</f>
        <v>ok</v>
      </c>
      <c r="S30" s="2" t="str">
        <f>VLOOKUP(C30,[2]Wikidata_upec_chemical_20!$C:$U,15,FALSE)</f>
        <v/>
      </c>
      <c r="T30" s="3" t="str">
        <f t="shared" si="0"/>
        <v>Q7135015</v>
      </c>
      <c r="U30" s="3" t="str">
        <f t="shared" si="1"/>
        <v>ok</v>
      </c>
      <c r="V30" s="3" t="str">
        <f t="shared" si="2"/>
        <v/>
      </c>
      <c r="W30" t="s">
        <v>68</v>
      </c>
      <c r="X30" t="s">
        <v>69</v>
      </c>
      <c r="Y30" s="3" t="str">
        <f t="shared" si="3"/>
        <v/>
      </c>
    </row>
    <row r="31" spans="1:25" x14ac:dyDescent="0.3">
      <c r="A31">
        <v>1078652</v>
      </c>
      <c r="B31" t="s">
        <v>65</v>
      </c>
      <c r="C31" t="s">
        <v>70</v>
      </c>
      <c r="D31" t="s">
        <v>201</v>
      </c>
      <c r="E31" t="s">
        <v>202</v>
      </c>
      <c r="H31" t="s">
        <v>266</v>
      </c>
      <c r="I31" t="s">
        <v>266</v>
      </c>
      <c r="J31" t="s">
        <v>17</v>
      </c>
      <c r="K31">
        <v>100</v>
      </c>
      <c r="L31">
        <v>98.9</v>
      </c>
      <c r="O31" s="1">
        <f>VLOOKUP(C31,[1]Sheet2!$C:$N,3,FALSE)</f>
        <v>0</v>
      </c>
      <c r="P31" s="1" t="str">
        <f>VLOOKUP(C31,[1]Sheet2!$C:$N,11,FALSE)</f>
        <v>ok</v>
      </c>
      <c r="Q31" s="2">
        <f>VLOOKUP(C31,[2]Wikidata_upec_chemical_20!$C:$U,3,FALSE)</f>
        <v>0</v>
      </c>
      <c r="R31" s="2" t="str">
        <f>VLOOKUP(C31,[2]Wikidata_upec_chemical_20!$C:$U,17,FALSE)</f>
        <v>ok</v>
      </c>
      <c r="S31" s="2" t="str">
        <f>VLOOKUP(C31,[2]Wikidata_upec_chemical_20!$C:$U,15,FALSE)</f>
        <v/>
      </c>
      <c r="T31" s="3" t="str">
        <f t="shared" si="0"/>
        <v>Q902061</v>
      </c>
      <c r="U31" s="3" t="str">
        <f t="shared" si="1"/>
        <v>ok</v>
      </c>
      <c r="V31" s="5" t="str">
        <f t="shared" si="2"/>
        <v>Mod</v>
      </c>
      <c r="W31" t="s">
        <v>201</v>
      </c>
      <c r="X31" t="s">
        <v>202</v>
      </c>
      <c r="Y31" s="3" t="str">
        <f t="shared" si="3"/>
        <v/>
      </c>
    </row>
    <row r="32" spans="1:25" x14ac:dyDescent="0.3">
      <c r="A32">
        <v>1078652</v>
      </c>
      <c r="B32" t="s">
        <v>65</v>
      </c>
      <c r="C32" t="s">
        <v>71</v>
      </c>
      <c r="H32" t="s">
        <v>16</v>
      </c>
      <c r="I32" t="s">
        <v>16</v>
      </c>
      <c r="J32" t="s">
        <v>17</v>
      </c>
      <c r="K32">
        <v>0</v>
      </c>
      <c r="L32">
        <v>0</v>
      </c>
      <c r="O32" s="1">
        <f>VLOOKUP(C32,[1]Sheet2!$C:$N,3,FALSE)</f>
        <v>0</v>
      </c>
      <c r="P32" s="1" t="str">
        <f>VLOOKUP(C32,[1]Sheet2!$C:$N,11,FALSE)</f>
        <v>ok</v>
      </c>
      <c r="Q32" s="2">
        <f>VLOOKUP(C32,[2]Wikidata_upec_chemical_20!$C:$U,3,FALSE)</f>
        <v>0</v>
      </c>
      <c r="R32" s="2" t="str">
        <f>VLOOKUP(C32,[2]Wikidata_upec_chemical_20!$C:$U,17,FALSE)</f>
        <v>ok</v>
      </c>
      <c r="S32" s="2" t="str">
        <f>VLOOKUP(C32,[2]Wikidata_upec_chemical_20!$C:$U,15,FALSE)</f>
        <v/>
      </c>
      <c r="T32" s="3">
        <f t="shared" si="0"/>
        <v>0</v>
      </c>
      <c r="U32" s="3" t="str">
        <f t="shared" si="1"/>
        <v>ok</v>
      </c>
      <c r="V32" s="3" t="str">
        <f t="shared" si="2"/>
        <v/>
      </c>
      <c r="W32">
        <v>0</v>
      </c>
      <c r="X32">
        <v>0</v>
      </c>
      <c r="Y32" s="3" t="str">
        <f t="shared" si="3"/>
        <v/>
      </c>
    </row>
    <row r="33" spans="1:25" x14ac:dyDescent="0.3">
      <c r="A33">
        <v>1078652</v>
      </c>
      <c r="B33" t="s">
        <v>65</v>
      </c>
      <c r="C33" t="s">
        <v>72</v>
      </c>
      <c r="H33" t="s">
        <v>16</v>
      </c>
      <c r="I33" t="s">
        <v>16</v>
      </c>
      <c r="J33" t="s">
        <v>17</v>
      </c>
      <c r="K33">
        <v>0</v>
      </c>
      <c r="L33">
        <v>0</v>
      </c>
      <c r="O33" s="1">
        <f>VLOOKUP(C33,[1]Sheet2!$C:$N,3,FALSE)</f>
        <v>0</v>
      </c>
      <c r="P33" s="1" t="str">
        <f>VLOOKUP(C33,[1]Sheet2!$C:$N,11,FALSE)</f>
        <v>ok</v>
      </c>
      <c r="Q33" s="2">
        <f>VLOOKUP(C33,[2]Wikidata_upec_chemical_20!$C:$U,3,FALSE)</f>
        <v>0</v>
      </c>
      <c r="R33" s="2" t="str">
        <f>VLOOKUP(C33,[2]Wikidata_upec_chemical_20!$C:$U,17,FALSE)</f>
        <v>ok</v>
      </c>
      <c r="S33" s="2" t="str">
        <f>VLOOKUP(C33,[2]Wikidata_upec_chemical_20!$C:$U,15,FALSE)</f>
        <v/>
      </c>
      <c r="T33" s="3">
        <f t="shared" si="0"/>
        <v>0</v>
      </c>
      <c r="U33" s="3" t="str">
        <f t="shared" si="1"/>
        <v>ok</v>
      </c>
      <c r="V33" s="3" t="str">
        <f t="shared" si="2"/>
        <v/>
      </c>
      <c r="W33">
        <v>0</v>
      </c>
      <c r="X33">
        <v>0</v>
      </c>
      <c r="Y33" s="3" t="str">
        <f t="shared" si="3"/>
        <v/>
      </c>
    </row>
    <row r="34" spans="1:25" x14ac:dyDescent="0.3">
      <c r="A34">
        <v>1078652</v>
      </c>
      <c r="B34" t="s">
        <v>65</v>
      </c>
      <c r="C34" t="s">
        <v>73</v>
      </c>
      <c r="D34" t="s">
        <v>74</v>
      </c>
      <c r="E34" t="s">
        <v>75</v>
      </c>
      <c r="H34" t="s">
        <v>21</v>
      </c>
      <c r="I34" t="s">
        <v>21</v>
      </c>
      <c r="J34" t="s">
        <v>17</v>
      </c>
      <c r="K34">
        <v>97.6</v>
      </c>
      <c r="L34">
        <v>75.900000000000006</v>
      </c>
      <c r="O34" s="1" t="str">
        <f>VLOOKUP(C34,[1]Sheet2!$C:$N,3,FALSE)</f>
        <v>Q25305554</v>
      </c>
      <c r="P34" s="1" t="str">
        <f>VLOOKUP(C34,[1]Sheet2!$C:$N,11,FALSE)</f>
        <v>ok</v>
      </c>
      <c r="Q34" s="2" t="str">
        <f>VLOOKUP(C34,[2]Wikidata_upec_chemical_20!$C:$U,3,FALSE)</f>
        <v>Q25305554</v>
      </c>
      <c r="R34" s="2" t="str">
        <f>VLOOKUP(C34,[2]Wikidata_upec_chemical_20!$C:$U,17,FALSE)</f>
        <v>ok</v>
      </c>
      <c r="S34" s="2" t="str">
        <f>VLOOKUP(C34,[2]Wikidata_upec_chemical_20!$C:$U,15,FALSE)</f>
        <v/>
      </c>
      <c r="T34" s="3" t="str">
        <f t="shared" si="0"/>
        <v>Q25305554</v>
      </c>
      <c r="U34" s="3" t="str">
        <f t="shared" si="1"/>
        <v>ok</v>
      </c>
      <c r="V34" s="3" t="str">
        <f t="shared" si="2"/>
        <v/>
      </c>
      <c r="W34" t="s">
        <v>74</v>
      </c>
      <c r="X34" t="s">
        <v>75</v>
      </c>
      <c r="Y34" s="3" t="str">
        <f t="shared" si="3"/>
        <v/>
      </c>
    </row>
    <row r="35" spans="1:25" x14ac:dyDescent="0.3">
      <c r="A35">
        <v>1078652</v>
      </c>
      <c r="B35" t="s">
        <v>65</v>
      </c>
      <c r="C35" t="s">
        <v>76</v>
      </c>
      <c r="D35" t="s">
        <v>203</v>
      </c>
      <c r="E35" t="s">
        <v>204</v>
      </c>
      <c r="H35" t="s">
        <v>21</v>
      </c>
      <c r="I35" t="s">
        <v>21</v>
      </c>
      <c r="J35" t="s">
        <v>17</v>
      </c>
      <c r="K35">
        <v>97.8</v>
      </c>
      <c r="L35">
        <v>147.9</v>
      </c>
      <c r="M35" t="s">
        <v>205</v>
      </c>
      <c r="N35" t="s">
        <v>206</v>
      </c>
      <c r="O35" s="1" t="str">
        <f>VLOOKUP(C35,[1]Sheet2!$C:$N,3,FALSE)</f>
        <v>Q57429452</v>
      </c>
      <c r="P35" s="1" t="str">
        <f>VLOOKUP(C35,[1]Sheet2!$C:$N,11,FALSE)</f>
        <v>Wrong</v>
      </c>
      <c r="Q35" s="2">
        <f>VLOOKUP(C35,[2]Wikidata_upec_chemical_20!$C:$U,3,FALSE)</f>
        <v>0</v>
      </c>
      <c r="R35" s="2" t="str">
        <f>VLOOKUP(C35,[2]Wikidata_upec_chemical_20!$C:$U,17,FALSE)</f>
        <v>ok</v>
      </c>
      <c r="S35" s="2" t="str">
        <f>VLOOKUP(C35,[2]Wikidata_upec_chemical_20!$C:$U,15,FALSE)</f>
        <v>Mod</v>
      </c>
      <c r="T35" s="3" t="str">
        <f t="shared" si="0"/>
        <v>Q232207</v>
      </c>
      <c r="U35" s="3" t="str">
        <f t="shared" si="1"/>
        <v>ok</v>
      </c>
      <c r="V35" s="5" t="str">
        <f t="shared" si="2"/>
        <v>Mod</v>
      </c>
      <c r="W35" t="s">
        <v>203</v>
      </c>
      <c r="X35" t="s">
        <v>204</v>
      </c>
      <c r="Y35" s="3" t="str">
        <f t="shared" si="3"/>
        <v/>
      </c>
    </row>
    <row r="36" spans="1:25" x14ac:dyDescent="0.3">
      <c r="A36">
        <v>1078896</v>
      </c>
      <c r="B36" t="s">
        <v>77</v>
      </c>
      <c r="C36" t="s">
        <v>78</v>
      </c>
      <c r="H36" t="s">
        <v>16</v>
      </c>
      <c r="I36" t="s">
        <v>16</v>
      </c>
      <c r="J36" t="s">
        <v>17</v>
      </c>
      <c r="K36">
        <v>0</v>
      </c>
      <c r="L36">
        <v>0</v>
      </c>
      <c r="O36" s="1">
        <f>VLOOKUP(C36,[1]Sheet2!$C:$N,3,FALSE)</f>
        <v>0</v>
      </c>
      <c r="P36" s="1" t="str">
        <f>VLOOKUP(C36,[1]Sheet2!$C:$N,11,FALSE)</f>
        <v>ok</v>
      </c>
      <c r="Q36" s="2">
        <f>VLOOKUP(C36,[2]Wikidata_upec_chemical_20!$C:$U,3,FALSE)</f>
        <v>0</v>
      </c>
      <c r="R36" s="2" t="str">
        <f>VLOOKUP(C36,[2]Wikidata_upec_chemical_20!$C:$U,17,FALSE)</f>
        <v>ok</v>
      </c>
      <c r="S36" s="2" t="str">
        <f>VLOOKUP(C36,[2]Wikidata_upec_chemical_20!$C:$U,15,FALSE)</f>
        <v/>
      </c>
      <c r="T36" s="3">
        <f t="shared" si="0"/>
        <v>0</v>
      </c>
      <c r="U36" s="3" t="str">
        <f t="shared" si="1"/>
        <v>ok</v>
      </c>
      <c r="V36" s="3" t="str">
        <f t="shared" si="2"/>
        <v/>
      </c>
      <c r="W36">
        <v>0</v>
      </c>
      <c r="X36">
        <v>0</v>
      </c>
      <c r="Y36" s="3" t="str">
        <f t="shared" si="3"/>
        <v/>
      </c>
    </row>
    <row r="37" spans="1:25" x14ac:dyDescent="0.3">
      <c r="A37">
        <v>1078896</v>
      </c>
      <c r="B37" t="s">
        <v>77</v>
      </c>
      <c r="C37" t="s">
        <v>79</v>
      </c>
      <c r="D37" t="s">
        <v>80</v>
      </c>
      <c r="E37" t="s">
        <v>81</v>
      </c>
      <c r="H37" t="s">
        <v>21</v>
      </c>
      <c r="I37" t="s">
        <v>21</v>
      </c>
      <c r="J37" t="s">
        <v>17</v>
      </c>
      <c r="K37">
        <v>96.3</v>
      </c>
      <c r="L37">
        <v>216.3</v>
      </c>
      <c r="M37" t="s">
        <v>82</v>
      </c>
      <c r="N37" t="s">
        <v>83</v>
      </c>
      <c r="O37" s="1" t="str">
        <f>VLOOKUP(C37,[1]Sheet2!$C:$N,3,FALSE)</f>
        <v>Q215328</v>
      </c>
      <c r="P37" s="1" t="str">
        <f>VLOOKUP(C37,[1]Sheet2!$C:$N,11,FALSE)</f>
        <v>ok</v>
      </c>
      <c r="Q37" s="2" t="str">
        <f>VLOOKUP(C37,[2]Wikidata_upec_chemical_20!$C:$U,3,FALSE)</f>
        <v>Q215328</v>
      </c>
      <c r="R37" s="2" t="str">
        <f>VLOOKUP(C37,[2]Wikidata_upec_chemical_20!$C:$U,17,FALSE)</f>
        <v>ok</v>
      </c>
      <c r="S37" s="2" t="str">
        <f>VLOOKUP(C37,[2]Wikidata_upec_chemical_20!$C:$U,15,FALSE)</f>
        <v/>
      </c>
      <c r="T37" s="3" t="str">
        <f t="shared" si="0"/>
        <v>Q215328</v>
      </c>
      <c r="U37" s="3" t="str">
        <f t="shared" si="1"/>
        <v>ok</v>
      </c>
      <c r="V37" s="3" t="str">
        <f t="shared" si="2"/>
        <v/>
      </c>
      <c r="W37" t="s">
        <v>80</v>
      </c>
      <c r="X37" t="s">
        <v>81</v>
      </c>
      <c r="Y37" s="3" t="str">
        <f t="shared" si="3"/>
        <v/>
      </c>
    </row>
    <row r="38" spans="1:25" x14ac:dyDescent="0.3">
      <c r="A38">
        <v>1078896</v>
      </c>
      <c r="B38" t="s">
        <v>77</v>
      </c>
      <c r="C38" t="s">
        <v>84</v>
      </c>
      <c r="D38" t="s">
        <v>207</v>
      </c>
      <c r="E38" t="s">
        <v>208</v>
      </c>
      <c r="H38" t="s">
        <v>21</v>
      </c>
      <c r="I38" t="s">
        <v>21</v>
      </c>
      <c r="J38" t="s">
        <v>17</v>
      </c>
      <c r="K38">
        <v>96.8</v>
      </c>
      <c r="L38">
        <v>86.5</v>
      </c>
      <c r="M38" t="s">
        <v>55</v>
      </c>
      <c r="N38" t="s">
        <v>56</v>
      </c>
      <c r="O38" s="1">
        <f>VLOOKUP(C38,[1]Sheet2!$C:$N,3,FALSE)</f>
        <v>0</v>
      </c>
      <c r="P38" s="1" t="str">
        <f>VLOOKUP(C38,[1]Sheet2!$C:$N,11,FALSE)</f>
        <v>ok</v>
      </c>
      <c r="Q38" s="2">
        <f>VLOOKUP(C38,[2]Wikidata_upec_chemical_20!$C:$U,3,FALSE)</f>
        <v>0</v>
      </c>
      <c r="R38" s="2" t="str">
        <f>VLOOKUP(C38,[2]Wikidata_upec_chemical_20!$C:$U,17,FALSE)</f>
        <v>ok</v>
      </c>
      <c r="S38" s="2" t="str">
        <f>VLOOKUP(C38,[2]Wikidata_upec_chemical_20!$C:$U,15,FALSE)</f>
        <v/>
      </c>
      <c r="T38" s="3" t="str">
        <f t="shared" si="0"/>
        <v>Q55511438</v>
      </c>
      <c r="U38" s="3" t="str">
        <f t="shared" si="1"/>
        <v>ok</v>
      </c>
      <c r="V38" s="5" t="str">
        <f t="shared" si="2"/>
        <v>Mod</v>
      </c>
      <c r="W38" t="s">
        <v>207</v>
      </c>
      <c r="X38" t="s">
        <v>208</v>
      </c>
      <c r="Y38" s="3" t="str">
        <f t="shared" si="3"/>
        <v/>
      </c>
    </row>
    <row r="39" spans="1:25" x14ac:dyDescent="0.3">
      <c r="A39">
        <v>1083001</v>
      </c>
      <c r="B39" t="s">
        <v>85</v>
      </c>
      <c r="C39" t="s">
        <v>86</v>
      </c>
      <c r="H39" t="s">
        <v>16</v>
      </c>
      <c r="I39" t="s">
        <v>16</v>
      </c>
      <c r="J39" t="s">
        <v>17</v>
      </c>
      <c r="K39">
        <v>0</v>
      </c>
      <c r="L39">
        <v>0</v>
      </c>
      <c r="O39" s="1">
        <f>VLOOKUP(C39,[1]Sheet2!$C:$N,3,FALSE)</f>
        <v>0</v>
      </c>
      <c r="P39" s="1" t="str">
        <f>VLOOKUP(C39,[1]Sheet2!$C:$N,11,FALSE)</f>
        <v>ok</v>
      </c>
      <c r="Q39" s="2">
        <f>VLOOKUP(C39,[2]Wikidata_upec_chemical_20!$C:$U,3,FALSE)</f>
        <v>0</v>
      </c>
      <c r="R39" s="2" t="str">
        <f>VLOOKUP(C39,[2]Wikidata_upec_chemical_20!$C:$U,17,FALSE)</f>
        <v>ok</v>
      </c>
      <c r="S39" s="2" t="str">
        <f>VLOOKUP(C39,[2]Wikidata_upec_chemical_20!$C:$U,15,FALSE)</f>
        <v/>
      </c>
      <c r="T39" s="3">
        <f t="shared" si="0"/>
        <v>0</v>
      </c>
      <c r="U39" s="3" t="str">
        <f t="shared" si="1"/>
        <v>ok</v>
      </c>
      <c r="V39" s="3" t="str">
        <f t="shared" si="2"/>
        <v/>
      </c>
      <c r="W39">
        <v>0</v>
      </c>
      <c r="X39">
        <v>0</v>
      </c>
      <c r="Y39" s="3" t="str">
        <f t="shared" si="3"/>
        <v/>
      </c>
    </row>
    <row r="40" spans="1:25" x14ac:dyDescent="0.3">
      <c r="A40">
        <v>1083001</v>
      </c>
      <c r="B40" t="s">
        <v>85</v>
      </c>
      <c r="C40" t="s">
        <v>87</v>
      </c>
      <c r="H40" t="s">
        <v>16</v>
      </c>
      <c r="I40" t="s">
        <v>16</v>
      </c>
      <c r="J40" t="s">
        <v>17</v>
      </c>
      <c r="K40">
        <v>0</v>
      </c>
      <c r="L40">
        <v>0</v>
      </c>
      <c r="O40" s="1">
        <f>VLOOKUP(C40,[1]Sheet2!$C:$N,3,FALSE)</f>
        <v>0</v>
      </c>
      <c r="P40" s="1" t="str">
        <f>VLOOKUP(C40,[1]Sheet2!$C:$N,11,FALSE)</f>
        <v>ok</v>
      </c>
      <c r="Q40" s="2">
        <f>VLOOKUP(C40,[2]Wikidata_upec_chemical_20!$C:$U,3,FALSE)</f>
        <v>0</v>
      </c>
      <c r="R40" s="2" t="str">
        <f>VLOOKUP(C40,[2]Wikidata_upec_chemical_20!$C:$U,17,FALSE)</f>
        <v>ok</v>
      </c>
      <c r="S40" s="2" t="str">
        <f>VLOOKUP(C40,[2]Wikidata_upec_chemical_20!$C:$U,15,FALSE)</f>
        <v/>
      </c>
      <c r="T40" s="3">
        <f t="shared" si="0"/>
        <v>0</v>
      </c>
      <c r="U40" s="3" t="str">
        <f t="shared" si="1"/>
        <v>ok</v>
      </c>
      <c r="V40" s="3" t="str">
        <f t="shared" si="2"/>
        <v/>
      </c>
      <c r="W40">
        <v>0</v>
      </c>
      <c r="X40">
        <v>0</v>
      </c>
      <c r="Y40" s="3" t="str">
        <f t="shared" si="3"/>
        <v/>
      </c>
    </row>
    <row r="41" spans="1:25" x14ac:dyDescent="0.3">
      <c r="A41">
        <v>1083001</v>
      </c>
      <c r="B41" t="s">
        <v>85</v>
      </c>
      <c r="C41" t="s">
        <v>88</v>
      </c>
      <c r="D41" t="s">
        <v>280</v>
      </c>
      <c r="E41" t="s">
        <v>281</v>
      </c>
      <c r="H41" t="s">
        <v>266</v>
      </c>
      <c r="I41" t="s">
        <v>266</v>
      </c>
      <c r="J41" t="s">
        <v>17</v>
      </c>
      <c r="K41">
        <v>100</v>
      </c>
      <c r="L41">
        <v>90.8</v>
      </c>
      <c r="M41" t="s">
        <v>282</v>
      </c>
      <c r="N41" t="s">
        <v>283</v>
      </c>
      <c r="O41" s="1" t="str">
        <f>VLOOKUP(C41,[1]Sheet2!$C:$N,3,FALSE)</f>
        <v>Q26868</v>
      </c>
      <c r="P41" s="1" t="str">
        <f>VLOOKUP(C41,[1]Sheet2!$C:$N,11,FALSE)</f>
        <v>ok</v>
      </c>
      <c r="Q41" s="2" t="str">
        <f>VLOOKUP(C41,[2]Wikidata_upec_chemical_20!$C:$U,3,FALSE)</f>
        <v>Q26868</v>
      </c>
      <c r="R41" s="2" t="str">
        <f>VLOOKUP(C41,[2]Wikidata_upec_chemical_20!$C:$U,17,FALSE)</f>
        <v>ok</v>
      </c>
      <c r="S41" s="2" t="str">
        <f>VLOOKUP(C41,[2]Wikidata_upec_chemical_20!$C:$U,15,FALSE)</f>
        <v/>
      </c>
      <c r="T41" s="3" t="str">
        <f t="shared" si="0"/>
        <v>Q22669857</v>
      </c>
      <c r="U41" s="3" t="str">
        <f t="shared" si="1"/>
        <v>ok</v>
      </c>
      <c r="V41" s="5" t="str">
        <f t="shared" si="2"/>
        <v>Mod</v>
      </c>
      <c r="W41" t="s">
        <v>280</v>
      </c>
      <c r="X41" t="s">
        <v>281</v>
      </c>
      <c r="Y41" s="3" t="str">
        <f t="shared" si="3"/>
        <v/>
      </c>
    </row>
    <row r="42" spans="1:25" x14ac:dyDescent="0.3">
      <c r="A42">
        <v>1083001</v>
      </c>
      <c r="B42" t="s">
        <v>85</v>
      </c>
      <c r="C42" t="s">
        <v>89</v>
      </c>
      <c r="D42" t="s">
        <v>209</v>
      </c>
      <c r="E42" t="s">
        <v>210</v>
      </c>
      <c r="H42" t="s">
        <v>21</v>
      </c>
      <c r="I42" t="s">
        <v>21</v>
      </c>
      <c r="J42" t="s">
        <v>17</v>
      </c>
      <c r="K42">
        <v>94.7</v>
      </c>
      <c r="L42">
        <v>116</v>
      </c>
      <c r="O42" s="1" t="str">
        <f>VLOOKUP(C42,[1]Sheet2!$C:$N,3,FALSE)</f>
        <v>Q27709294</v>
      </c>
      <c r="P42" s="1" t="str">
        <f>VLOOKUP(C42,[1]Sheet2!$C:$N,11,FALSE)</f>
        <v>Wrong</v>
      </c>
      <c r="Q42" s="2" t="str">
        <f>VLOOKUP(C42,[2]Wikidata_upec_chemical_20!$C:$U,3,FALSE)</f>
        <v>Q669391</v>
      </c>
      <c r="R42" s="2" t="str">
        <f>VLOOKUP(C42,[2]Wikidata_upec_chemical_20!$C:$U,17,FALSE)</f>
        <v>ok</v>
      </c>
      <c r="S42" s="2" t="str">
        <f>VLOOKUP(C42,[2]Wikidata_upec_chemical_20!$C:$U,15,FALSE)</f>
        <v>Mod</v>
      </c>
      <c r="T42" s="3" t="str">
        <f t="shared" si="0"/>
        <v>Q591745</v>
      </c>
      <c r="U42" s="3" t="str">
        <f t="shared" si="1"/>
        <v>ok</v>
      </c>
      <c r="V42" s="5" t="str">
        <f t="shared" si="2"/>
        <v>Mod</v>
      </c>
      <c r="W42" t="s">
        <v>209</v>
      </c>
      <c r="X42" t="s">
        <v>210</v>
      </c>
      <c r="Y42" s="3" t="str">
        <f t="shared" si="3"/>
        <v/>
      </c>
    </row>
    <row r="43" spans="1:25" x14ac:dyDescent="0.3">
      <c r="A43">
        <v>1083004</v>
      </c>
      <c r="B43" t="s">
        <v>90</v>
      </c>
      <c r="C43" t="s">
        <v>91</v>
      </c>
      <c r="H43" t="s">
        <v>16</v>
      </c>
      <c r="I43" t="s">
        <v>16</v>
      </c>
      <c r="J43" t="s">
        <v>17</v>
      </c>
      <c r="K43">
        <v>0</v>
      </c>
      <c r="L43">
        <v>0</v>
      </c>
      <c r="O43" s="1">
        <f>VLOOKUP(C43,[1]Sheet2!$C:$N,3,FALSE)</f>
        <v>0</v>
      </c>
      <c r="P43" s="1" t="str">
        <f>VLOOKUP(C43,[1]Sheet2!$C:$N,11,FALSE)</f>
        <v>ok</v>
      </c>
      <c r="Q43" s="2">
        <f>VLOOKUP(C43,[2]Wikidata_upec_chemical_20!$C:$U,3,FALSE)</f>
        <v>0</v>
      </c>
      <c r="R43" s="2" t="str">
        <f>VLOOKUP(C43,[2]Wikidata_upec_chemical_20!$C:$U,17,FALSE)</f>
        <v>ok</v>
      </c>
      <c r="S43" s="2" t="str">
        <f>VLOOKUP(C43,[2]Wikidata_upec_chemical_20!$C:$U,15,FALSE)</f>
        <v/>
      </c>
      <c r="T43" s="3">
        <f t="shared" si="0"/>
        <v>0</v>
      </c>
      <c r="U43" s="3" t="str">
        <f t="shared" si="1"/>
        <v>ok</v>
      </c>
      <c r="V43" s="3" t="str">
        <f t="shared" si="2"/>
        <v/>
      </c>
      <c r="W43">
        <v>0</v>
      </c>
      <c r="X43">
        <v>0</v>
      </c>
      <c r="Y43" s="3" t="str">
        <f t="shared" si="3"/>
        <v/>
      </c>
    </row>
    <row r="44" spans="1:25" x14ac:dyDescent="0.3">
      <c r="A44">
        <v>1083004</v>
      </c>
      <c r="B44" t="s">
        <v>90</v>
      </c>
      <c r="C44" t="s">
        <v>92</v>
      </c>
      <c r="D44" t="s">
        <v>211</v>
      </c>
      <c r="E44" t="s">
        <v>212</v>
      </c>
      <c r="H44" t="s">
        <v>266</v>
      </c>
      <c r="I44" t="s">
        <v>266</v>
      </c>
      <c r="J44" t="s">
        <v>17</v>
      </c>
      <c r="K44">
        <v>100</v>
      </c>
      <c r="L44">
        <v>198</v>
      </c>
      <c r="M44" t="s">
        <v>213</v>
      </c>
      <c r="N44" t="s">
        <v>214</v>
      </c>
      <c r="O44" s="1" t="str">
        <f>VLOOKUP(C44,[1]Sheet2!$C:$N,3,FALSE)</f>
        <v>Q5128386</v>
      </c>
      <c r="P44" s="1" t="str">
        <f>VLOOKUP(C44,[1]Sheet2!$C:$N,11,FALSE)</f>
        <v>ok</v>
      </c>
      <c r="Q44" s="2" t="str">
        <f>VLOOKUP(C44,[2]Wikidata_upec_chemical_20!$C:$U,3,FALSE)</f>
        <v>Q13582682</v>
      </c>
      <c r="R44" s="2" t="str">
        <f>VLOOKUP(C44,[2]Wikidata_upec_chemical_20!$C:$U,17,FALSE)</f>
        <v>ok</v>
      </c>
      <c r="S44" s="2" t="str">
        <f>VLOOKUP(C44,[2]Wikidata_upec_chemical_20!$C:$U,15,FALSE)</f>
        <v>Mod</v>
      </c>
      <c r="T44" s="3" t="str">
        <f t="shared" si="0"/>
        <v>Q1503443</v>
      </c>
      <c r="U44" s="3" t="str">
        <f t="shared" si="1"/>
        <v>ok</v>
      </c>
      <c r="V44" s="5" t="str">
        <f t="shared" si="2"/>
        <v>Mod</v>
      </c>
      <c r="W44" t="s">
        <v>211</v>
      </c>
      <c r="X44" t="s">
        <v>212</v>
      </c>
      <c r="Y44" s="3" t="str">
        <f t="shared" si="3"/>
        <v/>
      </c>
    </row>
    <row r="45" spans="1:25" x14ac:dyDescent="0.3">
      <c r="A45">
        <v>1083004</v>
      </c>
      <c r="B45" t="s">
        <v>90</v>
      </c>
      <c r="C45" t="s">
        <v>93</v>
      </c>
      <c r="D45" t="s">
        <v>284</v>
      </c>
      <c r="E45" t="s">
        <v>285</v>
      </c>
      <c r="H45" t="s">
        <v>266</v>
      </c>
      <c r="I45" t="s">
        <v>266</v>
      </c>
      <c r="J45" t="s">
        <v>17</v>
      </c>
      <c r="K45">
        <v>100</v>
      </c>
      <c r="L45">
        <v>102.9</v>
      </c>
      <c r="O45" s="1" t="str">
        <f>VLOOKUP(C45,[1]Sheet2!$C:$N,3,FALSE)</f>
        <v>Q16247949</v>
      </c>
      <c r="P45" s="1" t="str">
        <f>VLOOKUP(C45,[1]Sheet2!$C:$N,11,FALSE)</f>
        <v>Wrong</v>
      </c>
      <c r="Q45" s="2" t="str">
        <f>VLOOKUP(C45,[2]Wikidata_upec_chemical_20!$C:$U,3,FALSE)</f>
        <v>Q5251610</v>
      </c>
      <c r="R45" s="2" t="str">
        <f>VLOOKUP(C45,[2]Wikidata_upec_chemical_20!$C:$U,17,FALSE)</f>
        <v>Wrong</v>
      </c>
      <c r="S45" s="2" t="str">
        <f>VLOOKUP(C45,[2]Wikidata_upec_chemical_20!$C:$U,15,FALSE)</f>
        <v>Mod</v>
      </c>
      <c r="T45" s="3" t="str">
        <f t="shared" si="0"/>
        <v>Q106205899</v>
      </c>
      <c r="U45" s="3" t="str">
        <f t="shared" si="1"/>
        <v>Wrong</v>
      </c>
      <c r="V45" s="5" t="str">
        <f t="shared" si="2"/>
        <v>Mod</v>
      </c>
      <c r="W45" t="s">
        <v>284</v>
      </c>
      <c r="X45" t="s">
        <v>285</v>
      </c>
      <c r="Y45" s="3" t="str">
        <f t="shared" si="3"/>
        <v/>
      </c>
    </row>
    <row r="46" spans="1:25" x14ac:dyDescent="0.3">
      <c r="A46">
        <v>1083007</v>
      </c>
      <c r="B46" t="s">
        <v>94</v>
      </c>
      <c r="C46" t="s">
        <v>91</v>
      </c>
      <c r="H46" t="s">
        <v>16</v>
      </c>
      <c r="I46" t="s">
        <v>16</v>
      </c>
      <c r="J46" t="s">
        <v>17</v>
      </c>
      <c r="K46">
        <v>0</v>
      </c>
      <c r="L46">
        <v>0</v>
      </c>
      <c r="O46" s="1">
        <f>VLOOKUP(C46,[1]Sheet2!$C:$N,3,FALSE)</f>
        <v>0</v>
      </c>
      <c r="P46" s="1" t="str">
        <f>VLOOKUP(C46,[1]Sheet2!$C:$N,11,FALSE)</f>
        <v>ok</v>
      </c>
      <c r="Q46" s="2">
        <f>VLOOKUP(C46,[2]Wikidata_upec_chemical_20!$C:$U,3,FALSE)</f>
        <v>0</v>
      </c>
      <c r="R46" s="2" t="str">
        <f>VLOOKUP(C46,[2]Wikidata_upec_chemical_20!$C:$U,17,FALSE)</f>
        <v>ok</v>
      </c>
      <c r="S46" s="2" t="str">
        <f>VLOOKUP(C46,[2]Wikidata_upec_chemical_20!$C:$U,15,FALSE)</f>
        <v/>
      </c>
      <c r="T46" s="3">
        <f t="shared" si="0"/>
        <v>0</v>
      </c>
      <c r="U46" s="3" t="str">
        <f t="shared" si="1"/>
        <v>ok</v>
      </c>
      <c r="V46" s="3" t="str">
        <f t="shared" si="2"/>
        <v/>
      </c>
      <c r="W46">
        <v>0</v>
      </c>
      <c r="X46">
        <v>0</v>
      </c>
      <c r="Y46" s="3" t="str">
        <f t="shared" si="3"/>
        <v/>
      </c>
    </row>
    <row r="47" spans="1:25" x14ac:dyDescent="0.3">
      <c r="A47">
        <v>1083007</v>
      </c>
      <c r="B47" t="s">
        <v>94</v>
      </c>
      <c r="C47" t="s">
        <v>95</v>
      </c>
      <c r="D47" t="s">
        <v>95</v>
      </c>
      <c r="E47" t="s">
        <v>96</v>
      </c>
      <c r="H47" t="s">
        <v>266</v>
      </c>
      <c r="I47" t="s">
        <v>266</v>
      </c>
      <c r="J47" t="s">
        <v>17</v>
      </c>
      <c r="K47">
        <v>100</v>
      </c>
      <c r="L47">
        <v>171.9</v>
      </c>
      <c r="M47" t="s">
        <v>97</v>
      </c>
      <c r="N47" t="s">
        <v>98</v>
      </c>
      <c r="O47" s="1" t="str">
        <f>VLOOKUP(C47,[1]Sheet2!$C:$N,3,FALSE)</f>
        <v>Q124665234</v>
      </c>
      <c r="P47" s="1" t="str">
        <f>VLOOKUP(C47,[1]Sheet2!$C:$N,11,FALSE)</f>
        <v>Wrong</v>
      </c>
      <c r="Q47" s="2" t="str">
        <f>VLOOKUP(C47,[2]Wikidata_upec_chemical_20!$C:$U,3,FALSE)</f>
        <v>Q124665234</v>
      </c>
      <c r="R47" s="2" t="str">
        <f>VLOOKUP(C47,[2]Wikidata_upec_chemical_20!$C:$U,17,FALSE)</f>
        <v>Wrong</v>
      </c>
      <c r="S47" s="2" t="str">
        <f>VLOOKUP(C47,[2]Wikidata_upec_chemical_20!$C:$U,15,FALSE)</f>
        <v/>
      </c>
      <c r="T47" s="3" t="str">
        <f t="shared" si="0"/>
        <v>Q124665234</v>
      </c>
      <c r="U47" s="3" t="str">
        <f t="shared" si="1"/>
        <v>Wrong</v>
      </c>
      <c r="V47" s="3" t="str">
        <f t="shared" si="2"/>
        <v/>
      </c>
      <c r="W47" t="s">
        <v>95</v>
      </c>
      <c r="X47" t="s">
        <v>96</v>
      </c>
      <c r="Y47" s="3" t="str">
        <f t="shared" si="3"/>
        <v/>
      </c>
    </row>
    <row r="48" spans="1:25" x14ac:dyDescent="0.3">
      <c r="A48">
        <v>1083007</v>
      </c>
      <c r="B48" t="s">
        <v>94</v>
      </c>
      <c r="C48" t="s">
        <v>99</v>
      </c>
      <c r="D48" t="s">
        <v>286</v>
      </c>
      <c r="E48" t="s">
        <v>287</v>
      </c>
      <c r="H48" t="s">
        <v>266</v>
      </c>
      <c r="I48" t="s">
        <v>266</v>
      </c>
      <c r="J48" t="s">
        <v>17</v>
      </c>
      <c r="K48">
        <v>100</v>
      </c>
      <c r="L48">
        <v>86.9</v>
      </c>
      <c r="M48" t="s">
        <v>130</v>
      </c>
      <c r="N48" t="s">
        <v>131</v>
      </c>
      <c r="O48" s="1" t="str">
        <f>VLOOKUP(C48,[1]Sheet2!$C:$N,3,FALSE)</f>
        <v>Q37525</v>
      </c>
      <c r="P48" s="1" t="str">
        <f>VLOOKUP(C48,[1]Sheet2!$C:$N,11,FALSE)</f>
        <v>ok</v>
      </c>
      <c r="Q48" s="2" t="str">
        <f>VLOOKUP(C48,[2]Wikidata_upec_chemical_20!$C:$U,3,FALSE)</f>
        <v>Q37525</v>
      </c>
      <c r="R48" s="2" t="str">
        <f>VLOOKUP(C48,[2]Wikidata_upec_chemical_20!$C:$U,17,FALSE)</f>
        <v>ok</v>
      </c>
      <c r="S48" s="2" t="str">
        <f>VLOOKUP(C48,[2]Wikidata_upec_chemical_20!$C:$U,15,FALSE)</f>
        <v/>
      </c>
      <c r="T48" s="3" t="str">
        <f t="shared" si="0"/>
        <v>Q21036645</v>
      </c>
      <c r="U48" s="3" t="str">
        <f t="shared" si="1"/>
        <v>ok</v>
      </c>
      <c r="V48" s="5" t="str">
        <f t="shared" si="2"/>
        <v>Mod</v>
      </c>
      <c r="W48" t="s">
        <v>286</v>
      </c>
      <c r="X48" t="s">
        <v>287</v>
      </c>
      <c r="Y48" s="3" t="str">
        <f t="shared" si="3"/>
        <v/>
      </c>
    </row>
    <row r="49" spans="1:25" x14ac:dyDescent="0.3">
      <c r="A49">
        <v>1083007</v>
      </c>
      <c r="B49" t="s">
        <v>94</v>
      </c>
      <c r="C49" t="s">
        <v>100</v>
      </c>
      <c r="D49" t="s">
        <v>288</v>
      </c>
      <c r="E49" t="s">
        <v>289</v>
      </c>
      <c r="H49" t="s">
        <v>266</v>
      </c>
      <c r="I49" t="s">
        <v>266</v>
      </c>
      <c r="J49" t="s">
        <v>17</v>
      </c>
      <c r="K49">
        <v>100</v>
      </c>
      <c r="L49">
        <v>105.9</v>
      </c>
      <c r="M49" t="s">
        <v>101</v>
      </c>
      <c r="N49" t="s">
        <v>102</v>
      </c>
      <c r="O49" s="1" t="str">
        <f>VLOOKUP(C49,[1]Sheet2!$C:$N,3,FALSE)</f>
        <v>Q61497978</v>
      </c>
      <c r="P49" s="1" t="str">
        <f>VLOOKUP(C49,[1]Sheet2!$C:$N,11,FALSE)</f>
        <v>ok</v>
      </c>
      <c r="Q49" s="2" t="str">
        <f>VLOOKUP(C49,[2]Wikidata_upec_chemical_20!$C:$U,3,FALSE)</f>
        <v>Q98207203</v>
      </c>
      <c r="R49" s="2" t="str">
        <f>VLOOKUP(C49,[2]Wikidata_upec_chemical_20!$C:$U,17,FALSE)</f>
        <v>Wrong</v>
      </c>
      <c r="S49" s="2" t="str">
        <f>VLOOKUP(C49,[2]Wikidata_upec_chemical_20!$C:$U,15,FALSE)</f>
        <v>Mod</v>
      </c>
      <c r="T49" s="3" t="str">
        <f t="shared" si="0"/>
        <v>Q62863961</v>
      </c>
      <c r="U49" s="3" t="str">
        <f t="shared" si="1"/>
        <v>Wrong</v>
      </c>
      <c r="V49" s="5" t="str">
        <f t="shared" si="2"/>
        <v>Mod</v>
      </c>
      <c r="W49" t="s">
        <v>288</v>
      </c>
      <c r="X49" t="s">
        <v>289</v>
      </c>
      <c r="Y49" s="3" t="str">
        <f t="shared" si="3"/>
        <v/>
      </c>
    </row>
    <row r="50" spans="1:25" x14ac:dyDescent="0.3">
      <c r="A50">
        <v>1083014</v>
      </c>
      <c r="B50" t="s">
        <v>103</v>
      </c>
      <c r="C50" t="s">
        <v>91</v>
      </c>
      <c r="H50" t="s">
        <v>16</v>
      </c>
      <c r="I50" t="s">
        <v>16</v>
      </c>
      <c r="J50" t="s">
        <v>17</v>
      </c>
      <c r="K50">
        <v>0</v>
      </c>
      <c r="L50">
        <v>0</v>
      </c>
      <c r="O50" s="1">
        <f>VLOOKUP(C50,[1]Sheet2!$C:$N,3,FALSE)</f>
        <v>0</v>
      </c>
      <c r="P50" s="1" t="str">
        <f>VLOOKUP(C50,[1]Sheet2!$C:$N,11,FALSE)</f>
        <v>ok</v>
      </c>
      <c r="Q50" s="2">
        <f>VLOOKUP(C50,[2]Wikidata_upec_chemical_20!$C:$U,3,FALSE)</f>
        <v>0</v>
      </c>
      <c r="R50" s="2" t="str">
        <f>VLOOKUP(C50,[2]Wikidata_upec_chemical_20!$C:$U,17,FALSE)</f>
        <v>ok</v>
      </c>
      <c r="S50" s="2" t="str">
        <f>VLOOKUP(C50,[2]Wikidata_upec_chemical_20!$C:$U,15,FALSE)</f>
        <v/>
      </c>
      <c r="T50" s="3">
        <f t="shared" si="0"/>
        <v>0</v>
      </c>
      <c r="U50" s="3" t="str">
        <f t="shared" si="1"/>
        <v>ok</v>
      </c>
      <c r="V50" s="3" t="str">
        <f t="shared" si="2"/>
        <v/>
      </c>
      <c r="W50">
        <v>0</v>
      </c>
      <c r="X50">
        <v>0</v>
      </c>
      <c r="Y50" s="3" t="str">
        <f t="shared" si="3"/>
        <v/>
      </c>
    </row>
    <row r="51" spans="1:25" x14ac:dyDescent="0.3">
      <c r="A51">
        <v>1083014</v>
      </c>
      <c r="B51" t="s">
        <v>103</v>
      </c>
      <c r="C51" t="s">
        <v>99</v>
      </c>
      <c r="D51" t="s">
        <v>286</v>
      </c>
      <c r="E51" t="s">
        <v>287</v>
      </c>
      <c r="H51" t="s">
        <v>266</v>
      </c>
      <c r="I51" t="s">
        <v>266</v>
      </c>
      <c r="J51" t="s">
        <v>17</v>
      </c>
      <c r="K51">
        <v>100</v>
      </c>
      <c r="L51">
        <v>102.1</v>
      </c>
      <c r="M51" t="s">
        <v>130</v>
      </c>
      <c r="N51" t="s">
        <v>131</v>
      </c>
      <c r="O51" s="1" t="str">
        <f>VLOOKUP(C51,[1]Sheet2!$C:$N,3,FALSE)</f>
        <v>Q37525</v>
      </c>
      <c r="P51" s="1" t="str">
        <f>VLOOKUP(C51,[1]Sheet2!$C:$N,11,FALSE)</f>
        <v>ok</v>
      </c>
      <c r="Q51" s="2" t="str">
        <f>VLOOKUP(C51,[2]Wikidata_upec_chemical_20!$C:$U,3,FALSE)</f>
        <v>Q37525</v>
      </c>
      <c r="R51" s="2" t="str">
        <f>VLOOKUP(C51,[2]Wikidata_upec_chemical_20!$C:$U,17,FALSE)</f>
        <v>ok</v>
      </c>
      <c r="S51" s="2" t="str">
        <f>VLOOKUP(C51,[2]Wikidata_upec_chemical_20!$C:$U,15,FALSE)</f>
        <v/>
      </c>
      <c r="T51" s="3" t="str">
        <f t="shared" si="0"/>
        <v>Q21036645</v>
      </c>
      <c r="U51" s="3" t="str">
        <f t="shared" si="1"/>
        <v>ok</v>
      </c>
      <c r="V51" s="5" t="str">
        <f t="shared" si="2"/>
        <v>Mod</v>
      </c>
      <c r="W51" t="s">
        <v>286</v>
      </c>
      <c r="X51" t="s">
        <v>287</v>
      </c>
      <c r="Y51" s="3" t="str">
        <f t="shared" si="3"/>
        <v/>
      </c>
    </row>
    <row r="52" spans="1:25" x14ac:dyDescent="0.3">
      <c r="A52">
        <v>1083014</v>
      </c>
      <c r="B52" t="s">
        <v>103</v>
      </c>
      <c r="C52" t="s">
        <v>100</v>
      </c>
      <c r="D52" t="s">
        <v>290</v>
      </c>
      <c r="E52" t="s">
        <v>291</v>
      </c>
      <c r="H52" t="s">
        <v>266</v>
      </c>
      <c r="I52" t="s">
        <v>266</v>
      </c>
      <c r="J52" t="s">
        <v>17</v>
      </c>
      <c r="K52">
        <v>100</v>
      </c>
      <c r="L52">
        <v>101</v>
      </c>
      <c r="M52" t="s">
        <v>101</v>
      </c>
      <c r="N52" t="s">
        <v>102</v>
      </c>
      <c r="O52" s="1" t="str">
        <f>VLOOKUP(C52,[1]Sheet2!$C:$N,3,FALSE)</f>
        <v>Q61497978</v>
      </c>
      <c r="P52" s="1" t="str">
        <f>VLOOKUP(C52,[1]Sheet2!$C:$N,11,FALSE)</f>
        <v>ok</v>
      </c>
      <c r="Q52" s="2" t="str">
        <f>VLOOKUP(C52,[2]Wikidata_upec_chemical_20!$C:$U,3,FALSE)</f>
        <v>Q98207203</v>
      </c>
      <c r="R52" s="2" t="str">
        <f>VLOOKUP(C52,[2]Wikidata_upec_chemical_20!$C:$U,17,FALSE)</f>
        <v>Wrong</v>
      </c>
      <c r="S52" s="2" t="str">
        <f>VLOOKUP(C52,[2]Wikidata_upec_chemical_20!$C:$U,15,FALSE)</f>
        <v>Mod</v>
      </c>
      <c r="T52" s="3" t="str">
        <f t="shared" si="0"/>
        <v>Q29814692</v>
      </c>
      <c r="U52" s="3" t="str">
        <f t="shared" si="1"/>
        <v>Wrong</v>
      </c>
      <c r="V52" s="5" t="str">
        <f t="shared" si="2"/>
        <v>Mod</v>
      </c>
      <c r="W52" t="s">
        <v>290</v>
      </c>
      <c r="X52" t="s">
        <v>291</v>
      </c>
      <c r="Y52" s="3" t="str">
        <f t="shared" si="3"/>
        <v/>
      </c>
    </row>
    <row r="53" spans="1:25" x14ac:dyDescent="0.3">
      <c r="A53">
        <v>1083157</v>
      </c>
      <c r="B53" t="s">
        <v>104</v>
      </c>
      <c r="C53" t="s">
        <v>105</v>
      </c>
      <c r="D53" t="s">
        <v>215</v>
      </c>
      <c r="E53" t="s">
        <v>216</v>
      </c>
      <c r="H53" t="s">
        <v>266</v>
      </c>
      <c r="I53" t="s">
        <v>266</v>
      </c>
      <c r="J53" t="s">
        <v>17</v>
      </c>
      <c r="K53">
        <v>100</v>
      </c>
      <c r="L53">
        <v>171.3</v>
      </c>
      <c r="M53" t="s">
        <v>217</v>
      </c>
      <c r="N53" t="s">
        <v>218</v>
      </c>
      <c r="O53" s="1">
        <f>VLOOKUP(C53,[1]Sheet2!$C:$N,3,FALSE)</f>
        <v>0</v>
      </c>
      <c r="P53" s="1" t="str">
        <f>VLOOKUP(C53,[1]Sheet2!$C:$N,11,FALSE)</f>
        <v>ok</v>
      </c>
      <c r="Q53" s="2">
        <f>VLOOKUP(C53,[2]Wikidata_upec_chemical_20!$C:$U,3,FALSE)</f>
        <v>0</v>
      </c>
      <c r="R53" s="2" t="str">
        <f>VLOOKUP(C53,[2]Wikidata_upec_chemical_20!$C:$U,17,FALSE)</f>
        <v>ok</v>
      </c>
      <c r="S53" s="2" t="str">
        <f>VLOOKUP(C53,[2]Wikidata_upec_chemical_20!$C:$U,15,FALSE)</f>
        <v/>
      </c>
      <c r="T53" s="3" t="str">
        <f t="shared" si="0"/>
        <v>Q501353</v>
      </c>
      <c r="U53" s="3" t="str">
        <f t="shared" si="1"/>
        <v>ok</v>
      </c>
      <c r="V53" s="5" t="str">
        <f t="shared" si="2"/>
        <v>Mod</v>
      </c>
      <c r="W53" t="s">
        <v>215</v>
      </c>
      <c r="X53" t="s">
        <v>216</v>
      </c>
      <c r="Y53" s="3" t="str">
        <f t="shared" si="3"/>
        <v/>
      </c>
    </row>
    <row r="54" spans="1:25" x14ac:dyDescent="0.3">
      <c r="A54">
        <v>1083157</v>
      </c>
      <c r="B54" t="s">
        <v>104</v>
      </c>
      <c r="C54" t="s">
        <v>106</v>
      </c>
      <c r="H54" t="s">
        <v>16</v>
      </c>
      <c r="I54" t="s">
        <v>16</v>
      </c>
      <c r="J54" t="s">
        <v>17</v>
      </c>
      <c r="K54">
        <v>0</v>
      </c>
      <c r="L54">
        <v>0</v>
      </c>
      <c r="O54" s="1">
        <f>VLOOKUP(C54,[1]Sheet2!$C:$N,3,FALSE)</f>
        <v>0</v>
      </c>
      <c r="P54" s="1" t="str">
        <f>VLOOKUP(C54,[1]Sheet2!$C:$N,11,FALSE)</f>
        <v>ok</v>
      </c>
      <c r="Q54" s="2">
        <f>VLOOKUP(C54,[2]Wikidata_upec_chemical_20!$C:$U,3,FALSE)</f>
        <v>0</v>
      </c>
      <c r="R54" s="2" t="str">
        <f>VLOOKUP(C54,[2]Wikidata_upec_chemical_20!$C:$U,17,FALSE)</f>
        <v>ok</v>
      </c>
      <c r="S54" s="2" t="str">
        <f>VLOOKUP(C54,[2]Wikidata_upec_chemical_20!$C:$U,15,FALSE)</f>
        <v/>
      </c>
      <c r="T54" s="3">
        <f t="shared" si="0"/>
        <v>0</v>
      </c>
      <c r="U54" s="3" t="str">
        <f t="shared" si="1"/>
        <v>ok</v>
      </c>
      <c r="V54" s="3" t="str">
        <f t="shared" si="2"/>
        <v/>
      </c>
      <c r="W54">
        <v>0</v>
      </c>
      <c r="X54">
        <v>0</v>
      </c>
      <c r="Y54" s="3" t="str">
        <f t="shared" si="3"/>
        <v/>
      </c>
    </row>
    <row r="55" spans="1:25" x14ac:dyDescent="0.3">
      <c r="A55">
        <v>1083160</v>
      </c>
      <c r="B55" t="s">
        <v>107</v>
      </c>
      <c r="C55" t="s">
        <v>50</v>
      </c>
      <c r="H55" t="s">
        <v>16</v>
      </c>
      <c r="I55" t="s">
        <v>16</v>
      </c>
      <c r="J55" t="s">
        <v>17</v>
      </c>
      <c r="K55">
        <v>0</v>
      </c>
      <c r="L55">
        <v>0</v>
      </c>
      <c r="O55" s="1">
        <f>VLOOKUP(C55,[1]Sheet2!$C:$N,3,FALSE)</f>
        <v>0</v>
      </c>
      <c r="P55" s="1" t="str">
        <f>VLOOKUP(C55,[1]Sheet2!$C:$N,11,FALSE)</f>
        <v>ok</v>
      </c>
      <c r="Q55" s="2">
        <f>VLOOKUP(C55,[2]Wikidata_upec_chemical_20!$C:$U,3,FALSE)</f>
        <v>0</v>
      </c>
      <c r="R55" s="2" t="str">
        <f>VLOOKUP(C55,[2]Wikidata_upec_chemical_20!$C:$U,17,FALSE)</f>
        <v>ok</v>
      </c>
      <c r="S55" s="2" t="str">
        <f>VLOOKUP(C55,[2]Wikidata_upec_chemical_20!$C:$U,15,FALSE)</f>
        <v/>
      </c>
      <c r="T55" s="3">
        <f t="shared" si="0"/>
        <v>0</v>
      </c>
      <c r="U55" s="3" t="str">
        <f t="shared" si="1"/>
        <v>ok</v>
      </c>
      <c r="V55" s="3" t="str">
        <f t="shared" si="2"/>
        <v/>
      </c>
      <c r="W55">
        <v>0</v>
      </c>
      <c r="X55">
        <v>0</v>
      </c>
      <c r="Y55" s="3" t="str">
        <f t="shared" si="3"/>
        <v/>
      </c>
    </row>
    <row r="56" spans="1:25" x14ac:dyDescent="0.3">
      <c r="A56">
        <v>1083160</v>
      </c>
      <c r="B56" t="s">
        <v>107</v>
      </c>
      <c r="C56" t="s">
        <v>78</v>
      </c>
      <c r="H56" t="s">
        <v>16</v>
      </c>
      <c r="I56" t="s">
        <v>16</v>
      </c>
      <c r="J56" t="s">
        <v>17</v>
      </c>
      <c r="K56">
        <v>0</v>
      </c>
      <c r="L56">
        <v>0</v>
      </c>
      <c r="O56" s="1">
        <f>VLOOKUP(C56,[1]Sheet2!$C:$N,3,FALSE)</f>
        <v>0</v>
      </c>
      <c r="P56" s="1" t="str">
        <f>VLOOKUP(C56,[1]Sheet2!$C:$N,11,FALSE)</f>
        <v>ok</v>
      </c>
      <c r="Q56" s="2">
        <f>VLOOKUP(C56,[2]Wikidata_upec_chemical_20!$C:$U,3,FALSE)</f>
        <v>0</v>
      </c>
      <c r="R56" s="2" t="str">
        <f>VLOOKUP(C56,[2]Wikidata_upec_chemical_20!$C:$U,17,FALSE)</f>
        <v>ok</v>
      </c>
      <c r="S56" s="2" t="str">
        <f>VLOOKUP(C56,[2]Wikidata_upec_chemical_20!$C:$U,15,FALSE)</f>
        <v/>
      </c>
      <c r="T56" s="3">
        <f t="shared" si="0"/>
        <v>0</v>
      </c>
      <c r="U56" s="3" t="str">
        <f t="shared" si="1"/>
        <v>ok</v>
      </c>
      <c r="V56" s="3" t="str">
        <f t="shared" si="2"/>
        <v/>
      </c>
      <c r="W56">
        <v>0</v>
      </c>
      <c r="X56">
        <v>0</v>
      </c>
      <c r="Y56" s="3" t="str">
        <f t="shared" si="3"/>
        <v/>
      </c>
    </row>
    <row r="57" spans="1:25" x14ac:dyDescent="0.3">
      <c r="A57">
        <v>1084520</v>
      </c>
      <c r="B57" t="s">
        <v>108</v>
      </c>
      <c r="C57" t="s">
        <v>109</v>
      </c>
      <c r="D57" t="s">
        <v>292</v>
      </c>
      <c r="E57" t="s">
        <v>293</v>
      </c>
      <c r="H57" t="s">
        <v>266</v>
      </c>
      <c r="I57" t="s">
        <v>266</v>
      </c>
      <c r="J57" t="s">
        <v>17</v>
      </c>
      <c r="K57">
        <v>100</v>
      </c>
      <c r="L57">
        <v>118.6</v>
      </c>
      <c r="O57" s="1" t="str">
        <f>VLOOKUP(C57,[1]Sheet2!$C:$N,3,FALSE)</f>
        <v>Q3689255</v>
      </c>
      <c r="P57" s="1" t="str">
        <f>VLOOKUP(C57,[1]Sheet2!$C:$N,11,FALSE)</f>
        <v>Wrong</v>
      </c>
      <c r="Q57" s="2">
        <f>VLOOKUP(C57,[2]Wikidata_upec_chemical_20!$C:$U,3,FALSE)</f>
        <v>0</v>
      </c>
      <c r="R57" s="2" t="str">
        <f>VLOOKUP(C57,[2]Wikidata_upec_chemical_20!$C:$U,17,FALSE)</f>
        <v>ok</v>
      </c>
      <c r="S57" s="2" t="str">
        <f>VLOOKUP(C57,[2]Wikidata_upec_chemical_20!$C:$U,15,FALSE)</f>
        <v>Mod</v>
      </c>
      <c r="T57" s="3" t="str">
        <f t="shared" si="0"/>
        <v>Q605117</v>
      </c>
      <c r="U57" s="3" t="str">
        <f t="shared" si="1"/>
        <v>ok</v>
      </c>
      <c r="V57" s="5" t="str">
        <f t="shared" si="2"/>
        <v>Mod</v>
      </c>
      <c r="W57" t="s">
        <v>292</v>
      </c>
      <c r="X57" t="s">
        <v>293</v>
      </c>
      <c r="Y57" s="3" t="str">
        <f t="shared" si="3"/>
        <v/>
      </c>
    </row>
    <row r="58" spans="1:25" x14ac:dyDescent="0.3">
      <c r="A58">
        <v>1084520</v>
      </c>
      <c r="B58" t="s">
        <v>108</v>
      </c>
      <c r="C58" t="s">
        <v>110</v>
      </c>
      <c r="D58" t="s">
        <v>111</v>
      </c>
      <c r="E58" t="s">
        <v>112</v>
      </c>
      <c r="H58" t="s">
        <v>266</v>
      </c>
      <c r="I58" t="s">
        <v>266</v>
      </c>
      <c r="J58" t="s">
        <v>17</v>
      </c>
      <c r="K58">
        <v>100</v>
      </c>
      <c r="L58">
        <v>129.5</v>
      </c>
      <c r="O58" s="1" t="str">
        <f>VLOOKUP(C58,[1]Sheet2!$C:$N,3,FALSE)</f>
        <v>Q28471383</v>
      </c>
      <c r="P58" s="1" t="str">
        <f>VLOOKUP(C58,[1]Sheet2!$C:$N,11,FALSE)</f>
        <v>Wrong</v>
      </c>
      <c r="Q58" s="2" t="str">
        <f>VLOOKUP(C58,[2]Wikidata_upec_chemical_20!$C:$U,3,FALSE)</f>
        <v>Q1770203</v>
      </c>
      <c r="R58" s="2" t="str">
        <f>VLOOKUP(C58,[2]Wikidata_upec_chemical_20!$C:$U,17,FALSE)</f>
        <v>ok</v>
      </c>
      <c r="S58" s="2" t="str">
        <f>VLOOKUP(C58,[2]Wikidata_upec_chemical_20!$C:$U,15,FALSE)</f>
        <v>Mod</v>
      </c>
      <c r="T58" s="3" t="str">
        <f t="shared" si="0"/>
        <v>Q1770203</v>
      </c>
      <c r="U58" s="3" t="str">
        <f t="shared" si="1"/>
        <v>ok</v>
      </c>
      <c r="V58" s="3" t="str">
        <f t="shared" si="2"/>
        <v/>
      </c>
      <c r="W58" t="s">
        <v>111</v>
      </c>
      <c r="X58" t="s">
        <v>112</v>
      </c>
      <c r="Y58" s="3" t="str">
        <f t="shared" si="3"/>
        <v/>
      </c>
    </row>
    <row r="59" spans="1:25" x14ac:dyDescent="0.3">
      <c r="A59">
        <v>1084520</v>
      </c>
      <c r="B59" t="s">
        <v>108</v>
      </c>
      <c r="C59" t="s">
        <v>113</v>
      </c>
      <c r="D59" t="s">
        <v>219</v>
      </c>
      <c r="E59" t="s">
        <v>220</v>
      </c>
      <c r="H59" t="s">
        <v>266</v>
      </c>
      <c r="I59" t="s">
        <v>266</v>
      </c>
      <c r="J59" t="s">
        <v>17</v>
      </c>
      <c r="K59">
        <v>100</v>
      </c>
      <c r="L59">
        <v>166.8</v>
      </c>
      <c r="O59" s="1" t="str">
        <f>VLOOKUP(C59,[1]Sheet2!$C:$N,3,FALSE)</f>
        <v>Q116719041</v>
      </c>
      <c r="P59" s="1" t="str">
        <f>VLOOKUP(C59,[1]Sheet2!$C:$N,11,FALSE)</f>
        <v>Wrong</v>
      </c>
      <c r="Q59" s="2" t="str">
        <f>VLOOKUP(C59,[2]Wikidata_upec_chemical_20!$C:$U,3,FALSE)</f>
        <v>Q116719041</v>
      </c>
      <c r="R59" s="2" t="str">
        <f>VLOOKUP(C59,[2]Wikidata_upec_chemical_20!$C:$U,17,FALSE)</f>
        <v>Wrong</v>
      </c>
      <c r="S59" s="2" t="str">
        <f>VLOOKUP(C59,[2]Wikidata_upec_chemical_20!$C:$U,15,FALSE)</f>
        <v/>
      </c>
      <c r="T59" s="3" t="str">
        <f t="shared" si="0"/>
        <v>Q15242449</v>
      </c>
      <c r="U59" s="3" t="str">
        <f t="shared" si="1"/>
        <v>Wrong</v>
      </c>
      <c r="V59" s="5" t="str">
        <f t="shared" si="2"/>
        <v>Mod</v>
      </c>
      <c r="W59" t="s">
        <v>219</v>
      </c>
      <c r="X59" t="s">
        <v>220</v>
      </c>
      <c r="Y59" s="3" t="str">
        <f t="shared" si="3"/>
        <v/>
      </c>
    </row>
    <row r="60" spans="1:25" x14ac:dyDescent="0.3">
      <c r="A60">
        <v>1084520</v>
      </c>
      <c r="B60" t="s">
        <v>108</v>
      </c>
      <c r="C60" t="s">
        <v>114</v>
      </c>
      <c r="D60" t="s">
        <v>294</v>
      </c>
      <c r="E60" t="s">
        <v>295</v>
      </c>
      <c r="H60" t="s">
        <v>266</v>
      </c>
      <c r="I60" t="s">
        <v>266</v>
      </c>
      <c r="J60" t="s">
        <v>17</v>
      </c>
      <c r="K60">
        <v>100</v>
      </c>
      <c r="L60">
        <v>154.6</v>
      </c>
      <c r="M60" t="s">
        <v>130</v>
      </c>
      <c r="N60" t="s">
        <v>131</v>
      </c>
      <c r="O60" s="1" t="str">
        <f>VLOOKUP(C60,[1]Sheet2!$C:$N,3,FALSE)</f>
        <v>Q15618</v>
      </c>
      <c r="P60" s="1" t="str">
        <f>VLOOKUP(C60,[1]Sheet2!$C:$N,11,FALSE)</f>
        <v>Wrong</v>
      </c>
      <c r="Q60" s="2" t="str">
        <f>VLOOKUP(C60,[2]Wikidata_upec_chemical_20!$C:$U,3,FALSE)</f>
        <v>Q629</v>
      </c>
      <c r="R60" s="2" t="str">
        <f>VLOOKUP(C60,[2]Wikidata_upec_chemical_20!$C:$U,17,FALSE)</f>
        <v>ok</v>
      </c>
      <c r="S60" s="2" t="str">
        <f>VLOOKUP(C60,[2]Wikidata_upec_chemical_20!$C:$U,15,FALSE)</f>
        <v>Mod</v>
      </c>
      <c r="T60" s="3" t="str">
        <f t="shared" si="0"/>
        <v>Q5203615</v>
      </c>
      <c r="U60" s="3" t="str">
        <f t="shared" si="1"/>
        <v>ok</v>
      </c>
      <c r="V60" s="5" t="str">
        <f t="shared" si="2"/>
        <v>Mod</v>
      </c>
      <c r="W60" t="s">
        <v>294</v>
      </c>
      <c r="X60" t="s">
        <v>295</v>
      </c>
      <c r="Y60" s="3" t="str">
        <f t="shared" si="3"/>
        <v/>
      </c>
    </row>
    <row r="61" spans="1:25" x14ac:dyDescent="0.3">
      <c r="A61">
        <v>1084520</v>
      </c>
      <c r="B61" t="s">
        <v>108</v>
      </c>
      <c r="C61" t="s">
        <v>115</v>
      </c>
      <c r="D61" t="s">
        <v>116</v>
      </c>
      <c r="E61" t="s">
        <v>117</v>
      </c>
      <c r="H61" t="s">
        <v>266</v>
      </c>
      <c r="I61" t="s">
        <v>266</v>
      </c>
      <c r="J61" t="s">
        <v>17</v>
      </c>
      <c r="K61">
        <v>100</v>
      </c>
      <c r="L61">
        <v>219.8</v>
      </c>
      <c r="O61" s="1" t="str">
        <f>VLOOKUP(C61,[1]Sheet2!$C:$N,3,FALSE)</f>
        <v>Q815353</v>
      </c>
      <c r="P61" s="1" t="str">
        <f>VLOOKUP(C61,[1]Sheet2!$C:$N,11,FALSE)</f>
        <v>ok</v>
      </c>
      <c r="Q61" s="2" t="str">
        <f>VLOOKUP(C61,[2]Wikidata_upec_chemical_20!$C:$U,3,FALSE)</f>
        <v>Q815353</v>
      </c>
      <c r="R61" s="2" t="str">
        <f>VLOOKUP(C61,[2]Wikidata_upec_chemical_20!$C:$U,17,FALSE)</f>
        <v>ok</v>
      </c>
      <c r="S61" s="2" t="str">
        <f>VLOOKUP(C61,[2]Wikidata_upec_chemical_20!$C:$U,15,FALSE)</f>
        <v/>
      </c>
      <c r="T61" s="3" t="str">
        <f t="shared" si="0"/>
        <v>Q815353</v>
      </c>
      <c r="U61" s="3" t="str">
        <f t="shared" si="1"/>
        <v>ok</v>
      </c>
      <c r="V61" s="3" t="str">
        <f t="shared" si="2"/>
        <v/>
      </c>
      <c r="W61" t="s">
        <v>116</v>
      </c>
      <c r="X61" t="s">
        <v>117</v>
      </c>
      <c r="Y61" s="3" t="str">
        <f t="shared" si="3"/>
        <v/>
      </c>
    </row>
    <row r="62" spans="1:25" x14ac:dyDescent="0.3">
      <c r="A62">
        <v>1084520</v>
      </c>
      <c r="B62" t="s">
        <v>108</v>
      </c>
      <c r="C62" t="s">
        <v>118</v>
      </c>
      <c r="D62" t="s">
        <v>221</v>
      </c>
      <c r="E62" t="s">
        <v>222</v>
      </c>
      <c r="H62" t="s">
        <v>266</v>
      </c>
      <c r="I62" t="s">
        <v>266</v>
      </c>
      <c r="J62" t="s">
        <v>17</v>
      </c>
      <c r="K62">
        <v>100</v>
      </c>
      <c r="L62">
        <v>201.1</v>
      </c>
      <c r="O62" s="1" t="str">
        <f>VLOOKUP(C62,[1]Sheet2!$C:$N,3,FALSE)</f>
        <v>Q1640043</v>
      </c>
      <c r="P62" s="1" t="str">
        <f>VLOOKUP(C62,[1]Sheet2!$C:$N,11,FALSE)</f>
        <v>ok</v>
      </c>
      <c r="Q62" s="2" t="str">
        <f>VLOOKUP(C62,[2]Wikidata_upec_chemical_20!$C:$U,3,FALSE)</f>
        <v>Q1640043</v>
      </c>
      <c r="R62" s="2" t="str">
        <f>VLOOKUP(C62,[2]Wikidata_upec_chemical_20!$C:$U,17,FALSE)</f>
        <v>ok</v>
      </c>
      <c r="S62" s="2" t="str">
        <f>VLOOKUP(C62,[2]Wikidata_upec_chemical_20!$C:$U,15,FALSE)</f>
        <v/>
      </c>
      <c r="T62" s="3" t="str">
        <f t="shared" si="0"/>
        <v>Q186487</v>
      </c>
      <c r="U62" s="3" t="str">
        <f t="shared" si="1"/>
        <v>ok</v>
      </c>
      <c r="V62" s="5" t="str">
        <f t="shared" si="2"/>
        <v>Mod</v>
      </c>
      <c r="W62" t="s">
        <v>221</v>
      </c>
      <c r="X62" t="s">
        <v>222</v>
      </c>
      <c r="Y62" s="3" t="str">
        <f t="shared" si="3"/>
        <v/>
      </c>
    </row>
    <row r="63" spans="1:25" x14ac:dyDescent="0.3">
      <c r="A63">
        <v>1084657</v>
      </c>
      <c r="B63" t="s">
        <v>119</v>
      </c>
      <c r="C63" t="s">
        <v>120</v>
      </c>
      <c r="D63" t="s">
        <v>223</v>
      </c>
      <c r="E63" t="s">
        <v>224</v>
      </c>
      <c r="H63" t="s">
        <v>266</v>
      </c>
      <c r="I63" t="s">
        <v>266</v>
      </c>
      <c r="J63" t="s">
        <v>17</v>
      </c>
      <c r="K63">
        <v>100</v>
      </c>
      <c r="L63">
        <v>149.5</v>
      </c>
      <c r="M63" t="s">
        <v>225</v>
      </c>
      <c r="N63" t="s">
        <v>226</v>
      </c>
      <c r="O63" s="1" t="str">
        <f>VLOOKUP(C63,[1]Sheet2!$C:$N,3,FALSE)</f>
        <v>Q126364723</v>
      </c>
      <c r="P63" s="1" t="str">
        <f>VLOOKUP(C63,[1]Sheet2!$C:$N,11,FALSE)</f>
        <v>Wrong</v>
      </c>
      <c r="Q63" s="2" t="str">
        <f>VLOOKUP(C63,[2]Wikidata_upec_chemical_20!$C:$U,3,FALSE)</f>
        <v>Q27541060</v>
      </c>
      <c r="R63" s="2" t="str">
        <f>VLOOKUP(C63,[2]Wikidata_upec_chemical_20!$C:$U,17,FALSE)</f>
        <v>Wrong</v>
      </c>
      <c r="S63" s="2" t="str">
        <f>VLOOKUP(C63,[2]Wikidata_upec_chemical_20!$C:$U,15,FALSE)</f>
        <v>Mod</v>
      </c>
      <c r="T63" s="3" t="str">
        <f t="shared" si="0"/>
        <v>Q7547717</v>
      </c>
      <c r="U63" s="3" t="str">
        <f t="shared" si="1"/>
        <v>Wrong</v>
      </c>
      <c r="V63" s="5" t="str">
        <f t="shared" si="2"/>
        <v>Mod</v>
      </c>
      <c r="W63" t="s">
        <v>223</v>
      </c>
      <c r="X63" t="s">
        <v>224</v>
      </c>
      <c r="Y63" s="3" t="str">
        <f t="shared" si="3"/>
        <v/>
      </c>
    </row>
    <row r="64" spans="1:25" x14ac:dyDescent="0.3">
      <c r="A64">
        <v>1084657</v>
      </c>
      <c r="B64" t="s">
        <v>119</v>
      </c>
      <c r="C64" t="s">
        <v>121</v>
      </c>
      <c r="D64" t="s">
        <v>122</v>
      </c>
      <c r="E64" t="s">
        <v>123</v>
      </c>
      <c r="F64" t="s">
        <v>124</v>
      </c>
      <c r="H64" t="s">
        <v>266</v>
      </c>
      <c r="I64" t="s">
        <v>266</v>
      </c>
      <c r="J64" t="s">
        <v>17</v>
      </c>
      <c r="K64">
        <v>100</v>
      </c>
      <c r="L64">
        <v>159</v>
      </c>
      <c r="M64" t="s">
        <v>125</v>
      </c>
      <c r="N64" t="s">
        <v>126</v>
      </c>
      <c r="O64" s="1" t="str">
        <f>VLOOKUP(C64,[1]Sheet2!$C:$N,3,FALSE)</f>
        <v>Q3461363</v>
      </c>
      <c r="P64" s="1" t="str">
        <f>VLOOKUP(C64,[1]Sheet2!$C:$N,11,FALSE)</f>
        <v>Wrong</v>
      </c>
      <c r="Q64" s="2" t="str">
        <f>VLOOKUP(C64,[2]Wikidata_upec_chemical_20!$C:$U,3,FALSE)</f>
        <v>Q706</v>
      </c>
      <c r="R64" s="2" t="str">
        <f>VLOOKUP(C64,[2]Wikidata_upec_chemical_20!$C:$U,17,FALSE)</f>
        <v>ok</v>
      </c>
      <c r="S64" s="2" t="str">
        <f>VLOOKUP(C64,[2]Wikidata_upec_chemical_20!$C:$U,15,FALSE)</f>
        <v>Mod</v>
      </c>
      <c r="T64" s="3" t="str">
        <f t="shared" si="0"/>
        <v>Q706</v>
      </c>
      <c r="U64" s="3" t="str">
        <f t="shared" si="1"/>
        <v>ok</v>
      </c>
      <c r="V64" s="3" t="str">
        <f t="shared" si="2"/>
        <v/>
      </c>
      <c r="W64" t="s">
        <v>122</v>
      </c>
      <c r="X64" t="s">
        <v>123</v>
      </c>
      <c r="Y64" s="3" t="str">
        <f t="shared" si="3"/>
        <v/>
      </c>
    </row>
    <row r="65" spans="1:25" x14ac:dyDescent="0.3">
      <c r="A65">
        <v>1084657</v>
      </c>
      <c r="B65" t="s">
        <v>119</v>
      </c>
      <c r="C65" t="s">
        <v>127</v>
      </c>
      <c r="D65" t="s">
        <v>128</v>
      </c>
      <c r="E65" t="s">
        <v>129</v>
      </c>
      <c r="F65">
        <v>119510333</v>
      </c>
      <c r="H65" t="s">
        <v>266</v>
      </c>
      <c r="I65" t="s">
        <v>266</v>
      </c>
      <c r="J65" t="s">
        <v>17</v>
      </c>
      <c r="K65">
        <v>100</v>
      </c>
      <c r="L65">
        <v>219.6</v>
      </c>
      <c r="M65" t="s">
        <v>130</v>
      </c>
      <c r="N65" t="s">
        <v>131</v>
      </c>
      <c r="O65" s="1" t="str">
        <f>VLOOKUP(C65,[1]Sheet2!$C:$N,3,FALSE)</f>
        <v>Q171877</v>
      </c>
      <c r="P65" s="1" t="str">
        <f>VLOOKUP(C65,[1]Sheet2!$C:$N,11,FALSE)</f>
        <v>ok</v>
      </c>
      <c r="Q65" s="2" t="str">
        <f>VLOOKUP(C65,[2]Wikidata_upec_chemical_20!$C:$U,3,FALSE)</f>
        <v>Q171877</v>
      </c>
      <c r="R65" s="2" t="str">
        <f>VLOOKUP(C65,[2]Wikidata_upec_chemical_20!$C:$U,17,FALSE)</f>
        <v>ok</v>
      </c>
      <c r="S65" s="2" t="str">
        <f>VLOOKUP(C65,[2]Wikidata_upec_chemical_20!$C:$U,15,FALSE)</f>
        <v/>
      </c>
      <c r="T65" s="3" t="str">
        <f t="shared" si="0"/>
        <v>Q171877</v>
      </c>
      <c r="U65" s="3" t="str">
        <f t="shared" si="1"/>
        <v>ok</v>
      </c>
      <c r="V65" s="3" t="str">
        <f t="shared" si="2"/>
        <v/>
      </c>
      <c r="W65" t="s">
        <v>128</v>
      </c>
      <c r="X65" t="s">
        <v>129</v>
      </c>
      <c r="Y65" s="3" t="str">
        <f t="shared" si="3"/>
        <v/>
      </c>
    </row>
    <row r="66" spans="1:25" x14ac:dyDescent="0.3">
      <c r="A66">
        <v>1084657</v>
      </c>
      <c r="B66" t="s">
        <v>119</v>
      </c>
      <c r="C66" t="s">
        <v>132</v>
      </c>
      <c r="H66" t="s">
        <v>16</v>
      </c>
      <c r="I66" t="s">
        <v>16</v>
      </c>
      <c r="J66" t="s">
        <v>17</v>
      </c>
      <c r="K66">
        <v>0</v>
      </c>
      <c r="L66">
        <v>0</v>
      </c>
      <c r="O66" s="1">
        <f>VLOOKUP(C66,[1]Sheet2!$C:$N,3,FALSE)</f>
        <v>0</v>
      </c>
      <c r="P66" s="1" t="str">
        <f>VLOOKUP(C66,[1]Sheet2!$C:$N,11,FALSE)</f>
        <v>ok</v>
      </c>
      <c r="Q66" s="2">
        <f>VLOOKUP(C66,[2]Wikidata_upec_chemical_20!$C:$U,3,FALSE)</f>
        <v>0</v>
      </c>
      <c r="R66" s="2" t="str">
        <f>VLOOKUP(C66,[2]Wikidata_upec_chemical_20!$C:$U,17,FALSE)</f>
        <v>ok</v>
      </c>
      <c r="S66" s="2" t="str">
        <f>VLOOKUP(C66,[2]Wikidata_upec_chemical_20!$C:$U,15,FALSE)</f>
        <v/>
      </c>
      <c r="T66" s="3">
        <f t="shared" si="0"/>
        <v>0</v>
      </c>
      <c r="U66" s="3" t="str">
        <f t="shared" si="1"/>
        <v>ok</v>
      </c>
      <c r="V66" s="3" t="str">
        <f t="shared" si="2"/>
        <v/>
      </c>
      <c r="W66">
        <v>0</v>
      </c>
      <c r="X66">
        <v>0</v>
      </c>
      <c r="Y66" s="3" t="str">
        <f t="shared" si="3"/>
        <v/>
      </c>
    </row>
    <row r="67" spans="1:25" x14ac:dyDescent="0.3">
      <c r="A67">
        <v>1084657</v>
      </c>
      <c r="B67" t="s">
        <v>119</v>
      </c>
      <c r="C67" t="s">
        <v>133</v>
      </c>
      <c r="D67" t="s">
        <v>296</v>
      </c>
      <c r="E67" t="s">
        <v>297</v>
      </c>
      <c r="H67" t="s">
        <v>266</v>
      </c>
      <c r="I67" t="s">
        <v>266</v>
      </c>
      <c r="J67" t="s">
        <v>17</v>
      </c>
      <c r="K67">
        <v>100</v>
      </c>
      <c r="L67">
        <v>118.4</v>
      </c>
      <c r="M67" t="s">
        <v>298</v>
      </c>
      <c r="N67" t="s">
        <v>299</v>
      </c>
      <c r="O67" s="1" t="str">
        <f>VLOOKUP(C67,[1]Sheet2!$C:$N,3,FALSE)</f>
        <v>Q929074</v>
      </c>
      <c r="P67" s="1" t="str">
        <f>VLOOKUP(C67,[1]Sheet2!$C:$N,11,FALSE)</f>
        <v>Wrong</v>
      </c>
      <c r="Q67" s="2" t="str">
        <f>VLOOKUP(C67,[2]Wikidata_upec_chemical_20!$C:$U,3,FALSE)</f>
        <v>Q80139</v>
      </c>
      <c r="R67" s="2" t="str">
        <f>VLOOKUP(C67,[2]Wikidata_upec_chemical_20!$C:$U,17,FALSE)</f>
        <v>Wrong</v>
      </c>
      <c r="S67" s="2" t="str">
        <f>VLOOKUP(C67,[2]Wikidata_upec_chemical_20!$C:$U,15,FALSE)</f>
        <v>Mod</v>
      </c>
      <c r="T67" s="3" t="str">
        <f t="shared" ref="T67:T104" si="4">E67</f>
        <v>Q2605789</v>
      </c>
      <c r="U67" s="3" t="str">
        <f t="shared" ref="U67:U104" si="5">R67</f>
        <v>Wrong</v>
      </c>
      <c r="V67" s="5" t="str">
        <f t="shared" si="2"/>
        <v>Mod</v>
      </c>
      <c r="W67" t="s">
        <v>296</v>
      </c>
      <c r="X67" t="s">
        <v>297</v>
      </c>
      <c r="Y67" s="3" t="str">
        <f t="shared" ref="Y67:Y104" si="6">IF(X67&lt;&gt;E67,"Mod","")</f>
        <v/>
      </c>
    </row>
    <row r="68" spans="1:25" x14ac:dyDescent="0.3">
      <c r="A68">
        <v>1084678</v>
      </c>
      <c r="B68" t="s">
        <v>134</v>
      </c>
      <c r="C68" t="s">
        <v>91</v>
      </c>
      <c r="H68" t="s">
        <v>16</v>
      </c>
      <c r="I68" t="s">
        <v>16</v>
      </c>
      <c r="J68" t="s">
        <v>17</v>
      </c>
      <c r="K68">
        <v>0</v>
      </c>
      <c r="L68">
        <v>0</v>
      </c>
      <c r="O68" s="1">
        <f>VLOOKUP(C68,[1]Sheet2!$C:$N,3,FALSE)</f>
        <v>0</v>
      </c>
      <c r="P68" s="1" t="str">
        <f>VLOOKUP(C68,[1]Sheet2!$C:$N,11,FALSE)</f>
        <v>ok</v>
      </c>
      <c r="Q68" s="2">
        <f>VLOOKUP(C68,[2]Wikidata_upec_chemical_20!$C:$U,3,FALSE)</f>
        <v>0</v>
      </c>
      <c r="R68" s="2" t="str">
        <f>VLOOKUP(C68,[2]Wikidata_upec_chemical_20!$C:$U,17,FALSE)</f>
        <v>ok</v>
      </c>
      <c r="S68" s="2" t="str">
        <f>VLOOKUP(C68,[2]Wikidata_upec_chemical_20!$C:$U,15,FALSE)</f>
        <v/>
      </c>
      <c r="T68" s="3">
        <f t="shared" si="4"/>
        <v>0</v>
      </c>
      <c r="U68" s="3" t="str">
        <f t="shared" si="5"/>
        <v>ok</v>
      </c>
      <c r="V68" s="3" t="str">
        <f t="shared" ref="V67:V104" si="7">IF(T68&lt;&gt;Q68,"Mod","")</f>
        <v/>
      </c>
      <c r="W68">
        <v>0</v>
      </c>
      <c r="X68">
        <v>0</v>
      </c>
      <c r="Y68" s="3" t="str">
        <f t="shared" si="6"/>
        <v/>
      </c>
    </row>
    <row r="69" spans="1:25" x14ac:dyDescent="0.3">
      <c r="A69">
        <v>1084678</v>
      </c>
      <c r="B69" t="s">
        <v>134</v>
      </c>
      <c r="C69" t="s">
        <v>93</v>
      </c>
      <c r="D69" t="s">
        <v>284</v>
      </c>
      <c r="E69" t="s">
        <v>285</v>
      </c>
      <c r="H69" t="s">
        <v>266</v>
      </c>
      <c r="I69" t="s">
        <v>266</v>
      </c>
      <c r="J69" t="s">
        <v>17</v>
      </c>
      <c r="K69">
        <v>100</v>
      </c>
      <c r="L69">
        <v>102.9</v>
      </c>
      <c r="O69" s="1" t="str">
        <f>VLOOKUP(C69,[1]Sheet2!$C:$N,3,FALSE)</f>
        <v>Q16247949</v>
      </c>
      <c r="P69" s="1" t="str">
        <f>VLOOKUP(C69,[1]Sheet2!$C:$N,11,FALSE)</f>
        <v>Wrong</v>
      </c>
      <c r="Q69" s="2" t="str">
        <f>VLOOKUP(C69,[2]Wikidata_upec_chemical_20!$C:$U,3,FALSE)</f>
        <v>Q5251610</v>
      </c>
      <c r="R69" s="2" t="str">
        <f>VLOOKUP(C69,[2]Wikidata_upec_chemical_20!$C:$U,17,FALSE)</f>
        <v>Wrong</v>
      </c>
      <c r="S69" s="2" t="str">
        <f>VLOOKUP(C69,[2]Wikidata_upec_chemical_20!$C:$U,15,FALSE)</f>
        <v>Mod</v>
      </c>
      <c r="T69" s="3" t="str">
        <f t="shared" si="4"/>
        <v>Q106205899</v>
      </c>
      <c r="U69" s="3" t="str">
        <f t="shared" si="5"/>
        <v>Wrong</v>
      </c>
      <c r="V69" s="5" t="str">
        <f t="shared" si="7"/>
        <v>Mod</v>
      </c>
      <c r="W69" t="s">
        <v>284</v>
      </c>
      <c r="X69" t="s">
        <v>285</v>
      </c>
      <c r="Y69" s="3" t="str">
        <f t="shared" si="6"/>
        <v/>
      </c>
    </row>
    <row r="70" spans="1:25" x14ac:dyDescent="0.3">
      <c r="A70">
        <v>1084678</v>
      </c>
      <c r="B70" t="s">
        <v>134</v>
      </c>
      <c r="C70" t="s">
        <v>135</v>
      </c>
      <c r="H70" t="s">
        <v>16</v>
      </c>
      <c r="I70" t="s">
        <v>16</v>
      </c>
      <c r="J70" t="s">
        <v>17</v>
      </c>
      <c r="K70">
        <v>0</v>
      </c>
      <c r="L70">
        <v>0</v>
      </c>
      <c r="O70" s="1">
        <f>VLOOKUP(C70,[1]Sheet2!$C:$N,3,FALSE)</f>
        <v>0</v>
      </c>
      <c r="P70" s="1" t="str">
        <f>VLOOKUP(C70,[1]Sheet2!$C:$N,11,FALSE)</f>
        <v>ok</v>
      </c>
      <c r="Q70" s="2">
        <f>VLOOKUP(C70,[2]Wikidata_upec_chemical_20!$C:$U,3,FALSE)</f>
        <v>0</v>
      </c>
      <c r="R70" s="2" t="str">
        <f>VLOOKUP(C70,[2]Wikidata_upec_chemical_20!$C:$U,17,FALSE)</f>
        <v>ok</v>
      </c>
      <c r="S70" s="2" t="str">
        <f>VLOOKUP(C70,[2]Wikidata_upec_chemical_20!$C:$U,15,FALSE)</f>
        <v/>
      </c>
      <c r="T70" s="3">
        <f t="shared" si="4"/>
        <v>0</v>
      </c>
      <c r="U70" s="3" t="str">
        <f t="shared" si="5"/>
        <v>ok</v>
      </c>
      <c r="V70" s="3" t="str">
        <f t="shared" si="7"/>
        <v/>
      </c>
      <c r="W70">
        <v>0</v>
      </c>
      <c r="X70">
        <v>0</v>
      </c>
      <c r="Y70" s="3" t="str">
        <f t="shared" si="6"/>
        <v/>
      </c>
    </row>
    <row r="71" spans="1:25" x14ac:dyDescent="0.3">
      <c r="A71">
        <v>1084678</v>
      </c>
      <c r="B71" t="s">
        <v>134</v>
      </c>
      <c r="C71" t="s">
        <v>136</v>
      </c>
      <c r="H71" t="s">
        <v>16</v>
      </c>
      <c r="I71" t="s">
        <v>16</v>
      </c>
      <c r="J71" t="s">
        <v>17</v>
      </c>
      <c r="K71">
        <v>0</v>
      </c>
      <c r="L71">
        <v>0</v>
      </c>
      <c r="O71" s="1">
        <f>VLOOKUP(C71,[1]Sheet2!$C:$N,3,FALSE)</f>
        <v>0</v>
      </c>
      <c r="P71" s="1" t="str">
        <f>VLOOKUP(C71,[1]Sheet2!$C:$N,11,FALSE)</f>
        <v>ok</v>
      </c>
      <c r="Q71" s="2">
        <f>VLOOKUP(C71,[2]Wikidata_upec_chemical_20!$C:$U,3,FALSE)</f>
        <v>0</v>
      </c>
      <c r="R71" s="2" t="str">
        <f>VLOOKUP(C71,[2]Wikidata_upec_chemical_20!$C:$U,17,FALSE)</f>
        <v>ok</v>
      </c>
      <c r="S71" s="2" t="str">
        <f>VLOOKUP(C71,[2]Wikidata_upec_chemical_20!$C:$U,15,FALSE)</f>
        <v/>
      </c>
      <c r="T71" s="3">
        <f t="shared" si="4"/>
        <v>0</v>
      </c>
      <c r="U71" s="3" t="str">
        <f t="shared" si="5"/>
        <v>ok</v>
      </c>
      <c r="V71" s="3" t="str">
        <f t="shared" si="7"/>
        <v/>
      </c>
      <c r="W71">
        <v>0</v>
      </c>
      <c r="X71">
        <v>0</v>
      </c>
      <c r="Y71" s="3" t="str">
        <f t="shared" si="6"/>
        <v/>
      </c>
    </row>
    <row r="72" spans="1:25" x14ac:dyDescent="0.3">
      <c r="A72">
        <v>1084678</v>
      </c>
      <c r="B72" t="s">
        <v>134</v>
      </c>
      <c r="C72" t="s">
        <v>137</v>
      </c>
      <c r="D72" t="s">
        <v>138</v>
      </c>
      <c r="E72" t="s">
        <v>139</v>
      </c>
      <c r="H72" t="s">
        <v>266</v>
      </c>
      <c r="I72" t="s">
        <v>266</v>
      </c>
      <c r="J72" t="s">
        <v>17</v>
      </c>
      <c r="K72">
        <v>100</v>
      </c>
      <c r="L72">
        <v>180.4</v>
      </c>
      <c r="M72" t="s">
        <v>140</v>
      </c>
      <c r="N72" t="s">
        <v>141</v>
      </c>
      <c r="O72" s="1" t="str">
        <f>VLOOKUP(C72,[1]Sheet2!$C:$N,3,FALSE)</f>
        <v>Q134702323</v>
      </c>
      <c r="P72" s="1" t="str">
        <f>VLOOKUP(C72,[1]Sheet2!$C:$N,11,FALSE)</f>
        <v>Wrong</v>
      </c>
      <c r="Q72" s="2" t="str">
        <f>VLOOKUP(C72,[2]Wikidata_upec_chemical_20!$C:$U,3,FALSE)</f>
        <v>Q134702323</v>
      </c>
      <c r="R72" s="2" t="str">
        <f>VLOOKUP(C72,[2]Wikidata_upec_chemical_20!$C:$U,17,FALSE)</f>
        <v>Wrong</v>
      </c>
      <c r="S72" s="2" t="str">
        <f>VLOOKUP(C72,[2]Wikidata_upec_chemical_20!$C:$U,15,FALSE)</f>
        <v/>
      </c>
      <c r="T72" s="3" t="str">
        <f t="shared" si="4"/>
        <v>Q134702323</v>
      </c>
      <c r="U72" s="3" t="str">
        <f t="shared" si="5"/>
        <v>Wrong</v>
      </c>
      <c r="V72" s="3" t="str">
        <f t="shared" si="7"/>
        <v/>
      </c>
      <c r="W72" t="s">
        <v>138</v>
      </c>
      <c r="X72" t="s">
        <v>139</v>
      </c>
      <c r="Y72" s="3" t="str">
        <f t="shared" si="6"/>
        <v/>
      </c>
    </row>
    <row r="73" spans="1:25" x14ac:dyDescent="0.3">
      <c r="A73">
        <v>1084678</v>
      </c>
      <c r="B73" t="s">
        <v>134</v>
      </c>
      <c r="C73" t="s">
        <v>142</v>
      </c>
      <c r="D73" t="s">
        <v>143</v>
      </c>
      <c r="E73" t="s">
        <v>144</v>
      </c>
      <c r="H73" t="s">
        <v>21</v>
      </c>
      <c r="I73" t="s">
        <v>21</v>
      </c>
      <c r="J73" t="s">
        <v>17</v>
      </c>
      <c r="K73">
        <v>93.3</v>
      </c>
      <c r="L73">
        <v>184.2</v>
      </c>
      <c r="O73" s="1" t="str">
        <f>VLOOKUP(C73,[1]Sheet2!$C:$N,3,FALSE)</f>
        <v>Q2282401</v>
      </c>
      <c r="P73" s="1" t="str">
        <f>VLOOKUP(C73,[1]Sheet2!$C:$N,11,FALSE)</f>
        <v>ok</v>
      </c>
      <c r="Q73" s="2" t="str">
        <f>VLOOKUP(C73,[2]Wikidata_upec_chemical_20!$C:$U,3,FALSE)</f>
        <v>Q2282401</v>
      </c>
      <c r="R73" s="2" t="str">
        <f>VLOOKUP(C73,[2]Wikidata_upec_chemical_20!$C:$U,17,FALSE)</f>
        <v>ok</v>
      </c>
      <c r="S73" s="2" t="str">
        <f>VLOOKUP(C73,[2]Wikidata_upec_chemical_20!$C:$U,15,FALSE)</f>
        <v/>
      </c>
      <c r="T73" s="3" t="str">
        <f t="shared" si="4"/>
        <v>Q2282401</v>
      </c>
      <c r="U73" s="3" t="str">
        <f t="shared" si="5"/>
        <v>ok</v>
      </c>
      <c r="V73" s="3" t="str">
        <f t="shared" si="7"/>
        <v/>
      </c>
      <c r="W73" t="s">
        <v>143</v>
      </c>
      <c r="X73" t="s">
        <v>144</v>
      </c>
      <c r="Y73" s="3" t="str">
        <f t="shared" si="6"/>
        <v/>
      </c>
    </row>
    <row r="74" spans="1:25" x14ac:dyDescent="0.3">
      <c r="A74">
        <v>1086746</v>
      </c>
      <c r="B74" t="s">
        <v>145</v>
      </c>
      <c r="C74" t="s">
        <v>146</v>
      </c>
      <c r="D74" t="s">
        <v>273</v>
      </c>
      <c r="E74" t="s">
        <v>274</v>
      </c>
      <c r="F74" t="s">
        <v>275</v>
      </c>
      <c r="H74" t="s">
        <v>266</v>
      </c>
      <c r="I74" t="s">
        <v>266</v>
      </c>
      <c r="J74" t="s">
        <v>17</v>
      </c>
      <c r="K74">
        <v>100</v>
      </c>
      <c r="L74">
        <v>144.1</v>
      </c>
      <c r="M74" t="s">
        <v>276</v>
      </c>
      <c r="N74" t="s">
        <v>277</v>
      </c>
      <c r="O74" s="1">
        <f>VLOOKUP(C74,[1]Sheet2!$C:$N,3,FALSE)</f>
        <v>0</v>
      </c>
      <c r="P74" s="1" t="str">
        <f>VLOOKUP(C74,[1]Sheet2!$C:$N,11,FALSE)</f>
        <v>ok</v>
      </c>
      <c r="Q74" s="2">
        <f>VLOOKUP(C74,[2]Wikidata_upec_chemical_20!$C:$U,3,FALSE)</f>
        <v>0</v>
      </c>
      <c r="R74" s="2" t="str">
        <f>VLOOKUP(C74,[2]Wikidata_upec_chemical_20!$C:$U,17,FALSE)</f>
        <v>ok</v>
      </c>
      <c r="S74" s="2" t="str">
        <f>VLOOKUP(C74,[2]Wikidata_upec_chemical_20!$C:$U,15,FALSE)</f>
        <v/>
      </c>
      <c r="T74" s="3" t="str">
        <f t="shared" si="4"/>
        <v>Q725</v>
      </c>
      <c r="U74" s="3" t="str">
        <f t="shared" si="5"/>
        <v>ok</v>
      </c>
      <c r="V74" s="5" t="str">
        <f t="shared" si="7"/>
        <v>Mod</v>
      </c>
      <c r="W74" t="s">
        <v>273</v>
      </c>
      <c r="X74" t="s">
        <v>274</v>
      </c>
      <c r="Y74" s="3" t="str">
        <f t="shared" si="6"/>
        <v/>
      </c>
    </row>
    <row r="75" spans="1:25" x14ac:dyDescent="0.3">
      <c r="A75">
        <v>1086746</v>
      </c>
      <c r="B75" t="s">
        <v>145</v>
      </c>
      <c r="C75" t="s">
        <v>147</v>
      </c>
      <c r="D75" t="s">
        <v>229</v>
      </c>
      <c r="E75" t="s">
        <v>230</v>
      </c>
      <c r="F75">
        <v>119470591</v>
      </c>
      <c r="H75" t="s">
        <v>266</v>
      </c>
      <c r="I75" t="s">
        <v>266</v>
      </c>
      <c r="J75" t="s">
        <v>17</v>
      </c>
      <c r="K75">
        <v>100</v>
      </c>
      <c r="L75">
        <v>149.80000000000001</v>
      </c>
      <c r="M75" t="s">
        <v>231</v>
      </c>
      <c r="N75" t="s">
        <v>300</v>
      </c>
      <c r="O75" s="1">
        <f>VLOOKUP(C75,[1]Sheet2!$C:$N,3,FALSE)</f>
        <v>0</v>
      </c>
      <c r="P75" s="1" t="str">
        <f>VLOOKUP(C75,[1]Sheet2!$C:$N,11,FALSE)</f>
        <v>ok</v>
      </c>
      <c r="Q75" s="2">
        <f>VLOOKUP(C75,[2]Wikidata_upec_chemical_20!$C:$U,3,FALSE)</f>
        <v>0</v>
      </c>
      <c r="R75" s="2" t="str">
        <f>VLOOKUP(C75,[2]Wikidata_upec_chemical_20!$C:$U,17,FALSE)</f>
        <v>ok</v>
      </c>
      <c r="S75" s="2" t="str">
        <f>VLOOKUP(C75,[2]Wikidata_upec_chemical_20!$C:$U,15,FALSE)</f>
        <v/>
      </c>
      <c r="T75" s="3" t="str">
        <f t="shared" si="4"/>
        <v>Q753</v>
      </c>
      <c r="U75" s="3" t="str">
        <f t="shared" si="5"/>
        <v>ok</v>
      </c>
      <c r="V75" s="5" t="str">
        <f t="shared" si="7"/>
        <v>Mod</v>
      </c>
      <c r="W75" t="s">
        <v>229</v>
      </c>
      <c r="X75" t="s">
        <v>230</v>
      </c>
      <c r="Y75" s="3" t="str">
        <f t="shared" si="6"/>
        <v/>
      </c>
    </row>
    <row r="76" spans="1:25" x14ac:dyDescent="0.3">
      <c r="A76">
        <v>1086746</v>
      </c>
      <c r="B76" t="s">
        <v>145</v>
      </c>
      <c r="C76" t="s">
        <v>148</v>
      </c>
      <c r="D76" t="s">
        <v>232</v>
      </c>
      <c r="E76" t="s">
        <v>233</v>
      </c>
      <c r="F76" t="s">
        <v>234</v>
      </c>
      <c r="H76" t="s">
        <v>266</v>
      </c>
      <c r="I76" t="s">
        <v>266</v>
      </c>
      <c r="J76" t="s">
        <v>17</v>
      </c>
      <c r="K76">
        <v>100</v>
      </c>
      <c r="L76">
        <v>163.80000000000001</v>
      </c>
      <c r="M76" t="s">
        <v>227</v>
      </c>
      <c r="N76" t="s">
        <v>228</v>
      </c>
      <c r="O76" s="1">
        <f>VLOOKUP(C76,[1]Sheet2!$C:$N,3,FALSE)</f>
        <v>0</v>
      </c>
      <c r="P76" s="1" t="str">
        <f>VLOOKUP(C76,[1]Sheet2!$C:$N,11,FALSE)</f>
        <v>ok</v>
      </c>
      <c r="Q76" s="2">
        <f>VLOOKUP(C76,[2]Wikidata_upec_chemical_20!$C:$U,3,FALSE)</f>
        <v>0</v>
      </c>
      <c r="R76" s="2" t="str">
        <f>VLOOKUP(C76,[2]Wikidata_upec_chemical_20!$C:$U,17,FALSE)</f>
        <v>ok</v>
      </c>
      <c r="S76" s="2" t="str">
        <f>VLOOKUP(C76,[2]Wikidata_upec_chemical_20!$C:$U,15,FALSE)</f>
        <v/>
      </c>
      <c r="T76" s="3" t="str">
        <f t="shared" si="4"/>
        <v>Q974</v>
      </c>
      <c r="U76" s="3" t="str">
        <f t="shared" si="5"/>
        <v>ok</v>
      </c>
      <c r="V76" s="5" t="str">
        <f t="shared" si="7"/>
        <v>Mod</v>
      </c>
      <c r="W76" t="s">
        <v>232</v>
      </c>
      <c r="X76" t="s">
        <v>233</v>
      </c>
      <c r="Y76" s="3" t="str">
        <f t="shared" si="6"/>
        <v/>
      </c>
    </row>
    <row r="77" spans="1:25" x14ac:dyDescent="0.3">
      <c r="A77">
        <v>1086746</v>
      </c>
      <c r="B77" t="s">
        <v>145</v>
      </c>
      <c r="C77" t="s">
        <v>149</v>
      </c>
      <c r="D77" t="s">
        <v>235</v>
      </c>
      <c r="E77" t="s">
        <v>236</v>
      </c>
      <c r="F77">
        <v>118650631</v>
      </c>
      <c r="H77" t="s">
        <v>266</v>
      </c>
      <c r="I77" t="s">
        <v>266</v>
      </c>
      <c r="J77" t="s">
        <v>17</v>
      </c>
      <c r="K77">
        <v>100</v>
      </c>
      <c r="L77">
        <v>151.5</v>
      </c>
      <c r="M77" t="s">
        <v>237</v>
      </c>
      <c r="N77" t="s">
        <v>238</v>
      </c>
      <c r="O77" s="1">
        <f>VLOOKUP(C77,[1]Sheet2!$C:$N,3,FALSE)</f>
        <v>0</v>
      </c>
      <c r="P77" s="1" t="str">
        <f>VLOOKUP(C77,[1]Sheet2!$C:$N,11,FALSE)</f>
        <v>ok</v>
      </c>
      <c r="Q77" s="2">
        <f>VLOOKUP(C77,[2]Wikidata_upec_chemical_20!$C:$U,3,FALSE)</f>
        <v>0</v>
      </c>
      <c r="R77" s="2" t="str">
        <f>VLOOKUP(C77,[2]Wikidata_upec_chemical_20!$C:$U,17,FALSE)</f>
        <v>ok</v>
      </c>
      <c r="S77" s="2" t="str">
        <f>VLOOKUP(C77,[2]Wikidata_upec_chemical_20!$C:$U,15,FALSE)</f>
        <v/>
      </c>
      <c r="T77" s="3" t="str">
        <f t="shared" si="4"/>
        <v>Q1065</v>
      </c>
      <c r="U77" s="3" t="str">
        <f t="shared" si="5"/>
        <v>ok</v>
      </c>
      <c r="V77" s="5" t="str">
        <f t="shared" si="7"/>
        <v>Mod</v>
      </c>
      <c r="W77" t="s">
        <v>235</v>
      </c>
      <c r="X77" t="s">
        <v>236</v>
      </c>
      <c r="Y77" s="3" t="str">
        <f t="shared" si="6"/>
        <v/>
      </c>
    </row>
    <row r="78" spans="1:25" x14ac:dyDescent="0.3">
      <c r="A78">
        <v>1086746</v>
      </c>
      <c r="B78" t="s">
        <v>145</v>
      </c>
      <c r="C78" t="s">
        <v>150</v>
      </c>
      <c r="D78" t="s">
        <v>239</v>
      </c>
      <c r="E78" t="s">
        <v>240</v>
      </c>
      <c r="F78" t="s">
        <v>241</v>
      </c>
      <c r="H78" t="s">
        <v>266</v>
      </c>
      <c r="I78" t="s">
        <v>266</v>
      </c>
      <c r="J78" t="s">
        <v>17</v>
      </c>
      <c r="K78">
        <v>100</v>
      </c>
      <c r="L78">
        <v>146.5</v>
      </c>
      <c r="M78" t="s">
        <v>242</v>
      </c>
      <c r="N78" t="s">
        <v>301</v>
      </c>
      <c r="O78" s="1">
        <f>VLOOKUP(C78,[1]Sheet2!$C:$N,3,FALSE)</f>
        <v>0</v>
      </c>
      <c r="P78" s="1" t="str">
        <f>VLOOKUP(C78,[1]Sheet2!$C:$N,11,FALSE)</f>
        <v>ok</v>
      </c>
      <c r="Q78" s="2">
        <f>VLOOKUP(C78,[2]Wikidata_upec_chemical_20!$C:$U,3,FALSE)</f>
        <v>0</v>
      </c>
      <c r="R78" s="2" t="str">
        <f>VLOOKUP(C78,[2]Wikidata_upec_chemical_20!$C:$U,17,FALSE)</f>
        <v>ok</v>
      </c>
      <c r="S78" s="2" t="str">
        <f>VLOOKUP(C78,[2]Wikidata_upec_chemical_20!$C:$U,15,FALSE)</f>
        <v/>
      </c>
      <c r="T78" s="3" t="str">
        <f t="shared" si="4"/>
        <v>Q925</v>
      </c>
      <c r="U78" s="3" t="str">
        <f t="shared" si="5"/>
        <v>ok</v>
      </c>
      <c r="V78" s="5" t="str">
        <f t="shared" si="7"/>
        <v>Mod</v>
      </c>
      <c r="W78" t="s">
        <v>239</v>
      </c>
      <c r="X78" t="s">
        <v>240</v>
      </c>
      <c r="Y78" s="3" t="str">
        <f t="shared" si="6"/>
        <v/>
      </c>
    </row>
    <row r="79" spans="1:25" x14ac:dyDescent="0.3">
      <c r="A79">
        <v>1086746</v>
      </c>
      <c r="B79" t="s">
        <v>145</v>
      </c>
      <c r="C79" t="s">
        <v>151</v>
      </c>
      <c r="D79" t="s">
        <v>243</v>
      </c>
      <c r="E79" t="s">
        <v>244</v>
      </c>
      <c r="F79">
        <v>119567697</v>
      </c>
      <c r="H79" t="s">
        <v>266</v>
      </c>
      <c r="I79" t="s">
        <v>266</v>
      </c>
      <c r="J79" t="s">
        <v>17</v>
      </c>
      <c r="K79">
        <v>100</v>
      </c>
      <c r="L79">
        <v>157.1</v>
      </c>
      <c r="M79" t="s">
        <v>245</v>
      </c>
      <c r="N79" t="s">
        <v>302</v>
      </c>
      <c r="O79" s="1">
        <f>VLOOKUP(C79,[1]Sheet2!$C:$N,3,FALSE)</f>
        <v>0</v>
      </c>
      <c r="P79" s="1" t="str">
        <f>VLOOKUP(C79,[1]Sheet2!$C:$N,11,FALSE)</f>
        <v>ok</v>
      </c>
      <c r="Q79" s="2">
        <f>VLOOKUP(C79,[2]Wikidata_upec_chemical_20!$C:$U,3,FALSE)</f>
        <v>0</v>
      </c>
      <c r="R79" s="2" t="str">
        <f>VLOOKUP(C79,[2]Wikidata_upec_chemical_20!$C:$U,17,FALSE)</f>
        <v>ok</v>
      </c>
      <c r="S79" s="2" t="str">
        <f>VLOOKUP(C79,[2]Wikidata_upec_chemical_20!$C:$U,15,FALSE)</f>
        <v/>
      </c>
      <c r="T79" s="3" t="str">
        <f t="shared" si="4"/>
        <v>Q708</v>
      </c>
      <c r="U79" s="3" t="str">
        <f t="shared" si="5"/>
        <v>ok</v>
      </c>
      <c r="V79" s="5" t="str">
        <f t="shared" si="7"/>
        <v>Mod</v>
      </c>
      <c r="W79" t="s">
        <v>243</v>
      </c>
      <c r="X79" t="s">
        <v>244</v>
      </c>
      <c r="Y79" s="3" t="str">
        <f t="shared" si="6"/>
        <v/>
      </c>
    </row>
    <row r="80" spans="1:25" x14ac:dyDescent="0.3">
      <c r="A80">
        <v>1086746</v>
      </c>
      <c r="B80" t="s">
        <v>145</v>
      </c>
      <c r="C80" t="s">
        <v>152</v>
      </c>
      <c r="D80" t="s">
        <v>153</v>
      </c>
      <c r="E80" t="s">
        <v>246</v>
      </c>
      <c r="H80" t="s">
        <v>266</v>
      </c>
      <c r="I80" t="s">
        <v>266</v>
      </c>
      <c r="J80" t="s">
        <v>17</v>
      </c>
      <c r="K80">
        <v>100</v>
      </c>
      <c r="L80">
        <v>165.3</v>
      </c>
      <c r="O80" s="1" t="str">
        <f>VLOOKUP(C80,[1]Sheet2!$C:$N,3,FALSE)</f>
        <v>Q5695115</v>
      </c>
      <c r="P80" s="1" t="str">
        <f>VLOOKUP(C80,[1]Sheet2!$C:$N,11,FALSE)</f>
        <v>Wrong</v>
      </c>
      <c r="Q80" s="2" t="str">
        <f>VLOOKUP(C80,[2]Wikidata_upec_chemical_20!$C:$U,3,FALSE)</f>
        <v>Q102366719</v>
      </c>
      <c r="R80" s="2" t="str">
        <f>VLOOKUP(C80,[2]Wikidata_upec_chemical_20!$C:$U,17,FALSE)</f>
        <v>Wrong</v>
      </c>
      <c r="S80" s="2" t="str">
        <f>VLOOKUP(C80,[2]Wikidata_upec_chemical_20!$C:$U,15,FALSE)</f>
        <v>Mod</v>
      </c>
      <c r="T80" s="3" t="str">
        <f t="shared" si="4"/>
        <v>Q105789</v>
      </c>
      <c r="U80" s="3" t="str">
        <f t="shared" si="5"/>
        <v>Wrong</v>
      </c>
      <c r="V80" s="5" t="str">
        <f t="shared" si="7"/>
        <v>Mod</v>
      </c>
      <c r="W80" t="s">
        <v>153</v>
      </c>
      <c r="X80" t="s">
        <v>246</v>
      </c>
      <c r="Y80" s="3" t="str">
        <f t="shared" si="6"/>
        <v/>
      </c>
    </row>
    <row r="81" spans="1:25" x14ac:dyDescent="0.3">
      <c r="A81">
        <v>1086746</v>
      </c>
      <c r="B81" t="s">
        <v>145</v>
      </c>
      <c r="C81" t="s">
        <v>154</v>
      </c>
      <c r="D81" t="s">
        <v>303</v>
      </c>
      <c r="E81" t="s">
        <v>304</v>
      </c>
      <c r="H81" t="s">
        <v>266</v>
      </c>
      <c r="I81" t="s">
        <v>266</v>
      </c>
      <c r="J81" t="s">
        <v>17</v>
      </c>
      <c r="K81">
        <v>100</v>
      </c>
      <c r="L81">
        <v>149.5</v>
      </c>
      <c r="O81" s="1" t="str">
        <f>VLOOKUP(C81,[1]Sheet2!$C:$N,3,FALSE)</f>
        <v>Q41263</v>
      </c>
      <c r="P81" s="1" t="str">
        <f>VLOOKUP(C81,[1]Sheet2!$C:$N,11,FALSE)</f>
        <v>Wrong</v>
      </c>
      <c r="Q81" s="2" t="str">
        <f>VLOOKUP(C81,[2]Wikidata_upec_chemical_20!$C:$U,3,FALSE)</f>
        <v>Q41263</v>
      </c>
      <c r="R81" s="2" t="str">
        <f>VLOOKUP(C81,[2]Wikidata_upec_chemical_20!$C:$U,17,FALSE)</f>
        <v>Wrong</v>
      </c>
      <c r="S81" s="2" t="str">
        <f>VLOOKUP(C81,[2]Wikidata_upec_chemical_20!$C:$U,15,FALSE)</f>
        <v/>
      </c>
      <c r="T81" s="3" t="str">
        <f t="shared" si="4"/>
        <v>Q271855</v>
      </c>
      <c r="U81" s="3" t="str">
        <f t="shared" si="5"/>
        <v>Wrong</v>
      </c>
      <c r="V81" s="5" t="str">
        <f t="shared" si="7"/>
        <v>Mod</v>
      </c>
      <c r="W81" t="s">
        <v>303</v>
      </c>
      <c r="X81" t="s">
        <v>304</v>
      </c>
      <c r="Y81" s="3" t="str">
        <f t="shared" si="6"/>
        <v/>
      </c>
    </row>
    <row r="82" spans="1:25" x14ac:dyDescent="0.3">
      <c r="A82">
        <v>1086746</v>
      </c>
      <c r="B82" t="s">
        <v>145</v>
      </c>
      <c r="C82" t="s">
        <v>155</v>
      </c>
      <c r="D82" t="s">
        <v>305</v>
      </c>
      <c r="E82" t="s">
        <v>306</v>
      </c>
      <c r="H82" t="s">
        <v>266</v>
      </c>
      <c r="I82" t="s">
        <v>266</v>
      </c>
      <c r="J82" t="s">
        <v>17</v>
      </c>
      <c r="K82">
        <v>100</v>
      </c>
      <c r="L82">
        <v>148.69999999999999</v>
      </c>
      <c r="M82" t="s">
        <v>307</v>
      </c>
      <c r="N82" t="s">
        <v>308</v>
      </c>
      <c r="O82" s="1" t="str">
        <f>VLOOKUP(C82,[1]Sheet2!$C:$N,3,FALSE)</f>
        <v>Q25344232</v>
      </c>
      <c r="P82" s="1" t="str">
        <f>VLOOKUP(C82,[1]Sheet2!$C:$N,11,FALSE)</f>
        <v>Wrong</v>
      </c>
      <c r="Q82" s="2" t="str">
        <f>VLOOKUP(C82,[2]Wikidata_upec_chemical_20!$C:$U,3,FALSE)</f>
        <v>Q1471</v>
      </c>
      <c r="R82" s="2" t="str">
        <f>VLOOKUP(C82,[2]Wikidata_upec_chemical_20!$C:$U,17,FALSE)</f>
        <v>ok</v>
      </c>
      <c r="S82" s="2" t="str">
        <f>VLOOKUP(C82,[2]Wikidata_upec_chemical_20!$C:$U,15,FALSE)</f>
        <v>Mod</v>
      </c>
      <c r="T82" s="3" t="str">
        <f t="shared" si="4"/>
        <v>Q130912</v>
      </c>
      <c r="U82" s="3" t="str">
        <f t="shared" si="5"/>
        <v>ok</v>
      </c>
      <c r="V82" s="5" t="str">
        <f t="shared" si="7"/>
        <v>Mod</v>
      </c>
      <c r="W82" t="s">
        <v>305</v>
      </c>
      <c r="X82" t="s">
        <v>306</v>
      </c>
      <c r="Y82" s="3" t="str">
        <f t="shared" si="6"/>
        <v/>
      </c>
    </row>
    <row r="83" spans="1:25" x14ac:dyDescent="0.3">
      <c r="A83">
        <v>1086746</v>
      </c>
      <c r="B83" t="s">
        <v>145</v>
      </c>
      <c r="C83" t="s">
        <v>156</v>
      </c>
      <c r="D83" t="s">
        <v>309</v>
      </c>
      <c r="E83" t="s">
        <v>310</v>
      </c>
      <c r="F83" t="s">
        <v>311</v>
      </c>
      <c r="H83" t="s">
        <v>266</v>
      </c>
      <c r="I83" t="s">
        <v>266</v>
      </c>
      <c r="J83" t="s">
        <v>17</v>
      </c>
      <c r="K83">
        <v>100</v>
      </c>
      <c r="L83">
        <v>129.6</v>
      </c>
      <c r="M83" t="s">
        <v>312</v>
      </c>
      <c r="N83" t="s">
        <v>313</v>
      </c>
      <c r="O83" s="1" t="str">
        <f>VLOOKUP(C83,[1]Sheet2!$C:$N,3,FALSE)</f>
        <v>Q1189823</v>
      </c>
      <c r="P83" s="1" t="str">
        <f>VLOOKUP(C83,[1]Sheet2!$C:$N,11,FALSE)</f>
        <v>Wrong</v>
      </c>
      <c r="Q83" s="2" t="str">
        <f>VLOOKUP(C83,[2]Wikidata_upec_chemical_20!$C:$U,3,FALSE)</f>
        <v>Q4022</v>
      </c>
      <c r="R83" s="2" t="str">
        <f>VLOOKUP(C83,[2]Wikidata_upec_chemical_20!$C:$U,17,FALSE)</f>
        <v>ok</v>
      </c>
      <c r="S83" s="2" t="str">
        <f>VLOOKUP(C83,[2]Wikidata_upec_chemical_20!$C:$U,15,FALSE)</f>
        <v>Mod</v>
      </c>
      <c r="T83" s="3" t="str">
        <f t="shared" si="4"/>
        <v>Q355304</v>
      </c>
      <c r="U83" s="3" t="str">
        <f t="shared" si="5"/>
        <v>ok</v>
      </c>
      <c r="V83" s="5" t="str">
        <f t="shared" si="7"/>
        <v>Mod</v>
      </c>
      <c r="W83" t="s">
        <v>309</v>
      </c>
      <c r="X83" t="s">
        <v>310</v>
      </c>
      <c r="Y83" s="3" t="str">
        <f t="shared" si="6"/>
        <v/>
      </c>
    </row>
    <row r="84" spans="1:25" x14ac:dyDescent="0.3">
      <c r="A84">
        <v>1086746</v>
      </c>
      <c r="B84" t="s">
        <v>145</v>
      </c>
      <c r="C84" t="s">
        <v>157</v>
      </c>
      <c r="D84" t="s">
        <v>247</v>
      </c>
      <c r="E84" t="s">
        <v>248</v>
      </c>
      <c r="H84" t="s">
        <v>266</v>
      </c>
      <c r="I84" t="s">
        <v>266</v>
      </c>
      <c r="J84" t="s">
        <v>17</v>
      </c>
      <c r="K84">
        <v>100</v>
      </c>
      <c r="L84">
        <v>119.3</v>
      </c>
      <c r="M84" t="s">
        <v>249</v>
      </c>
      <c r="N84" t="s">
        <v>314</v>
      </c>
      <c r="O84" s="1" t="str">
        <f>VLOOKUP(C84,[1]Sheet2!$C:$N,3,FALSE)</f>
        <v>Q6854084</v>
      </c>
      <c r="P84" s="1" t="str">
        <f>VLOOKUP(C84,[1]Sheet2!$C:$N,11,FALSE)</f>
        <v>Wrong</v>
      </c>
      <c r="Q84" s="2">
        <f>VLOOKUP(C84,[2]Wikidata_upec_chemical_20!$C:$U,3,FALSE)</f>
        <v>0</v>
      </c>
      <c r="R84" s="2" t="str">
        <f>VLOOKUP(C84,[2]Wikidata_upec_chemical_20!$C:$U,17,FALSE)</f>
        <v>Wrong</v>
      </c>
      <c r="S84" s="2" t="str">
        <f>VLOOKUP(C84,[2]Wikidata_upec_chemical_20!$C:$U,15,FALSE)</f>
        <v>Mod</v>
      </c>
      <c r="T84" s="3" t="str">
        <f t="shared" si="4"/>
        <v>Q1440626</v>
      </c>
      <c r="U84" s="3" t="str">
        <f t="shared" si="5"/>
        <v>Wrong</v>
      </c>
      <c r="V84" s="5" t="str">
        <f t="shared" si="7"/>
        <v>Mod</v>
      </c>
      <c r="W84" t="s">
        <v>247</v>
      </c>
      <c r="X84" t="s">
        <v>248</v>
      </c>
      <c r="Y84" s="3" t="str">
        <f t="shared" si="6"/>
        <v/>
      </c>
    </row>
    <row r="85" spans="1:25" x14ac:dyDescent="0.3">
      <c r="A85">
        <v>1086752</v>
      </c>
      <c r="B85" t="s">
        <v>158</v>
      </c>
      <c r="C85" t="s">
        <v>159</v>
      </c>
      <c r="H85" t="s">
        <v>16</v>
      </c>
      <c r="I85" t="s">
        <v>16</v>
      </c>
      <c r="J85" t="s">
        <v>17</v>
      </c>
      <c r="K85">
        <v>0</v>
      </c>
      <c r="L85">
        <v>0</v>
      </c>
      <c r="O85" s="1">
        <f>VLOOKUP(C85,[1]Sheet2!$C:$N,3,FALSE)</f>
        <v>0</v>
      </c>
      <c r="P85" s="1" t="str">
        <f>VLOOKUP(C85,[1]Sheet2!$C:$N,11,FALSE)</f>
        <v>ok</v>
      </c>
      <c r="Q85" s="2">
        <f>VLOOKUP(C85,[2]Wikidata_upec_chemical_20!$C:$U,3,FALSE)</f>
        <v>0</v>
      </c>
      <c r="R85" s="2" t="str">
        <f>VLOOKUP(C85,[2]Wikidata_upec_chemical_20!$C:$U,17,FALSE)</f>
        <v>ok</v>
      </c>
      <c r="S85" s="2" t="str">
        <f>VLOOKUP(C85,[2]Wikidata_upec_chemical_20!$C:$U,15,FALSE)</f>
        <v/>
      </c>
      <c r="T85" s="3">
        <f t="shared" si="4"/>
        <v>0</v>
      </c>
      <c r="U85" s="3" t="str">
        <f t="shared" si="5"/>
        <v>ok</v>
      </c>
      <c r="V85" s="3" t="str">
        <f t="shared" si="7"/>
        <v/>
      </c>
      <c r="W85">
        <v>0</v>
      </c>
      <c r="X85">
        <v>0</v>
      </c>
      <c r="Y85" s="3" t="str">
        <f t="shared" si="6"/>
        <v/>
      </c>
    </row>
    <row r="86" spans="1:25" x14ac:dyDescent="0.3">
      <c r="A86">
        <v>1086752</v>
      </c>
      <c r="B86" t="s">
        <v>158</v>
      </c>
      <c r="C86" t="s">
        <v>160</v>
      </c>
      <c r="H86" t="s">
        <v>16</v>
      </c>
      <c r="I86" t="s">
        <v>16</v>
      </c>
      <c r="J86" t="s">
        <v>17</v>
      </c>
      <c r="K86">
        <v>0</v>
      </c>
      <c r="L86">
        <v>0</v>
      </c>
      <c r="O86" s="1" t="str">
        <f>VLOOKUP(C86,[1]Sheet2!$C:$N,3,FALSE)</f>
        <v>Q114658653</v>
      </c>
      <c r="P86" s="1" t="str">
        <f>VLOOKUP(C86,[1]Sheet2!$C:$N,11,FALSE)</f>
        <v>ok</v>
      </c>
      <c r="Q86" s="2">
        <f>VLOOKUP(C86,[2]Wikidata_upec_chemical_20!$C:$U,3,FALSE)</f>
        <v>0</v>
      </c>
      <c r="R86" s="2" t="str">
        <f>VLOOKUP(C86,[2]Wikidata_upec_chemical_20!$C:$U,17,FALSE)</f>
        <v>ok</v>
      </c>
      <c r="S86" s="2" t="str">
        <f>VLOOKUP(C86,[2]Wikidata_upec_chemical_20!$C:$U,15,FALSE)</f>
        <v>Mod</v>
      </c>
      <c r="T86" s="3">
        <f t="shared" si="4"/>
        <v>0</v>
      </c>
      <c r="U86" s="3" t="str">
        <f t="shared" si="5"/>
        <v>ok</v>
      </c>
      <c r="V86" s="3" t="str">
        <f t="shared" si="7"/>
        <v/>
      </c>
      <c r="W86">
        <v>0</v>
      </c>
      <c r="X86">
        <v>0</v>
      </c>
      <c r="Y86" s="3" t="str">
        <f t="shared" si="6"/>
        <v/>
      </c>
    </row>
    <row r="87" spans="1:25" x14ac:dyDescent="0.3">
      <c r="A87">
        <v>1086752</v>
      </c>
      <c r="B87" t="s">
        <v>158</v>
      </c>
      <c r="C87" t="s">
        <v>161</v>
      </c>
      <c r="H87" t="s">
        <v>16</v>
      </c>
      <c r="I87" t="s">
        <v>16</v>
      </c>
      <c r="J87" t="s">
        <v>17</v>
      </c>
      <c r="K87">
        <v>0</v>
      </c>
      <c r="L87">
        <v>0</v>
      </c>
      <c r="O87" s="1">
        <f>VLOOKUP(C87,[1]Sheet2!$C:$N,3,FALSE)</f>
        <v>0</v>
      </c>
      <c r="P87" s="1" t="str">
        <f>VLOOKUP(C87,[1]Sheet2!$C:$N,11,FALSE)</f>
        <v>ok</v>
      </c>
      <c r="Q87" s="2">
        <f>VLOOKUP(C87,[2]Wikidata_upec_chemical_20!$C:$U,3,FALSE)</f>
        <v>0</v>
      </c>
      <c r="R87" s="2" t="str">
        <f>VLOOKUP(C87,[2]Wikidata_upec_chemical_20!$C:$U,17,FALSE)</f>
        <v>ok</v>
      </c>
      <c r="S87" s="2" t="str">
        <f>VLOOKUP(C87,[2]Wikidata_upec_chemical_20!$C:$U,15,FALSE)</f>
        <v/>
      </c>
      <c r="T87" s="3">
        <f t="shared" si="4"/>
        <v>0</v>
      </c>
      <c r="U87" s="3" t="str">
        <f t="shared" si="5"/>
        <v>ok</v>
      </c>
      <c r="V87" s="3" t="str">
        <f t="shared" si="7"/>
        <v/>
      </c>
      <c r="W87">
        <v>0</v>
      </c>
      <c r="X87">
        <v>0</v>
      </c>
      <c r="Y87" s="3" t="str">
        <f t="shared" si="6"/>
        <v/>
      </c>
    </row>
    <row r="88" spans="1:25" x14ac:dyDescent="0.3">
      <c r="A88">
        <v>1086752</v>
      </c>
      <c r="B88" t="s">
        <v>158</v>
      </c>
      <c r="C88" t="s">
        <v>162</v>
      </c>
      <c r="D88" t="s">
        <v>250</v>
      </c>
      <c r="E88" t="s">
        <v>251</v>
      </c>
      <c r="H88" t="s">
        <v>266</v>
      </c>
      <c r="I88" t="s">
        <v>266</v>
      </c>
      <c r="J88" t="s">
        <v>17</v>
      </c>
      <c r="K88">
        <v>100</v>
      </c>
      <c r="L88">
        <v>145</v>
      </c>
      <c r="O88" s="1" t="str">
        <f>VLOOKUP(C88,[1]Sheet2!$C:$N,3,FALSE)</f>
        <v>Q351792</v>
      </c>
      <c r="P88" s="1" t="str">
        <f>VLOOKUP(C88,[1]Sheet2!$C:$N,11,FALSE)</f>
        <v>ok</v>
      </c>
      <c r="Q88" s="2" t="str">
        <f>VLOOKUP(C88,[2]Wikidata_upec_chemical_20!$C:$U,3,FALSE)</f>
        <v>Q351792</v>
      </c>
      <c r="R88" s="2" t="str">
        <f>VLOOKUP(C88,[2]Wikidata_upec_chemical_20!$C:$U,17,FALSE)</f>
        <v>ok</v>
      </c>
      <c r="S88" s="2" t="str">
        <f>VLOOKUP(C88,[2]Wikidata_upec_chemical_20!$C:$U,15,FALSE)</f>
        <v/>
      </c>
      <c r="T88" s="3" t="str">
        <f t="shared" si="4"/>
        <v>Q11781028</v>
      </c>
      <c r="U88" s="3" t="str">
        <f t="shared" si="5"/>
        <v>ok</v>
      </c>
      <c r="V88" s="5" t="str">
        <f t="shared" si="7"/>
        <v>Mod</v>
      </c>
      <c r="W88" t="s">
        <v>250</v>
      </c>
      <c r="X88" t="s">
        <v>251</v>
      </c>
      <c r="Y88" s="3" t="str">
        <f t="shared" si="6"/>
        <v/>
      </c>
    </row>
    <row r="89" spans="1:25" x14ac:dyDescent="0.3">
      <c r="A89">
        <v>1087358</v>
      </c>
      <c r="B89" t="s">
        <v>163</v>
      </c>
      <c r="C89" t="s">
        <v>164</v>
      </c>
      <c r="H89" t="s">
        <v>16</v>
      </c>
      <c r="I89" t="s">
        <v>16</v>
      </c>
      <c r="J89" t="s">
        <v>17</v>
      </c>
      <c r="K89">
        <v>0</v>
      </c>
      <c r="L89">
        <v>0</v>
      </c>
      <c r="O89" s="1">
        <f>VLOOKUP(C89,[1]Sheet2!$C:$N,3,FALSE)</f>
        <v>0</v>
      </c>
      <c r="P89" s="1" t="str">
        <f>VLOOKUP(C89,[1]Sheet2!$C:$N,11,FALSE)</f>
        <v>ok</v>
      </c>
      <c r="Q89" s="2">
        <f>VLOOKUP(C89,[2]Wikidata_upec_chemical_20!$C:$U,3,FALSE)</f>
        <v>0</v>
      </c>
      <c r="R89" s="2" t="str">
        <f>VLOOKUP(C89,[2]Wikidata_upec_chemical_20!$C:$U,17,FALSE)</f>
        <v>ok</v>
      </c>
      <c r="S89" s="2" t="str">
        <f>VLOOKUP(C89,[2]Wikidata_upec_chemical_20!$C:$U,15,FALSE)</f>
        <v/>
      </c>
      <c r="T89" s="3">
        <f t="shared" si="4"/>
        <v>0</v>
      </c>
      <c r="U89" s="3" t="str">
        <f t="shared" si="5"/>
        <v>ok</v>
      </c>
      <c r="V89" s="3" t="str">
        <f t="shared" si="7"/>
        <v/>
      </c>
      <c r="W89">
        <v>0</v>
      </c>
      <c r="X89">
        <v>0</v>
      </c>
      <c r="Y89" s="3" t="str">
        <f t="shared" si="6"/>
        <v/>
      </c>
    </row>
    <row r="90" spans="1:25" x14ac:dyDescent="0.3">
      <c r="A90">
        <v>1087358</v>
      </c>
      <c r="B90" t="s">
        <v>163</v>
      </c>
      <c r="C90" t="s">
        <v>165</v>
      </c>
      <c r="D90" t="s">
        <v>252</v>
      </c>
      <c r="E90" t="s">
        <v>253</v>
      </c>
      <c r="H90" t="s">
        <v>266</v>
      </c>
      <c r="I90" t="s">
        <v>266</v>
      </c>
      <c r="J90" t="s">
        <v>17</v>
      </c>
      <c r="K90">
        <v>100</v>
      </c>
      <c r="L90">
        <v>132.6</v>
      </c>
      <c r="O90" s="1">
        <f>VLOOKUP(C90,[1]Sheet2!$C:$N,3,FALSE)</f>
        <v>0</v>
      </c>
      <c r="P90" s="1" t="str">
        <f>VLOOKUP(C90,[1]Sheet2!$C:$N,11,FALSE)</f>
        <v>ok</v>
      </c>
      <c r="Q90" s="2">
        <f>VLOOKUP(C90,[2]Wikidata_upec_chemical_20!$C:$U,3,FALSE)</f>
        <v>0</v>
      </c>
      <c r="R90" s="2" t="str">
        <f>VLOOKUP(C90,[2]Wikidata_upec_chemical_20!$C:$U,17,FALSE)</f>
        <v>ok</v>
      </c>
      <c r="S90" s="2" t="str">
        <f>VLOOKUP(C90,[2]Wikidata_upec_chemical_20!$C:$U,15,FALSE)</f>
        <v/>
      </c>
      <c r="T90" s="3" t="str">
        <f t="shared" si="4"/>
        <v>Q1570979</v>
      </c>
      <c r="U90" s="3" t="str">
        <f t="shared" si="5"/>
        <v>ok</v>
      </c>
      <c r="V90" s="5" t="str">
        <f t="shared" si="7"/>
        <v>Mod</v>
      </c>
      <c r="W90" t="s">
        <v>252</v>
      </c>
      <c r="X90" t="s">
        <v>253</v>
      </c>
      <c r="Y90" s="3" t="str">
        <f t="shared" si="6"/>
        <v/>
      </c>
    </row>
    <row r="91" spans="1:25" x14ac:dyDescent="0.3">
      <c r="A91">
        <v>1087358</v>
      </c>
      <c r="B91" t="s">
        <v>163</v>
      </c>
      <c r="C91" t="s">
        <v>166</v>
      </c>
      <c r="H91" t="s">
        <v>16</v>
      </c>
      <c r="I91" t="s">
        <v>16</v>
      </c>
      <c r="J91" t="s">
        <v>17</v>
      </c>
      <c r="K91">
        <v>0</v>
      </c>
      <c r="L91">
        <v>0</v>
      </c>
      <c r="O91" s="1">
        <f>VLOOKUP(C91,[1]Sheet2!$C:$N,3,FALSE)</f>
        <v>0</v>
      </c>
      <c r="P91" s="1" t="str">
        <f>VLOOKUP(C91,[1]Sheet2!$C:$N,11,FALSE)</f>
        <v>ok</v>
      </c>
      <c r="Q91" s="2">
        <f>VLOOKUP(C91,[2]Wikidata_upec_chemical_20!$C:$U,3,FALSE)</f>
        <v>0</v>
      </c>
      <c r="R91" s="2" t="str">
        <f>VLOOKUP(C91,[2]Wikidata_upec_chemical_20!$C:$U,17,FALSE)</f>
        <v>ok</v>
      </c>
      <c r="S91" s="2" t="str">
        <f>VLOOKUP(C91,[2]Wikidata_upec_chemical_20!$C:$U,15,FALSE)</f>
        <v/>
      </c>
      <c r="T91" s="3">
        <f t="shared" si="4"/>
        <v>0</v>
      </c>
      <c r="U91" s="3" t="str">
        <f t="shared" si="5"/>
        <v>ok</v>
      </c>
      <c r="V91" s="3" t="str">
        <f t="shared" si="7"/>
        <v/>
      </c>
      <c r="W91">
        <v>0</v>
      </c>
      <c r="X91">
        <v>0</v>
      </c>
      <c r="Y91" s="3" t="str">
        <f t="shared" si="6"/>
        <v/>
      </c>
    </row>
    <row r="92" spans="1:25" x14ac:dyDescent="0.3">
      <c r="A92">
        <v>1087358</v>
      </c>
      <c r="B92" t="s">
        <v>163</v>
      </c>
      <c r="C92" t="s">
        <v>167</v>
      </c>
      <c r="H92" t="s">
        <v>16</v>
      </c>
      <c r="I92" t="s">
        <v>16</v>
      </c>
      <c r="J92" t="s">
        <v>17</v>
      </c>
      <c r="K92">
        <v>0</v>
      </c>
      <c r="L92">
        <v>0</v>
      </c>
      <c r="O92" s="1">
        <f>VLOOKUP(C92,[1]Sheet2!$C:$N,3,FALSE)</f>
        <v>0</v>
      </c>
      <c r="P92" s="1" t="str">
        <f>VLOOKUP(C92,[1]Sheet2!$C:$N,11,FALSE)</f>
        <v>ok</v>
      </c>
      <c r="Q92" s="2">
        <f>VLOOKUP(C92,[2]Wikidata_upec_chemical_20!$C:$U,3,FALSE)</f>
        <v>0</v>
      </c>
      <c r="R92" s="2" t="str">
        <f>VLOOKUP(C92,[2]Wikidata_upec_chemical_20!$C:$U,17,FALSE)</f>
        <v>ok</v>
      </c>
      <c r="S92" s="2" t="str">
        <f>VLOOKUP(C92,[2]Wikidata_upec_chemical_20!$C:$U,15,FALSE)</f>
        <v/>
      </c>
      <c r="T92" s="3">
        <f t="shared" si="4"/>
        <v>0</v>
      </c>
      <c r="U92" s="3" t="str">
        <f t="shared" si="5"/>
        <v>ok</v>
      </c>
      <c r="V92" s="3" t="str">
        <f t="shared" si="7"/>
        <v/>
      </c>
      <c r="W92">
        <v>0</v>
      </c>
      <c r="X92">
        <v>0</v>
      </c>
      <c r="Y92" s="3" t="str">
        <f t="shared" si="6"/>
        <v/>
      </c>
    </row>
    <row r="93" spans="1:25" x14ac:dyDescent="0.3">
      <c r="A93">
        <v>1087358</v>
      </c>
      <c r="B93" t="s">
        <v>163</v>
      </c>
      <c r="C93" t="s">
        <v>168</v>
      </c>
      <c r="D93" t="s">
        <v>254</v>
      </c>
      <c r="E93" t="s">
        <v>255</v>
      </c>
      <c r="H93" t="s">
        <v>266</v>
      </c>
      <c r="I93" t="s">
        <v>266</v>
      </c>
      <c r="J93" t="s">
        <v>17</v>
      </c>
      <c r="K93">
        <v>100</v>
      </c>
      <c r="L93">
        <v>137.30000000000001</v>
      </c>
      <c r="M93" t="s">
        <v>130</v>
      </c>
      <c r="N93" t="s">
        <v>131</v>
      </c>
      <c r="O93" s="1" t="str">
        <f>VLOOKUP(C93,[1]Sheet2!$C:$N,3,FALSE)</f>
        <v>Q710706</v>
      </c>
      <c r="P93" s="1" t="str">
        <f>VLOOKUP(C93,[1]Sheet2!$C:$N,11,FALSE)</f>
        <v>Wrong</v>
      </c>
      <c r="Q93" s="2" t="str">
        <f>VLOOKUP(C93,[2]Wikidata_upec_chemical_20!$C:$U,3,FALSE)</f>
        <v>Q710706</v>
      </c>
      <c r="R93" s="2" t="str">
        <f>VLOOKUP(C93,[2]Wikidata_upec_chemical_20!$C:$U,17,FALSE)</f>
        <v>Wrong</v>
      </c>
      <c r="S93" s="2" t="str">
        <f>VLOOKUP(C93,[2]Wikidata_upec_chemical_20!$C:$U,15,FALSE)</f>
        <v/>
      </c>
      <c r="T93" s="3" t="str">
        <f t="shared" si="4"/>
        <v>Q185006</v>
      </c>
      <c r="U93" s="3" t="str">
        <f t="shared" si="5"/>
        <v>Wrong</v>
      </c>
      <c r="V93" s="5" t="str">
        <f t="shared" si="7"/>
        <v>Mod</v>
      </c>
      <c r="W93" t="s">
        <v>254</v>
      </c>
      <c r="X93" t="s">
        <v>255</v>
      </c>
      <c r="Y93" s="3" t="str">
        <f t="shared" si="6"/>
        <v/>
      </c>
    </row>
    <row r="94" spans="1:25" x14ac:dyDescent="0.3">
      <c r="A94">
        <v>1087358</v>
      </c>
      <c r="B94" t="s">
        <v>163</v>
      </c>
      <c r="C94" t="s">
        <v>169</v>
      </c>
      <c r="D94" t="s">
        <v>254</v>
      </c>
      <c r="E94" t="s">
        <v>255</v>
      </c>
      <c r="H94" t="s">
        <v>266</v>
      </c>
      <c r="I94" t="s">
        <v>266</v>
      </c>
      <c r="J94" t="s">
        <v>17</v>
      </c>
      <c r="K94">
        <v>100</v>
      </c>
      <c r="L94">
        <v>113.7</v>
      </c>
      <c r="M94" t="s">
        <v>130</v>
      </c>
      <c r="N94" t="s">
        <v>131</v>
      </c>
      <c r="O94" s="1">
        <f>VLOOKUP(C94,[1]Sheet2!$C:$N,3,FALSE)</f>
        <v>0</v>
      </c>
      <c r="P94" s="1" t="str">
        <f>VLOOKUP(C94,[1]Sheet2!$C:$N,11,FALSE)</f>
        <v>ok</v>
      </c>
      <c r="Q94" s="2">
        <f>VLOOKUP(C94,[2]Wikidata_upec_chemical_20!$C:$U,3,FALSE)</f>
        <v>0</v>
      </c>
      <c r="R94" s="2" t="str">
        <f>VLOOKUP(C94,[2]Wikidata_upec_chemical_20!$C:$U,17,FALSE)</f>
        <v>ok</v>
      </c>
      <c r="S94" s="2" t="str">
        <f>VLOOKUP(C94,[2]Wikidata_upec_chemical_20!$C:$U,15,FALSE)</f>
        <v/>
      </c>
      <c r="T94" s="3" t="str">
        <f t="shared" si="4"/>
        <v>Q185006</v>
      </c>
      <c r="U94" s="3" t="str">
        <f t="shared" si="5"/>
        <v>ok</v>
      </c>
      <c r="V94" s="5" t="str">
        <f t="shared" si="7"/>
        <v>Mod</v>
      </c>
      <c r="W94" t="s">
        <v>254</v>
      </c>
      <c r="X94" t="s">
        <v>255</v>
      </c>
      <c r="Y94" s="3" t="str">
        <f t="shared" si="6"/>
        <v/>
      </c>
    </row>
    <row r="95" spans="1:25" x14ac:dyDescent="0.3">
      <c r="A95">
        <v>1088019</v>
      </c>
      <c r="B95" t="s">
        <v>170</v>
      </c>
      <c r="C95" t="s">
        <v>171</v>
      </c>
      <c r="H95" t="s">
        <v>16</v>
      </c>
      <c r="I95" t="s">
        <v>16</v>
      </c>
      <c r="J95" t="s">
        <v>17</v>
      </c>
      <c r="K95">
        <v>0</v>
      </c>
      <c r="L95">
        <v>0</v>
      </c>
      <c r="O95" s="1">
        <f>VLOOKUP(C95,[1]Sheet2!$C:$N,3,FALSE)</f>
        <v>0</v>
      </c>
      <c r="P95" s="1" t="str">
        <f>VLOOKUP(C95,[1]Sheet2!$C:$N,11,FALSE)</f>
        <v>ok</v>
      </c>
      <c r="Q95" s="2">
        <f>VLOOKUP(C95,[2]Wikidata_upec_chemical_20!$C:$U,3,FALSE)</f>
        <v>0</v>
      </c>
      <c r="R95" s="2" t="str">
        <f>VLOOKUP(C95,[2]Wikidata_upec_chemical_20!$C:$U,17,FALSE)</f>
        <v>ok</v>
      </c>
      <c r="S95" s="2" t="str">
        <f>VLOOKUP(C95,[2]Wikidata_upec_chemical_20!$C:$U,15,FALSE)</f>
        <v/>
      </c>
      <c r="T95" s="3">
        <f t="shared" si="4"/>
        <v>0</v>
      </c>
      <c r="U95" s="3" t="str">
        <f t="shared" si="5"/>
        <v>ok</v>
      </c>
      <c r="V95" s="3" t="str">
        <f t="shared" si="7"/>
        <v/>
      </c>
      <c r="W95">
        <v>0</v>
      </c>
      <c r="X95">
        <v>0</v>
      </c>
      <c r="Y95" s="3" t="str">
        <f t="shared" si="6"/>
        <v/>
      </c>
    </row>
    <row r="96" spans="1:25" x14ac:dyDescent="0.3">
      <c r="A96">
        <v>1088019</v>
      </c>
      <c r="B96" t="s">
        <v>170</v>
      </c>
      <c r="C96" t="s">
        <v>172</v>
      </c>
      <c r="H96" t="s">
        <v>16</v>
      </c>
      <c r="I96" t="s">
        <v>16</v>
      </c>
      <c r="J96" t="s">
        <v>17</v>
      </c>
      <c r="K96">
        <v>0</v>
      </c>
      <c r="L96">
        <v>0</v>
      </c>
      <c r="O96" s="1">
        <f>VLOOKUP(C96,[1]Sheet2!$C:$N,3,FALSE)</f>
        <v>0</v>
      </c>
      <c r="P96" s="1" t="str">
        <f>VLOOKUP(C96,[1]Sheet2!$C:$N,11,FALSE)</f>
        <v>ok</v>
      </c>
      <c r="Q96" s="2">
        <f>VLOOKUP(C96,[2]Wikidata_upec_chemical_20!$C:$U,3,FALSE)</f>
        <v>0</v>
      </c>
      <c r="R96" s="2" t="str">
        <f>VLOOKUP(C96,[2]Wikidata_upec_chemical_20!$C:$U,17,FALSE)</f>
        <v>ok</v>
      </c>
      <c r="S96" s="2" t="str">
        <f>VLOOKUP(C96,[2]Wikidata_upec_chemical_20!$C:$U,15,FALSE)</f>
        <v/>
      </c>
      <c r="T96" s="3">
        <f t="shared" si="4"/>
        <v>0</v>
      </c>
      <c r="U96" s="3" t="str">
        <f t="shared" si="5"/>
        <v>ok</v>
      </c>
      <c r="V96" s="3" t="str">
        <f t="shared" si="7"/>
        <v/>
      </c>
      <c r="W96">
        <v>0</v>
      </c>
      <c r="X96">
        <v>0</v>
      </c>
      <c r="Y96" s="3" t="str">
        <f t="shared" si="6"/>
        <v/>
      </c>
    </row>
    <row r="97" spans="1:25" x14ac:dyDescent="0.3">
      <c r="A97">
        <v>1088019</v>
      </c>
      <c r="B97" t="s">
        <v>170</v>
      </c>
      <c r="C97" t="s">
        <v>173</v>
      </c>
      <c r="D97" t="s">
        <v>256</v>
      </c>
      <c r="E97" t="s">
        <v>257</v>
      </c>
      <c r="F97" t="s">
        <v>258</v>
      </c>
      <c r="H97" t="s">
        <v>21</v>
      </c>
      <c r="I97" t="s">
        <v>21</v>
      </c>
      <c r="J97" t="s">
        <v>17</v>
      </c>
      <c r="K97">
        <v>85</v>
      </c>
      <c r="L97">
        <v>182.9</v>
      </c>
      <c r="O97" s="1">
        <f>VLOOKUP(C97,[1]Sheet2!$C:$N,3,FALSE)</f>
        <v>0</v>
      </c>
      <c r="P97" s="1" t="str">
        <f>VLOOKUP(C97,[1]Sheet2!$C:$N,11,FALSE)</f>
        <v>ok</v>
      </c>
      <c r="Q97" s="2">
        <f>VLOOKUP(C97,[2]Wikidata_upec_chemical_20!$C:$U,3,FALSE)</f>
        <v>0</v>
      </c>
      <c r="R97" s="2" t="str">
        <f>VLOOKUP(C97,[2]Wikidata_upec_chemical_20!$C:$U,17,FALSE)</f>
        <v>ok</v>
      </c>
      <c r="S97" s="2" t="str">
        <f>VLOOKUP(C97,[2]Wikidata_upec_chemical_20!$C:$U,15,FALSE)</f>
        <v/>
      </c>
      <c r="T97" s="3" t="str">
        <f t="shared" si="4"/>
        <v>Q5725005</v>
      </c>
      <c r="U97" s="3" t="str">
        <f t="shared" si="5"/>
        <v>ok</v>
      </c>
      <c r="V97" s="5" t="str">
        <f t="shared" si="7"/>
        <v>Mod</v>
      </c>
      <c r="W97" t="s">
        <v>256</v>
      </c>
      <c r="X97" t="s">
        <v>257</v>
      </c>
      <c r="Y97" s="3" t="str">
        <f t="shared" si="6"/>
        <v/>
      </c>
    </row>
    <row r="98" spans="1:25" x14ac:dyDescent="0.3">
      <c r="A98">
        <v>1088019</v>
      </c>
      <c r="B98" t="s">
        <v>170</v>
      </c>
      <c r="C98" t="s">
        <v>174</v>
      </c>
      <c r="H98" t="s">
        <v>16</v>
      </c>
      <c r="I98" t="s">
        <v>16</v>
      </c>
      <c r="J98" t="s">
        <v>17</v>
      </c>
      <c r="K98">
        <v>0</v>
      </c>
      <c r="L98">
        <v>0</v>
      </c>
      <c r="O98" s="1">
        <f>VLOOKUP(C98,[1]Sheet2!$C:$N,3,FALSE)</f>
        <v>0</v>
      </c>
      <c r="P98" s="1" t="str">
        <f>VLOOKUP(C98,[1]Sheet2!$C:$N,11,FALSE)</f>
        <v>ok</v>
      </c>
      <c r="Q98" s="2">
        <f>VLOOKUP(C98,[2]Wikidata_upec_chemical_20!$C:$U,3,FALSE)</f>
        <v>0</v>
      </c>
      <c r="R98" s="2" t="str">
        <f>VLOOKUP(C98,[2]Wikidata_upec_chemical_20!$C:$U,17,FALSE)</f>
        <v>ok</v>
      </c>
      <c r="S98" s="2" t="str">
        <f>VLOOKUP(C98,[2]Wikidata_upec_chemical_20!$C:$U,15,FALSE)</f>
        <v/>
      </c>
      <c r="T98" s="3">
        <f t="shared" si="4"/>
        <v>0</v>
      </c>
      <c r="U98" s="3" t="str">
        <f t="shared" si="5"/>
        <v>ok</v>
      </c>
      <c r="V98" s="3" t="str">
        <f t="shared" si="7"/>
        <v/>
      </c>
      <c r="W98">
        <v>0</v>
      </c>
      <c r="X98">
        <v>0</v>
      </c>
      <c r="Y98" s="3" t="str">
        <f t="shared" si="6"/>
        <v/>
      </c>
    </row>
    <row r="99" spans="1:25" x14ac:dyDescent="0.3">
      <c r="A99">
        <v>1088019</v>
      </c>
      <c r="B99" t="s">
        <v>170</v>
      </c>
      <c r="C99" t="s">
        <v>175</v>
      </c>
      <c r="D99" t="s">
        <v>176</v>
      </c>
      <c r="E99" t="s">
        <v>177</v>
      </c>
      <c r="H99" t="s">
        <v>266</v>
      </c>
      <c r="I99" t="s">
        <v>266</v>
      </c>
      <c r="J99" t="s">
        <v>17</v>
      </c>
      <c r="K99">
        <v>100</v>
      </c>
      <c r="L99">
        <v>131.9</v>
      </c>
      <c r="O99" s="1" t="str">
        <f>VLOOKUP(C99,[1]Sheet2!$C:$N,3,FALSE)</f>
        <v>Q1778729</v>
      </c>
      <c r="P99" s="1" t="str">
        <f>VLOOKUP(C99,[1]Sheet2!$C:$N,11,FALSE)</f>
        <v>ok</v>
      </c>
      <c r="Q99" s="2" t="str">
        <f>VLOOKUP(C99,[2]Wikidata_upec_chemical_20!$C:$U,3,FALSE)</f>
        <v>Q1778729</v>
      </c>
      <c r="R99" s="2" t="str">
        <f>VLOOKUP(C99,[2]Wikidata_upec_chemical_20!$C:$U,17,FALSE)</f>
        <v>ok</v>
      </c>
      <c r="S99" s="2" t="str">
        <f>VLOOKUP(C99,[2]Wikidata_upec_chemical_20!$C:$U,15,FALSE)</f>
        <v/>
      </c>
      <c r="T99" s="3" t="str">
        <f t="shared" si="4"/>
        <v>Q1778729</v>
      </c>
      <c r="U99" s="3" t="str">
        <f t="shared" si="5"/>
        <v>ok</v>
      </c>
      <c r="V99" s="3" t="str">
        <f t="shared" si="7"/>
        <v/>
      </c>
      <c r="W99" t="s">
        <v>176</v>
      </c>
      <c r="X99" t="s">
        <v>177</v>
      </c>
      <c r="Y99" s="3" t="str">
        <f t="shared" si="6"/>
        <v/>
      </c>
    </row>
    <row r="100" spans="1:25" x14ac:dyDescent="0.3">
      <c r="A100">
        <v>1088019</v>
      </c>
      <c r="B100" t="s">
        <v>170</v>
      </c>
      <c r="C100" t="s">
        <v>178</v>
      </c>
      <c r="D100" t="s">
        <v>179</v>
      </c>
      <c r="E100" t="s">
        <v>180</v>
      </c>
      <c r="F100">
        <v>119328276</v>
      </c>
      <c r="H100" t="s">
        <v>266</v>
      </c>
      <c r="I100" t="s">
        <v>266</v>
      </c>
      <c r="J100" t="s">
        <v>17</v>
      </c>
      <c r="K100">
        <v>100</v>
      </c>
      <c r="L100">
        <v>124.7</v>
      </c>
      <c r="M100" t="s">
        <v>181</v>
      </c>
      <c r="N100" t="s">
        <v>182</v>
      </c>
      <c r="O100" s="1" t="str">
        <f>VLOOKUP(C100,[1]Sheet2!$C:$N,3,FALSE)</f>
        <v>Q3395619</v>
      </c>
      <c r="P100" s="1" t="str">
        <f>VLOOKUP(C100,[1]Sheet2!$C:$N,11,FALSE)</f>
        <v>Wrong</v>
      </c>
      <c r="Q100" s="2" t="str">
        <f>VLOOKUP(C100,[2]Wikidata_upec_chemical_20!$C:$U,3,FALSE)</f>
        <v>Q81163</v>
      </c>
      <c r="R100" s="2" t="str">
        <f>VLOOKUP(C100,[2]Wikidata_upec_chemical_20!$C:$U,17,FALSE)</f>
        <v>ok</v>
      </c>
      <c r="S100" s="2" t="str">
        <f>VLOOKUP(C100,[2]Wikidata_upec_chemical_20!$C:$U,15,FALSE)</f>
        <v>Mod</v>
      </c>
      <c r="T100" s="3" t="str">
        <f t="shared" si="4"/>
        <v>Q81163</v>
      </c>
      <c r="U100" s="3" t="str">
        <f t="shared" si="5"/>
        <v>ok</v>
      </c>
      <c r="V100" s="3" t="str">
        <f t="shared" si="7"/>
        <v/>
      </c>
      <c r="W100" t="s">
        <v>179</v>
      </c>
      <c r="X100" t="s">
        <v>180</v>
      </c>
      <c r="Y100" s="3" t="str">
        <f t="shared" si="6"/>
        <v/>
      </c>
    </row>
    <row r="101" spans="1:25" x14ac:dyDescent="0.3">
      <c r="A101">
        <v>1088019</v>
      </c>
      <c r="B101" t="s">
        <v>170</v>
      </c>
      <c r="C101" t="s">
        <v>183</v>
      </c>
      <c r="D101" t="s">
        <v>259</v>
      </c>
      <c r="E101" t="s">
        <v>260</v>
      </c>
      <c r="H101" t="s">
        <v>21</v>
      </c>
      <c r="I101" t="s">
        <v>21</v>
      </c>
      <c r="J101" t="s">
        <v>17</v>
      </c>
      <c r="K101">
        <v>94.7</v>
      </c>
      <c r="L101">
        <v>93.2</v>
      </c>
      <c r="O101" s="1" t="str">
        <f>VLOOKUP(C101,[1]Sheet2!$C:$N,3,FALSE)</f>
        <v>Q66539734</v>
      </c>
      <c r="P101" s="1" t="str">
        <f>VLOOKUP(C101,[1]Sheet2!$C:$N,11,FALSE)</f>
        <v>Wrong</v>
      </c>
      <c r="Q101" s="2">
        <f>VLOOKUP(C101,[2]Wikidata_upec_chemical_20!$C:$U,3,FALSE)</f>
        <v>0</v>
      </c>
      <c r="R101" s="2" t="str">
        <f>VLOOKUP(C101,[2]Wikidata_upec_chemical_20!$C:$U,17,FALSE)</f>
        <v>ok</v>
      </c>
      <c r="S101" s="2" t="str">
        <f>VLOOKUP(C101,[2]Wikidata_upec_chemical_20!$C:$U,15,FALSE)</f>
        <v>Mod</v>
      </c>
      <c r="T101" s="3" t="str">
        <f t="shared" si="4"/>
        <v>Q17853087</v>
      </c>
      <c r="U101" s="3" t="str">
        <f t="shared" si="5"/>
        <v>ok</v>
      </c>
      <c r="V101" s="5" t="str">
        <f t="shared" si="7"/>
        <v>Mod</v>
      </c>
      <c r="W101" t="s">
        <v>259</v>
      </c>
      <c r="X101" t="s">
        <v>260</v>
      </c>
      <c r="Y101" s="3" t="str">
        <f t="shared" si="6"/>
        <v/>
      </c>
    </row>
    <row r="102" spans="1:25" x14ac:dyDescent="0.3">
      <c r="A102">
        <v>1088019</v>
      </c>
      <c r="B102" t="s">
        <v>170</v>
      </c>
      <c r="C102" t="s">
        <v>184</v>
      </c>
      <c r="D102" t="s">
        <v>261</v>
      </c>
      <c r="E102" t="s">
        <v>262</v>
      </c>
      <c r="F102" t="s">
        <v>263</v>
      </c>
      <c r="H102" t="s">
        <v>21</v>
      </c>
      <c r="I102" t="s">
        <v>21</v>
      </c>
      <c r="J102" t="s">
        <v>17</v>
      </c>
      <c r="K102">
        <v>92.3</v>
      </c>
      <c r="L102">
        <v>102.6</v>
      </c>
      <c r="M102" t="s">
        <v>264</v>
      </c>
      <c r="N102" t="s">
        <v>265</v>
      </c>
      <c r="O102" s="1" t="str">
        <f>VLOOKUP(C102,[1]Sheet2!$C:$N,3,FALSE)</f>
        <v>Q12055133</v>
      </c>
      <c r="P102" s="1" t="str">
        <f>VLOOKUP(C102,[1]Sheet2!$C:$N,11,FALSE)</f>
        <v>Wrong</v>
      </c>
      <c r="Q102" s="2" t="str">
        <f>VLOOKUP(C102,[2]Wikidata_upec_chemical_20!$C:$U,3,FALSE)</f>
        <v>Q12055133</v>
      </c>
      <c r="R102" s="2" t="str">
        <f>VLOOKUP(C102,[2]Wikidata_upec_chemical_20!$C:$U,17,FALSE)</f>
        <v>Wrong</v>
      </c>
      <c r="S102" s="2" t="str">
        <f>VLOOKUP(C102,[2]Wikidata_upec_chemical_20!$C:$U,15,FALSE)</f>
        <v/>
      </c>
      <c r="T102" s="3" t="str">
        <f t="shared" si="4"/>
        <v>Q10874</v>
      </c>
      <c r="U102" s="3" t="str">
        <f t="shared" si="5"/>
        <v>Wrong</v>
      </c>
      <c r="V102" s="5" t="str">
        <f t="shared" si="7"/>
        <v>Mod</v>
      </c>
      <c r="W102" t="s">
        <v>261</v>
      </c>
      <c r="X102" t="s">
        <v>262</v>
      </c>
      <c r="Y102" s="3" t="str">
        <f t="shared" si="6"/>
        <v/>
      </c>
    </row>
    <row r="103" spans="1:25" x14ac:dyDescent="0.3">
      <c r="A103">
        <v>1088019</v>
      </c>
      <c r="B103" t="s">
        <v>170</v>
      </c>
      <c r="C103" t="s">
        <v>185</v>
      </c>
      <c r="D103" t="s">
        <v>186</v>
      </c>
      <c r="E103" t="s">
        <v>187</v>
      </c>
      <c r="F103" t="s">
        <v>188</v>
      </c>
      <c r="H103" t="s">
        <v>266</v>
      </c>
      <c r="I103" t="s">
        <v>266</v>
      </c>
      <c r="J103" t="s">
        <v>17</v>
      </c>
      <c r="K103">
        <v>100</v>
      </c>
      <c r="L103">
        <v>231.9</v>
      </c>
      <c r="O103" s="1" t="str">
        <f>VLOOKUP(C103,[1]Sheet2!$C:$N,3,FALSE)</f>
        <v>Q61231</v>
      </c>
      <c r="P103" s="1" t="str">
        <f>VLOOKUP(C103,[1]Sheet2!$C:$N,11,FALSE)</f>
        <v>ok</v>
      </c>
      <c r="Q103" s="2" t="str">
        <f>VLOOKUP(C103,[2]Wikidata_upec_chemical_20!$C:$U,3,FALSE)</f>
        <v>Q61231</v>
      </c>
      <c r="R103" s="2" t="str">
        <f>VLOOKUP(C103,[2]Wikidata_upec_chemical_20!$C:$U,17,FALSE)</f>
        <v>ok</v>
      </c>
      <c r="S103" s="2" t="str">
        <f>VLOOKUP(C103,[2]Wikidata_upec_chemical_20!$C:$U,15,FALSE)</f>
        <v/>
      </c>
      <c r="T103" s="3" t="str">
        <f t="shared" si="4"/>
        <v>Q61231</v>
      </c>
      <c r="U103" s="3" t="str">
        <f t="shared" si="5"/>
        <v>ok</v>
      </c>
      <c r="V103" s="3" t="str">
        <f t="shared" si="7"/>
        <v/>
      </c>
      <c r="W103" t="s">
        <v>186</v>
      </c>
      <c r="X103" t="s">
        <v>187</v>
      </c>
      <c r="Y103" s="3" t="str">
        <f t="shared" si="6"/>
        <v/>
      </c>
    </row>
    <row r="104" spans="1:25" x14ac:dyDescent="0.3">
      <c r="A104">
        <v>1088019</v>
      </c>
      <c r="B104" t="s">
        <v>170</v>
      </c>
      <c r="C104" t="s">
        <v>189</v>
      </c>
      <c r="D104" t="s">
        <v>190</v>
      </c>
      <c r="E104" t="s">
        <v>191</v>
      </c>
      <c r="F104">
        <v>119788740</v>
      </c>
      <c r="H104" t="s">
        <v>266</v>
      </c>
      <c r="I104" t="s">
        <v>266</v>
      </c>
      <c r="J104" t="s">
        <v>17</v>
      </c>
      <c r="K104">
        <v>100</v>
      </c>
      <c r="L104">
        <v>167.6</v>
      </c>
      <c r="O104" s="1" t="str">
        <f>VLOOKUP(C104,[1]Sheet2!$C:$N,3,FALSE)</f>
        <v>Q284256</v>
      </c>
      <c r="P104" s="1" t="str">
        <f>VLOOKUP(C104,[1]Sheet2!$C:$N,11,FALSE)</f>
        <v>ok</v>
      </c>
      <c r="Q104" s="2" t="str">
        <f>VLOOKUP(C104,[2]Wikidata_upec_chemical_20!$C:$U,3,FALSE)</f>
        <v>Q284256</v>
      </c>
      <c r="R104" s="2" t="str">
        <f>VLOOKUP(C104,[2]Wikidata_upec_chemical_20!$C:$U,17,FALSE)</f>
        <v>ok</v>
      </c>
      <c r="S104" s="2" t="str">
        <f>VLOOKUP(C104,[2]Wikidata_upec_chemical_20!$C:$U,15,FALSE)</f>
        <v/>
      </c>
      <c r="T104" s="3" t="str">
        <f t="shared" si="4"/>
        <v>Q284256</v>
      </c>
      <c r="U104" s="3" t="str">
        <f t="shared" si="5"/>
        <v>ok</v>
      </c>
      <c r="V104" s="3" t="str">
        <f t="shared" si="7"/>
        <v/>
      </c>
      <c r="W104" t="s">
        <v>190</v>
      </c>
      <c r="X104" t="s">
        <v>191</v>
      </c>
      <c r="Y104" s="3" t="str">
        <f t="shared" si="6"/>
        <v/>
      </c>
    </row>
    <row r="106" spans="1:25" x14ac:dyDescent="0.3">
      <c r="P106">
        <f>COUNTIF(P2:P104,"Wrong")</f>
        <v>26</v>
      </c>
      <c r="R106">
        <f>COUNTIF(R2:R104,"Wrong")</f>
        <v>14</v>
      </c>
      <c r="U106">
        <f>COUNTIF(U2:U104,"Wrong")</f>
        <v>14</v>
      </c>
    </row>
  </sheetData>
  <autoFilter ref="A1:V104" xr:uid="{76B0F430-0357-4ED2-80C0-C755800CD5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Wikidata_upec_chemical_20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2025-11-06T23:32:22Z</dcterms:created>
  <dcterms:modified xsi:type="dcterms:W3CDTF">2025-11-07T10:09:24Z</dcterms:modified>
</cp:coreProperties>
</file>