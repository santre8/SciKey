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EA9553FD-E754-4F53-9427-FFF8DCAC13EB}" xr6:coauthVersionLast="47" xr6:coauthVersionMax="47" xr10:uidLastSave="{00000000-0000-0000-0000-000000000000}"/>
  <bookViews>
    <workbookView xWindow="-108" yWindow="-108" windowWidth="23256" windowHeight="12456" xr2:uid="{7CE82651-D189-4583-9CC8-EB750387BE3D}"/>
  </bookViews>
  <sheets>
    <sheet name="Wikidata_upec_chemical_20" sheetId="1" r:id="rId1"/>
    <sheet name="Wikidata_upec_civil_20" sheetId="4" r:id="rId2"/>
    <sheet name="Wikidata_upec_civil_20_part2" sheetId="5" r:id="rId3"/>
    <sheet name="Sheet1" sheetId="2" r:id="rId4"/>
    <sheet name="Summary" sheetId="3" r:id="rId5"/>
  </sheets>
  <definedNames>
    <definedName name="_xlnm._FilterDatabase" localSheetId="4" hidden="1">Summary!$A$1:$L$1</definedName>
    <definedName name="_xlnm._FilterDatabase" localSheetId="0" hidden="1">Wikidata_upec_chemical_20!$A$1:$Q$371</definedName>
    <definedName name="_xlnm._FilterDatabase" localSheetId="1" hidden="1">Wikidata_upec_civil_20!$T$1:$T$389</definedName>
    <definedName name="_xlnm._FilterDatabase" localSheetId="2" hidden="1">Wikidata_upec_civil_20_part2!$A$1:$AF$764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E4" i="3"/>
  <c r="F4" i="3"/>
  <c r="G4" i="3"/>
  <c r="H4" i="3"/>
  <c r="I4" i="3"/>
  <c r="J4" i="3"/>
  <c r="K4" i="3"/>
  <c r="L4" i="3"/>
  <c r="C4" i="3"/>
  <c r="AF12" i="5"/>
  <c r="AE12" i="5"/>
  <c r="AD12" i="5"/>
  <c r="AC12" i="5"/>
  <c r="AB12" i="5" a="1"/>
  <c r="AB12" i="5" s="1"/>
  <c r="AA12" i="5" a="1"/>
  <c r="AA12" i="5" s="1"/>
  <c r="Y12" i="5" a="1"/>
  <c r="Y12" i="5" s="1"/>
  <c r="Z12" i="5" a="1"/>
  <c r="Z12" i="5" s="1"/>
  <c r="Y7" i="4" a="1"/>
  <c r="Y7" i="4" s="1"/>
  <c r="E3" i="3" s="1"/>
  <c r="W12" i="5" a="1"/>
  <c r="W12" i="5" s="1"/>
  <c r="X12" i="5" a="1"/>
  <c r="X12" i="5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L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V45" i="5" l="1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K3" i="3" s="1"/>
  <c r="G3" i="3"/>
  <c r="Z7" i="4" a="1"/>
  <c r="Z7" i="4" s="1"/>
  <c r="AC7" i="4"/>
  <c r="I3" i="3" s="1"/>
  <c r="H1" i="2"/>
  <c r="C2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AD7" i="4" l="1"/>
  <c r="J3" i="3" s="1"/>
  <c r="H4" i="2"/>
  <c r="F2" i="3" s="1"/>
  <c r="J2" i="3" s="1"/>
  <c r="H3" i="2"/>
  <c r="E2" i="3" s="1"/>
  <c r="I2" i="3" s="1"/>
  <c r="H5" i="2"/>
  <c r="H6" i="2"/>
  <c r="I5" i="2" l="1"/>
  <c r="G2" i="3"/>
  <c r="K2" i="3" s="1"/>
  <c r="I6" i="2"/>
  <c r="H2" i="3"/>
  <c r="L2" i="3" s="1"/>
  <c r="I3" i="2"/>
  <c r="I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<sst xmlns="http://schemas.openxmlformats.org/spreadsheetml/2006/main" count="14482" uniqueCount="1826">
  <si>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</si>
  <si>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</si>
  <si>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</si>
  <si>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</si>
  <si>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</si>
  <si>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</si>
  <si>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</si>
  <si>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</si>
  <si>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</si>
  <si>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</si>
  <si>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</si>
  <si>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</si>
  <si>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</si>
  <si>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</si>
  <si>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</si>
  <si>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</si>
  <si>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</si>
  <si>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</si>
  <si>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</si>
  <si>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</si>
  <si>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</si>
  <si>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</si>
  <si>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</si>
  <si>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</si>
  <si>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</si>
  <si>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</si>
  <si>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</si>
  <si>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</si>
  <si>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</si>
  <si>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</si>
  <si>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</si>
  <si>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</si>
  <si>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</si>
  <si>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</si>
  <si>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</si>
  <si>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</si>
  <si>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</si>
  <si>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</si>
  <si>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</si>
  <si>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</si>
  <si>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</si>
  <si>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</si>
  <si>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</si>
  <si>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</si>
  <si>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</si>
  <si>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</si>
  <si>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</si>
  <si>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</si>
  <si>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</si>
  <si>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</si>
  <si>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</si>
  <si>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</si>
  <si>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</si>
  <si>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</si>
  <si>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</si>
  <si>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</si>
  <si>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</si>
  <si>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</si>
  <si>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</si>
  <si>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</si>
  <si>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</si>
  <si>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</si>
  <si>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</si>
  <si>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</si>
  <si>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</si>
  <si>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</si>
  <si>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</si>
  <si>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</si>
  <si>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</si>
  <si>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</si>
  <si>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</si>
  <si>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</si>
  <si>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</si>
  <si>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</si>
  <si>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</si>
  <si>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</si>
  <si>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</si>
  <si>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</si>
  <si>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</si>
  <si>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</si>
  <si>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</si>
  <si>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</si>
  <si>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</si>
  <si>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</si>
  <si>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</si>
  <si>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</si>
  <si>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</si>
  <si>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</si>
  <si>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</si>
  <si>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</si>
  <si>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</si>
  <si>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</si>
  <si>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</si>
  <si>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</si>
  <si>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</si>
  <si>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</si>
  <si>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</si>
  <si>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</si>
  <si>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</si>
  <si>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</si>
  <si>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</si>
  <si>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</si>
  <si>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</si>
  <si>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</si>
  <si>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</si>
  <si>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</si>
  <si>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</si>
  <si>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</si>
  <si>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</si>
  <si>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</si>
  <si>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</si>
  <si>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</si>
  <si>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</si>
  <si>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</si>
  <si>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</si>
  <si>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</si>
  <si>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</si>
  <si>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</si>
  <si>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</si>
  <si>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</si>
  <si>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</si>
  <si>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</si>
  <si>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</si>
  <si>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</si>
  <si>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</si>
  <si>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</si>
  <si>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</si>
  <si>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</si>
  <si>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</si>
  <si>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</si>
  <si>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</si>
  <si>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</si>
  <si>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</si>
  <si>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</si>
  <si>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</si>
  <si>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</si>
  <si>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</si>
  <si>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</si>
  <si>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</si>
  <si>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</si>
  <si>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</si>
  <si>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</si>
  <si>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</si>
  <si>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</si>
  <si>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</si>
  <si>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</si>
  <si>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</si>
  <si>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</si>
  <si>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</si>
  <si>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</si>
  <si>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</si>
  <si>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</si>
  <si>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</si>
  <si>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</si>
  <si>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</si>
  <si>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</si>
  <si>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</si>
  <si>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</si>
  <si>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</si>
  <si>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</si>
  <si>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</si>
  <si>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</si>
  <si>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</si>
  <si>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</si>
  <si>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</si>
  <si>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</si>
  <si>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</si>
  <si>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</si>
  <si>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</si>
  <si>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</si>
  <si>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</si>
  <si>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</si>
  <si>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</si>
  <si>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</si>
  <si>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</si>
  <si>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</si>
  <si>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</si>
  <si>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</si>
  <si>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</si>
  <si>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</si>
  <si>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</si>
  <si>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</si>
  <si>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</si>
  <si>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</si>
  <si>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</si>
  <si>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</si>
  <si>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</si>
  <si>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</si>
  <si>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</si>
  <si>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</si>
  <si>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</si>
  <si>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</si>
  <si>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</si>
  <si>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</si>
  <si>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</si>
  <si>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</si>
  <si>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</si>
  <si>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</si>
  <si>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</si>
  <si>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</si>
  <si>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</si>
  <si>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</si>
  <si>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</si>
  <si>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</si>
  <si>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</si>
  <si>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</si>
  <si>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</si>
  <si>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</si>
  <si>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</si>
  <si>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</si>
  <si>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</si>
  <si>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</si>
  <si>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</si>
  <si>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</si>
  <si>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</si>
  <si>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</si>
  <si>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</si>
  <si>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</si>
  <si>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</si>
  <si>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</si>
  <si>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</si>
  <si>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</si>
  <si>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</si>
  <si>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</si>
  <si>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</si>
  <si>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</si>
  <si>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</si>
  <si>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</si>
  <si>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</si>
  <si>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</si>
  <si>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</si>
  <si>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</si>
  <si>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</si>
  <si>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</si>
  <si>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</si>
  <si>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</si>
  <si>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</si>
  <si>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</si>
  <si>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</si>
  <si>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</si>
  <si>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</si>
  <si>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</si>
  <si>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</si>
  <si>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</si>
  <si>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</si>
  <si>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</si>
  <si>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</si>
  <si>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</si>
  <si>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</si>
  <si>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</si>
  <si>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</si>
  <si>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</si>
  <si>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</si>
  <si>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</si>
  <si>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</si>
  <si>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</si>
  <si>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</si>
  <si>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</si>
  <si>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</si>
  <si>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</si>
  <si>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</si>
  <si>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</si>
  <si>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</si>
  <si>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</si>
  <si>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</si>
  <si>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</si>
  <si>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</si>
  <si>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</si>
  <si>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</si>
  <si>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</si>
  <si>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</si>
  <si>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</si>
  <si>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</si>
  <si>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</si>
  <si>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</si>
  <si>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</si>
  <si>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</si>
  <si>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</si>
  <si>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</si>
  <si>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</si>
  <si>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</si>
  <si>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</si>
  <si>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</si>
  <si>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</si>
  <si>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</si>
  <si>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</si>
  <si>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</si>
  <si>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</si>
  <si>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</si>
  <si>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</si>
  <si>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</si>
  <si>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</si>
  <si>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</si>
  <si>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</si>
  <si>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</si>
  <si>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</si>
  <si>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</si>
  <si>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</si>
  <si>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</si>
  <si>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</si>
  <si>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</si>
  <si>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</si>
  <si>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</si>
  <si>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</si>
  <si>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</si>
  <si>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</si>
  <si>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</si>
  <si>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</si>
  <si>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</si>
  <si>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</si>
  <si>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</si>
  <si>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</si>
  <si>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</si>
  <si>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</si>
  <si>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</si>
  <si>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</si>
  <si>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</si>
  <si>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</si>
  <si>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</si>
  <si>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</si>
  <si>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</si>
  <si>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</si>
  <si>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</si>
  <si>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</si>
  <si>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</si>
  <si>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</si>
  <si>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</si>
  <si>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</si>
  <si>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</si>
  <si>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</si>
  <si>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</si>
  <si>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</si>
  <si>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</si>
  <si>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</si>
  <si>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</si>
  <si>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</si>
  <si>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</si>
  <si>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</si>
  <si>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</si>
  <si>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</si>
  <si>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</si>
  <si>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</si>
  <si>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</si>
  <si>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</si>
  <si>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</si>
  <si>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</si>
  <si>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</si>
  <si>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</si>
  <si>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</si>
  <si>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</si>
  <si>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</si>
  <si>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</si>
  <si>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</si>
  <si>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</si>
  <si>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</si>
  <si>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</si>
  <si>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</si>
  <si>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</si>
  <si>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</si>
  <si>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</si>
  <si>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</si>
  <si>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</si>
  <si>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</si>
  <si>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</si>
  <si>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</si>
  <si>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</si>
  <si>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</si>
  <si>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</si>
  <si>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</si>
  <si>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</si>
  <si>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</si>
  <si>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</si>
  <si>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</si>
  <si>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</si>
  <si>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</si>
  <si>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</si>
  <si>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</si>
  <si>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</si>
  <si>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</si>
  <si>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</si>
  <si>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</si>
  <si>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</si>
  <si>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</si>
  <si>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</si>
  <si>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</si>
  <si>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</si>
  <si>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</si>
  <si>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</si>
  <si>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</si>
  <si>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</si>
  <si>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</si>
  <si>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</si>
  <si>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</si>
  <si>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</si>
  <si>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</si>
  <si>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</si>
  <si>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</si>
  <si>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</si>
  <si>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</si>
  <si>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</si>
  <si>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</si>
  <si>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</si>
  <si>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</si>
  <si>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</si>
  <si>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</si>
  <si>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</si>
  <si>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</si>
  <si>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</si>
  <si>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</si>
  <si>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</si>
  <si>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</si>
  <si>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</si>
  <si>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</si>
  <si>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</si>
  <si>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</si>
  <si>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</si>
  <si>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</si>
  <si>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</si>
  <si>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</si>
  <si>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</si>
  <si>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</si>
  <si>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</si>
  <si>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</si>
  <si>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</si>
  <si>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</si>
  <si>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</si>
  <si>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</si>
  <si>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</si>
  <si>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</si>
  <si>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</si>
  <si>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</si>
  <si>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</si>
  <si>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</si>
  <si>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</si>
  <si>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</si>
  <si>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</si>
  <si>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</si>
  <si>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</si>
  <si>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</si>
  <si>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</si>
  <si>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</si>
  <si>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</si>
  <si>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</si>
  <si>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</si>
  <si>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</si>
  <si>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</si>
  <si>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</si>
  <si>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</si>
  <si>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</si>
  <si>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</si>
  <si>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</si>
  <si>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</si>
  <si>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</si>
  <si>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</si>
  <si>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</si>
  <si>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</si>
  <si>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</si>
  <si>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</si>
  <si>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</si>
  <si>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</si>
  <si>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</si>
  <si>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</si>
  <si>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</si>
  <si>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</si>
  <si>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</si>
  <si>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</si>
  <si>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</si>
  <si>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</si>
  <si>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</si>
  <si>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</si>
  <si>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</si>
  <si>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</si>
  <si>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</si>
  <si>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</si>
  <si>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</si>
  <si>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</si>
  <si>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</si>
  <si>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</si>
  <si>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</si>
  <si>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</si>
  <si>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</si>
  <si>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</si>
  <si>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</si>
  <si>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</si>
  <si>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</si>
  <si>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</si>
  <si>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</si>
  <si>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</si>
  <si>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</si>
  <si>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</si>
  <si>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</si>
  <si>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</si>
  <si>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</si>
  <si>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</si>
  <si>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</si>
  <si>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</si>
  <si>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</si>
  <si>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</si>
  <si>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</si>
  <si>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</si>
  <si>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</si>
  <si>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</si>
  <si>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</si>
  <si>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</si>
  <si>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</si>
  <si>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</si>
  <si>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</si>
  <si>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</si>
  <si>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</si>
  <si>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</si>
  <si>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</si>
  <si>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</si>
  <si>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</si>
  <si>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</si>
  <si>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</si>
  <si>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</si>
  <si>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</si>
  <si>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</si>
  <si>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</si>
  <si>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</si>
  <si>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</si>
  <si>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</si>
  <si>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</si>
  <si>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</si>
  <si>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</si>
  <si>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</si>
  <si>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</si>
  <si>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</si>
  <si>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</si>
  <si>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</si>
  <si>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</si>
  <si>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</si>
  <si>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</si>
  <si>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</si>
  <si>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</si>
  <si>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</si>
  <si>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</si>
  <si>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</si>
  <si>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</si>
  <si>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</si>
  <si>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</si>
  <si>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</si>
  <si>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</si>
  <si>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</si>
  <si>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</si>
  <si>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</si>
  <si>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</si>
  <si>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</si>
  <si>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</si>
  <si>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</si>
  <si>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</si>
  <si>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</si>
  <si>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</si>
  <si>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Carmen</t>
  </si>
  <si>
    <t>Sallay</t>
  </si>
  <si>
    <t>Bernard</t>
  </si>
  <si>
    <t>Trizzia</t>
  </si>
  <si>
    <t>Diego</t>
  </si>
  <si>
    <t>King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</si>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</sst>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0" fillId="40" borderId="0" xfId="0" applyFill="1"/>
    <xf numFmtId="10" fontId="0" fillId="0" borderId="0" xfId="0" applyNumberFormat="1" applyAlignment="1">
      <alignment horizontal="center" vertical="top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tabSelected="1" topLeftCell="D79" workbookViewId="0">
      <selection activeCell="H180" sqref="H180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s="24" t="s">
        <v>1825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s="24" t="s">
        <v>1825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521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521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N1" workbookViewId="0">
      <selection activeCell="Y7" sqref="Y7:Z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561</v>
      </c>
      <c r="S1" t="s">
        <v>562</v>
      </c>
      <c r="T1" t="s">
        <v>563</v>
      </c>
    </row>
    <row r="2" spans="1:32" x14ac:dyDescent="0.3">
      <c r="A2">
        <v>1002652</v>
      </c>
      <c r="B2" t="s">
        <v>564</v>
      </c>
      <c r="C2" t="s">
        <v>565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566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564</v>
      </c>
      <c r="C3" t="s">
        <v>567</v>
      </c>
      <c r="D3" t="s">
        <v>568</v>
      </c>
      <c r="E3" t="s">
        <v>569</v>
      </c>
      <c r="G3" t="s">
        <v>570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564</v>
      </c>
      <c r="C4" t="s">
        <v>567</v>
      </c>
      <c r="D4" t="s">
        <v>568</v>
      </c>
      <c r="E4" t="s">
        <v>569</v>
      </c>
      <c r="G4" t="s">
        <v>571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564</v>
      </c>
      <c r="C5" t="s">
        <v>567</v>
      </c>
      <c r="D5" t="s">
        <v>568</v>
      </c>
      <c r="E5" t="s">
        <v>569</v>
      </c>
      <c r="G5" t="s">
        <v>572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564</v>
      </c>
      <c r="C6" t="s">
        <v>567</v>
      </c>
      <c r="D6" t="s">
        <v>568</v>
      </c>
      <c r="E6" t="s">
        <v>569</v>
      </c>
      <c r="G6" t="s">
        <v>573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560</v>
      </c>
      <c r="V6" s="5" t="s">
        <v>559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564</v>
      </c>
      <c r="C7" t="s">
        <v>567</v>
      </c>
      <c r="D7" t="s">
        <v>568</v>
      </c>
      <c r="E7" t="s">
        <v>569</v>
      </c>
      <c r="G7" t="s">
        <v>574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554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564</v>
      </c>
      <c r="C8" t="s">
        <v>567</v>
      </c>
      <c r="D8" t="s">
        <v>568</v>
      </c>
      <c r="E8" t="s">
        <v>569</v>
      </c>
      <c r="G8" t="s">
        <v>575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564</v>
      </c>
      <c r="C9" t="s">
        <v>567</v>
      </c>
      <c r="D9" t="s">
        <v>568</v>
      </c>
      <c r="E9" t="s">
        <v>569</v>
      </c>
      <c r="G9" t="s">
        <v>576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564</v>
      </c>
      <c r="C10" t="s">
        <v>567</v>
      </c>
      <c r="D10" t="s">
        <v>568</v>
      </c>
      <c r="E10" t="s">
        <v>569</v>
      </c>
      <c r="G10" t="s">
        <v>577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564</v>
      </c>
      <c r="C11" t="s">
        <v>567</v>
      </c>
      <c r="D11" t="s">
        <v>568</v>
      </c>
      <c r="E11" t="s">
        <v>569</v>
      </c>
      <c r="G11" t="s">
        <v>578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564</v>
      </c>
      <c r="C12" t="s">
        <v>567</v>
      </c>
      <c r="D12" t="s">
        <v>568</v>
      </c>
      <c r="E12" t="s">
        <v>569</v>
      </c>
      <c r="G12" t="s">
        <v>579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564</v>
      </c>
      <c r="C13" t="s">
        <v>567</v>
      </c>
      <c r="D13" t="s">
        <v>568</v>
      </c>
      <c r="E13" t="s">
        <v>569</v>
      </c>
      <c r="G13" t="s">
        <v>580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564</v>
      </c>
      <c r="C14" t="s">
        <v>567</v>
      </c>
      <c r="D14" t="s">
        <v>568</v>
      </c>
      <c r="E14" t="s">
        <v>569</v>
      </c>
      <c r="G14" t="s">
        <v>581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564</v>
      </c>
      <c r="C15" t="s">
        <v>567</v>
      </c>
      <c r="D15" t="s">
        <v>568</v>
      </c>
      <c r="E15" t="s">
        <v>569</v>
      </c>
      <c r="G15" t="s">
        <v>582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564</v>
      </c>
      <c r="C16" t="s">
        <v>567</v>
      </c>
      <c r="D16" t="s">
        <v>568</v>
      </c>
      <c r="E16" t="s">
        <v>569</v>
      </c>
      <c r="G16" t="s">
        <v>583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564</v>
      </c>
      <c r="C17" t="s">
        <v>567</v>
      </c>
      <c r="D17" t="s">
        <v>568</v>
      </c>
      <c r="E17" t="s">
        <v>569</v>
      </c>
      <c r="G17" t="s">
        <v>584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564</v>
      </c>
      <c r="C18" t="s">
        <v>567</v>
      </c>
      <c r="D18" t="s">
        <v>568</v>
      </c>
      <c r="E18" t="s">
        <v>569</v>
      </c>
      <c r="G18" t="s">
        <v>585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564</v>
      </c>
      <c r="C19" t="s">
        <v>567</v>
      </c>
      <c r="D19" t="s">
        <v>568</v>
      </c>
      <c r="E19" t="s">
        <v>569</v>
      </c>
      <c r="G19" t="s">
        <v>586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564</v>
      </c>
      <c r="C20" t="s">
        <v>567</v>
      </c>
      <c r="D20" t="s">
        <v>568</v>
      </c>
      <c r="E20" t="s">
        <v>569</v>
      </c>
      <c r="G20" t="s">
        <v>587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564</v>
      </c>
      <c r="C21" t="s">
        <v>567</v>
      </c>
      <c r="D21" t="s">
        <v>568</v>
      </c>
      <c r="E21" t="s">
        <v>569</v>
      </c>
      <c r="G21" t="s">
        <v>588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564</v>
      </c>
      <c r="C22" t="s">
        <v>567</v>
      </c>
      <c r="D22" t="s">
        <v>568</v>
      </c>
      <c r="E22" t="s">
        <v>569</v>
      </c>
      <c r="G22" t="s">
        <v>589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564</v>
      </c>
      <c r="C23" t="s">
        <v>590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564</v>
      </c>
      <c r="C24" t="s">
        <v>591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592</v>
      </c>
      <c r="C25" t="s">
        <v>593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592</v>
      </c>
      <c r="C26" t="s">
        <v>594</v>
      </c>
      <c r="D26" t="s">
        <v>595</v>
      </c>
      <c r="E26" t="s">
        <v>596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597</v>
      </c>
      <c r="Q26" t="s">
        <v>598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592</v>
      </c>
      <c r="C27" t="s">
        <v>599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592</v>
      </c>
      <c r="C28" t="s">
        <v>600</v>
      </c>
      <c r="D28" t="s">
        <v>601</v>
      </c>
      <c r="E28" t="s">
        <v>602</v>
      </c>
      <c r="G28" t="s">
        <v>603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592</v>
      </c>
      <c r="C29" t="s">
        <v>600</v>
      </c>
      <c r="D29" t="s">
        <v>601</v>
      </c>
      <c r="E29" t="s">
        <v>602</v>
      </c>
      <c r="G29" t="s">
        <v>604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592</v>
      </c>
      <c r="C30" t="s">
        <v>600</v>
      </c>
      <c r="D30" t="s">
        <v>601</v>
      </c>
      <c r="E30" t="s">
        <v>602</v>
      </c>
      <c r="G30" t="s">
        <v>605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592</v>
      </c>
      <c r="C31" t="s">
        <v>600</v>
      </c>
      <c r="D31" t="s">
        <v>601</v>
      </c>
      <c r="E31" t="s">
        <v>602</v>
      </c>
      <c r="G31" t="s">
        <v>606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592</v>
      </c>
      <c r="C32" t="s">
        <v>600</v>
      </c>
      <c r="D32" t="s">
        <v>601</v>
      </c>
      <c r="E32" t="s">
        <v>602</v>
      </c>
      <c r="G32" t="s">
        <v>607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592</v>
      </c>
      <c r="C33" t="s">
        <v>600</v>
      </c>
      <c r="D33" t="s">
        <v>601</v>
      </c>
      <c r="E33" t="s">
        <v>602</v>
      </c>
      <c r="G33" t="s">
        <v>608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592</v>
      </c>
      <c r="C34" t="s">
        <v>600</v>
      </c>
      <c r="D34" t="s">
        <v>601</v>
      </c>
      <c r="E34" t="s">
        <v>602</v>
      </c>
      <c r="G34" t="s">
        <v>609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592</v>
      </c>
      <c r="C35" t="s">
        <v>600</v>
      </c>
      <c r="D35" t="s">
        <v>601</v>
      </c>
      <c r="E35" t="s">
        <v>602</v>
      </c>
      <c r="G35" t="s">
        <v>610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592</v>
      </c>
      <c r="C36" t="s">
        <v>600</v>
      </c>
      <c r="D36" t="s">
        <v>601</v>
      </c>
      <c r="E36" t="s">
        <v>602</v>
      </c>
      <c r="G36" t="s">
        <v>611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592</v>
      </c>
      <c r="C37" t="s">
        <v>600</v>
      </c>
      <c r="D37" t="s">
        <v>601</v>
      </c>
      <c r="E37" t="s">
        <v>602</v>
      </c>
      <c r="G37" t="s">
        <v>612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592</v>
      </c>
      <c r="C38" t="s">
        <v>600</v>
      </c>
      <c r="D38" t="s">
        <v>601</v>
      </c>
      <c r="E38" t="s">
        <v>602</v>
      </c>
      <c r="G38" t="s">
        <v>613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592</v>
      </c>
      <c r="C39" t="s">
        <v>600</v>
      </c>
      <c r="D39" t="s">
        <v>601</v>
      </c>
      <c r="E39" t="s">
        <v>602</v>
      </c>
      <c r="G39" t="s">
        <v>614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592</v>
      </c>
      <c r="C40" t="s">
        <v>600</v>
      </c>
      <c r="D40" t="s">
        <v>601</v>
      </c>
      <c r="E40" t="s">
        <v>602</v>
      </c>
      <c r="G40" t="s">
        <v>615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592</v>
      </c>
      <c r="C41" t="s">
        <v>600</v>
      </c>
      <c r="D41" t="s">
        <v>601</v>
      </c>
      <c r="E41" t="s">
        <v>602</v>
      </c>
      <c r="G41" t="s">
        <v>616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592</v>
      </c>
      <c r="C42" t="s">
        <v>600</v>
      </c>
      <c r="D42" t="s">
        <v>601</v>
      </c>
      <c r="E42" t="s">
        <v>602</v>
      </c>
      <c r="G42" t="s">
        <v>617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592</v>
      </c>
      <c r="C43" t="s">
        <v>600</v>
      </c>
      <c r="D43" t="s">
        <v>601</v>
      </c>
      <c r="E43" t="s">
        <v>602</v>
      </c>
      <c r="G43" t="s">
        <v>618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592</v>
      </c>
      <c r="C44" t="s">
        <v>600</v>
      </c>
      <c r="D44" t="s">
        <v>601</v>
      </c>
      <c r="E44" t="s">
        <v>602</v>
      </c>
      <c r="G44" t="s">
        <v>619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592</v>
      </c>
      <c r="C45" t="s">
        <v>600</v>
      </c>
      <c r="D45" t="s">
        <v>601</v>
      </c>
      <c r="E45" t="s">
        <v>602</v>
      </c>
      <c r="G45" t="s">
        <v>620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621</v>
      </c>
      <c r="C46" t="s">
        <v>622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621</v>
      </c>
      <c r="C47" t="s">
        <v>623</v>
      </c>
      <c r="D47" t="s">
        <v>624</v>
      </c>
      <c r="E47" t="s">
        <v>625</v>
      </c>
      <c r="G47" t="s">
        <v>626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627</v>
      </c>
      <c r="N47" t="s">
        <v>628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621</v>
      </c>
      <c r="C48" t="s">
        <v>623</v>
      </c>
      <c r="D48" t="s">
        <v>624</v>
      </c>
      <c r="E48" t="s">
        <v>625</v>
      </c>
      <c r="G48" t="s">
        <v>629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627</v>
      </c>
      <c r="N48" t="s">
        <v>628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621</v>
      </c>
      <c r="C49" t="s">
        <v>623</v>
      </c>
      <c r="D49" t="s">
        <v>624</v>
      </c>
      <c r="E49" t="s">
        <v>625</v>
      </c>
      <c r="G49" t="s">
        <v>630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627</v>
      </c>
      <c r="N49" t="s">
        <v>628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621</v>
      </c>
      <c r="C50" t="s">
        <v>623</v>
      </c>
      <c r="D50" t="s">
        <v>624</v>
      </c>
      <c r="E50" t="s">
        <v>625</v>
      </c>
      <c r="G50" t="s">
        <v>631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627</v>
      </c>
      <c r="N50" t="s">
        <v>628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621</v>
      </c>
      <c r="C51" t="s">
        <v>632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621</v>
      </c>
      <c r="C52" t="s">
        <v>633</v>
      </c>
      <c r="D52" t="s">
        <v>634</v>
      </c>
      <c r="E52" t="s">
        <v>635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636</v>
      </c>
      <c r="N52" t="s">
        <v>637</v>
      </c>
      <c r="O52" s="14"/>
      <c r="Q52" t="s">
        <v>638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639</v>
      </c>
      <c r="C53" t="s">
        <v>640</v>
      </c>
      <c r="D53" t="s">
        <v>640</v>
      </c>
      <c r="E53" t="s">
        <v>641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598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639</v>
      </c>
      <c r="C54" t="s">
        <v>642</v>
      </c>
      <c r="D54" t="s">
        <v>643</v>
      </c>
      <c r="E54" t="s">
        <v>644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645</v>
      </c>
      <c r="Q54" t="s">
        <v>598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639</v>
      </c>
      <c r="C55" t="s">
        <v>646</v>
      </c>
      <c r="D55" t="s">
        <v>646</v>
      </c>
      <c r="E55" t="s">
        <v>647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648</v>
      </c>
      <c r="Q55" t="s">
        <v>598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639</v>
      </c>
      <c r="C56" t="s">
        <v>649</v>
      </c>
      <c r="D56" t="s">
        <v>649</v>
      </c>
      <c r="E56" t="s">
        <v>650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651</v>
      </c>
      <c r="N56" t="s">
        <v>652</v>
      </c>
      <c r="O56" s="14"/>
      <c r="Q56" t="s">
        <v>598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639</v>
      </c>
      <c r="C57" t="s">
        <v>653</v>
      </c>
      <c r="D57" t="s">
        <v>653</v>
      </c>
      <c r="E57" t="s">
        <v>654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655</v>
      </c>
      <c r="N57" t="s">
        <v>656</v>
      </c>
      <c r="O57" s="14"/>
      <c r="P57" t="s">
        <v>657</v>
      </c>
      <c r="Q57" t="s">
        <v>598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658</v>
      </c>
      <c r="C58" t="s">
        <v>659</v>
      </c>
      <c r="D58" t="s">
        <v>659</v>
      </c>
      <c r="E58" t="s">
        <v>660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661</v>
      </c>
      <c r="Q58" t="s">
        <v>598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658</v>
      </c>
      <c r="C59" t="s">
        <v>662</v>
      </c>
      <c r="D59" t="s">
        <v>663</v>
      </c>
      <c r="E59" t="s">
        <v>664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665</v>
      </c>
      <c r="N59" t="s">
        <v>666</v>
      </c>
      <c r="O59" s="14"/>
      <c r="P59" t="s">
        <v>667</v>
      </c>
      <c r="Q59" t="s">
        <v>598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658</v>
      </c>
      <c r="C60" t="s">
        <v>668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658</v>
      </c>
      <c r="C61" t="s">
        <v>669</v>
      </c>
      <c r="D61" t="s">
        <v>670</v>
      </c>
      <c r="E61" t="s">
        <v>671</v>
      </c>
      <c r="G61" t="s">
        <v>672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673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658</v>
      </c>
      <c r="C62" t="s">
        <v>669</v>
      </c>
      <c r="D62" t="s">
        <v>670</v>
      </c>
      <c r="E62" t="s">
        <v>671</v>
      </c>
      <c r="G62" t="s">
        <v>674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658</v>
      </c>
      <c r="C63" t="s">
        <v>669</v>
      </c>
      <c r="D63" t="s">
        <v>670</v>
      </c>
      <c r="E63" t="s">
        <v>671</v>
      </c>
      <c r="G63" t="s">
        <v>675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658</v>
      </c>
      <c r="C64" t="s">
        <v>669</v>
      </c>
      <c r="D64" t="s">
        <v>670</v>
      </c>
      <c r="E64" t="s">
        <v>671</v>
      </c>
      <c r="G64" t="s">
        <v>676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658</v>
      </c>
      <c r="C65" t="s">
        <v>677</v>
      </c>
      <c r="D65" t="s">
        <v>677</v>
      </c>
      <c r="E65" t="s">
        <v>678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679</v>
      </c>
      <c r="N65" t="s">
        <v>680</v>
      </c>
      <c r="O65" s="14"/>
      <c r="Q65" t="s">
        <v>638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658</v>
      </c>
      <c r="C66" t="s">
        <v>681</v>
      </c>
      <c r="D66" t="s">
        <v>681</v>
      </c>
      <c r="E66" t="s">
        <v>682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657</v>
      </c>
      <c r="Q66" t="s">
        <v>598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658</v>
      </c>
      <c r="C67" t="s">
        <v>683</v>
      </c>
      <c r="D67" t="s">
        <v>527</v>
      </c>
      <c r="E67" t="s">
        <v>684</v>
      </c>
      <c r="G67" t="s">
        <v>685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658</v>
      </c>
      <c r="C68" t="s">
        <v>683</v>
      </c>
      <c r="D68" t="s">
        <v>527</v>
      </c>
      <c r="E68" t="s">
        <v>684</v>
      </c>
      <c r="G68" t="s">
        <v>686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658</v>
      </c>
      <c r="C69" t="s">
        <v>683</v>
      </c>
      <c r="D69" t="s">
        <v>527</v>
      </c>
      <c r="E69" t="s">
        <v>684</v>
      </c>
      <c r="G69" t="s">
        <v>687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658</v>
      </c>
      <c r="C70" t="s">
        <v>683</v>
      </c>
      <c r="D70" t="s">
        <v>527</v>
      </c>
      <c r="E70" t="s">
        <v>684</v>
      </c>
      <c r="G70" t="s">
        <v>688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658</v>
      </c>
      <c r="C71" t="s">
        <v>683</v>
      </c>
      <c r="D71" t="s">
        <v>527</v>
      </c>
      <c r="E71" t="s">
        <v>684</v>
      </c>
      <c r="G71" t="s">
        <v>689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658</v>
      </c>
      <c r="C72" t="s">
        <v>683</v>
      </c>
      <c r="D72" t="s">
        <v>527</v>
      </c>
      <c r="E72" t="s">
        <v>684</v>
      </c>
      <c r="G72" t="s">
        <v>690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658</v>
      </c>
      <c r="C73" t="s">
        <v>683</v>
      </c>
      <c r="D73" t="s">
        <v>527</v>
      </c>
      <c r="E73" t="s">
        <v>684</v>
      </c>
      <c r="G73" t="s">
        <v>691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692</v>
      </c>
      <c r="C74" t="s">
        <v>693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692</v>
      </c>
      <c r="C75" t="s">
        <v>694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692</v>
      </c>
      <c r="C76" t="s">
        <v>695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692</v>
      </c>
      <c r="C77" t="s">
        <v>696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692</v>
      </c>
      <c r="C78" t="s">
        <v>697</v>
      </c>
      <c r="D78" t="s">
        <v>698</v>
      </c>
      <c r="E78" t="s">
        <v>699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700</v>
      </c>
      <c r="N78" t="s">
        <v>701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702</v>
      </c>
      <c r="C79" t="s">
        <v>703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702</v>
      </c>
      <c r="C80" t="s">
        <v>704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702</v>
      </c>
      <c r="C81" t="s">
        <v>705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702</v>
      </c>
      <c r="C82" t="s">
        <v>706</v>
      </c>
      <c r="D82" t="s">
        <v>706</v>
      </c>
      <c r="E82" t="s">
        <v>707</v>
      </c>
      <c r="F82" s="17" t="s">
        <v>708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709</v>
      </c>
      <c r="N82" t="s">
        <v>710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702</v>
      </c>
      <c r="C83" t="s">
        <v>711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702</v>
      </c>
      <c r="C84" t="s">
        <v>712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702</v>
      </c>
      <c r="C85" t="s">
        <v>713</v>
      </c>
      <c r="D85" t="s">
        <v>714</v>
      </c>
      <c r="E85" t="s">
        <v>715</v>
      </c>
      <c r="G85" t="s">
        <v>716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702</v>
      </c>
      <c r="C86" t="s">
        <v>713</v>
      </c>
      <c r="D86" t="s">
        <v>714</v>
      </c>
      <c r="E86" t="s">
        <v>715</v>
      </c>
      <c r="G86" t="s">
        <v>717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702</v>
      </c>
      <c r="C87" t="s">
        <v>713</v>
      </c>
      <c r="D87" t="s">
        <v>714</v>
      </c>
      <c r="E87" t="s">
        <v>715</v>
      </c>
      <c r="G87" t="s">
        <v>718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702</v>
      </c>
      <c r="C88" t="s">
        <v>713</v>
      </c>
      <c r="D88" t="s">
        <v>714</v>
      </c>
      <c r="E88" t="s">
        <v>715</v>
      </c>
      <c r="G88" t="s">
        <v>719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702</v>
      </c>
      <c r="C89" t="s">
        <v>713</v>
      </c>
      <c r="D89" t="s">
        <v>714</v>
      </c>
      <c r="E89" t="s">
        <v>715</v>
      </c>
      <c r="G89" t="s">
        <v>720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721</v>
      </c>
      <c r="C90" t="s">
        <v>722</v>
      </c>
      <c r="D90" t="s">
        <v>723</v>
      </c>
      <c r="E90" t="s">
        <v>724</v>
      </c>
      <c r="G90" t="s">
        <v>725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721</v>
      </c>
      <c r="C91" t="s">
        <v>722</v>
      </c>
      <c r="D91" t="s">
        <v>723</v>
      </c>
      <c r="E91" t="s">
        <v>724</v>
      </c>
      <c r="G91" t="s">
        <v>726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721</v>
      </c>
      <c r="C92" t="s">
        <v>722</v>
      </c>
      <c r="D92" t="s">
        <v>723</v>
      </c>
      <c r="E92" t="s">
        <v>724</v>
      </c>
      <c r="G92" t="s">
        <v>727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721</v>
      </c>
      <c r="C93" t="s">
        <v>722</v>
      </c>
      <c r="D93" t="s">
        <v>723</v>
      </c>
      <c r="E93" t="s">
        <v>724</v>
      </c>
      <c r="G93" t="s">
        <v>728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721</v>
      </c>
      <c r="C94" t="s">
        <v>722</v>
      </c>
      <c r="D94" t="s">
        <v>723</v>
      </c>
      <c r="E94" t="s">
        <v>724</v>
      </c>
      <c r="G94" t="s">
        <v>729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721</v>
      </c>
      <c r="C95" t="s">
        <v>722</v>
      </c>
      <c r="D95" t="s">
        <v>723</v>
      </c>
      <c r="E95" t="s">
        <v>724</v>
      </c>
      <c r="G95" t="s">
        <v>730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721</v>
      </c>
      <c r="C96" t="s">
        <v>722</v>
      </c>
      <c r="D96" t="s">
        <v>723</v>
      </c>
      <c r="E96" t="s">
        <v>724</v>
      </c>
      <c r="G96" t="s">
        <v>731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721</v>
      </c>
      <c r="C97" t="s">
        <v>722</v>
      </c>
      <c r="D97" t="s">
        <v>723</v>
      </c>
      <c r="E97" t="s">
        <v>724</v>
      </c>
      <c r="G97" t="s">
        <v>732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721</v>
      </c>
      <c r="C98" t="s">
        <v>722</v>
      </c>
      <c r="D98" t="s">
        <v>723</v>
      </c>
      <c r="E98" t="s">
        <v>724</v>
      </c>
      <c r="G98" t="s">
        <v>733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721</v>
      </c>
      <c r="C99" t="s">
        <v>722</v>
      </c>
      <c r="D99" t="s">
        <v>723</v>
      </c>
      <c r="E99" t="s">
        <v>724</v>
      </c>
      <c r="G99" t="s">
        <v>734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721</v>
      </c>
      <c r="C100" t="s">
        <v>722</v>
      </c>
      <c r="D100" t="s">
        <v>723</v>
      </c>
      <c r="E100" t="s">
        <v>724</v>
      </c>
      <c r="G100" t="s">
        <v>735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721</v>
      </c>
      <c r="C101" t="s">
        <v>722</v>
      </c>
      <c r="D101" t="s">
        <v>723</v>
      </c>
      <c r="E101" t="s">
        <v>724</v>
      </c>
      <c r="G101" t="s">
        <v>736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721</v>
      </c>
      <c r="C102" t="s">
        <v>722</v>
      </c>
      <c r="D102" t="s">
        <v>723</v>
      </c>
      <c r="E102" t="s">
        <v>724</v>
      </c>
      <c r="G102" t="s">
        <v>737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721</v>
      </c>
      <c r="C103" t="s">
        <v>722</v>
      </c>
      <c r="D103" t="s">
        <v>723</v>
      </c>
      <c r="E103" t="s">
        <v>724</v>
      </c>
      <c r="G103" t="s">
        <v>738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721</v>
      </c>
      <c r="C104" t="s">
        <v>722</v>
      </c>
      <c r="D104" t="s">
        <v>723</v>
      </c>
      <c r="E104" t="s">
        <v>724</v>
      </c>
      <c r="G104" t="s">
        <v>739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721</v>
      </c>
      <c r="C105" t="s">
        <v>722</v>
      </c>
      <c r="D105" t="s">
        <v>723</v>
      </c>
      <c r="E105" t="s">
        <v>724</v>
      </c>
      <c r="G105" t="s">
        <v>740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721</v>
      </c>
      <c r="C106" t="s">
        <v>722</v>
      </c>
      <c r="D106" t="s">
        <v>723</v>
      </c>
      <c r="E106" t="s">
        <v>724</v>
      </c>
      <c r="G106" t="s">
        <v>741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721</v>
      </c>
      <c r="C107" t="s">
        <v>722</v>
      </c>
      <c r="D107" t="s">
        <v>723</v>
      </c>
      <c r="E107" t="s">
        <v>724</v>
      </c>
      <c r="G107" t="s">
        <v>742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721</v>
      </c>
      <c r="C108" t="s">
        <v>722</v>
      </c>
      <c r="D108" t="s">
        <v>723</v>
      </c>
      <c r="E108" t="s">
        <v>724</v>
      </c>
      <c r="G108" t="s">
        <v>743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721</v>
      </c>
      <c r="C109" t="s">
        <v>722</v>
      </c>
      <c r="D109" t="s">
        <v>723</v>
      </c>
      <c r="E109" t="s">
        <v>724</v>
      </c>
      <c r="G109" t="s">
        <v>744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721</v>
      </c>
      <c r="C110" t="s">
        <v>722</v>
      </c>
      <c r="D110" t="s">
        <v>723</v>
      </c>
      <c r="E110" t="s">
        <v>724</v>
      </c>
      <c r="G110" t="s">
        <v>745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721</v>
      </c>
      <c r="C111" t="s">
        <v>722</v>
      </c>
      <c r="D111" t="s">
        <v>723</v>
      </c>
      <c r="E111" t="s">
        <v>724</v>
      </c>
      <c r="G111" t="s">
        <v>746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721</v>
      </c>
      <c r="C112" t="s">
        <v>722</v>
      </c>
      <c r="D112" t="s">
        <v>723</v>
      </c>
      <c r="E112" t="s">
        <v>724</v>
      </c>
      <c r="G112" t="s">
        <v>747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721</v>
      </c>
      <c r="C113" t="s">
        <v>722</v>
      </c>
      <c r="D113" t="s">
        <v>723</v>
      </c>
      <c r="E113" t="s">
        <v>724</v>
      </c>
      <c r="G113" t="s">
        <v>748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721</v>
      </c>
      <c r="C114" t="s">
        <v>722</v>
      </c>
      <c r="D114" t="s">
        <v>723</v>
      </c>
      <c r="E114" t="s">
        <v>724</v>
      </c>
      <c r="G114" t="s">
        <v>749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721</v>
      </c>
      <c r="C115" t="s">
        <v>750</v>
      </c>
      <c r="D115" t="s">
        <v>751</v>
      </c>
      <c r="E115" t="s">
        <v>752</v>
      </c>
      <c r="G115" t="s">
        <v>753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754</v>
      </c>
      <c r="N115" t="s">
        <v>755</v>
      </c>
      <c r="O115" s="12"/>
      <c r="P115" t="s">
        <v>756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721</v>
      </c>
      <c r="C116" t="s">
        <v>750</v>
      </c>
      <c r="D116" t="s">
        <v>751</v>
      </c>
      <c r="E116" t="s">
        <v>752</v>
      </c>
      <c r="G116" t="s">
        <v>757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754</v>
      </c>
      <c r="N116" t="s">
        <v>755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721</v>
      </c>
      <c r="C117" t="s">
        <v>750</v>
      </c>
      <c r="D117" t="s">
        <v>751</v>
      </c>
      <c r="E117" t="s">
        <v>752</v>
      </c>
      <c r="G117" t="s">
        <v>758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754</v>
      </c>
      <c r="N117" t="s">
        <v>755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721</v>
      </c>
      <c r="C118" t="s">
        <v>750</v>
      </c>
      <c r="D118" t="s">
        <v>751</v>
      </c>
      <c r="E118" t="s">
        <v>752</v>
      </c>
      <c r="G118" t="s">
        <v>759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754</v>
      </c>
      <c r="N118" t="s">
        <v>755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721</v>
      </c>
      <c r="C119" t="s">
        <v>750</v>
      </c>
      <c r="D119" t="s">
        <v>751</v>
      </c>
      <c r="E119" t="s">
        <v>752</v>
      </c>
      <c r="G119" t="s">
        <v>760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754</v>
      </c>
      <c r="N119" t="s">
        <v>755</v>
      </c>
      <c r="O119" s="12"/>
      <c r="P119" t="s">
        <v>756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721</v>
      </c>
      <c r="C120" t="s">
        <v>761</v>
      </c>
      <c r="D120" t="s">
        <v>762</v>
      </c>
      <c r="E120" t="s">
        <v>763</v>
      </c>
      <c r="G120" t="s">
        <v>764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765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721</v>
      </c>
      <c r="C121" t="s">
        <v>761</v>
      </c>
      <c r="D121" t="s">
        <v>762</v>
      </c>
      <c r="E121" t="s">
        <v>763</v>
      </c>
      <c r="G121" t="s">
        <v>766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721</v>
      </c>
      <c r="C122" t="s">
        <v>761</v>
      </c>
      <c r="D122" t="s">
        <v>762</v>
      </c>
      <c r="E122" t="s">
        <v>763</v>
      </c>
      <c r="G122" t="s">
        <v>767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721</v>
      </c>
      <c r="C123" t="s">
        <v>761</v>
      </c>
      <c r="D123" t="s">
        <v>762</v>
      </c>
      <c r="E123" t="s">
        <v>763</v>
      </c>
      <c r="G123" t="s">
        <v>768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721</v>
      </c>
      <c r="C124" t="s">
        <v>761</v>
      </c>
      <c r="D124" t="s">
        <v>762</v>
      </c>
      <c r="E124" t="s">
        <v>763</v>
      </c>
      <c r="G124" t="s">
        <v>769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721</v>
      </c>
      <c r="C125" t="s">
        <v>761</v>
      </c>
      <c r="D125" t="s">
        <v>762</v>
      </c>
      <c r="E125" t="s">
        <v>763</v>
      </c>
      <c r="G125" t="s">
        <v>770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721</v>
      </c>
      <c r="C126" t="s">
        <v>761</v>
      </c>
      <c r="D126" t="s">
        <v>762</v>
      </c>
      <c r="E126" t="s">
        <v>763</v>
      </c>
      <c r="G126" t="s">
        <v>771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721</v>
      </c>
      <c r="C127" t="s">
        <v>761</v>
      </c>
      <c r="D127" t="s">
        <v>762</v>
      </c>
      <c r="E127" t="s">
        <v>763</v>
      </c>
      <c r="G127" t="s">
        <v>772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721</v>
      </c>
      <c r="C128" t="s">
        <v>773</v>
      </c>
      <c r="D128" t="s">
        <v>774</v>
      </c>
      <c r="E128" t="s">
        <v>775</v>
      </c>
      <c r="G128" t="s">
        <v>776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777</v>
      </c>
      <c r="N128" t="s">
        <v>778</v>
      </c>
      <c r="O128" s="12"/>
      <c r="P128" t="s">
        <v>765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721</v>
      </c>
      <c r="C129" t="s">
        <v>779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780</v>
      </c>
      <c r="C130" t="s">
        <v>696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780</v>
      </c>
      <c r="C131" t="s">
        <v>781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782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780</v>
      </c>
      <c r="C132" t="s">
        <v>695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780</v>
      </c>
      <c r="C133" t="s">
        <v>697</v>
      </c>
      <c r="D133" t="s">
        <v>698</v>
      </c>
      <c r="E133" t="s">
        <v>699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700</v>
      </c>
      <c r="N133" t="s">
        <v>701</v>
      </c>
      <c r="O133" s="12"/>
      <c r="P133" t="s">
        <v>783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780</v>
      </c>
      <c r="C134" t="s">
        <v>693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784</v>
      </c>
      <c r="C135" t="s">
        <v>785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784</v>
      </c>
      <c r="C136" t="s">
        <v>786</v>
      </c>
      <c r="D136" t="s">
        <v>787</v>
      </c>
      <c r="E136" t="s">
        <v>788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789</v>
      </c>
      <c r="Q136" t="s">
        <v>598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784</v>
      </c>
      <c r="C137" t="s">
        <v>790</v>
      </c>
      <c r="D137" t="s">
        <v>791</v>
      </c>
      <c r="E137" t="s">
        <v>792</v>
      </c>
      <c r="G137" t="s">
        <v>793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794</v>
      </c>
      <c r="N137" t="s">
        <v>795</v>
      </c>
      <c r="O137" s="14"/>
      <c r="P137" t="s">
        <v>796</v>
      </c>
      <c r="Q137" t="s">
        <v>598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784</v>
      </c>
      <c r="C138" t="s">
        <v>790</v>
      </c>
      <c r="D138" t="s">
        <v>791</v>
      </c>
      <c r="E138" t="s">
        <v>792</v>
      </c>
      <c r="G138" t="s">
        <v>797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794</v>
      </c>
      <c r="N138" t="s">
        <v>795</v>
      </c>
      <c r="O138" s="14"/>
      <c r="Q138" t="s">
        <v>598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784</v>
      </c>
      <c r="C139" t="s">
        <v>790</v>
      </c>
      <c r="D139" t="s">
        <v>791</v>
      </c>
      <c r="E139" t="s">
        <v>792</v>
      </c>
      <c r="G139" t="s">
        <v>798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794</v>
      </c>
      <c r="N139" t="s">
        <v>795</v>
      </c>
      <c r="O139" s="14"/>
      <c r="Q139" t="s">
        <v>598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784</v>
      </c>
      <c r="C140" t="s">
        <v>790</v>
      </c>
      <c r="D140" t="s">
        <v>791</v>
      </c>
      <c r="E140" t="s">
        <v>792</v>
      </c>
      <c r="G140" t="s">
        <v>799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794</v>
      </c>
      <c r="N140" t="s">
        <v>795</v>
      </c>
      <c r="O140" s="14"/>
      <c r="Q140" t="s">
        <v>598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784</v>
      </c>
      <c r="C141" t="s">
        <v>790</v>
      </c>
      <c r="D141" t="s">
        <v>791</v>
      </c>
      <c r="E141" t="s">
        <v>792</v>
      </c>
      <c r="G141" t="s">
        <v>800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794</v>
      </c>
      <c r="N141" t="s">
        <v>795</v>
      </c>
      <c r="O141" s="14"/>
      <c r="Q141" t="s">
        <v>598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784</v>
      </c>
      <c r="C142" t="s">
        <v>790</v>
      </c>
      <c r="D142" t="s">
        <v>791</v>
      </c>
      <c r="E142" t="s">
        <v>792</v>
      </c>
      <c r="G142" t="s">
        <v>801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794</v>
      </c>
      <c r="N142" t="s">
        <v>795</v>
      </c>
      <c r="O142" s="14"/>
      <c r="Q142" t="s">
        <v>598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784</v>
      </c>
      <c r="C143" t="s">
        <v>790</v>
      </c>
      <c r="D143" t="s">
        <v>791</v>
      </c>
      <c r="E143" t="s">
        <v>792</v>
      </c>
      <c r="G143" t="s">
        <v>802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794</v>
      </c>
      <c r="N143" t="s">
        <v>795</v>
      </c>
      <c r="O143" s="14"/>
      <c r="Q143" t="s">
        <v>598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784</v>
      </c>
      <c r="C144" t="s">
        <v>790</v>
      </c>
      <c r="D144" t="s">
        <v>791</v>
      </c>
      <c r="E144" t="s">
        <v>792</v>
      </c>
      <c r="G144" t="s">
        <v>803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794</v>
      </c>
      <c r="N144" t="s">
        <v>795</v>
      </c>
      <c r="O144" s="14"/>
      <c r="Q144" t="s">
        <v>598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784</v>
      </c>
      <c r="C145" t="s">
        <v>790</v>
      </c>
      <c r="D145" t="s">
        <v>791</v>
      </c>
      <c r="E145" t="s">
        <v>792</v>
      </c>
      <c r="G145" t="s">
        <v>804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794</v>
      </c>
      <c r="N145" t="s">
        <v>795</v>
      </c>
      <c r="O145" s="14"/>
      <c r="Q145" t="s">
        <v>598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784</v>
      </c>
      <c r="C146" t="s">
        <v>790</v>
      </c>
      <c r="D146" t="s">
        <v>791</v>
      </c>
      <c r="E146" t="s">
        <v>792</v>
      </c>
      <c r="G146" t="s">
        <v>805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794</v>
      </c>
      <c r="N146" t="s">
        <v>795</v>
      </c>
      <c r="O146" s="14"/>
      <c r="Q146" t="s">
        <v>598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784</v>
      </c>
      <c r="C147" t="s">
        <v>790</v>
      </c>
      <c r="D147" t="s">
        <v>791</v>
      </c>
      <c r="E147" t="s">
        <v>792</v>
      </c>
      <c r="G147" t="s">
        <v>806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794</v>
      </c>
      <c r="N147" t="s">
        <v>795</v>
      </c>
      <c r="O147" s="14"/>
      <c r="Q147" t="s">
        <v>598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784</v>
      </c>
      <c r="C148" t="s">
        <v>790</v>
      </c>
      <c r="D148" t="s">
        <v>791</v>
      </c>
      <c r="E148" t="s">
        <v>792</v>
      </c>
      <c r="G148" t="s">
        <v>807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794</v>
      </c>
      <c r="N148" t="s">
        <v>795</v>
      </c>
      <c r="O148" s="14"/>
      <c r="Q148" t="s">
        <v>598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784</v>
      </c>
      <c r="C149" t="s">
        <v>790</v>
      </c>
      <c r="D149" t="s">
        <v>791</v>
      </c>
      <c r="E149" t="s">
        <v>792</v>
      </c>
      <c r="G149" t="s">
        <v>808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794</v>
      </c>
      <c r="N149" t="s">
        <v>795</v>
      </c>
      <c r="O149" s="14"/>
      <c r="Q149" t="s">
        <v>598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784</v>
      </c>
      <c r="C150" t="s">
        <v>790</v>
      </c>
      <c r="D150" t="s">
        <v>791</v>
      </c>
      <c r="E150" t="s">
        <v>792</v>
      </c>
      <c r="G150" t="s">
        <v>809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794</v>
      </c>
      <c r="N150" t="s">
        <v>795</v>
      </c>
      <c r="O150" s="14"/>
      <c r="Q150" t="s">
        <v>598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784</v>
      </c>
      <c r="C151" t="s">
        <v>790</v>
      </c>
      <c r="D151" t="s">
        <v>791</v>
      </c>
      <c r="E151" t="s">
        <v>792</v>
      </c>
      <c r="G151" t="s">
        <v>810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794</v>
      </c>
      <c r="N151" t="s">
        <v>795</v>
      </c>
      <c r="O151" s="14"/>
      <c r="Q151" t="s">
        <v>598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784</v>
      </c>
      <c r="C152" t="s">
        <v>790</v>
      </c>
      <c r="D152" t="s">
        <v>791</v>
      </c>
      <c r="E152" t="s">
        <v>792</v>
      </c>
      <c r="G152" t="s">
        <v>811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794</v>
      </c>
      <c r="N152" t="s">
        <v>795</v>
      </c>
      <c r="O152" s="14"/>
      <c r="Q152" t="s">
        <v>598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784</v>
      </c>
      <c r="C153" t="s">
        <v>790</v>
      </c>
      <c r="D153" t="s">
        <v>791</v>
      </c>
      <c r="E153" t="s">
        <v>792</v>
      </c>
      <c r="G153" t="s">
        <v>812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794</v>
      </c>
      <c r="N153" t="s">
        <v>795</v>
      </c>
      <c r="O153" s="14"/>
      <c r="Q153" t="s">
        <v>598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784</v>
      </c>
      <c r="C154" t="s">
        <v>790</v>
      </c>
      <c r="D154" t="s">
        <v>791</v>
      </c>
      <c r="E154" t="s">
        <v>792</v>
      </c>
      <c r="G154" t="s">
        <v>813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794</v>
      </c>
      <c r="N154" t="s">
        <v>795</v>
      </c>
      <c r="O154" s="14"/>
      <c r="Q154" t="s">
        <v>598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784</v>
      </c>
      <c r="C155" t="s">
        <v>790</v>
      </c>
      <c r="D155" t="s">
        <v>791</v>
      </c>
      <c r="E155" t="s">
        <v>792</v>
      </c>
      <c r="G155" t="s">
        <v>814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794</v>
      </c>
      <c r="N155" t="s">
        <v>795</v>
      </c>
      <c r="O155" s="14"/>
      <c r="Q155" t="s">
        <v>598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784</v>
      </c>
      <c r="C156" t="s">
        <v>790</v>
      </c>
      <c r="D156" t="s">
        <v>791</v>
      </c>
      <c r="E156" t="s">
        <v>792</v>
      </c>
      <c r="G156" t="s">
        <v>815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794</v>
      </c>
      <c r="N156" t="s">
        <v>795</v>
      </c>
      <c r="O156" s="14"/>
      <c r="Q156" t="s">
        <v>598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784</v>
      </c>
      <c r="C157" t="s">
        <v>790</v>
      </c>
      <c r="D157" t="s">
        <v>791</v>
      </c>
      <c r="E157" t="s">
        <v>792</v>
      </c>
      <c r="G157" t="s">
        <v>816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794</v>
      </c>
      <c r="N157" t="s">
        <v>795</v>
      </c>
      <c r="O157" s="14"/>
      <c r="Q157" t="s">
        <v>598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784</v>
      </c>
      <c r="C158" t="s">
        <v>817</v>
      </c>
      <c r="D158" t="s">
        <v>817</v>
      </c>
      <c r="E158" t="s">
        <v>818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819</v>
      </c>
      <c r="N158" t="s">
        <v>820</v>
      </c>
      <c r="O158" s="14"/>
      <c r="P158" t="s">
        <v>821</v>
      </c>
      <c r="Q158" t="s">
        <v>598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784</v>
      </c>
      <c r="C159" t="s">
        <v>822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823</v>
      </c>
      <c r="C160" t="s">
        <v>781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823</v>
      </c>
      <c r="C161" t="s">
        <v>824</v>
      </c>
      <c r="D161" t="s">
        <v>825</v>
      </c>
      <c r="E161" t="s">
        <v>826</v>
      </c>
      <c r="G161" t="s">
        <v>827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828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823</v>
      </c>
      <c r="C162" t="s">
        <v>824</v>
      </c>
      <c r="D162" t="s">
        <v>825</v>
      </c>
      <c r="E162" t="s">
        <v>826</v>
      </c>
      <c r="G162" t="s">
        <v>829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823</v>
      </c>
      <c r="C163" t="s">
        <v>824</v>
      </c>
      <c r="D163" t="s">
        <v>825</v>
      </c>
      <c r="E163" t="s">
        <v>826</v>
      </c>
      <c r="G163" t="s">
        <v>830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823</v>
      </c>
      <c r="C164" t="s">
        <v>824</v>
      </c>
      <c r="D164" t="s">
        <v>825</v>
      </c>
      <c r="E164" t="s">
        <v>826</v>
      </c>
      <c r="G164" t="s">
        <v>831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823</v>
      </c>
      <c r="C165" t="s">
        <v>824</v>
      </c>
      <c r="D165" t="s">
        <v>825</v>
      </c>
      <c r="E165" t="s">
        <v>826</v>
      </c>
      <c r="G165" t="s">
        <v>832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823</v>
      </c>
      <c r="C166" t="s">
        <v>824</v>
      </c>
      <c r="D166" t="s">
        <v>825</v>
      </c>
      <c r="E166" t="s">
        <v>826</v>
      </c>
      <c r="G166" t="s">
        <v>833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823</v>
      </c>
      <c r="C167" t="s">
        <v>824</v>
      </c>
      <c r="D167" t="s">
        <v>825</v>
      </c>
      <c r="E167" t="s">
        <v>826</v>
      </c>
      <c r="G167" t="s">
        <v>834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823</v>
      </c>
      <c r="C168" t="s">
        <v>824</v>
      </c>
      <c r="D168" t="s">
        <v>825</v>
      </c>
      <c r="E168" t="s">
        <v>826</v>
      </c>
      <c r="G168" t="s">
        <v>835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823</v>
      </c>
      <c r="C169" t="s">
        <v>824</v>
      </c>
      <c r="D169" t="s">
        <v>825</v>
      </c>
      <c r="E169" t="s">
        <v>826</v>
      </c>
      <c r="G169" t="s">
        <v>836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823</v>
      </c>
      <c r="C170" t="s">
        <v>824</v>
      </c>
      <c r="D170" t="s">
        <v>825</v>
      </c>
      <c r="E170" t="s">
        <v>826</v>
      </c>
      <c r="G170" t="s">
        <v>837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823</v>
      </c>
      <c r="C171" t="s">
        <v>824</v>
      </c>
      <c r="D171" t="s">
        <v>825</v>
      </c>
      <c r="E171" t="s">
        <v>826</v>
      </c>
      <c r="G171" t="s">
        <v>838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823</v>
      </c>
      <c r="C172" t="s">
        <v>824</v>
      </c>
      <c r="D172" t="s">
        <v>825</v>
      </c>
      <c r="E172" t="s">
        <v>826</v>
      </c>
      <c r="G172" t="s">
        <v>839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823</v>
      </c>
      <c r="C173" t="s">
        <v>840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823</v>
      </c>
      <c r="C174" t="s">
        <v>693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823</v>
      </c>
      <c r="C175" t="s">
        <v>841</v>
      </c>
      <c r="D175" t="s">
        <v>842</v>
      </c>
      <c r="E175" t="s">
        <v>843</v>
      </c>
      <c r="F175" s="17" t="s">
        <v>844</v>
      </c>
      <c r="G175" t="s">
        <v>845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756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823</v>
      </c>
      <c r="C176" t="s">
        <v>841</v>
      </c>
      <c r="D176" t="s">
        <v>842</v>
      </c>
      <c r="E176" t="s">
        <v>843</v>
      </c>
      <c r="F176" s="17" t="s">
        <v>844</v>
      </c>
      <c r="G176" t="s">
        <v>846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823</v>
      </c>
      <c r="C177" t="s">
        <v>841</v>
      </c>
      <c r="D177" t="s">
        <v>842</v>
      </c>
      <c r="E177" t="s">
        <v>843</v>
      </c>
      <c r="F177" s="17" t="s">
        <v>844</v>
      </c>
      <c r="G177" t="s">
        <v>847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823</v>
      </c>
      <c r="C178" t="s">
        <v>841</v>
      </c>
      <c r="D178" t="s">
        <v>842</v>
      </c>
      <c r="E178" t="s">
        <v>843</v>
      </c>
      <c r="F178" s="17" t="s">
        <v>844</v>
      </c>
      <c r="G178" t="s">
        <v>848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823</v>
      </c>
      <c r="C179" t="s">
        <v>706</v>
      </c>
      <c r="D179" t="s">
        <v>706</v>
      </c>
      <c r="E179" t="s">
        <v>707</v>
      </c>
      <c r="F179" s="17" t="s">
        <v>708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709</v>
      </c>
      <c r="N179" t="s">
        <v>710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849</v>
      </c>
      <c r="C180" t="s">
        <v>704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849</v>
      </c>
      <c r="C181" t="s">
        <v>712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849</v>
      </c>
      <c r="C182" t="s">
        <v>722</v>
      </c>
      <c r="D182" t="s">
        <v>723</v>
      </c>
      <c r="E182" t="s">
        <v>724</v>
      </c>
      <c r="G182" t="s">
        <v>725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756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849</v>
      </c>
      <c r="C183" t="s">
        <v>722</v>
      </c>
      <c r="D183" t="s">
        <v>723</v>
      </c>
      <c r="E183" t="s">
        <v>724</v>
      </c>
      <c r="G183" t="s">
        <v>726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849</v>
      </c>
      <c r="C184" t="s">
        <v>722</v>
      </c>
      <c r="D184" t="s">
        <v>723</v>
      </c>
      <c r="E184" t="s">
        <v>724</v>
      </c>
      <c r="G184" t="s">
        <v>727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849</v>
      </c>
      <c r="C185" t="s">
        <v>722</v>
      </c>
      <c r="D185" t="s">
        <v>723</v>
      </c>
      <c r="E185" t="s">
        <v>724</v>
      </c>
      <c r="G185" t="s">
        <v>728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849</v>
      </c>
      <c r="C186" t="s">
        <v>722</v>
      </c>
      <c r="D186" t="s">
        <v>723</v>
      </c>
      <c r="E186" t="s">
        <v>724</v>
      </c>
      <c r="G186" t="s">
        <v>729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849</v>
      </c>
      <c r="C187" t="s">
        <v>722</v>
      </c>
      <c r="D187" t="s">
        <v>723</v>
      </c>
      <c r="E187" t="s">
        <v>724</v>
      </c>
      <c r="G187" t="s">
        <v>730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849</v>
      </c>
      <c r="C188" t="s">
        <v>722</v>
      </c>
      <c r="D188" t="s">
        <v>723</v>
      </c>
      <c r="E188" t="s">
        <v>724</v>
      </c>
      <c r="G188" t="s">
        <v>731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849</v>
      </c>
      <c r="C189" t="s">
        <v>722</v>
      </c>
      <c r="D189" t="s">
        <v>723</v>
      </c>
      <c r="E189" t="s">
        <v>724</v>
      </c>
      <c r="G189" t="s">
        <v>732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849</v>
      </c>
      <c r="C190" t="s">
        <v>722</v>
      </c>
      <c r="D190" t="s">
        <v>723</v>
      </c>
      <c r="E190" t="s">
        <v>724</v>
      </c>
      <c r="G190" t="s">
        <v>733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849</v>
      </c>
      <c r="C191" t="s">
        <v>722</v>
      </c>
      <c r="D191" t="s">
        <v>723</v>
      </c>
      <c r="E191" t="s">
        <v>724</v>
      </c>
      <c r="G191" t="s">
        <v>734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849</v>
      </c>
      <c r="C192" t="s">
        <v>722</v>
      </c>
      <c r="D192" t="s">
        <v>723</v>
      </c>
      <c r="E192" t="s">
        <v>724</v>
      </c>
      <c r="G192" t="s">
        <v>735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849</v>
      </c>
      <c r="C193" t="s">
        <v>722</v>
      </c>
      <c r="D193" t="s">
        <v>723</v>
      </c>
      <c r="E193" t="s">
        <v>724</v>
      </c>
      <c r="G193" t="s">
        <v>736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849</v>
      </c>
      <c r="C194" t="s">
        <v>722</v>
      </c>
      <c r="D194" t="s">
        <v>723</v>
      </c>
      <c r="E194" t="s">
        <v>724</v>
      </c>
      <c r="G194" t="s">
        <v>737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849</v>
      </c>
      <c r="C195" t="s">
        <v>722</v>
      </c>
      <c r="D195" t="s">
        <v>723</v>
      </c>
      <c r="E195" t="s">
        <v>724</v>
      </c>
      <c r="G195" t="s">
        <v>738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849</v>
      </c>
      <c r="C196" t="s">
        <v>722</v>
      </c>
      <c r="D196" t="s">
        <v>723</v>
      </c>
      <c r="E196" t="s">
        <v>724</v>
      </c>
      <c r="G196" t="s">
        <v>739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849</v>
      </c>
      <c r="C197" t="s">
        <v>722</v>
      </c>
      <c r="D197" t="s">
        <v>723</v>
      </c>
      <c r="E197" t="s">
        <v>724</v>
      </c>
      <c r="G197" t="s">
        <v>740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849</v>
      </c>
      <c r="C198" t="s">
        <v>722</v>
      </c>
      <c r="D198" t="s">
        <v>723</v>
      </c>
      <c r="E198" t="s">
        <v>724</v>
      </c>
      <c r="G198" t="s">
        <v>741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849</v>
      </c>
      <c r="C199" t="s">
        <v>722</v>
      </c>
      <c r="D199" t="s">
        <v>723</v>
      </c>
      <c r="E199" t="s">
        <v>724</v>
      </c>
      <c r="G199" t="s">
        <v>742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849</v>
      </c>
      <c r="C200" t="s">
        <v>722</v>
      </c>
      <c r="D200" t="s">
        <v>723</v>
      </c>
      <c r="E200" t="s">
        <v>724</v>
      </c>
      <c r="G200" t="s">
        <v>743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849</v>
      </c>
      <c r="C201" t="s">
        <v>722</v>
      </c>
      <c r="D201" t="s">
        <v>723</v>
      </c>
      <c r="E201" t="s">
        <v>724</v>
      </c>
      <c r="G201" t="s">
        <v>744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849</v>
      </c>
      <c r="C202" t="s">
        <v>722</v>
      </c>
      <c r="D202" t="s">
        <v>723</v>
      </c>
      <c r="E202" t="s">
        <v>724</v>
      </c>
      <c r="G202" t="s">
        <v>745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849</v>
      </c>
      <c r="C203" t="s">
        <v>722</v>
      </c>
      <c r="D203" t="s">
        <v>723</v>
      </c>
      <c r="E203" t="s">
        <v>724</v>
      </c>
      <c r="G203" t="s">
        <v>746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849</v>
      </c>
      <c r="C204" t="s">
        <v>722</v>
      </c>
      <c r="D204" t="s">
        <v>723</v>
      </c>
      <c r="E204" t="s">
        <v>724</v>
      </c>
      <c r="G204" t="s">
        <v>747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849</v>
      </c>
      <c r="C205" t="s">
        <v>722</v>
      </c>
      <c r="D205" t="s">
        <v>723</v>
      </c>
      <c r="E205" t="s">
        <v>724</v>
      </c>
      <c r="G205" t="s">
        <v>748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756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849</v>
      </c>
      <c r="C206" t="s">
        <v>722</v>
      </c>
      <c r="D206" t="s">
        <v>723</v>
      </c>
      <c r="E206" t="s">
        <v>724</v>
      </c>
      <c r="G206" t="s">
        <v>749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849</v>
      </c>
      <c r="C207" t="s">
        <v>850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849</v>
      </c>
      <c r="C208" t="s">
        <v>750</v>
      </c>
      <c r="D208" t="s">
        <v>751</v>
      </c>
      <c r="E208" t="s">
        <v>752</v>
      </c>
      <c r="G208" t="s">
        <v>753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754</v>
      </c>
      <c r="N208" t="s">
        <v>755</v>
      </c>
      <c r="O208" s="12"/>
      <c r="P208" t="s">
        <v>756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849</v>
      </c>
      <c r="C209" t="s">
        <v>750</v>
      </c>
      <c r="D209" t="s">
        <v>751</v>
      </c>
      <c r="E209" t="s">
        <v>752</v>
      </c>
      <c r="G209" t="s">
        <v>757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754</v>
      </c>
      <c r="N209" t="s">
        <v>755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849</v>
      </c>
      <c r="C210" t="s">
        <v>750</v>
      </c>
      <c r="D210" t="s">
        <v>751</v>
      </c>
      <c r="E210" t="s">
        <v>752</v>
      </c>
      <c r="G210" t="s">
        <v>758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754</v>
      </c>
      <c r="N210" t="s">
        <v>755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849</v>
      </c>
      <c r="C211" t="s">
        <v>750</v>
      </c>
      <c r="D211" t="s">
        <v>751</v>
      </c>
      <c r="E211" t="s">
        <v>752</v>
      </c>
      <c r="G211" t="s">
        <v>759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754</v>
      </c>
      <c r="N211" t="s">
        <v>755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849</v>
      </c>
      <c r="C212" t="s">
        <v>750</v>
      </c>
      <c r="D212" t="s">
        <v>751</v>
      </c>
      <c r="E212" t="s">
        <v>752</v>
      </c>
      <c r="G212" t="s">
        <v>760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754</v>
      </c>
      <c r="N212" t="s">
        <v>755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851</v>
      </c>
      <c r="C213" t="s">
        <v>852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853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851</v>
      </c>
      <c r="C214" t="s">
        <v>854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851</v>
      </c>
      <c r="C215" t="s">
        <v>855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851</v>
      </c>
      <c r="C216" t="s">
        <v>856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851</v>
      </c>
      <c r="C217" t="s">
        <v>750</v>
      </c>
      <c r="D217" t="s">
        <v>751</v>
      </c>
      <c r="E217" t="s">
        <v>752</v>
      </c>
      <c r="G217" t="s">
        <v>753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754</v>
      </c>
      <c r="N217" t="s">
        <v>755</v>
      </c>
      <c r="O217" s="12"/>
      <c r="P217" t="s">
        <v>756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851</v>
      </c>
      <c r="C218" t="s">
        <v>750</v>
      </c>
      <c r="D218" t="s">
        <v>751</v>
      </c>
      <c r="E218" t="s">
        <v>752</v>
      </c>
      <c r="G218" t="s">
        <v>757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754</v>
      </c>
      <c r="N218" t="s">
        <v>755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851</v>
      </c>
      <c r="C219" t="s">
        <v>750</v>
      </c>
      <c r="D219" t="s">
        <v>751</v>
      </c>
      <c r="E219" t="s">
        <v>752</v>
      </c>
      <c r="G219" t="s">
        <v>758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754</v>
      </c>
      <c r="N219" t="s">
        <v>755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851</v>
      </c>
      <c r="C220" t="s">
        <v>750</v>
      </c>
      <c r="D220" t="s">
        <v>751</v>
      </c>
      <c r="E220" t="s">
        <v>752</v>
      </c>
      <c r="G220" t="s">
        <v>759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754</v>
      </c>
      <c r="N220" t="s">
        <v>755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851</v>
      </c>
      <c r="C221" t="s">
        <v>750</v>
      </c>
      <c r="D221" t="s">
        <v>751</v>
      </c>
      <c r="E221" t="s">
        <v>752</v>
      </c>
      <c r="G221" t="s">
        <v>760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754</v>
      </c>
      <c r="N221" t="s">
        <v>755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857</v>
      </c>
      <c r="C222" t="s">
        <v>858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859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857</v>
      </c>
      <c r="C223" t="s">
        <v>850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860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857</v>
      </c>
      <c r="C224" t="s">
        <v>861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857</v>
      </c>
      <c r="C225" t="s">
        <v>862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863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857</v>
      </c>
      <c r="C226" t="s">
        <v>761</v>
      </c>
      <c r="D226" t="s">
        <v>762</v>
      </c>
      <c r="E226" t="s">
        <v>763</v>
      </c>
      <c r="G226" t="s">
        <v>764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864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857</v>
      </c>
      <c r="C227" t="s">
        <v>761</v>
      </c>
      <c r="D227" t="s">
        <v>762</v>
      </c>
      <c r="E227" t="s">
        <v>763</v>
      </c>
      <c r="G227" t="s">
        <v>766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857</v>
      </c>
      <c r="C228" t="s">
        <v>761</v>
      </c>
      <c r="D228" t="s">
        <v>762</v>
      </c>
      <c r="E228" t="s">
        <v>763</v>
      </c>
      <c r="G228" t="s">
        <v>767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857</v>
      </c>
      <c r="C229" t="s">
        <v>761</v>
      </c>
      <c r="D229" t="s">
        <v>762</v>
      </c>
      <c r="E229" t="s">
        <v>763</v>
      </c>
      <c r="G229" t="s">
        <v>768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857</v>
      </c>
      <c r="C230" t="s">
        <v>761</v>
      </c>
      <c r="D230" t="s">
        <v>762</v>
      </c>
      <c r="E230" t="s">
        <v>763</v>
      </c>
      <c r="G230" t="s">
        <v>769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857</v>
      </c>
      <c r="C231" t="s">
        <v>761</v>
      </c>
      <c r="D231" t="s">
        <v>762</v>
      </c>
      <c r="E231" t="s">
        <v>763</v>
      </c>
      <c r="G231" t="s">
        <v>770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857</v>
      </c>
      <c r="C232" t="s">
        <v>761</v>
      </c>
      <c r="D232" t="s">
        <v>762</v>
      </c>
      <c r="E232" t="s">
        <v>763</v>
      </c>
      <c r="G232" t="s">
        <v>771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857</v>
      </c>
      <c r="C233" t="s">
        <v>761</v>
      </c>
      <c r="D233" t="s">
        <v>762</v>
      </c>
      <c r="E233" t="s">
        <v>763</v>
      </c>
      <c r="G233" t="s">
        <v>772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865</v>
      </c>
      <c r="C234" t="s">
        <v>866</v>
      </c>
      <c r="D234" t="s">
        <v>866</v>
      </c>
      <c r="E234" t="s">
        <v>867</v>
      </c>
      <c r="G234" t="s">
        <v>868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869</v>
      </c>
      <c r="N234" t="s">
        <v>870</v>
      </c>
      <c r="O234" s="14"/>
      <c r="P234" t="s">
        <v>871</v>
      </c>
      <c r="Q234" t="s">
        <v>638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865</v>
      </c>
      <c r="C235" t="s">
        <v>866</v>
      </c>
      <c r="D235" t="s">
        <v>866</v>
      </c>
      <c r="E235" t="s">
        <v>867</v>
      </c>
      <c r="G235" t="s">
        <v>872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869</v>
      </c>
      <c r="N235" t="s">
        <v>870</v>
      </c>
      <c r="O235" s="14"/>
      <c r="Q235" t="s">
        <v>638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865</v>
      </c>
      <c r="C236" t="s">
        <v>866</v>
      </c>
      <c r="D236" t="s">
        <v>866</v>
      </c>
      <c r="E236" t="s">
        <v>867</v>
      </c>
      <c r="G236" t="s">
        <v>873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869</v>
      </c>
      <c r="N236" t="s">
        <v>870</v>
      </c>
      <c r="O236" s="14"/>
      <c r="Q236" t="s">
        <v>638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865</v>
      </c>
      <c r="C237" t="s">
        <v>866</v>
      </c>
      <c r="D237" t="s">
        <v>866</v>
      </c>
      <c r="E237" t="s">
        <v>867</v>
      </c>
      <c r="G237" t="s">
        <v>874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869</v>
      </c>
      <c r="N237" t="s">
        <v>870</v>
      </c>
      <c r="O237" s="14"/>
      <c r="Q237" t="s">
        <v>638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865</v>
      </c>
      <c r="C238" t="s">
        <v>866</v>
      </c>
      <c r="D238" t="s">
        <v>866</v>
      </c>
      <c r="E238" t="s">
        <v>867</v>
      </c>
      <c r="G238" t="s">
        <v>875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869</v>
      </c>
      <c r="N238" t="s">
        <v>870</v>
      </c>
      <c r="O238" s="14"/>
      <c r="Q238" t="s">
        <v>638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865</v>
      </c>
      <c r="C239" t="s">
        <v>866</v>
      </c>
      <c r="D239" t="s">
        <v>866</v>
      </c>
      <c r="E239" t="s">
        <v>867</v>
      </c>
      <c r="G239" t="s">
        <v>876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869</v>
      </c>
      <c r="N239" t="s">
        <v>870</v>
      </c>
      <c r="O239" s="14"/>
      <c r="Q239" t="s">
        <v>638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865</v>
      </c>
      <c r="C240" t="s">
        <v>866</v>
      </c>
      <c r="D240" t="s">
        <v>866</v>
      </c>
      <c r="E240" t="s">
        <v>867</v>
      </c>
      <c r="G240" t="s">
        <v>877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869</v>
      </c>
      <c r="N240" t="s">
        <v>870</v>
      </c>
      <c r="O240" s="14"/>
      <c r="Q240" t="s">
        <v>638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865</v>
      </c>
      <c r="C241" t="s">
        <v>866</v>
      </c>
      <c r="D241" t="s">
        <v>866</v>
      </c>
      <c r="E241" t="s">
        <v>867</v>
      </c>
      <c r="G241" t="s">
        <v>878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869</v>
      </c>
      <c r="N241" t="s">
        <v>870</v>
      </c>
      <c r="O241" s="14"/>
      <c r="Q241" t="s">
        <v>638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865</v>
      </c>
      <c r="C242" t="s">
        <v>366</v>
      </c>
      <c r="D242" t="s">
        <v>879</v>
      </c>
      <c r="E242" t="s">
        <v>880</v>
      </c>
      <c r="F242" s="17">
        <v>124869430</v>
      </c>
      <c r="G242" t="s">
        <v>881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882</v>
      </c>
      <c r="N242" t="s">
        <v>883</v>
      </c>
      <c r="O242" s="14"/>
      <c r="P242" t="s">
        <v>884</v>
      </c>
      <c r="Q242" t="s">
        <v>598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865</v>
      </c>
      <c r="C243" t="s">
        <v>366</v>
      </c>
      <c r="D243" t="s">
        <v>879</v>
      </c>
      <c r="E243" t="s">
        <v>880</v>
      </c>
      <c r="F243" s="17">
        <v>124869430</v>
      </c>
      <c r="G243" t="s">
        <v>885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882</v>
      </c>
      <c r="N243" t="s">
        <v>883</v>
      </c>
      <c r="O243" s="14"/>
      <c r="Q243" t="s">
        <v>598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865</v>
      </c>
      <c r="C244" t="s">
        <v>886</v>
      </c>
      <c r="D244" t="s">
        <v>886</v>
      </c>
      <c r="E244" t="s">
        <v>887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888</v>
      </c>
      <c r="N244" t="s">
        <v>889</v>
      </c>
      <c r="O244" s="14"/>
      <c r="Q244" t="s">
        <v>598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865</v>
      </c>
      <c r="C245" t="s">
        <v>890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864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865</v>
      </c>
      <c r="C246" t="s">
        <v>891</v>
      </c>
      <c r="D246" t="s">
        <v>892</v>
      </c>
      <c r="E246" t="s">
        <v>893</v>
      </c>
      <c r="G246" t="s">
        <v>894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864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865</v>
      </c>
      <c r="C247" t="s">
        <v>891</v>
      </c>
      <c r="D247" t="s">
        <v>892</v>
      </c>
      <c r="E247" t="s">
        <v>893</v>
      </c>
      <c r="G247" t="s">
        <v>895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865</v>
      </c>
      <c r="C248" t="s">
        <v>891</v>
      </c>
      <c r="D248" t="s">
        <v>892</v>
      </c>
      <c r="E248" t="s">
        <v>893</v>
      </c>
      <c r="G248" t="s">
        <v>896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865</v>
      </c>
      <c r="C249" t="s">
        <v>891</v>
      </c>
      <c r="D249" t="s">
        <v>892</v>
      </c>
      <c r="E249" t="s">
        <v>893</v>
      </c>
      <c r="G249" t="s">
        <v>897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865</v>
      </c>
      <c r="C250" t="s">
        <v>891</v>
      </c>
      <c r="D250" t="s">
        <v>892</v>
      </c>
      <c r="E250" t="s">
        <v>893</v>
      </c>
      <c r="G250" t="s">
        <v>898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865</v>
      </c>
      <c r="C251" t="s">
        <v>891</v>
      </c>
      <c r="D251" t="s">
        <v>892</v>
      </c>
      <c r="E251" t="s">
        <v>893</v>
      </c>
      <c r="G251" t="s">
        <v>899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865</v>
      </c>
      <c r="C252" t="s">
        <v>891</v>
      </c>
      <c r="D252" t="s">
        <v>892</v>
      </c>
      <c r="E252" t="s">
        <v>893</v>
      </c>
      <c r="G252" t="s">
        <v>900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865</v>
      </c>
      <c r="C253" t="s">
        <v>891</v>
      </c>
      <c r="D253" t="s">
        <v>892</v>
      </c>
      <c r="E253" t="s">
        <v>893</v>
      </c>
      <c r="G253" t="s">
        <v>901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865</v>
      </c>
      <c r="C254" t="s">
        <v>891</v>
      </c>
      <c r="D254" t="s">
        <v>892</v>
      </c>
      <c r="E254" t="s">
        <v>893</v>
      </c>
      <c r="G254" t="s">
        <v>902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865</v>
      </c>
      <c r="C255" t="s">
        <v>891</v>
      </c>
      <c r="D255" t="s">
        <v>892</v>
      </c>
      <c r="E255" t="s">
        <v>893</v>
      </c>
      <c r="G255" t="s">
        <v>903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865</v>
      </c>
      <c r="C256" t="s">
        <v>891</v>
      </c>
      <c r="D256" t="s">
        <v>892</v>
      </c>
      <c r="E256" t="s">
        <v>893</v>
      </c>
      <c r="G256" t="s">
        <v>904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865</v>
      </c>
      <c r="C257" t="s">
        <v>891</v>
      </c>
      <c r="D257" t="s">
        <v>892</v>
      </c>
      <c r="E257" t="s">
        <v>893</v>
      </c>
      <c r="G257" t="s">
        <v>905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865</v>
      </c>
      <c r="C258" t="s">
        <v>891</v>
      </c>
      <c r="D258" t="s">
        <v>892</v>
      </c>
      <c r="E258" t="s">
        <v>893</v>
      </c>
      <c r="G258" t="s">
        <v>906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865</v>
      </c>
      <c r="C259" t="s">
        <v>891</v>
      </c>
      <c r="D259" t="s">
        <v>892</v>
      </c>
      <c r="E259" t="s">
        <v>893</v>
      </c>
      <c r="G259" t="s">
        <v>907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865</v>
      </c>
      <c r="C260" t="s">
        <v>891</v>
      </c>
      <c r="D260" t="s">
        <v>892</v>
      </c>
      <c r="E260" t="s">
        <v>893</v>
      </c>
      <c r="G260" t="s">
        <v>908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865</v>
      </c>
      <c r="C261" t="s">
        <v>891</v>
      </c>
      <c r="D261" t="s">
        <v>892</v>
      </c>
      <c r="E261" t="s">
        <v>893</v>
      </c>
      <c r="G261" t="s">
        <v>909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865</v>
      </c>
      <c r="C262" t="s">
        <v>891</v>
      </c>
      <c r="D262" t="s">
        <v>892</v>
      </c>
      <c r="E262" t="s">
        <v>893</v>
      </c>
      <c r="G262" t="s">
        <v>910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865</v>
      </c>
      <c r="C263" t="s">
        <v>891</v>
      </c>
      <c r="D263" t="s">
        <v>892</v>
      </c>
      <c r="E263" t="s">
        <v>893</v>
      </c>
      <c r="G263" t="s">
        <v>911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865</v>
      </c>
      <c r="C264" t="s">
        <v>891</v>
      </c>
      <c r="D264" t="s">
        <v>892</v>
      </c>
      <c r="E264" t="s">
        <v>893</v>
      </c>
      <c r="G264" t="s">
        <v>912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865</v>
      </c>
      <c r="C265" t="s">
        <v>891</v>
      </c>
      <c r="D265" t="s">
        <v>892</v>
      </c>
      <c r="E265" t="s">
        <v>893</v>
      </c>
      <c r="G265" t="s">
        <v>913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865</v>
      </c>
      <c r="C266" t="s">
        <v>891</v>
      </c>
      <c r="D266" t="s">
        <v>892</v>
      </c>
      <c r="E266" t="s">
        <v>893</v>
      </c>
      <c r="G266" t="s">
        <v>914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865</v>
      </c>
      <c r="C267" t="s">
        <v>891</v>
      </c>
      <c r="D267" t="s">
        <v>892</v>
      </c>
      <c r="E267" t="s">
        <v>893</v>
      </c>
      <c r="G267" t="s">
        <v>915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865</v>
      </c>
      <c r="C268" t="s">
        <v>891</v>
      </c>
      <c r="D268" t="s">
        <v>892</v>
      </c>
      <c r="E268" t="s">
        <v>893</v>
      </c>
      <c r="G268" t="s">
        <v>916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865</v>
      </c>
      <c r="C269" t="s">
        <v>891</v>
      </c>
      <c r="D269" t="s">
        <v>892</v>
      </c>
      <c r="E269" t="s">
        <v>893</v>
      </c>
      <c r="G269" t="s">
        <v>917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865</v>
      </c>
      <c r="C270" t="s">
        <v>891</v>
      </c>
      <c r="D270" t="s">
        <v>892</v>
      </c>
      <c r="E270" t="s">
        <v>893</v>
      </c>
      <c r="G270" t="s">
        <v>918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865</v>
      </c>
      <c r="C271" t="s">
        <v>891</v>
      </c>
      <c r="D271" t="s">
        <v>892</v>
      </c>
      <c r="E271" t="s">
        <v>893</v>
      </c>
      <c r="G271" t="s">
        <v>919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865</v>
      </c>
      <c r="C272" t="s">
        <v>891</v>
      </c>
      <c r="D272" t="s">
        <v>892</v>
      </c>
      <c r="E272" t="s">
        <v>893</v>
      </c>
      <c r="G272" t="s">
        <v>920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865</v>
      </c>
      <c r="C273" t="s">
        <v>891</v>
      </c>
      <c r="D273" t="s">
        <v>892</v>
      </c>
      <c r="E273" t="s">
        <v>893</v>
      </c>
      <c r="G273" t="s">
        <v>921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865</v>
      </c>
      <c r="C274" t="s">
        <v>891</v>
      </c>
      <c r="D274" t="s">
        <v>892</v>
      </c>
      <c r="E274" t="s">
        <v>893</v>
      </c>
      <c r="G274" t="s">
        <v>922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865</v>
      </c>
      <c r="C275" t="s">
        <v>891</v>
      </c>
      <c r="D275" t="s">
        <v>892</v>
      </c>
      <c r="E275" t="s">
        <v>893</v>
      </c>
      <c r="G275" t="s">
        <v>923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865</v>
      </c>
      <c r="C276" t="s">
        <v>891</v>
      </c>
      <c r="D276" t="s">
        <v>892</v>
      </c>
      <c r="E276" t="s">
        <v>893</v>
      </c>
      <c r="G276" t="s">
        <v>924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865</v>
      </c>
      <c r="C277" t="s">
        <v>891</v>
      </c>
      <c r="D277" t="s">
        <v>892</v>
      </c>
      <c r="E277" t="s">
        <v>893</v>
      </c>
      <c r="G277" t="s">
        <v>925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865</v>
      </c>
      <c r="C278" t="s">
        <v>891</v>
      </c>
      <c r="D278" t="s">
        <v>892</v>
      </c>
      <c r="E278" t="s">
        <v>893</v>
      </c>
      <c r="G278" t="s">
        <v>926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865</v>
      </c>
      <c r="C279" t="s">
        <v>891</v>
      </c>
      <c r="D279" t="s">
        <v>892</v>
      </c>
      <c r="E279" t="s">
        <v>893</v>
      </c>
      <c r="G279" t="s">
        <v>927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865</v>
      </c>
      <c r="C280" t="s">
        <v>891</v>
      </c>
      <c r="D280" t="s">
        <v>892</v>
      </c>
      <c r="E280" t="s">
        <v>893</v>
      </c>
      <c r="G280" t="s">
        <v>928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865</v>
      </c>
      <c r="C281" t="s">
        <v>929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863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865</v>
      </c>
      <c r="C282" t="s">
        <v>930</v>
      </c>
      <c r="D282" t="s">
        <v>930</v>
      </c>
      <c r="E282" t="s">
        <v>931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932</v>
      </c>
      <c r="N282" t="s">
        <v>933</v>
      </c>
      <c r="O282" s="14"/>
      <c r="Q282" t="s">
        <v>598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865</v>
      </c>
      <c r="C283" t="s">
        <v>934</v>
      </c>
      <c r="D283" t="s">
        <v>935</v>
      </c>
      <c r="E283" t="s">
        <v>936</v>
      </c>
      <c r="G283" t="s">
        <v>937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938</v>
      </c>
      <c r="Q283" t="s">
        <v>598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865</v>
      </c>
      <c r="C284" t="s">
        <v>934</v>
      </c>
      <c r="D284" t="s">
        <v>935</v>
      </c>
      <c r="E284" t="s">
        <v>936</v>
      </c>
      <c r="G284" t="s">
        <v>939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598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865</v>
      </c>
      <c r="C285" t="s">
        <v>934</v>
      </c>
      <c r="D285" t="s">
        <v>935</v>
      </c>
      <c r="E285" t="s">
        <v>936</v>
      </c>
      <c r="G285" t="s">
        <v>940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598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865</v>
      </c>
      <c r="C286" t="s">
        <v>934</v>
      </c>
      <c r="D286" t="s">
        <v>935</v>
      </c>
      <c r="E286" t="s">
        <v>936</v>
      </c>
      <c r="G286" t="s">
        <v>941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598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865</v>
      </c>
      <c r="C287" t="s">
        <v>934</v>
      </c>
      <c r="D287" t="s">
        <v>935</v>
      </c>
      <c r="E287" t="s">
        <v>936</v>
      </c>
      <c r="G287" t="s">
        <v>942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598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943</v>
      </c>
      <c r="C288" t="s">
        <v>944</v>
      </c>
      <c r="D288" t="s">
        <v>945</v>
      </c>
      <c r="E288" t="s">
        <v>946</v>
      </c>
      <c r="F288" s="17">
        <v>119452384</v>
      </c>
      <c r="G288" t="s">
        <v>947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948</v>
      </c>
      <c r="N288" t="s">
        <v>949</v>
      </c>
      <c r="O288" s="14"/>
      <c r="Q288" t="s">
        <v>638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943</v>
      </c>
      <c r="C289" t="s">
        <v>944</v>
      </c>
      <c r="D289" t="s">
        <v>945</v>
      </c>
      <c r="E289" t="s">
        <v>946</v>
      </c>
      <c r="F289" s="17">
        <v>119452384</v>
      </c>
      <c r="G289" t="s">
        <v>950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948</v>
      </c>
      <c r="N289" t="s">
        <v>949</v>
      </c>
      <c r="O289" s="14"/>
      <c r="Q289" t="s">
        <v>638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943</v>
      </c>
      <c r="C290" t="s">
        <v>951</v>
      </c>
      <c r="D290" t="s">
        <v>952</v>
      </c>
      <c r="E290" t="s">
        <v>953</v>
      </c>
      <c r="F290" s="17" t="s">
        <v>954</v>
      </c>
      <c r="G290" t="s">
        <v>955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956</v>
      </c>
      <c r="N290" t="s">
        <v>957</v>
      </c>
      <c r="O290" s="14"/>
      <c r="Q290" t="s">
        <v>598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943</v>
      </c>
      <c r="C291" t="s">
        <v>951</v>
      </c>
      <c r="D291" t="s">
        <v>952</v>
      </c>
      <c r="E291" t="s">
        <v>953</v>
      </c>
      <c r="F291" s="17" t="s">
        <v>954</v>
      </c>
      <c r="G291" t="s">
        <v>958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956</v>
      </c>
      <c r="N291" t="s">
        <v>957</v>
      </c>
      <c r="O291" s="14"/>
      <c r="Q291" t="s">
        <v>598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943</v>
      </c>
      <c r="C292" t="s">
        <v>951</v>
      </c>
      <c r="D292" t="s">
        <v>952</v>
      </c>
      <c r="E292" t="s">
        <v>953</v>
      </c>
      <c r="F292" s="17" t="s">
        <v>954</v>
      </c>
      <c r="G292" t="s">
        <v>959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956</v>
      </c>
      <c r="N292" t="s">
        <v>957</v>
      </c>
      <c r="O292" s="14"/>
      <c r="Q292" t="s">
        <v>598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943</v>
      </c>
      <c r="C293" t="s">
        <v>951</v>
      </c>
      <c r="D293" t="s">
        <v>952</v>
      </c>
      <c r="E293" t="s">
        <v>953</v>
      </c>
      <c r="F293" s="17" t="s">
        <v>954</v>
      </c>
      <c r="G293" t="s">
        <v>960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956</v>
      </c>
      <c r="N293" t="s">
        <v>957</v>
      </c>
      <c r="O293" s="14"/>
      <c r="Q293" t="s">
        <v>598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943</v>
      </c>
      <c r="C294" t="s">
        <v>951</v>
      </c>
      <c r="D294" t="s">
        <v>952</v>
      </c>
      <c r="E294" t="s">
        <v>953</v>
      </c>
      <c r="F294" s="17" t="s">
        <v>954</v>
      </c>
      <c r="G294" t="s">
        <v>961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956</v>
      </c>
      <c r="N294" t="s">
        <v>957</v>
      </c>
      <c r="O294" s="14"/>
      <c r="Q294" t="s">
        <v>598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943</v>
      </c>
      <c r="C295" t="s">
        <v>951</v>
      </c>
      <c r="D295" t="s">
        <v>952</v>
      </c>
      <c r="E295" t="s">
        <v>953</v>
      </c>
      <c r="F295" s="17" t="s">
        <v>954</v>
      </c>
      <c r="G295" t="s">
        <v>962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956</v>
      </c>
      <c r="N295" t="s">
        <v>957</v>
      </c>
      <c r="O295" s="14"/>
      <c r="Q295" t="s">
        <v>598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943</v>
      </c>
      <c r="C296" t="s">
        <v>951</v>
      </c>
      <c r="D296" t="s">
        <v>952</v>
      </c>
      <c r="E296" t="s">
        <v>953</v>
      </c>
      <c r="F296" s="17" t="s">
        <v>954</v>
      </c>
      <c r="G296" t="s">
        <v>963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956</v>
      </c>
      <c r="N296" t="s">
        <v>957</v>
      </c>
      <c r="O296" s="14"/>
      <c r="Q296" t="s">
        <v>598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943</v>
      </c>
      <c r="C297" t="s">
        <v>951</v>
      </c>
      <c r="D297" t="s">
        <v>952</v>
      </c>
      <c r="E297" t="s">
        <v>953</v>
      </c>
      <c r="F297" s="17" t="s">
        <v>954</v>
      </c>
      <c r="G297" t="s">
        <v>964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956</v>
      </c>
      <c r="N297" t="s">
        <v>957</v>
      </c>
      <c r="O297" s="14"/>
      <c r="Q297" t="s">
        <v>598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943</v>
      </c>
      <c r="C298" t="s">
        <v>951</v>
      </c>
      <c r="D298" t="s">
        <v>952</v>
      </c>
      <c r="E298" t="s">
        <v>953</v>
      </c>
      <c r="F298" s="17" t="s">
        <v>954</v>
      </c>
      <c r="G298" t="s">
        <v>965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956</v>
      </c>
      <c r="N298" t="s">
        <v>957</v>
      </c>
      <c r="O298" s="14"/>
      <c r="Q298" t="s">
        <v>598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943</v>
      </c>
      <c r="C299" t="s">
        <v>951</v>
      </c>
      <c r="D299" t="s">
        <v>952</v>
      </c>
      <c r="E299" t="s">
        <v>953</v>
      </c>
      <c r="F299" s="17" t="s">
        <v>954</v>
      </c>
      <c r="G299" t="s">
        <v>966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956</v>
      </c>
      <c r="N299" t="s">
        <v>957</v>
      </c>
      <c r="O299" s="14"/>
      <c r="Q299" t="s">
        <v>598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943</v>
      </c>
      <c r="C300" t="s">
        <v>951</v>
      </c>
      <c r="D300" t="s">
        <v>952</v>
      </c>
      <c r="E300" t="s">
        <v>953</v>
      </c>
      <c r="F300" s="17" t="s">
        <v>954</v>
      </c>
      <c r="G300" t="s">
        <v>967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956</v>
      </c>
      <c r="N300" t="s">
        <v>957</v>
      </c>
      <c r="O300" s="14"/>
      <c r="Q300" t="s">
        <v>598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943</v>
      </c>
      <c r="C301" t="s">
        <v>951</v>
      </c>
      <c r="D301" t="s">
        <v>952</v>
      </c>
      <c r="E301" t="s">
        <v>953</v>
      </c>
      <c r="F301" s="17" t="s">
        <v>954</v>
      </c>
      <c r="G301" t="s">
        <v>968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956</v>
      </c>
      <c r="N301" t="s">
        <v>957</v>
      </c>
      <c r="O301" s="14"/>
      <c r="Q301" t="s">
        <v>598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943</v>
      </c>
      <c r="C302" t="s">
        <v>951</v>
      </c>
      <c r="D302" t="s">
        <v>952</v>
      </c>
      <c r="E302" t="s">
        <v>953</v>
      </c>
      <c r="F302" s="17" t="s">
        <v>954</v>
      </c>
      <c r="G302" t="s">
        <v>969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956</v>
      </c>
      <c r="N302" t="s">
        <v>957</v>
      </c>
      <c r="O302" s="14"/>
      <c r="Q302" t="s">
        <v>598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943</v>
      </c>
      <c r="C303" t="s">
        <v>951</v>
      </c>
      <c r="D303" t="s">
        <v>952</v>
      </c>
      <c r="E303" t="s">
        <v>953</v>
      </c>
      <c r="F303" s="17" t="s">
        <v>954</v>
      </c>
      <c r="G303" t="s">
        <v>970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956</v>
      </c>
      <c r="N303" t="s">
        <v>957</v>
      </c>
      <c r="O303" s="14"/>
      <c r="Q303" t="s">
        <v>598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943</v>
      </c>
      <c r="C304" t="s">
        <v>951</v>
      </c>
      <c r="D304" t="s">
        <v>952</v>
      </c>
      <c r="E304" t="s">
        <v>953</v>
      </c>
      <c r="F304" s="17" t="s">
        <v>954</v>
      </c>
      <c r="G304" t="s">
        <v>971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956</v>
      </c>
      <c r="N304" t="s">
        <v>957</v>
      </c>
      <c r="O304" s="14"/>
      <c r="Q304" t="s">
        <v>598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943</v>
      </c>
      <c r="C305" t="s">
        <v>951</v>
      </c>
      <c r="D305" t="s">
        <v>952</v>
      </c>
      <c r="E305" t="s">
        <v>953</v>
      </c>
      <c r="F305" s="17" t="s">
        <v>954</v>
      </c>
      <c r="G305" t="s">
        <v>972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956</v>
      </c>
      <c r="N305" t="s">
        <v>957</v>
      </c>
      <c r="O305" s="14"/>
      <c r="Q305" t="s">
        <v>598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943</v>
      </c>
      <c r="C306" t="s">
        <v>951</v>
      </c>
      <c r="D306" t="s">
        <v>952</v>
      </c>
      <c r="E306" t="s">
        <v>953</v>
      </c>
      <c r="F306" s="17" t="s">
        <v>954</v>
      </c>
      <c r="G306" t="s">
        <v>973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956</v>
      </c>
      <c r="N306" t="s">
        <v>957</v>
      </c>
      <c r="O306" s="14"/>
      <c r="Q306" t="s">
        <v>598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943</v>
      </c>
      <c r="C307" t="s">
        <v>951</v>
      </c>
      <c r="D307" t="s">
        <v>952</v>
      </c>
      <c r="E307" t="s">
        <v>953</v>
      </c>
      <c r="F307" s="17" t="s">
        <v>954</v>
      </c>
      <c r="G307" t="s">
        <v>974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956</v>
      </c>
      <c r="N307" t="s">
        <v>957</v>
      </c>
      <c r="O307" s="14"/>
      <c r="Q307" t="s">
        <v>598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943</v>
      </c>
      <c r="C308" t="s">
        <v>951</v>
      </c>
      <c r="D308" t="s">
        <v>952</v>
      </c>
      <c r="E308" t="s">
        <v>953</v>
      </c>
      <c r="F308" s="17" t="s">
        <v>954</v>
      </c>
      <c r="G308" t="s">
        <v>975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956</v>
      </c>
      <c r="N308" t="s">
        <v>957</v>
      </c>
      <c r="O308" s="14"/>
      <c r="Q308" t="s">
        <v>598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976</v>
      </c>
      <c r="C309" t="s">
        <v>977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976</v>
      </c>
      <c r="C310" t="s">
        <v>978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976</v>
      </c>
      <c r="C311" t="s">
        <v>979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976</v>
      </c>
      <c r="C312" t="s">
        <v>980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976</v>
      </c>
      <c r="C313" t="s">
        <v>981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976</v>
      </c>
      <c r="C314" t="s">
        <v>982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983</v>
      </c>
      <c r="C315" t="s">
        <v>984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985</v>
      </c>
      <c r="C316" t="s">
        <v>986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985</v>
      </c>
      <c r="C317" t="s">
        <v>987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985</v>
      </c>
      <c r="C318" t="s">
        <v>988</v>
      </c>
      <c r="D318" t="s">
        <v>989</v>
      </c>
      <c r="E318" t="s">
        <v>990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985</v>
      </c>
      <c r="C319" t="s">
        <v>991</v>
      </c>
      <c r="D319" t="s">
        <v>991</v>
      </c>
      <c r="E319" t="s">
        <v>992</v>
      </c>
      <c r="F319" s="17" t="s">
        <v>993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994</v>
      </c>
      <c r="N319" t="s">
        <v>995</v>
      </c>
      <c r="O319" s="14"/>
      <c r="Q319" t="s">
        <v>598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985</v>
      </c>
      <c r="C320" t="s">
        <v>996</v>
      </c>
      <c r="D320" t="s">
        <v>997</v>
      </c>
      <c r="E320" t="s">
        <v>998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598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985</v>
      </c>
      <c r="C321" t="s">
        <v>999</v>
      </c>
      <c r="D321" t="s">
        <v>999</v>
      </c>
      <c r="E321" t="s">
        <v>1000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1001</v>
      </c>
      <c r="Q321" t="s">
        <v>638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1002</v>
      </c>
      <c r="C322" t="s">
        <v>1003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863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1002</v>
      </c>
      <c r="C323" t="s">
        <v>1004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863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1002</v>
      </c>
      <c r="C324" t="s">
        <v>1005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863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1002</v>
      </c>
      <c r="C325" t="s">
        <v>1006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863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1002</v>
      </c>
      <c r="C326" t="s">
        <v>1007</v>
      </c>
      <c r="D326" t="s">
        <v>1008</v>
      </c>
      <c r="E326" t="s">
        <v>1009</v>
      </c>
      <c r="F326" s="17" t="s">
        <v>1010</v>
      </c>
      <c r="G326" t="s">
        <v>1011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756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1002</v>
      </c>
      <c r="C327" t="s">
        <v>1007</v>
      </c>
      <c r="D327" t="s">
        <v>1008</v>
      </c>
      <c r="E327" t="s">
        <v>1009</v>
      </c>
      <c r="F327" s="17" t="s">
        <v>1010</v>
      </c>
      <c r="G327" t="s">
        <v>1012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1002</v>
      </c>
      <c r="C328" t="s">
        <v>1007</v>
      </c>
      <c r="D328" t="s">
        <v>1008</v>
      </c>
      <c r="E328" t="s">
        <v>1009</v>
      </c>
      <c r="F328" s="17" t="s">
        <v>1010</v>
      </c>
      <c r="G328" t="s">
        <v>1013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1002</v>
      </c>
      <c r="C329" t="s">
        <v>1007</v>
      </c>
      <c r="D329" t="s">
        <v>1008</v>
      </c>
      <c r="E329" t="s">
        <v>1009</v>
      </c>
      <c r="F329" s="17" t="s">
        <v>1010</v>
      </c>
      <c r="G329" t="s">
        <v>1014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1002</v>
      </c>
      <c r="C330" t="s">
        <v>1007</v>
      </c>
      <c r="D330" t="s">
        <v>1008</v>
      </c>
      <c r="E330" t="s">
        <v>1009</v>
      </c>
      <c r="F330" s="17" t="s">
        <v>1010</v>
      </c>
      <c r="G330" t="s">
        <v>1015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1002</v>
      </c>
      <c r="C331" t="s">
        <v>1007</v>
      </c>
      <c r="D331" t="s">
        <v>1008</v>
      </c>
      <c r="E331" t="s">
        <v>1009</v>
      </c>
      <c r="F331" s="17" t="s">
        <v>1010</v>
      </c>
      <c r="G331" t="s">
        <v>1016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1002</v>
      </c>
      <c r="C332" t="s">
        <v>1007</v>
      </c>
      <c r="D332" t="s">
        <v>1008</v>
      </c>
      <c r="E332" t="s">
        <v>1009</v>
      </c>
      <c r="F332" s="17" t="s">
        <v>1010</v>
      </c>
      <c r="G332" t="s">
        <v>1017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1002</v>
      </c>
      <c r="C333" t="s">
        <v>1007</v>
      </c>
      <c r="D333" t="s">
        <v>1008</v>
      </c>
      <c r="E333" t="s">
        <v>1009</v>
      </c>
      <c r="F333" s="17" t="s">
        <v>1010</v>
      </c>
      <c r="G333" t="s">
        <v>1018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1002</v>
      </c>
      <c r="C334" t="s">
        <v>1007</v>
      </c>
      <c r="D334" t="s">
        <v>1008</v>
      </c>
      <c r="E334" t="s">
        <v>1009</v>
      </c>
      <c r="F334" s="17" t="s">
        <v>1010</v>
      </c>
      <c r="G334" t="s">
        <v>1019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1002</v>
      </c>
      <c r="C335" t="s">
        <v>1007</v>
      </c>
      <c r="D335" t="s">
        <v>1008</v>
      </c>
      <c r="E335" t="s">
        <v>1009</v>
      </c>
      <c r="F335" s="17" t="s">
        <v>1010</v>
      </c>
      <c r="G335" t="s">
        <v>1020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1002</v>
      </c>
      <c r="C336" t="s">
        <v>1007</v>
      </c>
      <c r="D336" t="s">
        <v>1008</v>
      </c>
      <c r="E336" t="s">
        <v>1009</v>
      </c>
      <c r="F336" s="17" t="s">
        <v>1010</v>
      </c>
      <c r="G336" t="s">
        <v>1021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1002</v>
      </c>
      <c r="C337" t="s">
        <v>1007</v>
      </c>
      <c r="D337" t="s">
        <v>1008</v>
      </c>
      <c r="E337" t="s">
        <v>1009</v>
      </c>
      <c r="F337" s="17" t="s">
        <v>1010</v>
      </c>
      <c r="G337" t="s">
        <v>1022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1002</v>
      </c>
      <c r="C338" t="s">
        <v>1007</v>
      </c>
      <c r="D338" t="s">
        <v>1008</v>
      </c>
      <c r="E338" t="s">
        <v>1009</v>
      </c>
      <c r="F338" s="17" t="s">
        <v>1010</v>
      </c>
      <c r="G338" t="s">
        <v>1023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1002</v>
      </c>
      <c r="C339" t="s">
        <v>1007</v>
      </c>
      <c r="D339" t="s">
        <v>1008</v>
      </c>
      <c r="E339" t="s">
        <v>1009</v>
      </c>
      <c r="F339" s="17" t="s">
        <v>1010</v>
      </c>
      <c r="G339" t="s">
        <v>1024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1002</v>
      </c>
      <c r="C340" t="s">
        <v>1007</v>
      </c>
      <c r="D340" t="s">
        <v>1008</v>
      </c>
      <c r="E340" t="s">
        <v>1009</v>
      </c>
      <c r="F340" s="17" t="s">
        <v>1010</v>
      </c>
      <c r="G340" t="s">
        <v>1025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1002</v>
      </c>
      <c r="C341" t="s">
        <v>1007</v>
      </c>
      <c r="D341" t="s">
        <v>1008</v>
      </c>
      <c r="E341" t="s">
        <v>1009</v>
      </c>
      <c r="F341" s="17" t="s">
        <v>1010</v>
      </c>
      <c r="G341" t="s">
        <v>1026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1002</v>
      </c>
      <c r="C342" t="s">
        <v>1007</v>
      </c>
      <c r="D342" t="s">
        <v>1008</v>
      </c>
      <c r="E342" t="s">
        <v>1009</v>
      </c>
      <c r="F342" s="17" t="s">
        <v>1010</v>
      </c>
      <c r="G342" t="s">
        <v>1027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1002</v>
      </c>
      <c r="C343" t="s">
        <v>1007</v>
      </c>
      <c r="D343" t="s">
        <v>1008</v>
      </c>
      <c r="E343" t="s">
        <v>1009</v>
      </c>
      <c r="F343" s="17" t="s">
        <v>1010</v>
      </c>
      <c r="G343" t="s">
        <v>1028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1002</v>
      </c>
      <c r="C344" t="s">
        <v>1007</v>
      </c>
      <c r="D344" t="s">
        <v>1008</v>
      </c>
      <c r="E344" t="s">
        <v>1009</v>
      </c>
      <c r="F344" s="17" t="s">
        <v>1010</v>
      </c>
      <c r="G344" t="s">
        <v>1029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1002</v>
      </c>
      <c r="C345" t="s">
        <v>1007</v>
      </c>
      <c r="D345" t="s">
        <v>1008</v>
      </c>
      <c r="E345" t="s">
        <v>1009</v>
      </c>
      <c r="F345" s="17" t="s">
        <v>1010</v>
      </c>
      <c r="G345" t="s">
        <v>1030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1002</v>
      </c>
      <c r="C346" t="s">
        <v>1007</v>
      </c>
      <c r="D346" t="s">
        <v>1008</v>
      </c>
      <c r="E346" t="s">
        <v>1009</v>
      </c>
      <c r="F346" s="17" t="s">
        <v>1010</v>
      </c>
      <c r="G346" t="s">
        <v>1031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1002</v>
      </c>
      <c r="C347" t="s">
        <v>1007</v>
      </c>
      <c r="D347" t="s">
        <v>1008</v>
      </c>
      <c r="E347" t="s">
        <v>1009</v>
      </c>
      <c r="F347" s="17" t="s">
        <v>1010</v>
      </c>
      <c r="G347" t="s">
        <v>1032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1002</v>
      </c>
      <c r="C348" t="s">
        <v>1007</v>
      </c>
      <c r="D348" t="s">
        <v>1008</v>
      </c>
      <c r="E348" t="s">
        <v>1009</v>
      </c>
      <c r="F348" s="17" t="s">
        <v>1010</v>
      </c>
      <c r="G348" t="s">
        <v>1033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1002</v>
      </c>
      <c r="C349" t="s">
        <v>1007</v>
      </c>
      <c r="D349" t="s">
        <v>1008</v>
      </c>
      <c r="E349" t="s">
        <v>1009</v>
      </c>
      <c r="F349" s="17" t="s">
        <v>1010</v>
      </c>
      <c r="G349" t="s">
        <v>1034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1002</v>
      </c>
      <c r="C350" t="s">
        <v>1007</v>
      </c>
      <c r="D350" t="s">
        <v>1008</v>
      </c>
      <c r="E350" t="s">
        <v>1009</v>
      </c>
      <c r="F350" s="17" t="s">
        <v>1010</v>
      </c>
      <c r="G350" t="s">
        <v>1035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1002</v>
      </c>
      <c r="C351" t="s">
        <v>1007</v>
      </c>
      <c r="D351" t="s">
        <v>1008</v>
      </c>
      <c r="E351" t="s">
        <v>1009</v>
      </c>
      <c r="F351" s="17" t="s">
        <v>1010</v>
      </c>
      <c r="G351" t="s">
        <v>1036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1002</v>
      </c>
      <c r="C352" t="s">
        <v>1007</v>
      </c>
      <c r="D352" t="s">
        <v>1008</v>
      </c>
      <c r="E352" t="s">
        <v>1009</v>
      </c>
      <c r="F352" s="17" t="s">
        <v>1010</v>
      </c>
      <c r="G352" t="s">
        <v>1037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1002</v>
      </c>
      <c r="C353" t="s">
        <v>1007</v>
      </c>
      <c r="D353" t="s">
        <v>1008</v>
      </c>
      <c r="E353" t="s">
        <v>1009</v>
      </c>
      <c r="F353" s="17" t="s">
        <v>1010</v>
      </c>
      <c r="G353" t="s">
        <v>1038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1002</v>
      </c>
      <c r="C354" t="s">
        <v>1007</v>
      </c>
      <c r="D354" t="s">
        <v>1008</v>
      </c>
      <c r="E354" t="s">
        <v>1009</v>
      </c>
      <c r="F354" s="17" t="s">
        <v>1010</v>
      </c>
      <c r="G354" t="s">
        <v>1039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1002</v>
      </c>
      <c r="C355" t="s">
        <v>1040</v>
      </c>
      <c r="D355" t="s">
        <v>1040</v>
      </c>
      <c r="E355" t="s">
        <v>1041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1042</v>
      </c>
      <c r="N355" t="s">
        <v>1043</v>
      </c>
      <c r="O355" s="14"/>
      <c r="P355" t="s">
        <v>1044</v>
      </c>
      <c r="Q355" t="s">
        <v>638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1002</v>
      </c>
      <c r="C356" t="s">
        <v>1045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863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1002</v>
      </c>
      <c r="C357" t="s">
        <v>1046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863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1002</v>
      </c>
      <c r="C358" t="s">
        <v>1047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863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1002</v>
      </c>
      <c r="C359" t="s">
        <v>1048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863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1002</v>
      </c>
      <c r="C360" t="s">
        <v>1049</v>
      </c>
      <c r="D360" t="s">
        <v>1008</v>
      </c>
      <c r="E360" t="s">
        <v>1009</v>
      </c>
      <c r="F360" s="17" t="s">
        <v>1010</v>
      </c>
      <c r="G360" t="s">
        <v>1011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1002</v>
      </c>
      <c r="C361" t="s">
        <v>1049</v>
      </c>
      <c r="D361" t="s">
        <v>1008</v>
      </c>
      <c r="E361" t="s">
        <v>1009</v>
      </c>
      <c r="F361" s="17" t="s">
        <v>1010</v>
      </c>
      <c r="G361" t="s">
        <v>1012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1002</v>
      </c>
      <c r="C362" t="s">
        <v>1049</v>
      </c>
      <c r="D362" t="s">
        <v>1008</v>
      </c>
      <c r="E362" t="s">
        <v>1009</v>
      </c>
      <c r="F362" s="17" t="s">
        <v>1010</v>
      </c>
      <c r="G362" t="s">
        <v>1013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1002</v>
      </c>
      <c r="C363" t="s">
        <v>1049</v>
      </c>
      <c r="D363" t="s">
        <v>1008</v>
      </c>
      <c r="E363" t="s">
        <v>1009</v>
      </c>
      <c r="F363" s="17" t="s">
        <v>1010</v>
      </c>
      <c r="G363" t="s">
        <v>1014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1002</v>
      </c>
      <c r="C364" t="s">
        <v>1049</v>
      </c>
      <c r="D364" t="s">
        <v>1008</v>
      </c>
      <c r="E364" t="s">
        <v>1009</v>
      </c>
      <c r="F364" s="17" t="s">
        <v>1010</v>
      </c>
      <c r="G364" t="s">
        <v>1015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1002</v>
      </c>
      <c r="C365" t="s">
        <v>1049</v>
      </c>
      <c r="D365" t="s">
        <v>1008</v>
      </c>
      <c r="E365" t="s">
        <v>1009</v>
      </c>
      <c r="F365" s="17" t="s">
        <v>1010</v>
      </c>
      <c r="G365" t="s">
        <v>1016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1002</v>
      </c>
      <c r="C366" t="s">
        <v>1049</v>
      </c>
      <c r="D366" t="s">
        <v>1008</v>
      </c>
      <c r="E366" t="s">
        <v>1009</v>
      </c>
      <c r="F366" s="17" t="s">
        <v>1010</v>
      </c>
      <c r="G366" t="s">
        <v>1017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1002</v>
      </c>
      <c r="C367" t="s">
        <v>1049</v>
      </c>
      <c r="D367" t="s">
        <v>1008</v>
      </c>
      <c r="E367" t="s">
        <v>1009</v>
      </c>
      <c r="F367" s="17" t="s">
        <v>1010</v>
      </c>
      <c r="G367" t="s">
        <v>1018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1002</v>
      </c>
      <c r="C368" t="s">
        <v>1049</v>
      </c>
      <c r="D368" t="s">
        <v>1008</v>
      </c>
      <c r="E368" t="s">
        <v>1009</v>
      </c>
      <c r="F368" s="17" t="s">
        <v>1010</v>
      </c>
      <c r="G368" t="s">
        <v>1019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1002</v>
      </c>
      <c r="C369" t="s">
        <v>1049</v>
      </c>
      <c r="D369" t="s">
        <v>1008</v>
      </c>
      <c r="E369" t="s">
        <v>1009</v>
      </c>
      <c r="F369" s="17" t="s">
        <v>1010</v>
      </c>
      <c r="G369" t="s">
        <v>1020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1002</v>
      </c>
      <c r="C370" t="s">
        <v>1049</v>
      </c>
      <c r="D370" t="s">
        <v>1008</v>
      </c>
      <c r="E370" t="s">
        <v>1009</v>
      </c>
      <c r="F370" s="17" t="s">
        <v>1010</v>
      </c>
      <c r="G370" t="s">
        <v>1021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1002</v>
      </c>
      <c r="C371" t="s">
        <v>1049</v>
      </c>
      <c r="D371" t="s">
        <v>1008</v>
      </c>
      <c r="E371" t="s">
        <v>1009</v>
      </c>
      <c r="F371" s="17" t="s">
        <v>1010</v>
      </c>
      <c r="G371" t="s">
        <v>1022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1002</v>
      </c>
      <c r="C372" t="s">
        <v>1049</v>
      </c>
      <c r="D372" t="s">
        <v>1008</v>
      </c>
      <c r="E372" t="s">
        <v>1009</v>
      </c>
      <c r="F372" s="17" t="s">
        <v>1010</v>
      </c>
      <c r="G372" t="s">
        <v>1023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1002</v>
      </c>
      <c r="C373" t="s">
        <v>1049</v>
      </c>
      <c r="D373" t="s">
        <v>1008</v>
      </c>
      <c r="E373" t="s">
        <v>1009</v>
      </c>
      <c r="F373" s="17" t="s">
        <v>1010</v>
      </c>
      <c r="G373" t="s">
        <v>1024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1002</v>
      </c>
      <c r="C374" t="s">
        <v>1049</v>
      </c>
      <c r="D374" t="s">
        <v>1008</v>
      </c>
      <c r="E374" t="s">
        <v>1009</v>
      </c>
      <c r="F374" s="17" t="s">
        <v>1010</v>
      </c>
      <c r="G374" t="s">
        <v>1025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1002</v>
      </c>
      <c r="C375" t="s">
        <v>1049</v>
      </c>
      <c r="D375" t="s">
        <v>1008</v>
      </c>
      <c r="E375" t="s">
        <v>1009</v>
      </c>
      <c r="F375" s="17" t="s">
        <v>1010</v>
      </c>
      <c r="G375" t="s">
        <v>1026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1002</v>
      </c>
      <c r="C376" t="s">
        <v>1049</v>
      </c>
      <c r="D376" t="s">
        <v>1008</v>
      </c>
      <c r="E376" t="s">
        <v>1009</v>
      </c>
      <c r="F376" s="17" t="s">
        <v>1010</v>
      </c>
      <c r="G376" t="s">
        <v>1027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1002</v>
      </c>
      <c r="C377" t="s">
        <v>1049</v>
      </c>
      <c r="D377" t="s">
        <v>1008</v>
      </c>
      <c r="E377" t="s">
        <v>1009</v>
      </c>
      <c r="F377" s="17" t="s">
        <v>1010</v>
      </c>
      <c r="G377" t="s">
        <v>1028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1002</v>
      </c>
      <c r="C378" t="s">
        <v>1049</v>
      </c>
      <c r="D378" t="s">
        <v>1008</v>
      </c>
      <c r="E378" t="s">
        <v>1009</v>
      </c>
      <c r="F378" s="17" t="s">
        <v>1010</v>
      </c>
      <c r="G378" t="s">
        <v>1029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1002</v>
      </c>
      <c r="C379" t="s">
        <v>1049</v>
      </c>
      <c r="D379" t="s">
        <v>1008</v>
      </c>
      <c r="E379" t="s">
        <v>1009</v>
      </c>
      <c r="F379" s="17" t="s">
        <v>1010</v>
      </c>
      <c r="G379" t="s">
        <v>1030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1002</v>
      </c>
      <c r="C380" t="s">
        <v>1049</v>
      </c>
      <c r="D380" t="s">
        <v>1008</v>
      </c>
      <c r="E380" t="s">
        <v>1009</v>
      </c>
      <c r="F380" s="17" t="s">
        <v>1010</v>
      </c>
      <c r="G380" t="s">
        <v>1031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1002</v>
      </c>
      <c r="C381" t="s">
        <v>1049</v>
      </c>
      <c r="D381" t="s">
        <v>1008</v>
      </c>
      <c r="E381" t="s">
        <v>1009</v>
      </c>
      <c r="F381" s="17" t="s">
        <v>1010</v>
      </c>
      <c r="G381" t="s">
        <v>1032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1002</v>
      </c>
      <c r="C382" t="s">
        <v>1049</v>
      </c>
      <c r="D382" t="s">
        <v>1008</v>
      </c>
      <c r="E382" t="s">
        <v>1009</v>
      </c>
      <c r="F382" s="17" t="s">
        <v>1010</v>
      </c>
      <c r="G382" t="s">
        <v>1033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1002</v>
      </c>
      <c r="C383" t="s">
        <v>1049</v>
      </c>
      <c r="D383" t="s">
        <v>1008</v>
      </c>
      <c r="E383" t="s">
        <v>1009</v>
      </c>
      <c r="F383" s="17" t="s">
        <v>1010</v>
      </c>
      <c r="G383" t="s">
        <v>1034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1002</v>
      </c>
      <c r="C384" t="s">
        <v>1049</v>
      </c>
      <c r="D384" t="s">
        <v>1008</v>
      </c>
      <c r="E384" t="s">
        <v>1009</v>
      </c>
      <c r="F384" s="17" t="s">
        <v>1010</v>
      </c>
      <c r="G384" t="s">
        <v>1035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1002</v>
      </c>
      <c r="C385" t="s">
        <v>1049</v>
      </c>
      <c r="D385" t="s">
        <v>1008</v>
      </c>
      <c r="E385" t="s">
        <v>1009</v>
      </c>
      <c r="F385" s="17" t="s">
        <v>1010</v>
      </c>
      <c r="G385" t="s">
        <v>1036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1002</v>
      </c>
      <c r="C386" t="s">
        <v>1049</v>
      </c>
      <c r="D386" t="s">
        <v>1008</v>
      </c>
      <c r="E386" t="s">
        <v>1009</v>
      </c>
      <c r="F386" s="17" t="s">
        <v>1010</v>
      </c>
      <c r="G386" t="s">
        <v>1037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1002</v>
      </c>
      <c r="C387" t="s">
        <v>1049</v>
      </c>
      <c r="D387" t="s">
        <v>1008</v>
      </c>
      <c r="E387" t="s">
        <v>1009</v>
      </c>
      <c r="F387" s="17" t="s">
        <v>1010</v>
      </c>
      <c r="G387" t="s">
        <v>1038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1002</v>
      </c>
      <c r="C388" t="s">
        <v>1049</v>
      </c>
      <c r="D388" t="s">
        <v>1008</v>
      </c>
      <c r="E388" t="s">
        <v>1009</v>
      </c>
      <c r="F388" s="17" t="s">
        <v>1010</v>
      </c>
      <c r="G388" t="s">
        <v>1039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1002</v>
      </c>
      <c r="C389" t="s">
        <v>1050</v>
      </c>
      <c r="D389" t="s">
        <v>1051</v>
      </c>
      <c r="E389" t="s">
        <v>1052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1053</v>
      </c>
      <c r="N389" t="s">
        <v>1054</v>
      </c>
      <c r="O389" s="14"/>
      <c r="Q389" t="s">
        <v>638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sheetPr filterMode="1"/>
  <dimension ref="A1:AF764"/>
  <sheetViews>
    <sheetView zoomScale="90" zoomScaleNormal="90" workbookViewId="0">
      <pane xSplit="2" ySplit="1" topLeftCell="S3" activePane="bottomRight" state="frozen"/>
      <selection pane="topRight" activeCell="C1" sqref="C1"/>
      <selection pane="bottomLeft" activeCell="A2" sqref="A2"/>
      <selection pane="bottomRight" activeCell="AA29" sqref="AA29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1824</v>
      </c>
      <c r="P1" t="s">
        <v>1823</v>
      </c>
      <c r="Q1" t="s">
        <v>1822</v>
      </c>
      <c r="R1" t="s">
        <v>1821</v>
      </c>
      <c r="S1" t="s">
        <v>1820</v>
      </c>
      <c r="U1" t="s">
        <v>1819</v>
      </c>
      <c r="V1" t="s">
        <v>1818</v>
      </c>
    </row>
    <row r="2" spans="1:32" hidden="1" x14ac:dyDescent="0.3">
      <c r="A2">
        <v>1131185</v>
      </c>
      <c r="B2" t="s">
        <v>1788</v>
      </c>
      <c r="C2" t="s">
        <v>1003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1708</v>
      </c>
      <c r="P2" t="s">
        <v>1708</v>
      </c>
      <c r="R2" s="25">
        <f>COUNTIF(O2:O39,"*YES*")/COUNTA(O2:O39)</f>
        <v>0.92105263157894735</v>
      </c>
      <c r="S2" s="25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1817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1788</v>
      </c>
      <c r="C3" t="s">
        <v>1040</v>
      </c>
      <c r="D3" t="s">
        <v>1040</v>
      </c>
      <c r="E3" t="s">
        <v>1041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1042</v>
      </c>
      <c r="N3" t="s">
        <v>1043</v>
      </c>
      <c r="O3" t="s">
        <v>1795</v>
      </c>
      <c r="P3" t="s">
        <v>1748</v>
      </c>
      <c r="Q3" s="20" t="s">
        <v>1794</v>
      </c>
      <c r="R3" s="25"/>
      <c r="S3" s="25"/>
      <c r="T3" s="18"/>
      <c r="U3" s="18" t="str">
        <v>Blockstream</v>
      </c>
      <c r="V3" s="21">
        <f t="shared" si="0"/>
        <v>1</v>
      </c>
      <c r="X3" s="23" t="s">
        <v>1816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1788</v>
      </c>
      <c r="C4" t="s">
        <v>1007</v>
      </c>
      <c r="D4" t="s">
        <v>1008</v>
      </c>
      <c r="E4" t="s">
        <v>1009</v>
      </c>
      <c r="F4" t="s">
        <v>1010</v>
      </c>
      <c r="G4" t="s">
        <v>1011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1708</v>
      </c>
      <c r="P4" t="s">
        <v>1769</v>
      </c>
      <c r="R4" s="25"/>
      <c r="S4" s="25"/>
      <c r="T4" s="18"/>
      <c r="U4" s="18" t="str">
        <v>Rock glacier</v>
      </c>
      <c r="V4" s="21">
        <f t="shared" si="0"/>
        <v>29</v>
      </c>
      <c r="X4" s="23" t="s">
        <v>1815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1788</v>
      </c>
      <c r="C5" t="s">
        <v>1007</v>
      </c>
      <c r="D5" t="s">
        <v>1008</v>
      </c>
      <c r="E5" t="s">
        <v>1009</v>
      </c>
      <c r="F5" t="s">
        <v>1010</v>
      </c>
      <c r="G5" t="s">
        <v>1012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1708</v>
      </c>
      <c r="P5" t="s">
        <v>1708</v>
      </c>
      <c r="R5" s="25"/>
      <c r="S5" s="25"/>
      <c r="T5" s="18"/>
      <c r="U5" s="18" t="str">
        <v>Periglacial morphology and process</v>
      </c>
      <c r="V5" s="21">
        <f t="shared" si="0"/>
        <v>1</v>
      </c>
      <c r="X5" s="23" t="s">
        <v>1814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1788</v>
      </c>
      <c r="C6" t="s">
        <v>1007</v>
      </c>
      <c r="D6" t="s">
        <v>1008</v>
      </c>
      <c r="E6" t="s">
        <v>1009</v>
      </c>
      <c r="F6" t="s">
        <v>1010</v>
      </c>
      <c r="G6" t="s">
        <v>1013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1708</v>
      </c>
      <c r="P6" t="s">
        <v>1708</v>
      </c>
      <c r="R6" s="25"/>
      <c r="S6" s="25"/>
      <c r="T6" s="18"/>
      <c r="U6" s="18" t="str">
        <v>Pleistocene</v>
      </c>
      <c r="V6" s="21">
        <f t="shared" si="0"/>
        <v>1</v>
      </c>
      <c r="X6" s="23" t="s">
        <v>1813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1788</v>
      </c>
      <c r="C7" t="s">
        <v>1007</v>
      </c>
      <c r="D7" t="s">
        <v>1008</v>
      </c>
      <c r="E7" t="s">
        <v>1009</v>
      </c>
      <c r="F7" t="s">
        <v>1010</v>
      </c>
      <c r="G7" t="s">
        <v>1014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1708</v>
      </c>
      <c r="P7" t="s">
        <v>1708</v>
      </c>
      <c r="R7" s="25"/>
      <c r="S7" s="25"/>
      <c r="T7" s="18"/>
      <c r="U7" s="18" t="str">
        <v>Late Glacial</v>
      </c>
      <c r="V7" s="21">
        <f t="shared" si="0"/>
        <v>1</v>
      </c>
      <c r="X7" s="23" t="s">
        <v>1812</v>
      </c>
      <c r="Y7" s="22">
        <f>COUNTIF(O2:O192,"*YES*")/COUNTA(O2:O192)</f>
        <v>0.95811518324607325</v>
      </c>
    </row>
    <row r="8" spans="1:32" x14ac:dyDescent="0.3">
      <c r="A8">
        <v>1131185</v>
      </c>
      <c r="B8" t="s">
        <v>1788</v>
      </c>
      <c r="C8" t="s">
        <v>1007</v>
      </c>
      <c r="D8" t="s">
        <v>1008</v>
      </c>
      <c r="E8" t="s">
        <v>1009</v>
      </c>
      <c r="F8" t="s">
        <v>1010</v>
      </c>
      <c r="G8" t="s">
        <v>1015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1708</v>
      </c>
      <c r="P8" t="s">
        <v>1708</v>
      </c>
      <c r="R8" s="25"/>
      <c r="S8" s="25"/>
      <c r="T8" s="18"/>
      <c r="U8" s="18" t="str">
        <v>Eastern Velay</v>
      </c>
      <c r="V8" s="21">
        <f t="shared" si="0"/>
        <v>1</v>
      </c>
      <c r="X8" s="23" t="s">
        <v>1811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1788</v>
      </c>
      <c r="C9" t="s">
        <v>1007</v>
      </c>
      <c r="D9" t="s">
        <v>1008</v>
      </c>
      <c r="E9" t="s">
        <v>1009</v>
      </c>
      <c r="F9" t="s">
        <v>1010</v>
      </c>
      <c r="G9" t="s">
        <v>1016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1708</v>
      </c>
      <c r="P9" t="s">
        <v>1708</v>
      </c>
      <c r="R9" s="25"/>
      <c r="S9" s="25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1788</v>
      </c>
      <c r="C10" t="s">
        <v>1007</v>
      </c>
      <c r="D10" t="s">
        <v>1008</v>
      </c>
      <c r="E10" t="s">
        <v>1009</v>
      </c>
      <c r="F10" t="s">
        <v>1010</v>
      </c>
      <c r="G10" t="s">
        <v>1017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1708</v>
      </c>
      <c r="P10" t="s">
        <v>1708</v>
      </c>
      <c r="R10" s="25"/>
      <c r="S10" s="25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1788</v>
      </c>
      <c r="C11" t="s">
        <v>1007</v>
      </c>
      <c r="D11" t="s">
        <v>1008</v>
      </c>
      <c r="E11" t="s">
        <v>1009</v>
      </c>
      <c r="F11" t="s">
        <v>1010</v>
      </c>
      <c r="G11" t="s">
        <v>1018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1708</v>
      </c>
      <c r="P11" t="s">
        <v>1708</v>
      </c>
      <c r="R11" s="25"/>
      <c r="S11" s="25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1788</v>
      </c>
      <c r="C12" t="s">
        <v>1007</v>
      </c>
      <c r="D12" t="s">
        <v>1008</v>
      </c>
      <c r="E12" t="s">
        <v>1009</v>
      </c>
      <c r="F12" t="s">
        <v>1010</v>
      </c>
      <c r="G12" t="s">
        <v>1019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1708</v>
      </c>
      <c r="P12" t="s">
        <v>1708</v>
      </c>
      <c r="R12" s="25"/>
      <c r="S12" s="25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41</v>
      </c>
      <c r="Z12" s="9" cm="1">
        <f t="array" ref="Z12">COUNTA(_xlfn.UNIQUE(_xlfn._xlws.FILTER(C2:C192 &amp; E2:E192, O2:O192="NO")))</f>
        <v>7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0.85416666666666663</v>
      </c>
      <c r="AD12" s="13">
        <f>Z12 / (Y12 + Z12)</f>
        <v>0.14583333333333334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1788</v>
      </c>
      <c r="C13" t="s">
        <v>1007</v>
      </c>
      <c r="D13" t="s">
        <v>1008</v>
      </c>
      <c r="E13" t="s">
        <v>1009</v>
      </c>
      <c r="F13" t="s">
        <v>1010</v>
      </c>
      <c r="G13" t="s">
        <v>1020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1708</v>
      </c>
      <c r="P13" t="s">
        <v>1708</v>
      </c>
      <c r="R13" s="25"/>
      <c r="S13" s="25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1788</v>
      </c>
      <c r="C14" t="s">
        <v>1007</v>
      </c>
      <c r="D14" t="s">
        <v>1008</v>
      </c>
      <c r="E14" t="s">
        <v>1009</v>
      </c>
      <c r="F14" t="s">
        <v>1010</v>
      </c>
      <c r="G14" t="s">
        <v>1021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1708</v>
      </c>
      <c r="P14" t="s">
        <v>1708</v>
      </c>
      <c r="R14" s="25"/>
      <c r="S14" s="25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1788</v>
      </c>
      <c r="C15" t="s">
        <v>1007</v>
      </c>
      <c r="D15" t="s">
        <v>1008</v>
      </c>
      <c r="E15" t="s">
        <v>1009</v>
      </c>
      <c r="F15" t="s">
        <v>1010</v>
      </c>
      <c r="G15" t="s">
        <v>1022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1708</v>
      </c>
      <c r="P15" t="s">
        <v>1708</v>
      </c>
      <c r="R15" s="25"/>
      <c r="S15" s="25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1788</v>
      </c>
      <c r="C16" t="s">
        <v>1007</v>
      </c>
      <c r="D16" t="s">
        <v>1008</v>
      </c>
      <c r="E16" t="s">
        <v>1009</v>
      </c>
      <c r="F16" t="s">
        <v>1010</v>
      </c>
      <c r="G16" t="s">
        <v>1023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1708</v>
      </c>
      <c r="P16" t="s">
        <v>1708</v>
      </c>
      <c r="R16" s="25"/>
      <c r="S16" s="25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1788</v>
      </c>
      <c r="C17" t="s">
        <v>1007</v>
      </c>
      <c r="D17" t="s">
        <v>1008</v>
      </c>
      <c r="E17" t="s">
        <v>1009</v>
      </c>
      <c r="F17" t="s">
        <v>1010</v>
      </c>
      <c r="G17" t="s">
        <v>1024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1708</v>
      </c>
      <c r="P17" t="s">
        <v>1708</v>
      </c>
      <c r="R17" s="25"/>
      <c r="S17" s="25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1788</v>
      </c>
      <c r="C18" t="s">
        <v>1007</v>
      </c>
      <c r="D18" t="s">
        <v>1008</v>
      </c>
      <c r="E18" t="s">
        <v>1009</v>
      </c>
      <c r="F18" t="s">
        <v>1010</v>
      </c>
      <c r="G18" t="s">
        <v>1025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1708</v>
      </c>
      <c r="P18" t="s">
        <v>1708</v>
      </c>
      <c r="R18" s="25"/>
      <c r="S18" s="25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1788</v>
      </c>
      <c r="C19" t="s">
        <v>1007</v>
      </c>
      <c r="D19" t="s">
        <v>1008</v>
      </c>
      <c r="E19" t="s">
        <v>1009</v>
      </c>
      <c r="F19" t="s">
        <v>1010</v>
      </c>
      <c r="G19" t="s">
        <v>1026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1708</v>
      </c>
      <c r="P19" t="s">
        <v>1708</v>
      </c>
      <c r="R19" s="25"/>
      <c r="S19" s="25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1788</v>
      </c>
      <c r="C20" t="s">
        <v>1007</v>
      </c>
      <c r="D20" t="s">
        <v>1008</v>
      </c>
      <c r="E20" t="s">
        <v>1009</v>
      </c>
      <c r="F20" t="s">
        <v>1010</v>
      </c>
      <c r="G20" t="s">
        <v>1027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1708</v>
      </c>
      <c r="P20" t="s">
        <v>1708</v>
      </c>
      <c r="R20" s="25"/>
      <c r="S20" s="25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1788</v>
      </c>
      <c r="C21" t="s">
        <v>1007</v>
      </c>
      <c r="D21" t="s">
        <v>1008</v>
      </c>
      <c r="E21" t="s">
        <v>1009</v>
      </c>
      <c r="F21" t="s">
        <v>1010</v>
      </c>
      <c r="G21" t="s">
        <v>1028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1708</v>
      </c>
      <c r="P21" t="s">
        <v>1708</v>
      </c>
      <c r="R21" s="25"/>
      <c r="S21" s="25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1788</v>
      </c>
      <c r="C22" t="s">
        <v>1007</v>
      </c>
      <c r="D22" t="s">
        <v>1008</v>
      </c>
      <c r="E22" t="s">
        <v>1009</v>
      </c>
      <c r="F22" t="s">
        <v>1010</v>
      </c>
      <c r="G22" t="s">
        <v>1029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1708</v>
      </c>
      <c r="P22" t="s">
        <v>1708</v>
      </c>
      <c r="R22" s="25"/>
      <c r="S22" s="25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1788</v>
      </c>
      <c r="C23" t="s">
        <v>1007</v>
      </c>
      <c r="D23" t="s">
        <v>1008</v>
      </c>
      <c r="E23" t="s">
        <v>1009</v>
      </c>
      <c r="F23" t="s">
        <v>1010</v>
      </c>
      <c r="G23" t="s">
        <v>1030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1708</v>
      </c>
      <c r="P23" t="s">
        <v>1708</v>
      </c>
      <c r="R23" s="25"/>
      <c r="S23" s="25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1788</v>
      </c>
      <c r="C24" t="s">
        <v>1007</v>
      </c>
      <c r="D24" t="s">
        <v>1008</v>
      </c>
      <c r="E24" t="s">
        <v>1009</v>
      </c>
      <c r="F24" t="s">
        <v>1010</v>
      </c>
      <c r="G24" t="s">
        <v>1031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1708</v>
      </c>
      <c r="P24" t="s">
        <v>1708</v>
      </c>
      <c r="R24" s="25"/>
      <c r="S24" s="25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1788</v>
      </c>
      <c r="C25" t="s">
        <v>1007</v>
      </c>
      <c r="D25" t="s">
        <v>1008</v>
      </c>
      <c r="E25" t="s">
        <v>1009</v>
      </c>
      <c r="F25" t="s">
        <v>1010</v>
      </c>
      <c r="G25" t="s">
        <v>1032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1708</v>
      </c>
      <c r="P25" t="s">
        <v>1708</v>
      </c>
      <c r="R25" s="25"/>
      <c r="S25" s="25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1788</v>
      </c>
      <c r="C26" t="s">
        <v>1007</v>
      </c>
      <c r="D26" t="s">
        <v>1008</v>
      </c>
      <c r="E26" t="s">
        <v>1009</v>
      </c>
      <c r="F26" t="s">
        <v>1010</v>
      </c>
      <c r="G26" t="s">
        <v>1033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1708</v>
      </c>
      <c r="P26" t="s">
        <v>1708</v>
      </c>
      <c r="R26" s="25"/>
      <c r="S26" s="25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1788</v>
      </c>
      <c r="C27" t="s">
        <v>1007</v>
      </c>
      <c r="D27" t="s">
        <v>1008</v>
      </c>
      <c r="E27" t="s">
        <v>1009</v>
      </c>
      <c r="F27" t="s">
        <v>1010</v>
      </c>
      <c r="G27" t="s">
        <v>1034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1708</v>
      </c>
      <c r="P27" t="s">
        <v>1708</v>
      </c>
      <c r="R27" s="25"/>
      <c r="S27" s="25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1788</v>
      </c>
      <c r="C28" t="s">
        <v>1007</v>
      </c>
      <c r="D28" t="s">
        <v>1008</v>
      </c>
      <c r="E28" t="s">
        <v>1009</v>
      </c>
      <c r="F28" t="s">
        <v>1010</v>
      </c>
      <c r="G28" t="s">
        <v>1035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1708</v>
      </c>
      <c r="P28" t="s">
        <v>1708</v>
      </c>
      <c r="R28" s="25"/>
      <c r="S28" s="25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1788</v>
      </c>
      <c r="C29" t="s">
        <v>1007</v>
      </c>
      <c r="D29" t="s">
        <v>1008</v>
      </c>
      <c r="E29" t="s">
        <v>1009</v>
      </c>
      <c r="F29" t="s">
        <v>1010</v>
      </c>
      <c r="G29" t="s">
        <v>1036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1708</v>
      </c>
      <c r="P29" t="s">
        <v>1708</v>
      </c>
      <c r="R29" s="25"/>
      <c r="S29" s="25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1788</v>
      </c>
      <c r="C30" t="s">
        <v>1007</v>
      </c>
      <c r="D30" t="s">
        <v>1008</v>
      </c>
      <c r="E30" t="s">
        <v>1009</v>
      </c>
      <c r="F30" t="s">
        <v>1010</v>
      </c>
      <c r="G30" t="s">
        <v>1037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1708</v>
      </c>
      <c r="P30" t="s">
        <v>1708</v>
      </c>
      <c r="R30" s="25"/>
      <c r="S30" s="25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1788</v>
      </c>
      <c r="C31" t="s">
        <v>1007</v>
      </c>
      <c r="D31" t="s">
        <v>1008</v>
      </c>
      <c r="E31" t="s">
        <v>1009</v>
      </c>
      <c r="F31" t="s">
        <v>1010</v>
      </c>
      <c r="G31" t="s">
        <v>1038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1708</v>
      </c>
      <c r="P31" t="s">
        <v>1708</v>
      </c>
      <c r="R31" s="25"/>
      <c r="S31" s="25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1788</v>
      </c>
      <c r="C32" t="s">
        <v>1007</v>
      </c>
      <c r="D32" t="s">
        <v>1008</v>
      </c>
      <c r="E32" t="s">
        <v>1009</v>
      </c>
      <c r="F32" t="s">
        <v>1010</v>
      </c>
      <c r="G32" t="s">
        <v>1039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1708</v>
      </c>
      <c r="P32" t="s">
        <v>1708</v>
      </c>
      <c r="R32" s="25"/>
      <c r="S32" s="25"/>
      <c r="T32" s="18"/>
      <c r="U32" s="18" t="str">
        <v>Vibration</v>
      </c>
      <c r="V32" s="21">
        <f t="shared" si="0"/>
        <v>1</v>
      </c>
    </row>
    <row r="33" spans="1:22" hidden="1" x14ac:dyDescent="0.3">
      <c r="A33">
        <v>1131185</v>
      </c>
      <c r="B33" t="s">
        <v>1788</v>
      </c>
      <c r="C33" t="s">
        <v>1810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1708</v>
      </c>
      <c r="P33" t="s">
        <v>1708</v>
      </c>
      <c r="R33" s="25"/>
      <c r="S33" s="25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1788</v>
      </c>
      <c r="C34" t="s">
        <v>1809</v>
      </c>
      <c r="D34" t="s">
        <v>1809</v>
      </c>
      <c r="E34" t="s">
        <v>1808</v>
      </c>
      <c r="F34" t="s">
        <v>1807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1806</v>
      </c>
      <c r="N34" t="s">
        <v>1805</v>
      </c>
      <c r="O34" t="s">
        <v>1708</v>
      </c>
      <c r="P34" t="s">
        <v>1708</v>
      </c>
      <c r="R34" s="25"/>
      <c r="S34" s="25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1788</v>
      </c>
      <c r="C35" t="s">
        <v>1804</v>
      </c>
      <c r="D35" t="s">
        <v>1786</v>
      </c>
      <c r="E35" t="s">
        <v>1785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1784</v>
      </c>
      <c r="N35" t="s">
        <v>1783</v>
      </c>
      <c r="O35" t="s">
        <v>1708</v>
      </c>
      <c r="P35" t="s">
        <v>1769</v>
      </c>
      <c r="R35" s="25"/>
      <c r="S35" s="25"/>
      <c r="T35" s="18"/>
      <c r="U35" s="18" t="str">
        <v>Mistuned bladed disk</v>
      </c>
      <c r="V35" s="21">
        <f t="shared" si="0"/>
        <v>1</v>
      </c>
    </row>
    <row r="36" spans="1:22" hidden="1" x14ac:dyDescent="0.3">
      <c r="A36">
        <v>1131185</v>
      </c>
      <c r="B36" t="s">
        <v>1788</v>
      </c>
      <c r="C36" t="s">
        <v>1004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1708</v>
      </c>
      <c r="P36" t="s">
        <v>1769</v>
      </c>
      <c r="R36" s="25"/>
      <c r="S36" s="25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1788</v>
      </c>
      <c r="C37" t="s">
        <v>1803</v>
      </c>
      <c r="D37" t="s">
        <v>1802</v>
      </c>
      <c r="E37" t="s">
        <v>1801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1800</v>
      </c>
      <c r="N37" t="s">
        <v>1799</v>
      </c>
      <c r="O37" t="s">
        <v>1795</v>
      </c>
      <c r="P37" t="s">
        <v>1748</v>
      </c>
      <c r="Q37" s="19" t="s">
        <v>1798</v>
      </c>
      <c r="R37" s="25"/>
      <c r="S37" s="25"/>
      <c r="T37" s="18"/>
      <c r="U37" s="18" t="str">
        <v>Multiscale methods</v>
      </c>
      <c r="V37" s="21">
        <f t="shared" si="0"/>
        <v>1</v>
      </c>
    </row>
    <row r="38" spans="1:22" hidden="1" x14ac:dyDescent="0.3">
      <c r="A38">
        <v>1131185</v>
      </c>
      <c r="B38" t="s">
        <v>1788</v>
      </c>
      <c r="C38" t="s">
        <v>1797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1708</v>
      </c>
      <c r="P38" t="s">
        <v>1769</v>
      </c>
      <c r="Q38" t="s">
        <v>1796</v>
      </c>
      <c r="R38" s="25"/>
      <c r="S38" s="25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1788</v>
      </c>
      <c r="C39" t="s">
        <v>1050</v>
      </c>
      <c r="D39" t="s">
        <v>1051</v>
      </c>
      <c r="E39" t="s">
        <v>1052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1053</v>
      </c>
      <c r="N39" t="s">
        <v>1054</v>
      </c>
      <c r="O39" t="s">
        <v>1795</v>
      </c>
      <c r="P39" t="s">
        <v>1748</v>
      </c>
      <c r="Q39" s="20" t="s">
        <v>1794</v>
      </c>
      <c r="R39" s="25"/>
      <c r="S39" s="25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1788</v>
      </c>
      <c r="C40" t="s">
        <v>1049</v>
      </c>
      <c r="D40" t="s">
        <v>1008</v>
      </c>
      <c r="E40" t="s">
        <v>1009</v>
      </c>
      <c r="F40" t="s">
        <v>1010</v>
      </c>
      <c r="G40" t="s">
        <v>1011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1708</v>
      </c>
      <c r="Q40" s="20" t="s">
        <v>1793</v>
      </c>
      <c r="R40" s="25"/>
      <c r="S40" s="25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1788</v>
      </c>
      <c r="C41" t="s">
        <v>1049</v>
      </c>
      <c r="D41" t="s">
        <v>1008</v>
      </c>
      <c r="E41" t="s">
        <v>1009</v>
      </c>
      <c r="F41" t="s">
        <v>1010</v>
      </c>
      <c r="G41" t="s">
        <v>1012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1708</v>
      </c>
      <c r="Q41" s="20" t="s">
        <v>1793</v>
      </c>
      <c r="R41" s="25"/>
      <c r="S41" s="25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1788</v>
      </c>
      <c r="C42" t="s">
        <v>1049</v>
      </c>
      <c r="D42" t="s">
        <v>1008</v>
      </c>
      <c r="E42" t="s">
        <v>1009</v>
      </c>
      <c r="F42" t="s">
        <v>1010</v>
      </c>
      <c r="G42" t="s">
        <v>1013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1708</v>
      </c>
      <c r="Q42" s="20" t="s">
        <v>1792</v>
      </c>
      <c r="R42" s="25"/>
      <c r="S42" s="25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1788</v>
      </c>
      <c r="C43" t="s">
        <v>1049</v>
      </c>
      <c r="D43" t="s">
        <v>1008</v>
      </c>
      <c r="E43" t="s">
        <v>1009</v>
      </c>
      <c r="F43" t="s">
        <v>1010</v>
      </c>
      <c r="G43" t="s">
        <v>1014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1708</v>
      </c>
      <c r="Q43" s="20" t="s">
        <v>1792</v>
      </c>
      <c r="R43" s="25"/>
      <c r="S43" s="25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1788</v>
      </c>
      <c r="C44" t="s">
        <v>1049</v>
      </c>
      <c r="D44" t="s">
        <v>1008</v>
      </c>
      <c r="E44" t="s">
        <v>1009</v>
      </c>
      <c r="F44" t="s">
        <v>1010</v>
      </c>
      <c r="G44" t="s">
        <v>1015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1708</v>
      </c>
      <c r="Q44" s="20" t="s">
        <v>1791</v>
      </c>
      <c r="R44" s="25"/>
      <c r="S44" s="25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1788</v>
      </c>
      <c r="C45" t="s">
        <v>1049</v>
      </c>
      <c r="D45" t="s">
        <v>1008</v>
      </c>
      <c r="E45" t="s">
        <v>1009</v>
      </c>
      <c r="F45" t="s">
        <v>1010</v>
      </c>
      <c r="G45" t="s">
        <v>1016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1708</v>
      </c>
      <c r="Q45" s="20" t="s">
        <v>1791</v>
      </c>
      <c r="R45" s="25"/>
      <c r="S45" s="25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1788</v>
      </c>
      <c r="C46" t="s">
        <v>1049</v>
      </c>
      <c r="D46" t="s">
        <v>1008</v>
      </c>
      <c r="E46" t="s">
        <v>1009</v>
      </c>
      <c r="F46" t="s">
        <v>1010</v>
      </c>
      <c r="G46" t="s">
        <v>1017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1708</v>
      </c>
      <c r="Q46" s="20" t="s">
        <v>1791</v>
      </c>
      <c r="R46" s="25"/>
      <c r="S46" s="25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1788</v>
      </c>
      <c r="C47" t="s">
        <v>1049</v>
      </c>
      <c r="D47" t="s">
        <v>1008</v>
      </c>
      <c r="E47" t="s">
        <v>1009</v>
      </c>
      <c r="F47" t="s">
        <v>1010</v>
      </c>
      <c r="G47" t="s">
        <v>1018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1708</v>
      </c>
      <c r="Q47" s="20" t="s">
        <v>1791</v>
      </c>
      <c r="R47" s="25"/>
      <c r="S47" s="25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1788</v>
      </c>
      <c r="C48" t="s">
        <v>1049</v>
      </c>
      <c r="D48" t="s">
        <v>1008</v>
      </c>
      <c r="E48" t="s">
        <v>1009</v>
      </c>
      <c r="F48" t="s">
        <v>1010</v>
      </c>
      <c r="G48" t="s">
        <v>1019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1708</v>
      </c>
      <c r="Q48" s="20" t="s">
        <v>1791</v>
      </c>
      <c r="R48" s="25"/>
      <c r="S48" s="25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1788</v>
      </c>
      <c r="C49" t="s">
        <v>1049</v>
      </c>
      <c r="D49" t="s">
        <v>1008</v>
      </c>
      <c r="E49" t="s">
        <v>1009</v>
      </c>
      <c r="F49" t="s">
        <v>1010</v>
      </c>
      <c r="G49" t="s">
        <v>1020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1708</v>
      </c>
      <c r="Q49" s="20" t="s">
        <v>1791</v>
      </c>
      <c r="R49" s="25"/>
      <c r="S49" s="25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1788</v>
      </c>
      <c r="C50" t="s">
        <v>1049</v>
      </c>
      <c r="D50" t="s">
        <v>1008</v>
      </c>
      <c r="E50" t="s">
        <v>1009</v>
      </c>
      <c r="F50" t="s">
        <v>1010</v>
      </c>
      <c r="G50" t="s">
        <v>1021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1708</v>
      </c>
      <c r="Q50" s="20" t="s">
        <v>1791</v>
      </c>
      <c r="R50" s="25"/>
      <c r="S50" s="25"/>
      <c r="T50" s="18"/>
      <c r="U50" s="18"/>
      <c r="V50" s="18"/>
    </row>
    <row r="51" spans="1:22" x14ac:dyDescent="0.3">
      <c r="A51">
        <v>1131185</v>
      </c>
      <c r="B51" t="s">
        <v>1788</v>
      </c>
      <c r="C51" t="s">
        <v>1049</v>
      </c>
      <c r="D51" t="s">
        <v>1008</v>
      </c>
      <c r="E51" t="s">
        <v>1009</v>
      </c>
      <c r="F51" t="s">
        <v>1010</v>
      </c>
      <c r="G51" t="s">
        <v>1022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1708</v>
      </c>
      <c r="Q51" s="20" t="s">
        <v>1791</v>
      </c>
      <c r="R51" s="25"/>
      <c r="S51" s="25"/>
      <c r="T51" s="18"/>
      <c r="U51" s="18"/>
      <c r="V51" s="18"/>
    </row>
    <row r="52" spans="1:22" x14ac:dyDescent="0.3">
      <c r="A52">
        <v>1131185</v>
      </c>
      <c r="B52" t="s">
        <v>1788</v>
      </c>
      <c r="C52" t="s">
        <v>1049</v>
      </c>
      <c r="D52" t="s">
        <v>1008</v>
      </c>
      <c r="E52" t="s">
        <v>1009</v>
      </c>
      <c r="F52" t="s">
        <v>1010</v>
      </c>
      <c r="G52" t="s">
        <v>1023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1708</v>
      </c>
      <c r="Q52" s="20" t="s">
        <v>1791</v>
      </c>
      <c r="R52" s="25"/>
      <c r="S52" s="25"/>
      <c r="T52" s="18"/>
      <c r="U52" s="18"/>
      <c r="V52" s="18"/>
    </row>
    <row r="53" spans="1:22" x14ac:dyDescent="0.3">
      <c r="A53">
        <v>1131185</v>
      </c>
      <c r="B53" t="s">
        <v>1788</v>
      </c>
      <c r="C53" t="s">
        <v>1049</v>
      </c>
      <c r="D53" t="s">
        <v>1008</v>
      </c>
      <c r="E53" t="s">
        <v>1009</v>
      </c>
      <c r="F53" t="s">
        <v>1010</v>
      </c>
      <c r="G53" t="s">
        <v>1024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1708</v>
      </c>
      <c r="Q53" s="20" t="s">
        <v>1791</v>
      </c>
      <c r="R53" s="25"/>
      <c r="S53" s="25"/>
      <c r="T53" s="18"/>
      <c r="U53" s="18"/>
      <c r="V53" s="18"/>
    </row>
    <row r="54" spans="1:22" x14ac:dyDescent="0.3">
      <c r="A54">
        <v>1131185</v>
      </c>
      <c r="B54" t="s">
        <v>1788</v>
      </c>
      <c r="C54" t="s">
        <v>1049</v>
      </c>
      <c r="D54" t="s">
        <v>1008</v>
      </c>
      <c r="E54" t="s">
        <v>1009</v>
      </c>
      <c r="F54" t="s">
        <v>1010</v>
      </c>
      <c r="G54" t="s">
        <v>1025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1708</v>
      </c>
      <c r="Q54" s="20" t="s">
        <v>1791</v>
      </c>
      <c r="R54" s="25"/>
      <c r="S54" s="25"/>
      <c r="T54" s="18"/>
      <c r="U54" s="18"/>
      <c r="V54" s="18"/>
    </row>
    <row r="55" spans="1:22" x14ac:dyDescent="0.3">
      <c r="A55">
        <v>1131185</v>
      </c>
      <c r="B55" t="s">
        <v>1788</v>
      </c>
      <c r="C55" t="s">
        <v>1049</v>
      </c>
      <c r="D55" t="s">
        <v>1008</v>
      </c>
      <c r="E55" t="s">
        <v>1009</v>
      </c>
      <c r="F55" t="s">
        <v>1010</v>
      </c>
      <c r="G55" t="s">
        <v>1026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1708</v>
      </c>
      <c r="Q55" s="20" t="s">
        <v>1791</v>
      </c>
      <c r="R55" s="25"/>
      <c r="S55" s="25"/>
      <c r="T55" s="18"/>
      <c r="U55" s="18"/>
      <c r="V55" s="18"/>
    </row>
    <row r="56" spans="1:22" x14ac:dyDescent="0.3">
      <c r="A56">
        <v>1131185</v>
      </c>
      <c r="B56" t="s">
        <v>1788</v>
      </c>
      <c r="C56" t="s">
        <v>1049</v>
      </c>
      <c r="D56" t="s">
        <v>1008</v>
      </c>
      <c r="E56" t="s">
        <v>1009</v>
      </c>
      <c r="F56" t="s">
        <v>1010</v>
      </c>
      <c r="G56" t="s">
        <v>1027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1708</v>
      </c>
      <c r="Q56" s="20" t="s">
        <v>1791</v>
      </c>
      <c r="R56" s="25"/>
      <c r="S56" s="25"/>
      <c r="T56" s="18"/>
      <c r="U56" s="18"/>
      <c r="V56" s="18"/>
    </row>
    <row r="57" spans="1:22" x14ac:dyDescent="0.3">
      <c r="A57">
        <v>1131185</v>
      </c>
      <c r="B57" t="s">
        <v>1788</v>
      </c>
      <c r="C57" t="s">
        <v>1049</v>
      </c>
      <c r="D57" t="s">
        <v>1008</v>
      </c>
      <c r="E57" t="s">
        <v>1009</v>
      </c>
      <c r="F57" t="s">
        <v>1010</v>
      </c>
      <c r="G57" t="s">
        <v>1028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1708</v>
      </c>
      <c r="Q57" s="20" t="s">
        <v>1791</v>
      </c>
      <c r="R57" s="25"/>
      <c r="S57" s="25"/>
      <c r="T57" s="18"/>
      <c r="U57" s="18"/>
      <c r="V57" s="18"/>
    </row>
    <row r="58" spans="1:22" x14ac:dyDescent="0.3">
      <c r="A58">
        <v>1131185</v>
      </c>
      <c r="B58" t="s">
        <v>1788</v>
      </c>
      <c r="C58" t="s">
        <v>1049</v>
      </c>
      <c r="D58" t="s">
        <v>1008</v>
      </c>
      <c r="E58" t="s">
        <v>1009</v>
      </c>
      <c r="F58" t="s">
        <v>1010</v>
      </c>
      <c r="G58" t="s">
        <v>1029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1708</v>
      </c>
      <c r="Q58" s="20" t="s">
        <v>1791</v>
      </c>
      <c r="R58" s="25"/>
      <c r="S58" s="25"/>
      <c r="T58" s="18"/>
      <c r="U58" s="18"/>
      <c r="V58" s="18"/>
    </row>
    <row r="59" spans="1:22" x14ac:dyDescent="0.3">
      <c r="A59">
        <v>1131185</v>
      </c>
      <c r="B59" t="s">
        <v>1788</v>
      </c>
      <c r="C59" t="s">
        <v>1049</v>
      </c>
      <c r="D59" t="s">
        <v>1008</v>
      </c>
      <c r="E59" t="s">
        <v>1009</v>
      </c>
      <c r="F59" t="s">
        <v>1010</v>
      </c>
      <c r="G59" t="s">
        <v>1030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1708</v>
      </c>
      <c r="Q59" s="20" t="s">
        <v>1791</v>
      </c>
      <c r="R59" s="25"/>
      <c r="S59" s="25"/>
      <c r="T59" s="18"/>
      <c r="U59" s="18"/>
      <c r="V59" s="18"/>
    </row>
    <row r="60" spans="1:22" x14ac:dyDescent="0.3">
      <c r="A60">
        <v>1131185</v>
      </c>
      <c r="B60" t="s">
        <v>1788</v>
      </c>
      <c r="C60" t="s">
        <v>1049</v>
      </c>
      <c r="D60" t="s">
        <v>1008</v>
      </c>
      <c r="E60" t="s">
        <v>1009</v>
      </c>
      <c r="F60" t="s">
        <v>1010</v>
      </c>
      <c r="G60" t="s">
        <v>1031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1708</v>
      </c>
      <c r="Q60" s="20" t="s">
        <v>1791</v>
      </c>
      <c r="R60" s="25"/>
      <c r="S60" s="25"/>
      <c r="T60" s="18"/>
      <c r="U60" s="18"/>
      <c r="V60" s="18"/>
    </row>
    <row r="61" spans="1:22" x14ac:dyDescent="0.3">
      <c r="A61">
        <v>1131185</v>
      </c>
      <c r="B61" t="s">
        <v>1788</v>
      </c>
      <c r="C61" t="s">
        <v>1049</v>
      </c>
      <c r="D61" t="s">
        <v>1008</v>
      </c>
      <c r="E61" t="s">
        <v>1009</v>
      </c>
      <c r="F61" t="s">
        <v>1010</v>
      </c>
      <c r="G61" t="s">
        <v>1032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1708</v>
      </c>
      <c r="Q61" s="20" t="s">
        <v>1791</v>
      </c>
      <c r="R61" s="25"/>
      <c r="S61" s="25"/>
      <c r="T61" s="18"/>
      <c r="U61" s="18"/>
      <c r="V61" s="18"/>
    </row>
    <row r="62" spans="1:22" x14ac:dyDescent="0.3">
      <c r="A62">
        <v>1131185</v>
      </c>
      <c r="B62" t="s">
        <v>1788</v>
      </c>
      <c r="C62" t="s">
        <v>1049</v>
      </c>
      <c r="D62" t="s">
        <v>1008</v>
      </c>
      <c r="E62" t="s">
        <v>1009</v>
      </c>
      <c r="F62" t="s">
        <v>1010</v>
      </c>
      <c r="G62" t="s">
        <v>1033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1708</v>
      </c>
      <c r="Q62" s="20" t="s">
        <v>1791</v>
      </c>
      <c r="R62" s="25"/>
      <c r="S62" s="25"/>
      <c r="T62" s="18"/>
      <c r="U62" s="18"/>
      <c r="V62" s="18"/>
    </row>
    <row r="63" spans="1:22" x14ac:dyDescent="0.3">
      <c r="A63">
        <v>1131185</v>
      </c>
      <c r="B63" t="s">
        <v>1788</v>
      </c>
      <c r="C63" t="s">
        <v>1049</v>
      </c>
      <c r="D63" t="s">
        <v>1008</v>
      </c>
      <c r="E63" t="s">
        <v>1009</v>
      </c>
      <c r="F63" t="s">
        <v>1010</v>
      </c>
      <c r="G63" t="s">
        <v>1034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1708</v>
      </c>
      <c r="Q63" s="20" t="s">
        <v>1791</v>
      </c>
      <c r="R63" s="25"/>
      <c r="S63" s="25"/>
      <c r="T63" s="18"/>
      <c r="U63" s="18"/>
      <c r="V63" s="18"/>
    </row>
    <row r="64" spans="1:22" x14ac:dyDescent="0.3">
      <c r="A64">
        <v>1131185</v>
      </c>
      <c r="B64" t="s">
        <v>1788</v>
      </c>
      <c r="C64" t="s">
        <v>1049</v>
      </c>
      <c r="D64" t="s">
        <v>1008</v>
      </c>
      <c r="E64" t="s">
        <v>1009</v>
      </c>
      <c r="F64" t="s">
        <v>1010</v>
      </c>
      <c r="G64" t="s">
        <v>1035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1708</v>
      </c>
      <c r="Q64" s="20" t="s">
        <v>1791</v>
      </c>
      <c r="R64" s="25"/>
      <c r="S64" s="25"/>
      <c r="T64" s="18"/>
      <c r="U64" s="18"/>
      <c r="V64" s="18"/>
    </row>
    <row r="65" spans="1:22" x14ac:dyDescent="0.3">
      <c r="A65">
        <v>1131185</v>
      </c>
      <c r="B65" t="s">
        <v>1788</v>
      </c>
      <c r="C65" t="s">
        <v>1049</v>
      </c>
      <c r="D65" t="s">
        <v>1008</v>
      </c>
      <c r="E65" t="s">
        <v>1009</v>
      </c>
      <c r="F65" t="s">
        <v>1010</v>
      </c>
      <c r="G65" t="s">
        <v>1036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1708</v>
      </c>
      <c r="Q65" s="20" t="s">
        <v>1791</v>
      </c>
      <c r="R65" s="25"/>
      <c r="S65" s="25"/>
      <c r="T65" s="18"/>
      <c r="U65" s="18"/>
      <c r="V65" s="18"/>
    </row>
    <row r="66" spans="1:22" x14ac:dyDescent="0.3">
      <c r="A66">
        <v>1131185</v>
      </c>
      <c r="B66" t="s">
        <v>1788</v>
      </c>
      <c r="C66" t="s">
        <v>1049</v>
      </c>
      <c r="D66" t="s">
        <v>1008</v>
      </c>
      <c r="E66" t="s">
        <v>1009</v>
      </c>
      <c r="F66" t="s">
        <v>1010</v>
      </c>
      <c r="G66" t="s">
        <v>1037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1708</v>
      </c>
      <c r="Q66" s="20" t="s">
        <v>1791</v>
      </c>
      <c r="R66" s="25"/>
      <c r="S66" s="25"/>
      <c r="T66" s="18"/>
      <c r="U66" s="18"/>
      <c r="V66" s="18"/>
    </row>
    <row r="67" spans="1:22" x14ac:dyDescent="0.3">
      <c r="A67">
        <v>1131185</v>
      </c>
      <c r="B67" t="s">
        <v>1788</v>
      </c>
      <c r="C67" t="s">
        <v>1049</v>
      </c>
      <c r="D67" t="s">
        <v>1008</v>
      </c>
      <c r="E67" t="s">
        <v>1009</v>
      </c>
      <c r="F67" t="s">
        <v>1010</v>
      </c>
      <c r="G67" t="s">
        <v>1038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1708</v>
      </c>
      <c r="Q67" s="20" t="s">
        <v>1791</v>
      </c>
      <c r="R67" s="25"/>
      <c r="S67" s="25"/>
      <c r="T67" s="18"/>
      <c r="U67" s="18"/>
      <c r="V67" s="18"/>
    </row>
    <row r="68" spans="1:22" x14ac:dyDescent="0.3">
      <c r="A68">
        <v>1131185</v>
      </c>
      <c r="B68" t="s">
        <v>1788</v>
      </c>
      <c r="C68" t="s">
        <v>1049</v>
      </c>
      <c r="D68" t="s">
        <v>1008</v>
      </c>
      <c r="E68" t="s">
        <v>1009</v>
      </c>
      <c r="F68" t="s">
        <v>1010</v>
      </c>
      <c r="G68" t="s">
        <v>1039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1708</v>
      </c>
      <c r="Q68" s="20" t="s">
        <v>1791</v>
      </c>
      <c r="R68" s="25"/>
      <c r="S68" s="25"/>
      <c r="T68" s="18"/>
      <c r="U68" s="18"/>
      <c r="V68" s="18"/>
    </row>
    <row r="69" spans="1:22" hidden="1" x14ac:dyDescent="0.3">
      <c r="A69">
        <v>1131185</v>
      </c>
      <c r="B69" t="s">
        <v>1788</v>
      </c>
      <c r="C69" t="s">
        <v>1046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1708</v>
      </c>
      <c r="Q69" s="20" t="s">
        <v>1790</v>
      </c>
      <c r="R69" s="25"/>
      <c r="S69" s="25"/>
      <c r="T69" s="18"/>
      <c r="U69" s="18"/>
      <c r="V69" s="18"/>
    </row>
    <row r="70" spans="1:22" hidden="1" x14ac:dyDescent="0.3">
      <c r="A70">
        <v>1131185</v>
      </c>
      <c r="B70" t="s">
        <v>1788</v>
      </c>
      <c r="C70" t="s">
        <v>1045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1708</v>
      </c>
      <c r="Q70" s="20" t="s">
        <v>1789</v>
      </c>
      <c r="R70" s="25"/>
      <c r="S70" s="25"/>
      <c r="T70" s="18"/>
      <c r="U70" s="18"/>
      <c r="V70" s="18"/>
    </row>
    <row r="71" spans="1:22" x14ac:dyDescent="0.3">
      <c r="A71">
        <v>1131185</v>
      </c>
      <c r="B71" t="s">
        <v>1788</v>
      </c>
      <c r="C71" t="s">
        <v>1787</v>
      </c>
      <c r="D71" t="s">
        <v>1786</v>
      </c>
      <c r="E71" t="s">
        <v>1785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1784</v>
      </c>
      <c r="N71" t="s">
        <v>1783</v>
      </c>
      <c r="O71" t="s">
        <v>1708</v>
      </c>
      <c r="Q71" s="20" t="s">
        <v>1782</v>
      </c>
      <c r="R71" s="25"/>
      <c r="S71" s="25"/>
      <c r="T71" s="18"/>
      <c r="U71" s="18"/>
      <c r="V71" s="18"/>
    </row>
    <row r="72" spans="1:22" hidden="1" x14ac:dyDescent="0.3">
      <c r="A72">
        <v>1148833</v>
      </c>
      <c r="B72" t="s">
        <v>1779</v>
      </c>
      <c r="C72" t="s">
        <v>1781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1708</v>
      </c>
      <c r="P72" t="s">
        <v>1708</v>
      </c>
      <c r="R72" s="25">
        <f>COUNTIF(O72:O74,"*YES*")/COUNTA(O72:O74)</f>
        <v>1</v>
      </c>
      <c r="S72" s="25">
        <f>COUNTIF(P72:P74,"*YES*")/COUNTA(P72:P74)</f>
        <v>1</v>
      </c>
      <c r="T72" s="18"/>
      <c r="U72" s="18"/>
      <c r="V72" s="18"/>
    </row>
    <row r="73" spans="1:22" hidden="1" x14ac:dyDescent="0.3">
      <c r="A73">
        <v>1148833</v>
      </c>
      <c r="B73" t="s">
        <v>1779</v>
      </c>
      <c r="C73" t="s">
        <v>1780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1708</v>
      </c>
      <c r="P73" t="s">
        <v>1708</v>
      </c>
      <c r="R73" s="25"/>
      <c r="S73" s="25"/>
      <c r="T73" s="18"/>
      <c r="U73" s="18"/>
      <c r="V73" s="18"/>
    </row>
    <row r="74" spans="1:22" hidden="1" x14ac:dyDescent="0.3">
      <c r="A74">
        <v>1148833</v>
      </c>
      <c r="B74" t="s">
        <v>1779</v>
      </c>
      <c r="C74" t="s">
        <v>1778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1708</v>
      </c>
      <c r="P74" t="s">
        <v>1708</v>
      </c>
      <c r="R74" s="25"/>
      <c r="S74" s="25"/>
      <c r="T74" s="18"/>
      <c r="U74" s="18"/>
      <c r="V74" s="18"/>
    </row>
    <row r="75" spans="1:22" x14ac:dyDescent="0.3">
      <c r="A75">
        <v>1158275</v>
      </c>
      <c r="B75" t="s">
        <v>1773</v>
      </c>
      <c r="C75" t="s">
        <v>623</v>
      </c>
      <c r="D75" t="s">
        <v>624</v>
      </c>
      <c r="E75" t="s">
        <v>625</v>
      </c>
      <c r="G75" t="s">
        <v>626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627</v>
      </c>
      <c r="N75" t="s">
        <v>628</v>
      </c>
      <c r="O75" t="s">
        <v>1708</v>
      </c>
      <c r="P75" t="s">
        <v>1708</v>
      </c>
      <c r="R75" s="25">
        <f>COUNTIF(O75:O129,"*YES*")/COUNTA(O75:O129)</f>
        <v>0.94545454545454544</v>
      </c>
      <c r="S75" s="25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1773</v>
      </c>
      <c r="C76" t="s">
        <v>623</v>
      </c>
      <c r="D76" t="s">
        <v>624</v>
      </c>
      <c r="E76" t="s">
        <v>625</v>
      </c>
      <c r="G76" t="s">
        <v>629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627</v>
      </c>
      <c r="N76" t="s">
        <v>628</v>
      </c>
      <c r="O76" t="s">
        <v>1708</v>
      </c>
      <c r="P76" t="s">
        <v>1708</v>
      </c>
      <c r="R76" s="25"/>
      <c r="S76" s="25"/>
      <c r="T76" s="18"/>
      <c r="U76" s="18"/>
      <c r="V76" s="18"/>
    </row>
    <row r="77" spans="1:22" x14ac:dyDescent="0.3">
      <c r="A77">
        <v>1158275</v>
      </c>
      <c r="B77" t="s">
        <v>1773</v>
      </c>
      <c r="C77" t="s">
        <v>623</v>
      </c>
      <c r="D77" t="s">
        <v>624</v>
      </c>
      <c r="E77" t="s">
        <v>625</v>
      </c>
      <c r="G77" t="s">
        <v>630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627</v>
      </c>
      <c r="N77" t="s">
        <v>628</v>
      </c>
      <c r="O77" t="s">
        <v>1708</v>
      </c>
      <c r="P77" t="s">
        <v>1708</v>
      </c>
      <c r="R77" s="25"/>
      <c r="S77" s="25"/>
      <c r="T77" s="18"/>
      <c r="U77" s="18"/>
      <c r="V77" s="18"/>
    </row>
    <row r="78" spans="1:22" x14ac:dyDescent="0.3">
      <c r="A78">
        <v>1158275</v>
      </c>
      <c r="B78" t="s">
        <v>1773</v>
      </c>
      <c r="C78" t="s">
        <v>623</v>
      </c>
      <c r="D78" t="s">
        <v>624</v>
      </c>
      <c r="E78" t="s">
        <v>625</v>
      </c>
      <c r="G78" t="s">
        <v>631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627</v>
      </c>
      <c r="N78" t="s">
        <v>628</v>
      </c>
      <c r="O78" t="s">
        <v>1708</v>
      </c>
      <c r="P78" t="s">
        <v>1708</v>
      </c>
      <c r="R78" s="25"/>
      <c r="S78" s="25"/>
      <c r="T78" s="18"/>
      <c r="U78" s="18"/>
      <c r="V78" s="18"/>
    </row>
    <row r="79" spans="1:22" hidden="1" x14ac:dyDescent="0.3">
      <c r="A79">
        <v>1158275</v>
      </c>
      <c r="B79" t="s">
        <v>1773</v>
      </c>
      <c r="C79" t="s">
        <v>1777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1708</v>
      </c>
      <c r="P79" t="s">
        <v>1708</v>
      </c>
      <c r="R79" s="25"/>
      <c r="S79" s="25"/>
      <c r="T79" s="18"/>
      <c r="U79" s="18"/>
      <c r="V79" s="18"/>
    </row>
    <row r="80" spans="1:22" hidden="1" x14ac:dyDescent="0.3">
      <c r="A80">
        <v>1158275</v>
      </c>
      <c r="B80" t="s">
        <v>1773</v>
      </c>
      <c r="C80" t="s">
        <v>1776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1708</v>
      </c>
      <c r="P80" t="s">
        <v>1708</v>
      </c>
      <c r="R80" s="25"/>
      <c r="S80" s="25"/>
      <c r="T80" s="18"/>
      <c r="U80" s="18"/>
      <c r="V80" s="18"/>
    </row>
    <row r="81" spans="1:22" hidden="1" x14ac:dyDescent="0.3">
      <c r="A81">
        <v>1158275</v>
      </c>
      <c r="B81" t="s">
        <v>1773</v>
      </c>
      <c r="C81" t="s">
        <v>1775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1708</v>
      </c>
      <c r="P81" t="s">
        <v>1708</v>
      </c>
      <c r="R81" s="25"/>
      <c r="S81" s="25"/>
      <c r="T81" s="18"/>
      <c r="U81" s="18"/>
      <c r="V81" s="18"/>
    </row>
    <row r="82" spans="1:22" hidden="1" x14ac:dyDescent="0.3">
      <c r="A82">
        <v>1158275</v>
      </c>
      <c r="B82" t="s">
        <v>1773</v>
      </c>
      <c r="C82" t="s">
        <v>1774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1708</v>
      </c>
      <c r="P82" t="s">
        <v>1708</v>
      </c>
      <c r="R82" s="25"/>
      <c r="S82" s="25"/>
      <c r="T82" s="18"/>
      <c r="U82" s="18"/>
      <c r="V82" s="18"/>
    </row>
    <row r="83" spans="1:22" x14ac:dyDescent="0.3">
      <c r="A83">
        <v>1158275</v>
      </c>
      <c r="B83" t="s">
        <v>1773</v>
      </c>
      <c r="C83" t="s">
        <v>1745</v>
      </c>
      <c r="D83" t="s">
        <v>1094</v>
      </c>
      <c r="E83" t="s">
        <v>1093</v>
      </c>
      <c r="G83" t="s">
        <v>1103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1708</v>
      </c>
      <c r="P83" t="s">
        <v>1708</v>
      </c>
      <c r="R83" s="25"/>
      <c r="S83" s="25"/>
      <c r="T83" s="18"/>
      <c r="U83" s="18"/>
      <c r="V83" s="18"/>
    </row>
    <row r="84" spans="1:22" x14ac:dyDescent="0.3">
      <c r="A84">
        <v>1158275</v>
      </c>
      <c r="B84" t="s">
        <v>1773</v>
      </c>
      <c r="C84" t="s">
        <v>1745</v>
      </c>
      <c r="D84" t="s">
        <v>1094</v>
      </c>
      <c r="E84" t="s">
        <v>1093</v>
      </c>
      <c r="G84" t="s">
        <v>1102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1708</v>
      </c>
      <c r="P84" t="s">
        <v>1708</v>
      </c>
      <c r="R84" s="25"/>
      <c r="S84" s="25"/>
      <c r="T84" s="18"/>
      <c r="U84" s="18"/>
      <c r="V84" s="18"/>
    </row>
    <row r="85" spans="1:22" x14ac:dyDescent="0.3">
      <c r="A85">
        <v>1158275</v>
      </c>
      <c r="B85" t="s">
        <v>1773</v>
      </c>
      <c r="C85" t="s">
        <v>1745</v>
      </c>
      <c r="D85" t="s">
        <v>1094</v>
      </c>
      <c r="E85" t="s">
        <v>1093</v>
      </c>
      <c r="G85" t="s">
        <v>1101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1708</v>
      </c>
      <c r="P85" t="s">
        <v>1769</v>
      </c>
      <c r="R85" s="25"/>
      <c r="S85" s="25"/>
      <c r="T85" s="18"/>
      <c r="U85" s="18"/>
      <c r="V85" s="18"/>
    </row>
    <row r="86" spans="1:22" x14ac:dyDescent="0.3">
      <c r="A86">
        <v>1158275</v>
      </c>
      <c r="B86" t="s">
        <v>1773</v>
      </c>
      <c r="C86" t="s">
        <v>1745</v>
      </c>
      <c r="D86" t="s">
        <v>1094</v>
      </c>
      <c r="E86" t="s">
        <v>1093</v>
      </c>
      <c r="G86" t="s">
        <v>1100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1708</v>
      </c>
      <c r="P86" t="s">
        <v>1708</v>
      </c>
      <c r="R86" s="25"/>
      <c r="S86" s="25"/>
      <c r="T86" s="18"/>
      <c r="U86" s="18"/>
      <c r="V86" s="18"/>
    </row>
    <row r="87" spans="1:22" x14ac:dyDescent="0.3">
      <c r="A87">
        <v>1158275</v>
      </c>
      <c r="B87" t="s">
        <v>1773</v>
      </c>
      <c r="C87" t="s">
        <v>1745</v>
      </c>
      <c r="D87" t="s">
        <v>1094</v>
      </c>
      <c r="E87" t="s">
        <v>1093</v>
      </c>
      <c r="G87" t="s">
        <v>1099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1708</v>
      </c>
      <c r="P87" t="s">
        <v>1708</v>
      </c>
      <c r="R87" s="25"/>
      <c r="S87" s="25"/>
      <c r="T87" s="18"/>
      <c r="U87" s="18"/>
      <c r="V87" s="18"/>
    </row>
    <row r="88" spans="1:22" x14ac:dyDescent="0.3">
      <c r="A88">
        <v>1158275</v>
      </c>
      <c r="B88" t="s">
        <v>1773</v>
      </c>
      <c r="C88" t="s">
        <v>1745</v>
      </c>
      <c r="D88" t="s">
        <v>1094</v>
      </c>
      <c r="E88" t="s">
        <v>1093</v>
      </c>
      <c r="G88" t="s">
        <v>1098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1708</v>
      </c>
      <c r="P88" t="s">
        <v>1708</v>
      </c>
      <c r="R88" s="25"/>
      <c r="S88" s="25"/>
      <c r="T88" s="18"/>
      <c r="U88" s="18"/>
      <c r="V88" s="18"/>
    </row>
    <row r="89" spans="1:22" x14ac:dyDescent="0.3">
      <c r="A89">
        <v>1158275</v>
      </c>
      <c r="B89" t="s">
        <v>1773</v>
      </c>
      <c r="C89" t="s">
        <v>1745</v>
      </c>
      <c r="D89" t="s">
        <v>1094</v>
      </c>
      <c r="E89" t="s">
        <v>1093</v>
      </c>
      <c r="G89" t="s">
        <v>1097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1708</v>
      </c>
      <c r="P89" t="s">
        <v>1708</v>
      </c>
      <c r="R89" s="25"/>
      <c r="S89" s="25"/>
      <c r="T89" s="18"/>
      <c r="U89" s="18"/>
      <c r="V89" s="18"/>
    </row>
    <row r="90" spans="1:22" x14ac:dyDescent="0.3">
      <c r="A90">
        <v>1158275</v>
      </c>
      <c r="B90" t="s">
        <v>1773</v>
      </c>
      <c r="C90" t="s">
        <v>1745</v>
      </c>
      <c r="D90" t="s">
        <v>1094</v>
      </c>
      <c r="E90" t="s">
        <v>1093</v>
      </c>
      <c r="G90" t="s">
        <v>1096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1708</v>
      </c>
      <c r="P90" t="s">
        <v>1708</v>
      </c>
      <c r="R90" s="25"/>
      <c r="S90" s="25"/>
      <c r="T90" s="18"/>
      <c r="U90" s="18"/>
      <c r="V90" s="18"/>
    </row>
    <row r="91" spans="1:22" x14ac:dyDescent="0.3">
      <c r="A91">
        <v>1158275</v>
      </c>
      <c r="B91" t="s">
        <v>1773</v>
      </c>
      <c r="C91" t="s">
        <v>1745</v>
      </c>
      <c r="D91" t="s">
        <v>1094</v>
      </c>
      <c r="E91" t="s">
        <v>1093</v>
      </c>
      <c r="G91" t="s">
        <v>1092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1708</v>
      </c>
      <c r="P91" t="s">
        <v>1769</v>
      </c>
      <c r="R91" s="25"/>
      <c r="S91" s="25"/>
      <c r="T91" s="18"/>
      <c r="U91" s="18"/>
      <c r="V91" s="18"/>
    </row>
    <row r="92" spans="1:22" x14ac:dyDescent="0.3">
      <c r="A92">
        <v>1158278</v>
      </c>
      <c r="B92" t="s">
        <v>1768</v>
      </c>
      <c r="C92" t="s">
        <v>623</v>
      </c>
      <c r="D92" t="s">
        <v>624</v>
      </c>
      <c r="E92" t="s">
        <v>625</v>
      </c>
      <c r="G92" t="s">
        <v>626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627</v>
      </c>
      <c r="N92" t="s">
        <v>628</v>
      </c>
      <c r="O92" t="s">
        <v>1708</v>
      </c>
      <c r="P92" t="s">
        <v>1708</v>
      </c>
      <c r="R92" s="25"/>
      <c r="S92" s="25"/>
      <c r="T92" s="18"/>
      <c r="U92" s="18"/>
      <c r="V92" s="18"/>
    </row>
    <row r="93" spans="1:22" x14ac:dyDescent="0.3">
      <c r="A93">
        <v>1158278</v>
      </c>
      <c r="B93" t="s">
        <v>1768</v>
      </c>
      <c r="C93" t="s">
        <v>623</v>
      </c>
      <c r="D93" t="s">
        <v>624</v>
      </c>
      <c r="E93" t="s">
        <v>625</v>
      </c>
      <c r="G93" t="s">
        <v>629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627</v>
      </c>
      <c r="N93" t="s">
        <v>628</v>
      </c>
      <c r="O93" t="s">
        <v>1708</v>
      </c>
      <c r="P93" t="s">
        <v>1708</v>
      </c>
      <c r="R93" s="25"/>
      <c r="S93" s="25"/>
      <c r="T93" s="18"/>
      <c r="U93" s="18"/>
      <c r="V93" s="18"/>
    </row>
    <row r="94" spans="1:22" x14ac:dyDescent="0.3">
      <c r="A94">
        <v>1158278</v>
      </c>
      <c r="B94" t="s">
        <v>1768</v>
      </c>
      <c r="C94" t="s">
        <v>623</v>
      </c>
      <c r="D94" t="s">
        <v>624</v>
      </c>
      <c r="E94" t="s">
        <v>625</v>
      </c>
      <c r="G94" t="s">
        <v>630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627</v>
      </c>
      <c r="N94" t="s">
        <v>628</v>
      </c>
      <c r="O94" t="s">
        <v>1708</v>
      </c>
      <c r="P94" t="s">
        <v>1708</v>
      </c>
      <c r="R94" s="25"/>
      <c r="S94" s="25"/>
      <c r="T94" s="18"/>
      <c r="U94" s="18"/>
      <c r="V94" s="18"/>
    </row>
    <row r="95" spans="1:22" x14ac:dyDescent="0.3">
      <c r="A95">
        <v>1158278</v>
      </c>
      <c r="B95" t="s">
        <v>1768</v>
      </c>
      <c r="C95" t="s">
        <v>623</v>
      </c>
      <c r="D95" t="s">
        <v>624</v>
      </c>
      <c r="E95" t="s">
        <v>625</v>
      </c>
      <c r="G95" t="s">
        <v>631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627</v>
      </c>
      <c r="N95" t="s">
        <v>628</v>
      </c>
      <c r="O95" t="s">
        <v>1708</v>
      </c>
      <c r="P95" t="s">
        <v>1708</v>
      </c>
      <c r="R95" s="25"/>
      <c r="S95" s="25"/>
      <c r="T95" s="18"/>
      <c r="U95" s="18"/>
      <c r="V95" s="18"/>
    </row>
    <row r="96" spans="1:22" hidden="1" x14ac:dyDescent="0.3">
      <c r="A96">
        <v>1158278</v>
      </c>
      <c r="B96" t="s">
        <v>1768</v>
      </c>
      <c r="C96" t="s">
        <v>622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1708</v>
      </c>
      <c r="P96" t="s">
        <v>1708</v>
      </c>
      <c r="R96" s="25"/>
      <c r="S96" s="25"/>
      <c r="T96" s="18"/>
      <c r="U96" s="18"/>
      <c r="V96" s="18"/>
    </row>
    <row r="97" spans="1:22" x14ac:dyDescent="0.3">
      <c r="A97">
        <v>1158278</v>
      </c>
      <c r="B97" t="s">
        <v>1768</v>
      </c>
      <c r="C97" t="s">
        <v>1772</v>
      </c>
      <c r="D97" t="s">
        <v>1771</v>
      </c>
      <c r="E97" t="s">
        <v>1770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1795</v>
      </c>
      <c r="P97" t="s">
        <v>1708</v>
      </c>
      <c r="Q97" s="20" t="s">
        <v>1753</v>
      </c>
      <c r="R97" s="25"/>
      <c r="S97" s="25"/>
      <c r="T97" s="18"/>
      <c r="U97" s="18"/>
      <c r="V97" s="18"/>
    </row>
    <row r="98" spans="1:22" x14ac:dyDescent="0.3">
      <c r="A98">
        <v>1158278</v>
      </c>
      <c r="B98" t="s">
        <v>1768</v>
      </c>
      <c r="C98" t="s">
        <v>1628</v>
      </c>
      <c r="D98" t="s">
        <v>1627</v>
      </c>
      <c r="E98" t="s">
        <v>1626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1708</v>
      </c>
      <c r="P98" t="s">
        <v>1708</v>
      </c>
      <c r="R98" s="25"/>
      <c r="S98" s="25"/>
      <c r="T98" s="18"/>
      <c r="U98" s="18"/>
      <c r="V98" s="18"/>
    </row>
    <row r="99" spans="1:22" x14ac:dyDescent="0.3">
      <c r="A99">
        <v>1158278</v>
      </c>
      <c r="B99" t="s">
        <v>1768</v>
      </c>
      <c r="C99" t="s">
        <v>1628</v>
      </c>
      <c r="D99" t="s">
        <v>1627</v>
      </c>
      <c r="E99" t="s">
        <v>1626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1708</v>
      </c>
      <c r="P99" t="s">
        <v>1708</v>
      </c>
      <c r="R99" s="25"/>
      <c r="S99" s="25"/>
      <c r="T99" s="18"/>
      <c r="U99" s="18"/>
      <c r="V99" s="18"/>
    </row>
    <row r="100" spans="1:22" x14ac:dyDescent="0.3">
      <c r="A100">
        <v>1158278</v>
      </c>
      <c r="B100" t="s">
        <v>1768</v>
      </c>
      <c r="C100" t="s">
        <v>1628</v>
      </c>
      <c r="D100" t="s">
        <v>1627</v>
      </c>
      <c r="E100" t="s">
        <v>1626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1708</v>
      </c>
      <c r="P100" t="s">
        <v>1708</v>
      </c>
      <c r="R100" s="25"/>
      <c r="S100" s="25"/>
      <c r="T100" s="18"/>
      <c r="U100" s="18"/>
      <c r="V100" s="18"/>
    </row>
    <row r="101" spans="1:22" x14ac:dyDescent="0.3">
      <c r="A101">
        <v>1158278</v>
      </c>
      <c r="B101" t="s">
        <v>1768</v>
      </c>
      <c r="C101" t="s">
        <v>1628</v>
      </c>
      <c r="D101" t="s">
        <v>1627</v>
      </c>
      <c r="E101" t="s">
        <v>1626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1708</v>
      </c>
      <c r="P101" t="s">
        <v>1708</v>
      </c>
      <c r="R101" s="25"/>
      <c r="S101" s="25"/>
      <c r="T101" s="18"/>
      <c r="U101" s="18"/>
      <c r="V101" s="18"/>
    </row>
    <row r="102" spans="1:22" x14ac:dyDescent="0.3">
      <c r="A102">
        <v>1158278</v>
      </c>
      <c r="B102" t="s">
        <v>1768</v>
      </c>
      <c r="C102" t="s">
        <v>1628</v>
      </c>
      <c r="D102" t="s">
        <v>1627</v>
      </c>
      <c r="E102" t="s">
        <v>1626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1708</v>
      </c>
      <c r="P102" t="s">
        <v>1708</v>
      </c>
      <c r="R102" s="25"/>
      <c r="S102" s="25"/>
      <c r="T102" s="18"/>
      <c r="U102" s="18"/>
      <c r="V102" s="18"/>
    </row>
    <row r="103" spans="1:22" x14ac:dyDescent="0.3">
      <c r="A103">
        <v>1158278</v>
      </c>
      <c r="B103" t="s">
        <v>1768</v>
      </c>
      <c r="C103" t="s">
        <v>1628</v>
      </c>
      <c r="D103" t="s">
        <v>1627</v>
      </c>
      <c r="E103" t="s">
        <v>1626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1708</v>
      </c>
      <c r="P103" t="s">
        <v>1708</v>
      </c>
      <c r="R103" s="25"/>
      <c r="S103" s="25"/>
      <c r="T103" s="18"/>
      <c r="U103" s="18"/>
      <c r="V103" s="18"/>
    </row>
    <row r="104" spans="1:22" x14ac:dyDescent="0.3">
      <c r="A104">
        <v>1158278</v>
      </c>
      <c r="B104" t="s">
        <v>1768</v>
      </c>
      <c r="C104" t="s">
        <v>1628</v>
      </c>
      <c r="D104" t="s">
        <v>1627</v>
      </c>
      <c r="E104" t="s">
        <v>1626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1708</v>
      </c>
      <c r="P104" t="s">
        <v>1708</v>
      </c>
      <c r="R104" s="25"/>
      <c r="S104" s="25"/>
      <c r="T104" s="18"/>
      <c r="U104" s="18"/>
      <c r="V104" s="18"/>
    </row>
    <row r="105" spans="1:22" x14ac:dyDescent="0.3">
      <c r="A105">
        <v>1158278</v>
      </c>
      <c r="B105" t="s">
        <v>1768</v>
      </c>
      <c r="C105" t="s">
        <v>1628</v>
      </c>
      <c r="D105" t="s">
        <v>1627</v>
      </c>
      <c r="E105" t="s">
        <v>1626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1708</v>
      </c>
      <c r="P105" t="s">
        <v>1708</v>
      </c>
      <c r="R105" s="25"/>
      <c r="S105" s="25"/>
      <c r="T105" s="18"/>
      <c r="U105" s="18"/>
      <c r="V105" s="18"/>
    </row>
    <row r="106" spans="1:22" x14ac:dyDescent="0.3">
      <c r="A106">
        <v>1158278</v>
      </c>
      <c r="B106" t="s">
        <v>1768</v>
      </c>
      <c r="C106" t="s">
        <v>1628</v>
      </c>
      <c r="D106" t="s">
        <v>1627</v>
      </c>
      <c r="E106" t="s">
        <v>1626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1708</v>
      </c>
      <c r="P106" t="s">
        <v>1708</v>
      </c>
      <c r="R106" s="25"/>
      <c r="S106" s="25"/>
      <c r="T106" s="18"/>
      <c r="U106" s="18"/>
      <c r="V106" s="18"/>
    </row>
    <row r="107" spans="1:22" x14ac:dyDescent="0.3">
      <c r="A107">
        <v>1158278</v>
      </c>
      <c r="B107" t="s">
        <v>1768</v>
      </c>
      <c r="C107" t="s">
        <v>1628</v>
      </c>
      <c r="D107" t="s">
        <v>1627</v>
      </c>
      <c r="E107" t="s">
        <v>1626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1708</v>
      </c>
      <c r="P107" t="s">
        <v>1708</v>
      </c>
      <c r="R107" s="25"/>
      <c r="S107" s="25"/>
      <c r="T107" s="18"/>
      <c r="U107" s="18"/>
      <c r="V107" s="18"/>
    </row>
    <row r="108" spans="1:22" x14ac:dyDescent="0.3">
      <c r="A108">
        <v>1158278</v>
      </c>
      <c r="B108" t="s">
        <v>1768</v>
      </c>
      <c r="C108" t="s">
        <v>1628</v>
      </c>
      <c r="D108" t="s">
        <v>1627</v>
      </c>
      <c r="E108" t="s">
        <v>1626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1708</v>
      </c>
      <c r="P108" t="s">
        <v>1708</v>
      </c>
      <c r="R108" s="25"/>
      <c r="S108" s="25"/>
      <c r="T108" s="18"/>
      <c r="U108" s="18"/>
      <c r="V108" s="18"/>
    </row>
    <row r="109" spans="1:22" x14ac:dyDescent="0.3">
      <c r="A109">
        <v>1158278</v>
      </c>
      <c r="B109" t="s">
        <v>1768</v>
      </c>
      <c r="C109" t="s">
        <v>1628</v>
      </c>
      <c r="D109" t="s">
        <v>1627</v>
      </c>
      <c r="E109" t="s">
        <v>1626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1708</v>
      </c>
      <c r="P109" t="s">
        <v>1708</v>
      </c>
      <c r="R109" s="25"/>
      <c r="S109" s="25"/>
      <c r="T109" s="18"/>
      <c r="U109" s="18"/>
      <c r="V109" s="18"/>
    </row>
    <row r="110" spans="1:22" x14ac:dyDescent="0.3">
      <c r="A110">
        <v>1158278</v>
      </c>
      <c r="B110" t="s">
        <v>1768</v>
      </c>
      <c r="C110" t="s">
        <v>1628</v>
      </c>
      <c r="D110" t="s">
        <v>1627</v>
      </c>
      <c r="E110" t="s">
        <v>1626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1708</v>
      </c>
      <c r="P110" t="s">
        <v>1708</v>
      </c>
      <c r="R110" s="25"/>
      <c r="S110" s="25"/>
      <c r="T110" s="18"/>
      <c r="U110" s="18"/>
      <c r="V110" s="18"/>
    </row>
    <row r="111" spans="1:22" x14ac:dyDescent="0.3">
      <c r="A111">
        <v>1158278</v>
      </c>
      <c r="B111" t="s">
        <v>1768</v>
      </c>
      <c r="C111" t="s">
        <v>1628</v>
      </c>
      <c r="D111" t="s">
        <v>1627</v>
      </c>
      <c r="E111" t="s">
        <v>1626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1708</v>
      </c>
      <c r="P111" t="s">
        <v>1708</v>
      </c>
      <c r="R111" s="25"/>
      <c r="S111" s="25"/>
      <c r="T111" s="18"/>
      <c r="U111" s="18"/>
      <c r="V111" s="18"/>
    </row>
    <row r="112" spans="1:22" x14ac:dyDescent="0.3">
      <c r="A112">
        <v>1158278</v>
      </c>
      <c r="B112" t="s">
        <v>1768</v>
      </c>
      <c r="C112" t="s">
        <v>1628</v>
      </c>
      <c r="D112" t="s">
        <v>1627</v>
      </c>
      <c r="E112" t="s">
        <v>1626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1708</v>
      </c>
      <c r="P112" t="s">
        <v>1708</v>
      </c>
      <c r="R112" s="25"/>
      <c r="S112" s="25"/>
      <c r="T112" s="18"/>
      <c r="U112" s="18"/>
      <c r="V112" s="18"/>
    </row>
    <row r="113" spans="1:22" x14ac:dyDescent="0.3">
      <c r="A113">
        <v>1158278</v>
      </c>
      <c r="B113" t="s">
        <v>1768</v>
      </c>
      <c r="C113" t="s">
        <v>1628</v>
      </c>
      <c r="D113" t="s">
        <v>1627</v>
      </c>
      <c r="E113" t="s">
        <v>1626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1708</v>
      </c>
      <c r="P113" t="s">
        <v>1708</v>
      </c>
      <c r="R113" s="25"/>
      <c r="S113" s="25"/>
      <c r="T113" s="18"/>
      <c r="U113" s="18"/>
      <c r="V113" s="18"/>
    </row>
    <row r="114" spans="1:22" x14ac:dyDescent="0.3">
      <c r="A114">
        <v>1158278</v>
      </c>
      <c r="B114" t="s">
        <v>1768</v>
      </c>
      <c r="C114" t="s">
        <v>1628</v>
      </c>
      <c r="D114" t="s">
        <v>1627</v>
      </c>
      <c r="E114" t="s">
        <v>1626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1708</v>
      </c>
      <c r="P114" t="s">
        <v>1708</v>
      </c>
      <c r="R114" s="25"/>
      <c r="S114" s="25"/>
      <c r="T114" s="18"/>
      <c r="U114" s="18"/>
      <c r="V114" s="18"/>
    </row>
    <row r="115" spans="1:22" x14ac:dyDescent="0.3">
      <c r="A115">
        <v>1158278</v>
      </c>
      <c r="B115" t="s">
        <v>1768</v>
      </c>
      <c r="C115" t="s">
        <v>1628</v>
      </c>
      <c r="D115" t="s">
        <v>1627</v>
      </c>
      <c r="E115" t="s">
        <v>1626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1708</v>
      </c>
      <c r="P115" t="s">
        <v>1708</v>
      </c>
      <c r="R115" s="25"/>
      <c r="S115" s="25"/>
      <c r="T115" s="18"/>
      <c r="U115" s="18"/>
      <c r="V115" s="18"/>
    </row>
    <row r="116" spans="1:22" x14ac:dyDescent="0.3">
      <c r="A116">
        <v>1158278</v>
      </c>
      <c r="B116" t="s">
        <v>1768</v>
      </c>
      <c r="C116" t="s">
        <v>1628</v>
      </c>
      <c r="D116" t="s">
        <v>1627</v>
      </c>
      <c r="E116" t="s">
        <v>1626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1708</v>
      </c>
      <c r="P116" t="s">
        <v>1708</v>
      </c>
      <c r="R116" s="25"/>
      <c r="S116" s="25"/>
      <c r="T116" s="18"/>
      <c r="U116" s="18"/>
      <c r="V116" s="18"/>
    </row>
    <row r="117" spans="1:22" x14ac:dyDescent="0.3">
      <c r="A117">
        <v>1158278</v>
      </c>
      <c r="B117" t="s">
        <v>1768</v>
      </c>
      <c r="C117" t="s">
        <v>1628</v>
      </c>
      <c r="D117" t="s">
        <v>1627</v>
      </c>
      <c r="E117" t="s">
        <v>1626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1708</v>
      </c>
      <c r="P117" t="s">
        <v>1708</v>
      </c>
      <c r="R117" s="25"/>
      <c r="S117" s="25"/>
      <c r="T117" s="18"/>
      <c r="U117" s="18"/>
      <c r="V117" s="18"/>
    </row>
    <row r="118" spans="1:22" x14ac:dyDescent="0.3">
      <c r="A118">
        <v>1158278</v>
      </c>
      <c r="B118" t="s">
        <v>1768</v>
      </c>
      <c r="C118" t="s">
        <v>1628</v>
      </c>
      <c r="D118" t="s">
        <v>1627</v>
      </c>
      <c r="E118" t="s">
        <v>1626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1708</v>
      </c>
      <c r="P118" t="s">
        <v>1708</v>
      </c>
      <c r="R118" s="25"/>
      <c r="S118" s="25"/>
      <c r="T118" s="18"/>
      <c r="U118" s="18"/>
      <c r="V118" s="18"/>
    </row>
    <row r="119" spans="1:22" x14ac:dyDescent="0.3">
      <c r="A119">
        <v>1158278</v>
      </c>
      <c r="B119" t="s">
        <v>1768</v>
      </c>
      <c r="C119" t="s">
        <v>1628</v>
      </c>
      <c r="D119" t="s">
        <v>1627</v>
      </c>
      <c r="E119" t="s">
        <v>1626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1708</v>
      </c>
      <c r="P119" t="s">
        <v>1708</v>
      </c>
      <c r="R119" s="25"/>
      <c r="S119" s="25"/>
      <c r="T119" s="18"/>
      <c r="U119" s="18"/>
      <c r="V119" s="18"/>
    </row>
    <row r="120" spans="1:22" x14ac:dyDescent="0.3">
      <c r="A120">
        <v>1158278</v>
      </c>
      <c r="B120" t="s">
        <v>1768</v>
      </c>
      <c r="C120" t="s">
        <v>1628</v>
      </c>
      <c r="D120" t="s">
        <v>1627</v>
      </c>
      <c r="E120" t="s">
        <v>1626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1708</v>
      </c>
      <c r="P120" t="s">
        <v>1708</v>
      </c>
      <c r="R120" s="25"/>
      <c r="S120" s="25"/>
      <c r="T120" s="18"/>
      <c r="U120" s="18"/>
      <c r="V120" s="18"/>
    </row>
    <row r="121" spans="1:22" x14ac:dyDescent="0.3">
      <c r="A121">
        <v>1158278</v>
      </c>
      <c r="B121" t="s">
        <v>1768</v>
      </c>
      <c r="C121" t="s">
        <v>1628</v>
      </c>
      <c r="D121" t="s">
        <v>1627</v>
      </c>
      <c r="E121" t="s">
        <v>1626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1708</v>
      </c>
      <c r="P121" t="s">
        <v>1708</v>
      </c>
      <c r="R121" s="25"/>
      <c r="S121" s="25"/>
      <c r="T121" s="18"/>
      <c r="U121" s="18"/>
      <c r="V121" s="18"/>
    </row>
    <row r="122" spans="1:22" x14ac:dyDescent="0.3">
      <c r="A122">
        <v>1158278</v>
      </c>
      <c r="B122" t="s">
        <v>1768</v>
      </c>
      <c r="C122" t="s">
        <v>1628</v>
      </c>
      <c r="D122" t="s">
        <v>1627</v>
      </c>
      <c r="E122" t="s">
        <v>1626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1708</v>
      </c>
      <c r="P122" t="s">
        <v>1708</v>
      </c>
      <c r="R122" s="25"/>
      <c r="S122" s="25"/>
      <c r="T122" s="18"/>
      <c r="U122" s="18"/>
      <c r="V122" s="18"/>
    </row>
    <row r="123" spans="1:22" x14ac:dyDescent="0.3">
      <c r="A123">
        <v>1158278</v>
      </c>
      <c r="B123" t="s">
        <v>1768</v>
      </c>
      <c r="C123" t="s">
        <v>1628</v>
      </c>
      <c r="D123" t="s">
        <v>1627</v>
      </c>
      <c r="E123" t="s">
        <v>1626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1708</v>
      </c>
      <c r="P123" t="s">
        <v>1708</v>
      </c>
      <c r="R123" s="25"/>
      <c r="S123" s="25"/>
      <c r="T123" s="18"/>
      <c r="U123" s="18"/>
      <c r="V123" s="18"/>
    </row>
    <row r="124" spans="1:22" x14ac:dyDescent="0.3">
      <c r="A124">
        <v>1158278</v>
      </c>
      <c r="B124" t="s">
        <v>1768</v>
      </c>
      <c r="C124" t="s">
        <v>1628</v>
      </c>
      <c r="D124" t="s">
        <v>1627</v>
      </c>
      <c r="E124" t="s">
        <v>1626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1708</v>
      </c>
      <c r="P124" t="s">
        <v>1708</v>
      </c>
      <c r="R124" s="25"/>
      <c r="S124" s="25"/>
      <c r="T124" s="18"/>
      <c r="U124" s="18"/>
      <c r="V124" s="18"/>
    </row>
    <row r="125" spans="1:22" x14ac:dyDescent="0.3">
      <c r="A125">
        <v>1158278</v>
      </c>
      <c r="B125" t="s">
        <v>1768</v>
      </c>
      <c r="C125" t="s">
        <v>1628</v>
      </c>
      <c r="D125" t="s">
        <v>1627</v>
      </c>
      <c r="E125" t="s">
        <v>1626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1708</v>
      </c>
      <c r="P125" t="s">
        <v>1708</v>
      </c>
      <c r="R125" s="25"/>
      <c r="S125" s="25"/>
      <c r="T125" s="18"/>
      <c r="U125" s="18"/>
      <c r="V125" s="18"/>
    </row>
    <row r="126" spans="1:22" x14ac:dyDescent="0.3">
      <c r="A126">
        <v>1158278</v>
      </c>
      <c r="B126" t="s">
        <v>1768</v>
      </c>
      <c r="C126" t="s">
        <v>1628</v>
      </c>
      <c r="D126" t="s">
        <v>1627</v>
      </c>
      <c r="E126" t="s">
        <v>1626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1708</v>
      </c>
      <c r="P126" t="s">
        <v>1708</v>
      </c>
      <c r="R126" s="25"/>
      <c r="S126" s="25"/>
      <c r="T126" s="18"/>
      <c r="U126" s="18"/>
      <c r="V126" s="18"/>
    </row>
    <row r="127" spans="1:22" x14ac:dyDescent="0.3">
      <c r="A127">
        <v>1158278</v>
      </c>
      <c r="B127" t="s">
        <v>1768</v>
      </c>
      <c r="C127" t="s">
        <v>1625</v>
      </c>
      <c r="D127" t="s">
        <v>1624</v>
      </c>
      <c r="E127" t="s">
        <v>1623</v>
      </c>
      <c r="G127" t="s">
        <v>1622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1795</v>
      </c>
      <c r="P127" t="s">
        <v>1708</v>
      </c>
      <c r="Q127" s="20" t="s">
        <v>1753</v>
      </c>
      <c r="R127" s="25"/>
      <c r="S127" s="25"/>
      <c r="T127" s="18"/>
      <c r="U127" s="18"/>
      <c r="V127" s="18"/>
    </row>
    <row r="128" spans="1:22" x14ac:dyDescent="0.3">
      <c r="A128">
        <v>1158278</v>
      </c>
      <c r="B128" t="s">
        <v>1768</v>
      </c>
      <c r="C128" t="s">
        <v>1625</v>
      </c>
      <c r="D128" t="s">
        <v>1624</v>
      </c>
      <c r="E128" t="s">
        <v>1623</v>
      </c>
      <c r="G128" t="s">
        <v>1622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1795</v>
      </c>
      <c r="P128" t="s">
        <v>1708</v>
      </c>
      <c r="Q128" s="20" t="s">
        <v>1753</v>
      </c>
      <c r="R128" s="25"/>
      <c r="S128" s="25"/>
      <c r="T128" s="18"/>
      <c r="U128" s="18"/>
      <c r="V128" s="18"/>
    </row>
    <row r="129" spans="1:22" hidden="1" x14ac:dyDescent="0.3">
      <c r="A129">
        <v>1158278</v>
      </c>
      <c r="B129" t="s">
        <v>1768</v>
      </c>
      <c r="C129" t="s">
        <v>1620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1708</v>
      </c>
      <c r="P129" t="s">
        <v>1708</v>
      </c>
      <c r="R129" s="25"/>
      <c r="S129" s="25"/>
      <c r="T129" s="18"/>
      <c r="U129" s="18"/>
      <c r="V129" s="18"/>
    </row>
    <row r="130" spans="1:22" x14ac:dyDescent="0.3">
      <c r="A130">
        <v>1162161</v>
      </c>
      <c r="B130" t="s">
        <v>1743</v>
      </c>
      <c r="C130" t="s">
        <v>1760</v>
      </c>
      <c r="D130" t="s">
        <v>1759</v>
      </c>
      <c r="E130" t="s">
        <v>1758</v>
      </c>
      <c r="G130" t="s">
        <v>1767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1708</v>
      </c>
      <c r="P130" t="s">
        <v>1708</v>
      </c>
      <c r="R130" s="25">
        <f>COUNTIF(O130:O150,"*YES*")/COUNTA(O130:O150)</f>
        <v>0.90476190476190477</v>
      </c>
      <c r="S130" s="25">
        <f>COUNTIF(P130:P150,"*YES*")/COUNTA(P130:P150)</f>
        <v>1</v>
      </c>
    </row>
    <row r="131" spans="1:22" x14ac:dyDescent="0.3">
      <c r="A131">
        <v>1162161</v>
      </c>
      <c r="B131" t="s">
        <v>1743</v>
      </c>
      <c r="C131" t="s">
        <v>1760</v>
      </c>
      <c r="D131" t="s">
        <v>1759</v>
      </c>
      <c r="E131" t="s">
        <v>1758</v>
      </c>
      <c r="G131" t="s">
        <v>1766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1708</v>
      </c>
      <c r="P131" t="s">
        <v>1708</v>
      </c>
      <c r="R131" s="25"/>
      <c r="S131" s="25"/>
    </row>
    <row r="132" spans="1:22" x14ac:dyDescent="0.3">
      <c r="A132">
        <v>1162161</v>
      </c>
      <c r="B132" t="s">
        <v>1743</v>
      </c>
      <c r="C132" t="s">
        <v>1760</v>
      </c>
      <c r="D132" t="s">
        <v>1759</v>
      </c>
      <c r="E132" t="s">
        <v>1758</v>
      </c>
      <c r="G132" t="s">
        <v>1765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1708</v>
      </c>
      <c r="P132" t="s">
        <v>1708</v>
      </c>
      <c r="R132" s="25"/>
      <c r="S132" s="25"/>
    </row>
    <row r="133" spans="1:22" x14ac:dyDescent="0.3">
      <c r="A133">
        <v>1162161</v>
      </c>
      <c r="B133" t="s">
        <v>1743</v>
      </c>
      <c r="C133" t="s">
        <v>1760</v>
      </c>
      <c r="D133" t="s">
        <v>1759</v>
      </c>
      <c r="E133" t="s">
        <v>1758</v>
      </c>
      <c r="G133" t="s">
        <v>1764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1708</v>
      </c>
      <c r="P133" t="s">
        <v>1708</v>
      </c>
      <c r="R133" s="25"/>
      <c r="S133" s="25"/>
    </row>
    <row r="134" spans="1:22" x14ac:dyDescent="0.3">
      <c r="A134">
        <v>1162161</v>
      </c>
      <c r="B134" t="s">
        <v>1743</v>
      </c>
      <c r="C134" t="s">
        <v>1760</v>
      </c>
      <c r="D134" t="s">
        <v>1759</v>
      </c>
      <c r="E134" t="s">
        <v>1758</v>
      </c>
      <c r="G134" t="s">
        <v>1763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1708</v>
      </c>
      <c r="P134" t="s">
        <v>1708</v>
      </c>
      <c r="R134" s="25"/>
      <c r="S134" s="25"/>
    </row>
    <row r="135" spans="1:22" x14ac:dyDescent="0.3">
      <c r="A135">
        <v>1162161</v>
      </c>
      <c r="B135" t="s">
        <v>1743</v>
      </c>
      <c r="C135" t="s">
        <v>1760</v>
      </c>
      <c r="D135" t="s">
        <v>1759</v>
      </c>
      <c r="E135" t="s">
        <v>1758</v>
      </c>
      <c r="G135" t="s">
        <v>1762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1708</v>
      </c>
      <c r="P135" t="s">
        <v>1708</v>
      </c>
      <c r="R135" s="25"/>
      <c r="S135" s="25"/>
    </row>
    <row r="136" spans="1:22" x14ac:dyDescent="0.3">
      <c r="A136">
        <v>1162161</v>
      </c>
      <c r="B136" t="s">
        <v>1743</v>
      </c>
      <c r="C136" t="s">
        <v>1760</v>
      </c>
      <c r="D136" t="s">
        <v>1759</v>
      </c>
      <c r="E136" t="s">
        <v>1758</v>
      </c>
      <c r="G136" t="s">
        <v>1761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1708</v>
      </c>
      <c r="P136" t="s">
        <v>1708</v>
      </c>
      <c r="R136" s="25"/>
      <c r="S136" s="25"/>
    </row>
    <row r="137" spans="1:22" x14ac:dyDescent="0.3">
      <c r="A137">
        <v>1162161</v>
      </c>
      <c r="B137" t="s">
        <v>1743</v>
      </c>
      <c r="C137" t="s">
        <v>1760</v>
      </c>
      <c r="D137" t="s">
        <v>1759</v>
      </c>
      <c r="E137" t="s">
        <v>1758</v>
      </c>
      <c r="G137" t="s">
        <v>1757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1708</v>
      </c>
      <c r="P137" t="s">
        <v>1708</v>
      </c>
      <c r="R137" s="25"/>
      <c r="S137" s="25"/>
    </row>
    <row r="138" spans="1:22" x14ac:dyDescent="0.3">
      <c r="A138">
        <v>1162161</v>
      </c>
      <c r="B138" t="s">
        <v>1743</v>
      </c>
      <c r="C138" t="s">
        <v>1756</v>
      </c>
      <c r="D138" t="s">
        <v>1755</v>
      </c>
      <c r="E138" t="s">
        <v>1754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1795</v>
      </c>
      <c r="P138" t="s">
        <v>1708</v>
      </c>
      <c r="Q138" s="20" t="s">
        <v>1753</v>
      </c>
      <c r="R138" s="25"/>
      <c r="S138" s="25"/>
    </row>
    <row r="139" spans="1:22" ht="43.2" x14ac:dyDescent="0.3">
      <c r="A139">
        <v>1162161</v>
      </c>
      <c r="B139" t="s">
        <v>1743</v>
      </c>
      <c r="C139" t="s">
        <v>1752</v>
      </c>
      <c r="D139" t="s">
        <v>1752</v>
      </c>
      <c r="E139" t="s">
        <v>1751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1750</v>
      </c>
      <c r="N139" t="s">
        <v>1749</v>
      </c>
      <c r="O139" t="s">
        <v>1795</v>
      </c>
      <c r="P139" t="s">
        <v>1708</v>
      </c>
      <c r="Q139" s="19" t="s">
        <v>1747</v>
      </c>
      <c r="R139" s="25"/>
      <c r="S139" s="25"/>
    </row>
    <row r="140" spans="1:22" ht="28.8" x14ac:dyDescent="0.3">
      <c r="A140">
        <v>1162161</v>
      </c>
      <c r="B140" t="s">
        <v>1743</v>
      </c>
      <c r="C140" t="s">
        <v>1745</v>
      </c>
      <c r="D140" t="s">
        <v>1094</v>
      </c>
      <c r="E140" t="s">
        <v>1093</v>
      </c>
      <c r="G140" t="s">
        <v>1103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1708</v>
      </c>
      <c r="P140" t="s">
        <v>1708</v>
      </c>
      <c r="Q140" s="4" t="s">
        <v>1746</v>
      </c>
      <c r="R140" s="25"/>
      <c r="S140" s="25"/>
    </row>
    <row r="141" spans="1:22" x14ac:dyDescent="0.3">
      <c r="A141">
        <v>1162161</v>
      </c>
      <c r="B141" t="s">
        <v>1743</v>
      </c>
      <c r="C141" t="s">
        <v>1745</v>
      </c>
      <c r="D141" t="s">
        <v>1094</v>
      </c>
      <c r="E141" t="s">
        <v>1093</v>
      </c>
      <c r="G141" t="s">
        <v>1102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1708</v>
      </c>
      <c r="P141" t="s">
        <v>1708</v>
      </c>
      <c r="R141" s="25"/>
      <c r="S141" s="25"/>
    </row>
    <row r="142" spans="1:22" ht="15" customHeight="1" x14ac:dyDescent="0.3">
      <c r="A142">
        <v>1162161</v>
      </c>
      <c r="B142" t="s">
        <v>1743</v>
      </c>
      <c r="C142" t="s">
        <v>1745</v>
      </c>
      <c r="D142" t="s">
        <v>1094</v>
      </c>
      <c r="E142" t="s">
        <v>1093</v>
      </c>
      <c r="G142" t="s">
        <v>1101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1708</v>
      </c>
      <c r="P142" t="s">
        <v>1708</v>
      </c>
      <c r="R142" s="25"/>
      <c r="S142" s="25"/>
    </row>
    <row r="143" spans="1:22" x14ac:dyDescent="0.3">
      <c r="A143">
        <v>1162161</v>
      </c>
      <c r="B143" t="s">
        <v>1743</v>
      </c>
      <c r="C143" t="s">
        <v>1745</v>
      </c>
      <c r="D143" t="s">
        <v>1094</v>
      </c>
      <c r="E143" t="s">
        <v>1093</v>
      </c>
      <c r="G143" t="s">
        <v>1100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1708</v>
      </c>
      <c r="P143" t="s">
        <v>1708</v>
      </c>
      <c r="R143" s="25"/>
      <c r="S143" s="25"/>
    </row>
    <row r="144" spans="1:22" x14ac:dyDescent="0.3">
      <c r="A144">
        <v>1162161</v>
      </c>
      <c r="B144" t="s">
        <v>1743</v>
      </c>
      <c r="C144" t="s">
        <v>1745</v>
      </c>
      <c r="D144" t="s">
        <v>1094</v>
      </c>
      <c r="E144" t="s">
        <v>1093</v>
      </c>
      <c r="G144" t="s">
        <v>1099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1708</v>
      </c>
      <c r="P144" t="s">
        <v>1708</v>
      </c>
      <c r="R144" s="25"/>
      <c r="S144" s="25"/>
    </row>
    <row r="145" spans="1:19" x14ac:dyDescent="0.3">
      <c r="A145">
        <v>1162161</v>
      </c>
      <c r="B145" t="s">
        <v>1743</v>
      </c>
      <c r="C145" t="s">
        <v>1745</v>
      </c>
      <c r="D145" t="s">
        <v>1094</v>
      </c>
      <c r="E145" t="s">
        <v>1093</v>
      </c>
      <c r="G145" t="s">
        <v>1098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1708</v>
      </c>
      <c r="P145" t="s">
        <v>1708</v>
      </c>
      <c r="R145" s="25"/>
      <c r="S145" s="25"/>
    </row>
    <row r="146" spans="1:19" x14ac:dyDescent="0.3">
      <c r="A146">
        <v>1162161</v>
      </c>
      <c r="B146" t="s">
        <v>1743</v>
      </c>
      <c r="C146" t="s">
        <v>1745</v>
      </c>
      <c r="D146" t="s">
        <v>1094</v>
      </c>
      <c r="E146" t="s">
        <v>1093</v>
      </c>
      <c r="G146" t="s">
        <v>1097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1708</v>
      </c>
      <c r="P146" t="s">
        <v>1708</v>
      </c>
      <c r="R146" s="25"/>
      <c r="S146" s="25"/>
    </row>
    <row r="147" spans="1:19" x14ac:dyDescent="0.3">
      <c r="A147">
        <v>1162161</v>
      </c>
      <c r="B147" t="s">
        <v>1743</v>
      </c>
      <c r="C147" t="s">
        <v>1745</v>
      </c>
      <c r="D147" t="s">
        <v>1094</v>
      </c>
      <c r="E147" t="s">
        <v>1093</v>
      </c>
      <c r="G147" t="s">
        <v>1096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1708</v>
      </c>
      <c r="P147" t="s">
        <v>1708</v>
      </c>
      <c r="R147" s="25"/>
      <c r="S147" s="25"/>
    </row>
    <row r="148" spans="1:19" x14ac:dyDescent="0.3">
      <c r="A148">
        <v>1162161</v>
      </c>
      <c r="B148" t="s">
        <v>1743</v>
      </c>
      <c r="C148" t="s">
        <v>1745</v>
      </c>
      <c r="D148" t="s">
        <v>1094</v>
      </c>
      <c r="E148" t="s">
        <v>1093</v>
      </c>
      <c r="G148" t="s">
        <v>1092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1708</v>
      </c>
      <c r="P148" t="s">
        <v>1708</v>
      </c>
      <c r="R148" s="25"/>
      <c r="S148" s="25"/>
    </row>
    <row r="149" spans="1:19" hidden="1" x14ac:dyDescent="0.3">
      <c r="A149">
        <v>1162161</v>
      </c>
      <c r="B149" t="s">
        <v>1743</v>
      </c>
      <c r="C149" t="s">
        <v>1744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1708</v>
      </c>
      <c r="P149" t="s">
        <v>1708</v>
      </c>
      <c r="R149" s="25"/>
      <c r="S149" s="25"/>
    </row>
    <row r="150" spans="1:19" hidden="1" x14ac:dyDescent="0.3">
      <c r="A150">
        <v>1162161</v>
      </c>
      <c r="B150" t="s">
        <v>1743</v>
      </c>
      <c r="C150" t="s">
        <v>622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1708</v>
      </c>
      <c r="P150" t="s">
        <v>1708</v>
      </c>
      <c r="R150" s="25"/>
      <c r="S150" s="25"/>
    </row>
    <row r="151" spans="1:19" x14ac:dyDescent="0.3">
      <c r="A151">
        <v>1164483</v>
      </c>
      <c r="B151" t="s">
        <v>1740</v>
      </c>
      <c r="C151" t="s">
        <v>1095</v>
      </c>
      <c r="D151" t="s">
        <v>1094</v>
      </c>
      <c r="E151" t="s">
        <v>1093</v>
      </c>
      <c r="G151" t="s">
        <v>1103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1708</v>
      </c>
      <c r="P151" t="s">
        <v>1708</v>
      </c>
      <c r="R151" s="25">
        <f>COUNTIF(O151:O162,"*YES*")/COUNTA(O151:O162)</f>
        <v>1</v>
      </c>
      <c r="S151" s="25">
        <f>COUNTIF(P151:P162,"*YES*")/COUNTA(P151:P162)</f>
        <v>1</v>
      </c>
    </row>
    <row r="152" spans="1:19" x14ac:dyDescent="0.3">
      <c r="A152">
        <v>1164483</v>
      </c>
      <c r="B152" t="s">
        <v>1740</v>
      </c>
      <c r="C152" t="s">
        <v>1095</v>
      </c>
      <c r="D152" t="s">
        <v>1094</v>
      </c>
      <c r="E152" t="s">
        <v>1093</v>
      </c>
      <c r="G152" t="s">
        <v>1102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1708</v>
      </c>
      <c r="P152" t="s">
        <v>1708</v>
      </c>
      <c r="R152" s="25"/>
      <c r="S152" s="25"/>
    </row>
    <row r="153" spans="1:19" x14ac:dyDescent="0.3">
      <c r="A153">
        <v>1164483</v>
      </c>
      <c r="B153" t="s">
        <v>1740</v>
      </c>
      <c r="C153" t="s">
        <v>1095</v>
      </c>
      <c r="D153" t="s">
        <v>1094</v>
      </c>
      <c r="E153" t="s">
        <v>1093</v>
      </c>
      <c r="G153" t="s">
        <v>1101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1708</v>
      </c>
      <c r="P153" t="s">
        <v>1708</v>
      </c>
      <c r="R153" s="25"/>
      <c r="S153" s="25"/>
    </row>
    <row r="154" spans="1:19" x14ac:dyDescent="0.3">
      <c r="A154">
        <v>1164483</v>
      </c>
      <c r="B154" t="s">
        <v>1740</v>
      </c>
      <c r="C154" t="s">
        <v>1095</v>
      </c>
      <c r="D154" t="s">
        <v>1094</v>
      </c>
      <c r="E154" t="s">
        <v>1093</v>
      </c>
      <c r="G154" t="s">
        <v>1100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1708</v>
      </c>
      <c r="P154" t="s">
        <v>1708</v>
      </c>
      <c r="R154" s="25"/>
      <c r="S154" s="25"/>
    </row>
    <row r="155" spans="1:19" x14ac:dyDescent="0.3">
      <c r="A155">
        <v>1164483</v>
      </c>
      <c r="B155" t="s">
        <v>1740</v>
      </c>
      <c r="C155" t="s">
        <v>1095</v>
      </c>
      <c r="D155" t="s">
        <v>1094</v>
      </c>
      <c r="E155" t="s">
        <v>1093</v>
      </c>
      <c r="G155" t="s">
        <v>1099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1708</v>
      </c>
      <c r="P155" t="s">
        <v>1708</v>
      </c>
      <c r="R155" s="25"/>
      <c r="S155" s="25"/>
    </row>
    <row r="156" spans="1:19" x14ac:dyDescent="0.3">
      <c r="A156">
        <v>1164483</v>
      </c>
      <c r="B156" t="s">
        <v>1740</v>
      </c>
      <c r="C156" t="s">
        <v>1095</v>
      </c>
      <c r="D156" t="s">
        <v>1094</v>
      </c>
      <c r="E156" t="s">
        <v>1093</v>
      </c>
      <c r="G156" t="s">
        <v>1098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1708</v>
      </c>
      <c r="P156" t="s">
        <v>1708</v>
      </c>
      <c r="R156" s="25"/>
      <c r="S156" s="25"/>
    </row>
    <row r="157" spans="1:19" x14ac:dyDescent="0.3">
      <c r="A157">
        <v>1164483</v>
      </c>
      <c r="B157" t="s">
        <v>1740</v>
      </c>
      <c r="C157" t="s">
        <v>1095</v>
      </c>
      <c r="D157" t="s">
        <v>1094</v>
      </c>
      <c r="E157" t="s">
        <v>1093</v>
      </c>
      <c r="G157" t="s">
        <v>1097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1708</v>
      </c>
      <c r="P157" t="s">
        <v>1708</v>
      </c>
      <c r="R157" s="25"/>
      <c r="S157" s="25"/>
    </row>
    <row r="158" spans="1:19" x14ac:dyDescent="0.3">
      <c r="A158">
        <v>1164483</v>
      </c>
      <c r="B158" t="s">
        <v>1740</v>
      </c>
      <c r="C158" t="s">
        <v>1095</v>
      </c>
      <c r="D158" t="s">
        <v>1094</v>
      </c>
      <c r="E158" t="s">
        <v>1093</v>
      </c>
      <c r="G158" t="s">
        <v>1096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1708</v>
      </c>
      <c r="P158" t="s">
        <v>1708</v>
      </c>
      <c r="R158" s="25"/>
      <c r="S158" s="25"/>
    </row>
    <row r="159" spans="1:19" x14ac:dyDescent="0.3">
      <c r="A159">
        <v>1164483</v>
      </c>
      <c r="B159" t="s">
        <v>1740</v>
      </c>
      <c r="C159" t="s">
        <v>1095</v>
      </c>
      <c r="D159" t="s">
        <v>1094</v>
      </c>
      <c r="E159" t="s">
        <v>1093</v>
      </c>
      <c r="G159" t="s">
        <v>1092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1708</v>
      </c>
      <c r="P159" t="s">
        <v>1708</v>
      </c>
      <c r="R159" s="25"/>
      <c r="S159" s="25"/>
    </row>
    <row r="160" spans="1:19" hidden="1" x14ac:dyDescent="0.3">
      <c r="A160">
        <v>1164483</v>
      </c>
      <c r="B160" t="s">
        <v>1740</v>
      </c>
      <c r="C160" t="s">
        <v>1742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1708</v>
      </c>
      <c r="P160" t="s">
        <v>1708</v>
      </c>
      <c r="R160" s="25"/>
      <c r="S160" s="25"/>
    </row>
    <row r="161" spans="1:19" hidden="1" x14ac:dyDescent="0.3">
      <c r="A161">
        <v>1164483</v>
      </c>
      <c r="B161" t="s">
        <v>1740</v>
      </c>
      <c r="C161" t="s">
        <v>1741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1708</v>
      </c>
      <c r="P161" t="s">
        <v>1708</v>
      </c>
      <c r="R161" s="25"/>
      <c r="S161" s="25"/>
    </row>
    <row r="162" spans="1:19" hidden="1" x14ac:dyDescent="0.3">
      <c r="A162">
        <v>1164483</v>
      </c>
      <c r="B162" t="s">
        <v>1740</v>
      </c>
      <c r="C162" t="s">
        <v>1739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1708</v>
      </c>
      <c r="P162" t="s">
        <v>1708</v>
      </c>
      <c r="R162" s="25"/>
      <c r="S162" s="25"/>
    </row>
    <row r="163" spans="1:19" hidden="1" x14ac:dyDescent="0.3">
      <c r="A163">
        <v>1165987</v>
      </c>
      <c r="B163" t="s">
        <v>1726</v>
      </c>
      <c r="C163" t="s">
        <v>1738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1708</v>
      </c>
      <c r="P163" t="s">
        <v>1708</v>
      </c>
      <c r="R163" s="25">
        <f>COUNTIF(O163:O181,"*YES*")/COUNTA(O163:O181)</f>
        <v>1</v>
      </c>
      <c r="S163" s="25">
        <f>COUNTIF(P163:P181,"*YES*")/COUNTA(P163:P181)</f>
        <v>1</v>
      </c>
    </row>
    <row r="164" spans="1:19" x14ac:dyDescent="0.3">
      <c r="A164">
        <v>1165987</v>
      </c>
      <c r="B164" t="s">
        <v>1726</v>
      </c>
      <c r="C164" t="s">
        <v>1732</v>
      </c>
      <c r="D164" t="s">
        <v>1731</v>
      </c>
      <c r="E164" t="s">
        <v>1730</v>
      </c>
      <c r="G164" t="s">
        <v>1737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1708</v>
      </c>
      <c r="P164" t="s">
        <v>1708</v>
      </c>
      <c r="R164" s="25"/>
      <c r="S164" s="25"/>
    </row>
    <row r="165" spans="1:19" x14ac:dyDescent="0.3">
      <c r="A165">
        <v>1165987</v>
      </c>
      <c r="B165" t="s">
        <v>1726</v>
      </c>
      <c r="C165" t="s">
        <v>1732</v>
      </c>
      <c r="D165" t="s">
        <v>1731</v>
      </c>
      <c r="E165" t="s">
        <v>1730</v>
      </c>
      <c r="G165" t="s">
        <v>1736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1708</v>
      </c>
      <c r="P165" t="s">
        <v>1708</v>
      </c>
      <c r="R165" s="25"/>
      <c r="S165" s="25"/>
    </row>
    <row r="166" spans="1:19" x14ac:dyDescent="0.3">
      <c r="A166">
        <v>1165987</v>
      </c>
      <c r="B166" t="s">
        <v>1726</v>
      </c>
      <c r="C166" t="s">
        <v>1732</v>
      </c>
      <c r="D166" t="s">
        <v>1731</v>
      </c>
      <c r="E166" t="s">
        <v>1730</v>
      </c>
      <c r="G166" t="s">
        <v>1735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1708</v>
      </c>
      <c r="P166" t="s">
        <v>1708</v>
      </c>
      <c r="R166" s="25"/>
      <c r="S166" s="25"/>
    </row>
    <row r="167" spans="1:19" x14ac:dyDescent="0.3">
      <c r="A167">
        <v>1165987</v>
      </c>
      <c r="B167" t="s">
        <v>1726</v>
      </c>
      <c r="C167" t="s">
        <v>1732</v>
      </c>
      <c r="D167" t="s">
        <v>1731</v>
      </c>
      <c r="E167" t="s">
        <v>1730</v>
      </c>
      <c r="G167" t="s">
        <v>1734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1708</v>
      </c>
      <c r="P167" t="s">
        <v>1708</v>
      </c>
      <c r="R167" s="25"/>
      <c r="S167" s="25"/>
    </row>
    <row r="168" spans="1:19" x14ac:dyDescent="0.3">
      <c r="A168">
        <v>1165987</v>
      </c>
      <c r="B168" t="s">
        <v>1726</v>
      </c>
      <c r="C168" t="s">
        <v>1732</v>
      </c>
      <c r="D168" t="s">
        <v>1731</v>
      </c>
      <c r="E168" t="s">
        <v>1730</v>
      </c>
      <c r="G168" t="s">
        <v>1733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1708</v>
      </c>
      <c r="P168" t="s">
        <v>1708</v>
      </c>
      <c r="R168" s="25"/>
      <c r="S168" s="25"/>
    </row>
    <row r="169" spans="1:19" x14ac:dyDescent="0.3">
      <c r="A169">
        <v>1165987</v>
      </c>
      <c r="B169" t="s">
        <v>1726</v>
      </c>
      <c r="C169" t="s">
        <v>1732</v>
      </c>
      <c r="D169" t="s">
        <v>1731</v>
      </c>
      <c r="E169" t="s">
        <v>1730</v>
      </c>
      <c r="G169" t="s">
        <v>1729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1708</v>
      </c>
      <c r="P169" t="s">
        <v>1708</v>
      </c>
      <c r="R169" s="25"/>
      <c r="S169" s="25"/>
    </row>
    <row r="170" spans="1:19" hidden="1" x14ac:dyDescent="0.3">
      <c r="A170">
        <v>1165987</v>
      </c>
      <c r="B170" t="s">
        <v>1726</v>
      </c>
      <c r="C170" t="s">
        <v>1728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1708</v>
      </c>
      <c r="P170" t="s">
        <v>1708</v>
      </c>
      <c r="R170" s="25"/>
      <c r="S170" s="25"/>
    </row>
    <row r="171" spans="1:19" hidden="1" x14ac:dyDescent="0.3">
      <c r="A171">
        <v>1165987</v>
      </c>
      <c r="B171" t="s">
        <v>1726</v>
      </c>
      <c r="C171" t="s">
        <v>1727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1708</v>
      </c>
      <c r="P171" t="s">
        <v>1708</v>
      </c>
      <c r="R171" s="25"/>
      <c r="S171" s="25"/>
    </row>
    <row r="172" spans="1:19" hidden="1" x14ac:dyDescent="0.3">
      <c r="A172">
        <v>1165987</v>
      </c>
      <c r="B172" t="s">
        <v>1726</v>
      </c>
      <c r="C172" t="s">
        <v>1725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1708</v>
      </c>
      <c r="P172" t="s">
        <v>1708</v>
      </c>
      <c r="R172" s="25"/>
      <c r="S172" s="25"/>
    </row>
    <row r="173" spans="1:19" hidden="1" x14ac:dyDescent="0.3">
      <c r="A173">
        <v>1169135</v>
      </c>
      <c r="B173" t="s">
        <v>1723</v>
      </c>
      <c r="C173" t="s">
        <v>1108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1708</v>
      </c>
      <c r="P173" t="s">
        <v>1708</v>
      </c>
      <c r="R173" s="25"/>
      <c r="S173" s="25"/>
    </row>
    <row r="174" spans="1:19" hidden="1" x14ac:dyDescent="0.3">
      <c r="A174">
        <v>1169135</v>
      </c>
      <c r="B174" t="s">
        <v>1723</v>
      </c>
      <c r="C174" t="s">
        <v>1724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1708</v>
      </c>
      <c r="P174" t="s">
        <v>1708</v>
      </c>
      <c r="R174" s="25"/>
      <c r="S174" s="25"/>
    </row>
    <row r="175" spans="1:19" hidden="1" x14ac:dyDescent="0.3">
      <c r="A175">
        <v>1169135</v>
      </c>
      <c r="B175" t="s">
        <v>1723</v>
      </c>
      <c r="C175" t="s">
        <v>1616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1708</v>
      </c>
      <c r="P175" t="s">
        <v>1708</v>
      </c>
      <c r="R175" s="25"/>
      <c r="S175" s="25"/>
    </row>
    <row r="176" spans="1:19" x14ac:dyDescent="0.3">
      <c r="A176">
        <v>1169135</v>
      </c>
      <c r="B176" t="s">
        <v>1723</v>
      </c>
      <c r="C176" t="s">
        <v>1609</v>
      </c>
      <c r="D176" t="s">
        <v>1608</v>
      </c>
      <c r="E176" t="s">
        <v>1607</v>
      </c>
      <c r="G176" t="s">
        <v>1615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1708</v>
      </c>
      <c r="P176" t="s">
        <v>1708</v>
      </c>
      <c r="R176" s="25"/>
      <c r="S176" s="25"/>
    </row>
    <row r="177" spans="1:19" x14ac:dyDescent="0.3">
      <c r="A177">
        <v>1169135</v>
      </c>
      <c r="B177" t="s">
        <v>1723</v>
      </c>
      <c r="C177" t="s">
        <v>1609</v>
      </c>
      <c r="D177" t="s">
        <v>1608</v>
      </c>
      <c r="E177" t="s">
        <v>1607</v>
      </c>
      <c r="G177" t="s">
        <v>1614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1708</v>
      </c>
      <c r="P177" t="s">
        <v>1708</v>
      </c>
      <c r="R177" s="25"/>
      <c r="S177" s="25"/>
    </row>
    <row r="178" spans="1:19" x14ac:dyDescent="0.3">
      <c r="A178">
        <v>1169135</v>
      </c>
      <c r="B178" t="s">
        <v>1723</v>
      </c>
      <c r="C178" t="s">
        <v>1609</v>
      </c>
      <c r="D178" t="s">
        <v>1608</v>
      </c>
      <c r="E178" t="s">
        <v>1607</v>
      </c>
      <c r="G178" t="s">
        <v>1613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1708</v>
      </c>
      <c r="P178" t="s">
        <v>1708</v>
      </c>
      <c r="R178" s="25"/>
      <c r="S178" s="25"/>
    </row>
    <row r="179" spans="1:19" x14ac:dyDescent="0.3">
      <c r="A179">
        <v>1169135</v>
      </c>
      <c r="B179" t="s">
        <v>1723</v>
      </c>
      <c r="C179" t="s">
        <v>1609</v>
      </c>
      <c r="D179" t="s">
        <v>1608</v>
      </c>
      <c r="E179" t="s">
        <v>1607</v>
      </c>
      <c r="G179" t="s">
        <v>1612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1708</v>
      </c>
      <c r="P179" t="s">
        <v>1708</v>
      </c>
      <c r="R179" s="25"/>
      <c r="S179" s="25"/>
    </row>
    <row r="180" spans="1:19" x14ac:dyDescent="0.3">
      <c r="A180">
        <v>1169135</v>
      </c>
      <c r="B180" t="s">
        <v>1723</v>
      </c>
      <c r="C180" t="s">
        <v>1609</v>
      </c>
      <c r="D180" t="s">
        <v>1608</v>
      </c>
      <c r="E180" t="s">
        <v>1607</v>
      </c>
      <c r="G180" t="s">
        <v>1611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1708</v>
      </c>
      <c r="P180" t="s">
        <v>1708</v>
      </c>
      <c r="R180" s="25"/>
      <c r="S180" s="25"/>
    </row>
    <row r="181" spans="1:19" x14ac:dyDescent="0.3">
      <c r="A181">
        <v>1169135</v>
      </c>
      <c r="B181" t="s">
        <v>1723</v>
      </c>
      <c r="C181" t="s">
        <v>1609</v>
      </c>
      <c r="D181" t="s">
        <v>1608</v>
      </c>
      <c r="E181" t="s">
        <v>1607</v>
      </c>
      <c r="G181" t="s">
        <v>1606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1708</v>
      </c>
      <c r="P181" t="s">
        <v>1708</v>
      </c>
      <c r="R181" s="25"/>
      <c r="S181" s="25"/>
    </row>
    <row r="182" spans="1:19" hidden="1" x14ac:dyDescent="0.3">
      <c r="A182">
        <v>1178296</v>
      </c>
      <c r="B182" t="s">
        <v>1710</v>
      </c>
      <c r="C182" t="s">
        <v>1722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1708</v>
      </c>
      <c r="P182" t="s">
        <v>1708</v>
      </c>
      <c r="R182" s="25">
        <f>COUNTIF(O182:O192,"*YES*")/COUNTA(O182:O192)</f>
        <v>1</v>
      </c>
      <c r="S182" s="25">
        <f>COUNTIF(P182:P192,"*YES*")/COUNTA(P182:P192)</f>
        <v>1</v>
      </c>
    </row>
    <row r="183" spans="1:19" hidden="1" x14ac:dyDescent="0.3">
      <c r="A183">
        <v>1178296</v>
      </c>
      <c r="B183" t="s">
        <v>1710</v>
      </c>
      <c r="C183" t="s">
        <v>1721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1708</v>
      </c>
      <c r="P183" t="s">
        <v>1708</v>
      </c>
      <c r="R183" s="25"/>
      <c r="S183" s="25"/>
    </row>
    <row r="184" spans="1:19" x14ac:dyDescent="0.3">
      <c r="A184">
        <v>1178296</v>
      </c>
      <c r="B184" t="s">
        <v>1710</v>
      </c>
      <c r="C184" t="s">
        <v>1713</v>
      </c>
      <c r="D184" t="s">
        <v>1713</v>
      </c>
      <c r="E184" t="s">
        <v>1712</v>
      </c>
      <c r="G184" t="s">
        <v>1720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1708</v>
      </c>
      <c r="P184" t="s">
        <v>1708</v>
      </c>
      <c r="R184" s="25"/>
      <c r="S184" s="25"/>
    </row>
    <row r="185" spans="1:19" x14ac:dyDescent="0.3">
      <c r="A185">
        <v>1178296</v>
      </c>
      <c r="B185" t="s">
        <v>1710</v>
      </c>
      <c r="C185" t="s">
        <v>1713</v>
      </c>
      <c r="D185" t="s">
        <v>1713</v>
      </c>
      <c r="E185" t="s">
        <v>1712</v>
      </c>
      <c r="G185" t="s">
        <v>1719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1708</v>
      </c>
      <c r="P185" t="s">
        <v>1708</v>
      </c>
      <c r="R185" s="25"/>
      <c r="S185" s="25"/>
    </row>
    <row r="186" spans="1:19" x14ac:dyDescent="0.3">
      <c r="A186">
        <v>1178296</v>
      </c>
      <c r="B186" t="s">
        <v>1710</v>
      </c>
      <c r="C186" t="s">
        <v>1713</v>
      </c>
      <c r="D186" t="s">
        <v>1713</v>
      </c>
      <c r="E186" t="s">
        <v>1712</v>
      </c>
      <c r="G186" t="s">
        <v>1718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1708</v>
      </c>
      <c r="P186" t="s">
        <v>1708</v>
      </c>
      <c r="R186" s="25"/>
      <c r="S186" s="25"/>
    </row>
    <row r="187" spans="1:19" x14ac:dyDescent="0.3">
      <c r="A187">
        <v>1178296</v>
      </c>
      <c r="B187" t="s">
        <v>1710</v>
      </c>
      <c r="C187" t="s">
        <v>1713</v>
      </c>
      <c r="D187" t="s">
        <v>1713</v>
      </c>
      <c r="E187" t="s">
        <v>1712</v>
      </c>
      <c r="G187" t="s">
        <v>1717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1708</v>
      </c>
      <c r="P187" t="s">
        <v>1708</v>
      </c>
      <c r="R187" s="25"/>
      <c r="S187" s="25"/>
    </row>
    <row r="188" spans="1:19" x14ac:dyDescent="0.3">
      <c r="A188">
        <v>1178296</v>
      </c>
      <c r="B188" t="s">
        <v>1710</v>
      </c>
      <c r="C188" t="s">
        <v>1713</v>
      </c>
      <c r="D188" t="s">
        <v>1713</v>
      </c>
      <c r="E188" t="s">
        <v>1712</v>
      </c>
      <c r="G188" t="s">
        <v>1716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1708</v>
      </c>
      <c r="P188" t="s">
        <v>1708</v>
      </c>
      <c r="R188" s="25"/>
      <c r="S188" s="25"/>
    </row>
    <row r="189" spans="1:19" x14ac:dyDescent="0.3">
      <c r="A189">
        <v>1178296</v>
      </c>
      <c r="B189" t="s">
        <v>1710</v>
      </c>
      <c r="C189" t="s">
        <v>1713</v>
      </c>
      <c r="D189" t="s">
        <v>1713</v>
      </c>
      <c r="E189" t="s">
        <v>1712</v>
      </c>
      <c r="G189" t="s">
        <v>1715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1708</v>
      </c>
      <c r="P189" t="s">
        <v>1708</v>
      </c>
      <c r="R189" s="25"/>
      <c r="S189" s="25"/>
    </row>
    <row r="190" spans="1:19" x14ac:dyDescent="0.3">
      <c r="A190">
        <v>1178296</v>
      </c>
      <c r="B190" t="s">
        <v>1710</v>
      </c>
      <c r="C190" t="s">
        <v>1713</v>
      </c>
      <c r="D190" t="s">
        <v>1713</v>
      </c>
      <c r="E190" t="s">
        <v>1712</v>
      </c>
      <c r="G190" t="s">
        <v>1714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1708</v>
      </c>
      <c r="P190" t="s">
        <v>1708</v>
      </c>
      <c r="R190" s="25"/>
      <c r="S190" s="25"/>
    </row>
    <row r="191" spans="1:19" x14ac:dyDescent="0.3">
      <c r="A191">
        <v>1178296</v>
      </c>
      <c r="B191" t="s">
        <v>1710</v>
      </c>
      <c r="C191" t="s">
        <v>1713</v>
      </c>
      <c r="D191" t="s">
        <v>1713</v>
      </c>
      <c r="E191" t="s">
        <v>1712</v>
      </c>
      <c r="G191" t="s">
        <v>1711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1708</v>
      </c>
      <c r="P191" t="s">
        <v>1708</v>
      </c>
      <c r="R191" s="25"/>
      <c r="S191" s="25"/>
    </row>
    <row r="192" spans="1:19" hidden="1" x14ac:dyDescent="0.3">
      <c r="A192">
        <v>1178296</v>
      </c>
      <c r="B192" t="s">
        <v>1710</v>
      </c>
      <c r="C192" t="s">
        <v>1709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1708</v>
      </c>
      <c r="P192" t="s">
        <v>1708</v>
      </c>
      <c r="R192" s="25"/>
      <c r="S192" s="25"/>
    </row>
    <row r="193" spans="1:12" x14ac:dyDescent="0.3">
      <c r="A193">
        <v>1178297</v>
      </c>
      <c r="B193" t="s">
        <v>1706</v>
      </c>
      <c r="C193" t="s">
        <v>1095</v>
      </c>
      <c r="D193" t="s">
        <v>1094</v>
      </c>
      <c r="E193" t="s">
        <v>1093</v>
      </c>
      <c r="G193" t="s">
        <v>1103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1706</v>
      </c>
      <c r="C194" t="s">
        <v>1095</v>
      </c>
      <c r="D194" t="s">
        <v>1094</v>
      </c>
      <c r="E194" t="s">
        <v>1093</v>
      </c>
      <c r="G194" t="s">
        <v>1102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1706</v>
      </c>
      <c r="C195" t="s">
        <v>1095</v>
      </c>
      <c r="D195" t="s">
        <v>1094</v>
      </c>
      <c r="E195" t="s">
        <v>1093</v>
      </c>
      <c r="G195" t="s">
        <v>1101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1706</v>
      </c>
      <c r="C196" t="s">
        <v>1095</v>
      </c>
      <c r="D196" t="s">
        <v>1094</v>
      </c>
      <c r="E196" t="s">
        <v>1093</v>
      </c>
      <c r="G196" t="s">
        <v>1100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1706</v>
      </c>
      <c r="C197" t="s">
        <v>1095</v>
      </c>
      <c r="D197" t="s">
        <v>1094</v>
      </c>
      <c r="E197" t="s">
        <v>1093</v>
      </c>
      <c r="G197" t="s">
        <v>1099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1706</v>
      </c>
      <c r="C198" t="s">
        <v>1095</v>
      </c>
      <c r="D198" t="s">
        <v>1094</v>
      </c>
      <c r="E198" t="s">
        <v>1093</v>
      </c>
      <c r="G198" t="s">
        <v>1098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1706</v>
      </c>
      <c r="C199" t="s">
        <v>1095</v>
      </c>
      <c r="D199" t="s">
        <v>1094</v>
      </c>
      <c r="E199" t="s">
        <v>1093</v>
      </c>
      <c r="G199" t="s">
        <v>1097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1706</v>
      </c>
      <c r="C200" t="s">
        <v>1095</v>
      </c>
      <c r="D200" t="s">
        <v>1094</v>
      </c>
      <c r="E200" t="s">
        <v>1093</v>
      </c>
      <c r="G200" t="s">
        <v>1096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1706</v>
      </c>
      <c r="C201" t="s">
        <v>1095</v>
      </c>
      <c r="D201" t="s">
        <v>1094</v>
      </c>
      <c r="E201" t="s">
        <v>1093</v>
      </c>
      <c r="G201" t="s">
        <v>1092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hidden="1" x14ac:dyDescent="0.3">
      <c r="A202">
        <v>1178297</v>
      </c>
      <c r="B202" t="s">
        <v>1706</v>
      </c>
      <c r="C202" t="s">
        <v>1707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hidden="1" x14ac:dyDescent="0.3">
      <c r="A203">
        <v>1178297</v>
      </c>
      <c r="B203" t="s">
        <v>1706</v>
      </c>
      <c r="C203" t="s">
        <v>632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hidden="1" x14ac:dyDescent="0.3">
      <c r="A204">
        <v>1178297</v>
      </c>
      <c r="B204" t="s">
        <v>1706</v>
      </c>
      <c r="C204" t="s">
        <v>1705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hidden="1" x14ac:dyDescent="0.3">
      <c r="A205">
        <v>1183655</v>
      </c>
      <c r="B205" t="s">
        <v>1632</v>
      </c>
      <c r="C205" t="s">
        <v>1704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hidden="1" x14ac:dyDescent="0.3">
      <c r="A206">
        <v>1183655</v>
      </c>
      <c r="B206" t="s">
        <v>1632</v>
      </c>
      <c r="C206" t="s">
        <v>1703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hidden="1" x14ac:dyDescent="0.3">
      <c r="A207">
        <v>1183655</v>
      </c>
      <c r="B207" t="s">
        <v>1632</v>
      </c>
      <c r="C207" t="s">
        <v>1702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hidden="1" x14ac:dyDescent="0.3">
      <c r="A208">
        <v>1183655</v>
      </c>
      <c r="B208" t="s">
        <v>1632</v>
      </c>
      <c r="C208" t="s">
        <v>1701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hidden="1" x14ac:dyDescent="0.3">
      <c r="A209">
        <v>1183655</v>
      </c>
      <c r="B209" t="s">
        <v>1632</v>
      </c>
      <c r="C209" t="s">
        <v>1700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1632</v>
      </c>
      <c r="C210" t="s">
        <v>1684</v>
      </c>
      <c r="D210" t="s">
        <v>1683</v>
      </c>
      <c r="E210" t="s">
        <v>1682</v>
      </c>
      <c r="G210" t="s">
        <v>1699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1680</v>
      </c>
      <c r="N210" t="s">
        <v>1679</v>
      </c>
    </row>
    <row r="211" spans="1:14" x14ac:dyDescent="0.3">
      <c r="A211">
        <v>1183655</v>
      </c>
      <c r="B211" t="s">
        <v>1632</v>
      </c>
      <c r="C211" t="s">
        <v>1684</v>
      </c>
      <c r="D211" t="s">
        <v>1683</v>
      </c>
      <c r="E211" t="s">
        <v>1682</v>
      </c>
      <c r="G211" t="s">
        <v>1698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1680</v>
      </c>
      <c r="N211" t="s">
        <v>1679</v>
      </c>
    </row>
    <row r="212" spans="1:14" x14ac:dyDescent="0.3">
      <c r="A212">
        <v>1183655</v>
      </c>
      <c r="B212" t="s">
        <v>1632</v>
      </c>
      <c r="C212" t="s">
        <v>1684</v>
      </c>
      <c r="D212" t="s">
        <v>1683</v>
      </c>
      <c r="E212" t="s">
        <v>1682</v>
      </c>
      <c r="G212" t="s">
        <v>1697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1680</v>
      </c>
      <c r="N212" t="s">
        <v>1679</v>
      </c>
    </row>
    <row r="213" spans="1:14" x14ac:dyDescent="0.3">
      <c r="A213">
        <v>1183655</v>
      </c>
      <c r="B213" t="s">
        <v>1632</v>
      </c>
      <c r="C213" t="s">
        <v>1684</v>
      </c>
      <c r="D213" t="s">
        <v>1683</v>
      </c>
      <c r="E213" t="s">
        <v>1682</v>
      </c>
      <c r="G213" t="s">
        <v>1696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1680</v>
      </c>
      <c r="N213" t="s">
        <v>1679</v>
      </c>
    </row>
    <row r="214" spans="1:14" x14ac:dyDescent="0.3">
      <c r="A214">
        <v>1183655</v>
      </c>
      <c r="B214" t="s">
        <v>1632</v>
      </c>
      <c r="C214" t="s">
        <v>1684</v>
      </c>
      <c r="D214" t="s">
        <v>1683</v>
      </c>
      <c r="E214" t="s">
        <v>1682</v>
      </c>
      <c r="G214" t="s">
        <v>1695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1680</v>
      </c>
      <c r="N214" t="s">
        <v>1679</v>
      </c>
    </row>
    <row r="215" spans="1:14" x14ac:dyDescent="0.3">
      <c r="A215">
        <v>1183655</v>
      </c>
      <c r="B215" t="s">
        <v>1632</v>
      </c>
      <c r="C215" t="s">
        <v>1684</v>
      </c>
      <c r="D215" t="s">
        <v>1683</v>
      </c>
      <c r="E215" t="s">
        <v>1682</v>
      </c>
      <c r="G215" t="s">
        <v>1694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1680</v>
      </c>
      <c r="N215" t="s">
        <v>1679</v>
      </c>
    </row>
    <row r="216" spans="1:14" x14ac:dyDescent="0.3">
      <c r="A216">
        <v>1183655</v>
      </c>
      <c r="B216" t="s">
        <v>1632</v>
      </c>
      <c r="C216" t="s">
        <v>1684</v>
      </c>
      <c r="D216" t="s">
        <v>1683</v>
      </c>
      <c r="E216" t="s">
        <v>1682</v>
      </c>
      <c r="G216" t="s">
        <v>1693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1680</v>
      </c>
      <c r="N216" t="s">
        <v>1679</v>
      </c>
    </row>
    <row r="217" spans="1:14" x14ac:dyDescent="0.3">
      <c r="A217">
        <v>1183655</v>
      </c>
      <c r="B217" t="s">
        <v>1632</v>
      </c>
      <c r="C217" t="s">
        <v>1684</v>
      </c>
      <c r="D217" t="s">
        <v>1683</v>
      </c>
      <c r="E217" t="s">
        <v>1682</v>
      </c>
      <c r="G217" t="s">
        <v>1692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1680</v>
      </c>
      <c r="N217" t="s">
        <v>1679</v>
      </c>
    </row>
    <row r="218" spans="1:14" x14ac:dyDescent="0.3">
      <c r="A218">
        <v>1183655</v>
      </c>
      <c r="B218" t="s">
        <v>1632</v>
      </c>
      <c r="C218" t="s">
        <v>1684</v>
      </c>
      <c r="D218" t="s">
        <v>1683</v>
      </c>
      <c r="E218" t="s">
        <v>1682</v>
      </c>
      <c r="G218" t="s">
        <v>1691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1680</v>
      </c>
      <c r="N218" t="s">
        <v>1679</v>
      </c>
    </row>
    <row r="219" spans="1:14" x14ac:dyDescent="0.3">
      <c r="A219">
        <v>1183655</v>
      </c>
      <c r="B219" t="s">
        <v>1632</v>
      </c>
      <c r="C219" t="s">
        <v>1684</v>
      </c>
      <c r="D219" t="s">
        <v>1683</v>
      </c>
      <c r="E219" t="s">
        <v>1682</v>
      </c>
      <c r="G219" t="s">
        <v>1690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1680</v>
      </c>
      <c r="N219" t="s">
        <v>1679</v>
      </c>
    </row>
    <row r="220" spans="1:14" x14ac:dyDescent="0.3">
      <c r="A220">
        <v>1183655</v>
      </c>
      <c r="B220" t="s">
        <v>1632</v>
      </c>
      <c r="C220" t="s">
        <v>1684</v>
      </c>
      <c r="D220" t="s">
        <v>1683</v>
      </c>
      <c r="E220" t="s">
        <v>1682</v>
      </c>
      <c r="G220" t="s">
        <v>1689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1680</v>
      </c>
      <c r="N220" t="s">
        <v>1679</v>
      </c>
    </row>
    <row r="221" spans="1:14" x14ac:dyDescent="0.3">
      <c r="A221">
        <v>1183655</v>
      </c>
      <c r="B221" t="s">
        <v>1632</v>
      </c>
      <c r="C221" t="s">
        <v>1684</v>
      </c>
      <c r="D221" t="s">
        <v>1683</v>
      </c>
      <c r="E221" t="s">
        <v>1682</v>
      </c>
      <c r="G221" t="s">
        <v>1688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1680</v>
      </c>
      <c r="N221" t="s">
        <v>1679</v>
      </c>
    </row>
    <row r="222" spans="1:14" x14ac:dyDescent="0.3">
      <c r="A222">
        <v>1183655</v>
      </c>
      <c r="B222" t="s">
        <v>1632</v>
      </c>
      <c r="C222" t="s">
        <v>1684</v>
      </c>
      <c r="D222" t="s">
        <v>1683</v>
      </c>
      <c r="E222" t="s">
        <v>1682</v>
      </c>
      <c r="G222" t="s">
        <v>1687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1680</v>
      </c>
      <c r="N222" t="s">
        <v>1679</v>
      </c>
    </row>
    <row r="223" spans="1:14" x14ac:dyDescent="0.3">
      <c r="A223">
        <v>1183655</v>
      </c>
      <c r="B223" t="s">
        <v>1632</v>
      </c>
      <c r="C223" t="s">
        <v>1684</v>
      </c>
      <c r="D223" t="s">
        <v>1683</v>
      </c>
      <c r="E223" t="s">
        <v>1682</v>
      </c>
      <c r="G223" t="s">
        <v>1686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1680</v>
      </c>
      <c r="N223" t="s">
        <v>1679</v>
      </c>
    </row>
    <row r="224" spans="1:14" x14ac:dyDescent="0.3">
      <c r="A224">
        <v>1183655</v>
      </c>
      <c r="B224" t="s">
        <v>1632</v>
      </c>
      <c r="C224" t="s">
        <v>1684</v>
      </c>
      <c r="D224" t="s">
        <v>1683</v>
      </c>
      <c r="E224" t="s">
        <v>1682</v>
      </c>
      <c r="G224" t="s">
        <v>1685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1680</v>
      </c>
      <c r="N224" t="s">
        <v>1679</v>
      </c>
    </row>
    <row r="225" spans="1:14" x14ac:dyDescent="0.3">
      <c r="A225">
        <v>1183655</v>
      </c>
      <c r="B225" t="s">
        <v>1632</v>
      </c>
      <c r="C225" t="s">
        <v>1684</v>
      </c>
      <c r="D225" t="s">
        <v>1683</v>
      </c>
      <c r="E225" t="s">
        <v>1682</v>
      </c>
      <c r="G225" t="s">
        <v>1681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1680</v>
      </c>
      <c r="N225" t="s">
        <v>1679</v>
      </c>
    </row>
    <row r="226" spans="1:14" x14ac:dyDescent="0.3">
      <c r="A226">
        <v>1183655</v>
      </c>
      <c r="B226" t="s">
        <v>1632</v>
      </c>
      <c r="C226" t="s">
        <v>1646</v>
      </c>
      <c r="D226" t="s">
        <v>1645</v>
      </c>
      <c r="E226" t="s">
        <v>1644</v>
      </c>
      <c r="F226" t="s">
        <v>1643</v>
      </c>
      <c r="G226" t="s">
        <v>1678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1641</v>
      </c>
      <c r="N226" t="s">
        <v>1640</v>
      </c>
    </row>
    <row r="227" spans="1:14" x14ac:dyDescent="0.3">
      <c r="A227">
        <v>1183655</v>
      </c>
      <c r="B227" t="s">
        <v>1632</v>
      </c>
      <c r="C227" t="s">
        <v>1646</v>
      </c>
      <c r="D227" t="s">
        <v>1645</v>
      </c>
      <c r="E227" t="s">
        <v>1644</v>
      </c>
      <c r="F227" t="s">
        <v>1643</v>
      </c>
      <c r="G227" t="s">
        <v>1677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1641</v>
      </c>
      <c r="N227" t="s">
        <v>1640</v>
      </c>
    </row>
    <row r="228" spans="1:14" x14ac:dyDescent="0.3">
      <c r="A228">
        <v>1183655</v>
      </c>
      <c r="B228" t="s">
        <v>1632</v>
      </c>
      <c r="C228" t="s">
        <v>1646</v>
      </c>
      <c r="D228" t="s">
        <v>1645</v>
      </c>
      <c r="E228" t="s">
        <v>1644</v>
      </c>
      <c r="F228" t="s">
        <v>1643</v>
      </c>
      <c r="G228" t="s">
        <v>1676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1641</v>
      </c>
      <c r="N228" t="s">
        <v>1640</v>
      </c>
    </row>
    <row r="229" spans="1:14" x14ac:dyDescent="0.3">
      <c r="A229">
        <v>1183655</v>
      </c>
      <c r="B229" t="s">
        <v>1632</v>
      </c>
      <c r="C229" t="s">
        <v>1646</v>
      </c>
      <c r="D229" t="s">
        <v>1645</v>
      </c>
      <c r="E229" t="s">
        <v>1644</v>
      </c>
      <c r="F229" t="s">
        <v>1643</v>
      </c>
      <c r="G229" t="s">
        <v>1675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1641</v>
      </c>
      <c r="N229" t="s">
        <v>1640</v>
      </c>
    </row>
    <row r="230" spans="1:14" x14ac:dyDescent="0.3">
      <c r="A230">
        <v>1183655</v>
      </c>
      <c r="B230" t="s">
        <v>1632</v>
      </c>
      <c r="C230" t="s">
        <v>1646</v>
      </c>
      <c r="D230" t="s">
        <v>1645</v>
      </c>
      <c r="E230" t="s">
        <v>1644</v>
      </c>
      <c r="F230" t="s">
        <v>1643</v>
      </c>
      <c r="G230" t="s">
        <v>1674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1641</v>
      </c>
      <c r="N230" t="s">
        <v>1640</v>
      </c>
    </row>
    <row r="231" spans="1:14" x14ac:dyDescent="0.3">
      <c r="A231">
        <v>1183655</v>
      </c>
      <c r="B231" t="s">
        <v>1632</v>
      </c>
      <c r="C231" t="s">
        <v>1646</v>
      </c>
      <c r="D231" t="s">
        <v>1645</v>
      </c>
      <c r="E231" t="s">
        <v>1644</v>
      </c>
      <c r="F231" t="s">
        <v>1643</v>
      </c>
      <c r="G231" t="s">
        <v>1673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1641</v>
      </c>
      <c r="N231" t="s">
        <v>1640</v>
      </c>
    </row>
    <row r="232" spans="1:14" x14ac:dyDescent="0.3">
      <c r="A232">
        <v>1183655</v>
      </c>
      <c r="B232" t="s">
        <v>1632</v>
      </c>
      <c r="C232" t="s">
        <v>1646</v>
      </c>
      <c r="D232" t="s">
        <v>1645</v>
      </c>
      <c r="E232" t="s">
        <v>1644</v>
      </c>
      <c r="F232" t="s">
        <v>1643</v>
      </c>
      <c r="G232" t="s">
        <v>1672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1641</v>
      </c>
      <c r="N232" t="s">
        <v>1640</v>
      </c>
    </row>
    <row r="233" spans="1:14" x14ac:dyDescent="0.3">
      <c r="A233">
        <v>1183655</v>
      </c>
      <c r="B233" t="s">
        <v>1632</v>
      </c>
      <c r="C233" t="s">
        <v>1646</v>
      </c>
      <c r="D233" t="s">
        <v>1645</v>
      </c>
      <c r="E233" t="s">
        <v>1644</v>
      </c>
      <c r="F233" t="s">
        <v>1643</v>
      </c>
      <c r="G233" t="s">
        <v>1671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1641</v>
      </c>
      <c r="N233" t="s">
        <v>1640</v>
      </c>
    </row>
    <row r="234" spans="1:14" x14ac:dyDescent="0.3">
      <c r="A234">
        <v>1183655</v>
      </c>
      <c r="B234" t="s">
        <v>1632</v>
      </c>
      <c r="C234" t="s">
        <v>1646</v>
      </c>
      <c r="D234" t="s">
        <v>1645</v>
      </c>
      <c r="E234" t="s">
        <v>1644</v>
      </c>
      <c r="F234" t="s">
        <v>1643</v>
      </c>
      <c r="G234" t="s">
        <v>1670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1641</v>
      </c>
      <c r="N234" t="s">
        <v>1640</v>
      </c>
    </row>
    <row r="235" spans="1:14" x14ac:dyDescent="0.3">
      <c r="A235">
        <v>1183655</v>
      </c>
      <c r="B235" t="s">
        <v>1632</v>
      </c>
      <c r="C235" t="s">
        <v>1646</v>
      </c>
      <c r="D235" t="s">
        <v>1645</v>
      </c>
      <c r="E235" t="s">
        <v>1644</v>
      </c>
      <c r="F235" t="s">
        <v>1643</v>
      </c>
      <c r="G235" t="s">
        <v>1669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1641</v>
      </c>
      <c r="N235" t="s">
        <v>1640</v>
      </c>
    </row>
    <row r="236" spans="1:14" x14ac:dyDescent="0.3">
      <c r="A236">
        <v>1183655</v>
      </c>
      <c r="B236" t="s">
        <v>1632</v>
      </c>
      <c r="C236" t="s">
        <v>1646</v>
      </c>
      <c r="D236" t="s">
        <v>1645</v>
      </c>
      <c r="E236" t="s">
        <v>1644</v>
      </c>
      <c r="F236" t="s">
        <v>1643</v>
      </c>
      <c r="G236" t="s">
        <v>1668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1641</v>
      </c>
      <c r="N236" t="s">
        <v>1640</v>
      </c>
    </row>
    <row r="237" spans="1:14" x14ac:dyDescent="0.3">
      <c r="A237">
        <v>1183655</v>
      </c>
      <c r="B237" t="s">
        <v>1632</v>
      </c>
      <c r="C237" t="s">
        <v>1646</v>
      </c>
      <c r="D237" t="s">
        <v>1645</v>
      </c>
      <c r="E237" t="s">
        <v>1644</v>
      </c>
      <c r="F237" t="s">
        <v>1643</v>
      </c>
      <c r="G237" t="s">
        <v>1667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1641</v>
      </c>
      <c r="N237" t="s">
        <v>1640</v>
      </c>
    </row>
    <row r="238" spans="1:14" x14ac:dyDescent="0.3">
      <c r="A238">
        <v>1183655</v>
      </c>
      <c r="B238" t="s">
        <v>1632</v>
      </c>
      <c r="C238" t="s">
        <v>1646</v>
      </c>
      <c r="D238" t="s">
        <v>1645</v>
      </c>
      <c r="E238" t="s">
        <v>1644</v>
      </c>
      <c r="F238" t="s">
        <v>1643</v>
      </c>
      <c r="G238" t="s">
        <v>1666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1641</v>
      </c>
      <c r="N238" t="s">
        <v>1640</v>
      </c>
    </row>
    <row r="239" spans="1:14" x14ac:dyDescent="0.3">
      <c r="A239">
        <v>1183655</v>
      </c>
      <c r="B239" t="s">
        <v>1632</v>
      </c>
      <c r="C239" t="s">
        <v>1646</v>
      </c>
      <c r="D239" t="s">
        <v>1645</v>
      </c>
      <c r="E239" t="s">
        <v>1644</v>
      </c>
      <c r="F239" t="s">
        <v>1643</v>
      </c>
      <c r="G239" t="s">
        <v>1665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1641</v>
      </c>
      <c r="N239" t="s">
        <v>1640</v>
      </c>
    </row>
    <row r="240" spans="1:14" x14ac:dyDescent="0.3">
      <c r="A240">
        <v>1183655</v>
      </c>
      <c r="B240" t="s">
        <v>1632</v>
      </c>
      <c r="C240" t="s">
        <v>1646</v>
      </c>
      <c r="D240" t="s">
        <v>1645</v>
      </c>
      <c r="E240" t="s">
        <v>1644</v>
      </c>
      <c r="F240" t="s">
        <v>1643</v>
      </c>
      <c r="G240" t="s">
        <v>1664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1641</v>
      </c>
      <c r="N240" t="s">
        <v>1640</v>
      </c>
    </row>
    <row r="241" spans="1:14" x14ac:dyDescent="0.3">
      <c r="A241">
        <v>1183655</v>
      </c>
      <c r="B241" t="s">
        <v>1632</v>
      </c>
      <c r="C241" t="s">
        <v>1646</v>
      </c>
      <c r="D241" t="s">
        <v>1645</v>
      </c>
      <c r="E241" t="s">
        <v>1644</v>
      </c>
      <c r="F241" t="s">
        <v>1643</v>
      </c>
      <c r="G241" t="s">
        <v>1663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1641</v>
      </c>
      <c r="N241" t="s">
        <v>1640</v>
      </c>
    </row>
    <row r="242" spans="1:14" x14ac:dyDescent="0.3">
      <c r="A242">
        <v>1183655</v>
      </c>
      <c r="B242" t="s">
        <v>1632</v>
      </c>
      <c r="C242" t="s">
        <v>1646</v>
      </c>
      <c r="D242" t="s">
        <v>1645</v>
      </c>
      <c r="E242" t="s">
        <v>1644</v>
      </c>
      <c r="F242" t="s">
        <v>1643</v>
      </c>
      <c r="G242" t="s">
        <v>1662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1641</v>
      </c>
      <c r="N242" t="s">
        <v>1640</v>
      </c>
    </row>
    <row r="243" spans="1:14" x14ac:dyDescent="0.3">
      <c r="A243">
        <v>1183655</v>
      </c>
      <c r="B243" t="s">
        <v>1632</v>
      </c>
      <c r="C243" t="s">
        <v>1646</v>
      </c>
      <c r="D243" t="s">
        <v>1645</v>
      </c>
      <c r="E243" t="s">
        <v>1644</v>
      </c>
      <c r="F243" t="s">
        <v>1643</v>
      </c>
      <c r="G243" t="s">
        <v>1661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1641</v>
      </c>
      <c r="N243" t="s">
        <v>1640</v>
      </c>
    </row>
    <row r="244" spans="1:14" x14ac:dyDescent="0.3">
      <c r="A244">
        <v>1183655</v>
      </c>
      <c r="B244" t="s">
        <v>1632</v>
      </c>
      <c r="C244" t="s">
        <v>1646</v>
      </c>
      <c r="D244" t="s">
        <v>1645</v>
      </c>
      <c r="E244" t="s">
        <v>1644</v>
      </c>
      <c r="F244" t="s">
        <v>1643</v>
      </c>
      <c r="G244" t="s">
        <v>1660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1641</v>
      </c>
      <c r="N244" t="s">
        <v>1640</v>
      </c>
    </row>
    <row r="245" spans="1:14" x14ac:dyDescent="0.3">
      <c r="A245">
        <v>1183655</v>
      </c>
      <c r="B245" t="s">
        <v>1632</v>
      </c>
      <c r="C245" t="s">
        <v>1646</v>
      </c>
      <c r="D245" t="s">
        <v>1645</v>
      </c>
      <c r="E245" t="s">
        <v>1644</v>
      </c>
      <c r="F245" t="s">
        <v>1643</v>
      </c>
      <c r="G245" t="s">
        <v>1659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1641</v>
      </c>
      <c r="N245" t="s">
        <v>1640</v>
      </c>
    </row>
    <row r="246" spans="1:14" x14ac:dyDescent="0.3">
      <c r="A246">
        <v>1183655</v>
      </c>
      <c r="B246" t="s">
        <v>1632</v>
      </c>
      <c r="C246" t="s">
        <v>1646</v>
      </c>
      <c r="D246" t="s">
        <v>1645</v>
      </c>
      <c r="E246" t="s">
        <v>1644</v>
      </c>
      <c r="F246" t="s">
        <v>1643</v>
      </c>
      <c r="G246" t="s">
        <v>1658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1641</v>
      </c>
      <c r="N246" t="s">
        <v>1640</v>
      </c>
    </row>
    <row r="247" spans="1:14" x14ac:dyDescent="0.3">
      <c r="A247">
        <v>1183655</v>
      </c>
      <c r="B247" t="s">
        <v>1632</v>
      </c>
      <c r="C247" t="s">
        <v>1646</v>
      </c>
      <c r="D247" t="s">
        <v>1645</v>
      </c>
      <c r="E247" t="s">
        <v>1644</v>
      </c>
      <c r="F247" t="s">
        <v>1643</v>
      </c>
      <c r="G247" t="s">
        <v>1657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1641</v>
      </c>
      <c r="N247" t="s">
        <v>1640</v>
      </c>
    </row>
    <row r="248" spans="1:14" x14ac:dyDescent="0.3">
      <c r="A248">
        <v>1183655</v>
      </c>
      <c r="B248" t="s">
        <v>1632</v>
      </c>
      <c r="C248" t="s">
        <v>1646</v>
      </c>
      <c r="D248" t="s">
        <v>1645</v>
      </c>
      <c r="E248" t="s">
        <v>1644</v>
      </c>
      <c r="F248" t="s">
        <v>1643</v>
      </c>
      <c r="G248" t="s">
        <v>1656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1641</v>
      </c>
      <c r="N248" t="s">
        <v>1640</v>
      </c>
    </row>
    <row r="249" spans="1:14" x14ac:dyDescent="0.3">
      <c r="A249">
        <v>1183655</v>
      </c>
      <c r="B249" t="s">
        <v>1632</v>
      </c>
      <c r="C249" t="s">
        <v>1646</v>
      </c>
      <c r="D249" t="s">
        <v>1645</v>
      </c>
      <c r="E249" t="s">
        <v>1644</v>
      </c>
      <c r="F249" t="s">
        <v>1643</v>
      </c>
      <c r="G249" t="s">
        <v>1655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1641</v>
      </c>
      <c r="N249" t="s">
        <v>1640</v>
      </c>
    </row>
    <row r="250" spans="1:14" x14ac:dyDescent="0.3">
      <c r="A250">
        <v>1183655</v>
      </c>
      <c r="B250" t="s">
        <v>1632</v>
      </c>
      <c r="C250" t="s">
        <v>1646</v>
      </c>
      <c r="D250" t="s">
        <v>1645</v>
      </c>
      <c r="E250" t="s">
        <v>1644</v>
      </c>
      <c r="F250" t="s">
        <v>1643</v>
      </c>
      <c r="G250" t="s">
        <v>1654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1641</v>
      </c>
      <c r="N250" t="s">
        <v>1640</v>
      </c>
    </row>
    <row r="251" spans="1:14" x14ac:dyDescent="0.3">
      <c r="A251">
        <v>1183655</v>
      </c>
      <c r="B251" t="s">
        <v>1632</v>
      </c>
      <c r="C251" t="s">
        <v>1646</v>
      </c>
      <c r="D251" t="s">
        <v>1645</v>
      </c>
      <c r="E251" t="s">
        <v>1644</v>
      </c>
      <c r="F251" t="s">
        <v>1643</v>
      </c>
      <c r="G251" t="s">
        <v>1653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1641</v>
      </c>
      <c r="N251" t="s">
        <v>1640</v>
      </c>
    </row>
    <row r="252" spans="1:14" x14ac:dyDescent="0.3">
      <c r="A252">
        <v>1183655</v>
      </c>
      <c r="B252" t="s">
        <v>1632</v>
      </c>
      <c r="C252" t="s">
        <v>1646</v>
      </c>
      <c r="D252" t="s">
        <v>1645</v>
      </c>
      <c r="E252" t="s">
        <v>1644</v>
      </c>
      <c r="F252" t="s">
        <v>1643</v>
      </c>
      <c r="G252" t="s">
        <v>1652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1641</v>
      </c>
      <c r="N252" t="s">
        <v>1640</v>
      </c>
    </row>
    <row r="253" spans="1:14" x14ac:dyDescent="0.3">
      <c r="A253">
        <v>1183655</v>
      </c>
      <c r="B253" t="s">
        <v>1632</v>
      </c>
      <c r="C253" t="s">
        <v>1646</v>
      </c>
      <c r="D253" t="s">
        <v>1645</v>
      </c>
      <c r="E253" t="s">
        <v>1644</v>
      </c>
      <c r="F253" t="s">
        <v>1643</v>
      </c>
      <c r="G253" t="s">
        <v>1651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1641</v>
      </c>
      <c r="N253" t="s">
        <v>1640</v>
      </c>
    </row>
    <row r="254" spans="1:14" x14ac:dyDescent="0.3">
      <c r="A254">
        <v>1183655</v>
      </c>
      <c r="B254" t="s">
        <v>1632</v>
      </c>
      <c r="C254" t="s">
        <v>1646</v>
      </c>
      <c r="D254" t="s">
        <v>1645</v>
      </c>
      <c r="E254" t="s">
        <v>1644</v>
      </c>
      <c r="F254" t="s">
        <v>1643</v>
      </c>
      <c r="G254" t="s">
        <v>1650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1641</v>
      </c>
      <c r="N254" t="s">
        <v>1640</v>
      </c>
    </row>
    <row r="255" spans="1:14" x14ac:dyDescent="0.3">
      <c r="A255">
        <v>1183655</v>
      </c>
      <c r="B255" t="s">
        <v>1632</v>
      </c>
      <c r="C255" t="s">
        <v>1646</v>
      </c>
      <c r="D255" t="s">
        <v>1645</v>
      </c>
      <c r="E255" t="s">
        <v>1644</v>
      </c>
      <c r="F255" t="s">
        <v>1643</v>
      </c>
      <c r="G255" t="s">
        <v>1649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1641</v>
      </c>
      <c r="N255" t="s">
        <v>1640</v>
      </c>
    </row>
    <row r="256" spans="1:14" x14ac:dyDescent="0.3">
      <c r="A256">
        <v>1183655</v>
      </c>
      <c r="B256" t="s">
        <v>1632</v>
      </c>
      <c r="C256" t="s">
        <v>1646</v>
      </c>
      <c r="D256" t="s">
        <v>1645</v>
      </c>
      <c r="E256" t="s">
        <v>1644</v>
      </c>
      <c r="F256" t="s">
        <v>1643</v>
      </c>
      <c r="G256" t="s">
        <v>1648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1641</v>
      </c>
      <c r="N256" t="s">
        <v>1640</v>
      </c>
    </row>
    <row r="257" spans="1:14" x14ac:dyDescent="0.3">
      <c r="A257">
        <v>1183655</v>
      </c>
      <c r="B257" t="s">
        <v>1632</v>
      </c>
      <c r="C257" t="s">
        <v>1646</v>
      </c>
      <c r="D257" t="s">
        <v>1645</v>
      </c>
      <c r="E257" t="s">
        <v>1644</v>
      </c>
      <c r="F257" t="s">
        <v>1643</v>
      </c>
      <c r="G257" t="s">
        <v>1647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1641</v>
      </c>
      <c r="N257" t="s">
        <v>1640</v>
      </c>
    </row>
    <row r="258" spans="1:14" x14ac:dyDescent="0.3">
      <c r="A258">
        <v>1183655</v>
      </c>
      <c r="B258" t="s">
        <v>1632</v>
      </c>
      <c r="C258" t="s">
        <v>1646</v>
      </c>
      <c r="D258" t="s">
        <v>1645</v>
      </c>
      <c r="E258" t="s">
        <v>1644</v>
      </c>
      <c r="F258" t="s">
        <v>1643</v>
      </c>
      <c r="G258" t="s">
        <v>1642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1641</v>
      </c>
      <c r="N258" t="s">
        <v>1640</v>
      </c>
    </row>
    <row r="259" spans="1:14" hidden="1" x14ac:dyDescent="0.3">
      <c r="A259">
        <v>1183655</v>
      </c>
      <c r="B259" t="s">
        <v>1632</v>
      </c>
      <c r="C259" t="s">
        <v>1639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hidden="1" x14ac:dyDescent="0.3">
      <c r="A260">
        <v>1183655</v>
      </c>
      <c r="B260" t="s">
        <v>1632</v>
      </c>
      <c r="C260" t="s">
        <v>1638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1632</v>
      </c>
      <c r="C261" t="s">
        <v>1637</v>
      </c>
      <c r="D261" t="s">
        <v>1636</v>
      </c>
      <c r="E261" t="s">
        <v>1635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1634</v>
      </c>
      <c r="N261" t="s">
        <v>1633</v>
      </c>
    </row>
    <row r="262" spans="1:14" hidden="1" x14ac:dyDescent="0.3">
      <c r="A262">
        <v>1183655</v>
      </c>
      <c r="B262" t="s">
        <v>1632</v>
      </c>
      <c r="C262" t="s">
        <v>1631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1621</v>
      </c>
      <c r="C263" t="s">
        <v>623</v>
      </c>
      <c r="D263" t="s">
        <v>624</v>
      </c>
      <c r="E263" t="s">
        <v>625</v>
      </c>
      <c r="G263" t="s">
        <v>626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627</v>
      </c>
      <c r="N263" t="s">
        <v>628</v>
      </c>
    </row>
    <row r="264" spans="1:14" x14ac:dyDescent="0.3">
      <c r="A264">
        <v>1188399</v>
      </c>
      <c r="B264" t="s">
        <v>1621</v>
      </c>
      <c r="C264" t="s">
        <v>623</v>
      </c>
      <c r="D264" t="s">
        <v>624</v>
      </c>
      <c r="E264" t="s">
        <v>625</v>
      </c>
      <c r="G264" t="s">
        <v>629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627</v>
      </c>
      <c r="N264" t="s">
        <v>628</v>
      </c>
    </row>
    <row r="265" spans="1:14" x14ac:dyDescent="0.3">
      <c r="A265">
        <v>1188399</v>
      </c>
      <c r="B265" t="s">
        <v>1621</v>
      </c>
      <c r="C265" t="s">
        <v>623</v>
      </c>
      <c r="D265" t="s">
        <v>624</v>
      </c>
      <c r="E265" t="s">
        <v>625</v>
      </c>
      <c r="G265" t="s">
        <v>630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627</v>
      </c>
      <c r="N265" t="s">
        <v>628</v>
      </c>
    </row>
    <row r="266" spans="1:14" x14ac:dyDescent="0.3">
      <c r="A266">
        <v>1188399</v>
      </c>
      <c r="B266" t="s">
        <v>1621</v>
      </c>
      <c r="C266" t="s">
        <v>623</v>
      </c>
      <c r="D266" t="s">
        <v>624</v>
      </c>
      <c r="E266" t="s">
        <v>625</v>
      </c>
      <c r="G266" t="s">
        <v>631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627</v>
      </c>
      <c r="N266" t="s">
        <v>628</v>
      </c>
    </row>
    <row r="267" spans="1:14" hidden="1" x14ac:dyDescent="0.3">
      <c r="A267">
        <v>1188399</v>
      </c>
      <c r="B267" t="s">
        <v>1621</v>
      </c>
      <c r="C267" t="s">
        <v>1630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hidden="1" x14ac:dyDescent="0.3">
      <c r="A268">
        <v>1188399</v>
      </c>
      <c r="B268" t="s">
        <v>1621</v>
      </c>
      <c r="C268" t="s">
        <v>1629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1621</v>
      </c>
      <c r="C269" t="s">
        <v>1628</v>
      </c>
      <c r="D269" t="s">
        <v>1627</v>
      </c>
      <c r="E269" t="s">
        <v>1626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1621</v>
      </c>
      <c r="C270" t="s">
        <v>1628</v>
      </c>
      <c r="D270" t="s">
        <v>1627</v>
      </c>
      <c r="E270" t="s">
        <v>1626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1621</v>
      </c>
      <c r="C271" t="s">
        <v>1628</v>
      </c>
      <c r="D271" t="s">
        <v>1627</v>
      </c>
      <c r="E271" t="s">
        <v>1626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1621</v>
      </c>
      <c r="C272" t="s">
        <v>1628</v>
      </c>
      <c r="D272" t="s">
        <v>1627</v>
      </c>
      <c r="E272" t="s">
        <v>1626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1621</v>
      </c>
      <c r="C273" t="s">
        <v>1628</v>
      </c>
      <c r="D273" t="s">
        <v>1627</v>
      </c>
      <c r="E273" t="s">
        <v>1626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1621</v>
      </c>
      <c r="C274" t="s">
        <v>1628</v>
      </c>
      <c r="D274" t="s">
        <v>1627</v>
      </c>
      <c r="E274" t="s">
        <v>1626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1621</v>
      </c>
      <c r="C275" t="s">
        <v>1628</v>
      </c>
      <c r="D275" t="s">
        <v>1627</v>
      </c>
      <c r="E275" t="s">
        <v>1626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1621</v>
      </c>
      <c r="C276" t="s">
        <v>1628</v>
      </c>
      <c r="D276" t="s">
        <v>1627</v>
      </c>
      <c r="E276" t="s">
        <v>1626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1621</v>
      </c>
      <c r="C277" t="s">
        <v>1628</v>
      </c>
      <c r="D277" t="s">
        <v>1627</v>
      </c>
      <c r="E277" t="s">
        <v>1626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1621</v>
      </c>
      <c r="C278" t="s">
        <v>1628</v>
      </c>
      <c r="D278" t="s">
        <v>1627</v>
      </c>
      <c r="E278" t="s">
        <v>1626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1621</v>
      </c>
      <c r="C279" t="s">
        <v>1628</v>
      </c>
      <c r="D279" t="s">
        <v>1627</v>
      </c>
      <c r="E279" t="s">
        <v>1626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1621</v>
      </c>
      <c r="C280" t="s">
        <v>1628</v>
      </c>
      <c r="D280" t="s">
        <v>1627</v>
      </c>
      <c r="E280" t="s">
        <v>1626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1621</v>
      </c>
      <c r="C281" t="s">
        <v>1628</v>
      </c>
      <c r="D281" t="s">
        <v>1627</v>
      </c>
      <c r="E281" t="s">
        <v>1626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1621</v>
      </c>
      <c r="C282" t="s">
        <v>1628</v>
      </c>
      <c r="D282" t="s">
        <v>1627</v>
      </c>
      <c r="E282" t="s">
        <v>1626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1621</v>
      </c>
      <c r="C283" t="s">
        <v>1628</v>
      </c>
      <c r="D283" t="s">
        <v>1627</v>
      </c>
      <c r="E283" t="s">
        <v>1626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1621</v>
      </c>
      <c r="C284" t="s">
        <v>1628</v>
      </c>
      <c r="D284" t="s">
        <v>1627</v>
      </c>
      <c r="E284" t="s">
        <v>1626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1621</v>
      </c>
      <c r="C285" t="s">
        <v>1628</v>
      </c>
      <c r="D285" t="s">
        <v>1627</v>
      </c>
      <c r="E285" t="s">
        <v>1626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1621</v>
      </c>
      <c r="C286" t="s">
        <v>1628</v>
      </c>
      <c r="D286" t="s">
        <v>1627</v>
      </c>
      <c r="E286" t="s">
        <v>1626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1621</v>
      </c>
      <c r="C287" t="s">
        <v>1628</v>
      </c>
      <c r="D287" t="s">
        <v>1627</v>
      </c>
      <c r="E287" t="s">
        <v>1626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1621</v>
      </c>
      <c r="C288" t="s">
        <v>1628</v>
      </c>
      <c r="D288" t="s">
        <v>1627</v>
      </c>
      <c r="E288" t="s">
        <v>1626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1621</v>
      </c>
      <c r="C289" t="s">
        <v>1628</v>
      </c>
      <c r="D289" t="s">
        <v>1627</v>
      </c>
      <c r="E289" t="s">
        <v>1626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1621</v>
      </c>
      <c r="C290" t="s">
        <v>1628</v>
      </c>
      <c r="D290" t="s">
        <v>1627</v>
      </c>
      <c r="E290" t="s">
        <v>1626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1621</v>
      </c>
      <c r="C291" t="s">
        <v>1628</v>
      </c>
      <c r="D291" t="s">
        <v>1627</v>
      </c>
      <c r="E291" t="s">
        <v>1626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1621</v>
      </c>
      <c r="C292" t="s">
        <v>1628</v>
      </c>
      <c r="D292" t="s">
        <v>1627</v>
      </c>
      <c r="E292" t="s">
        <v>1626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1621</v>
      </c>
      <c r="C293" t="s">
        <v>1628</v>
      </c>
      <c r="D293" t="s">
        <v>1627</v>
      </c>
      <c r="E293" t="s">
        <v>1626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1621</v>
      </c>
      <c r="C294" t="s">
        <v>1628</v>
      </c>
      <c r="D294" t="s">
        <v>1627</v>
      </c>
      <c r="E294" t="s">
        <v>1626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1621</v>
      </c>
      <c r="C295" t="s">
        <v>1628</v>
      </c>
      <c r="D295" t="s">
        <v>1627</v>
      </c>
      <c r="E295" t="s">
        <v>1626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1621</v>
      </c>
      <c r="C296" t="s">
        <v>1628</v>
      </c>
      <c r="D296" t="s">
        <v>1627</v>
      </c>
      <c r="E296" t="s">
        <v>1626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1621</v>
      </c>
      <c r="C297" t="s">
        <v>1628</v>
      </c>
      <c r="D297" t="s">
        <v>1627</v>
      </c>
      <c r="E297" t="s">
        <v>1626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1621</v>
      </c>
      <c r="C298" t="s">
        <v>1625</v>
      </c>
      <c r="D298" t="s">
        <v>1624</v>
      </c>
      <c r="E298" t="s">
        <v>1623</v>
      </c>
      <c r="G298" t="s">
        <v>1622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1621</v>
      </c>
      <c r="C299" t="s">
        <v>1625</v>
      </c>
      <c r="D299" t="s">
        <v>1624</v>
      </c>
      <c r="E299" t="s">
        <v>1623</v>
      </c>
      <c r="G299" t="s">
        <v>1622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hidden="1" x14ac:dyDescent="0.3">
      <c r="A300">
        <v>1188399</v>
      </c>
      <c r="B300" t="s">
        <v>1621</v>
      </c>
      <c r="C300" t="s">
        <v>1620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hidden="1" x14ac:dyDescent="0.3">
      <c r="A301">
        <v>1192565</v>
      </c>
      <c r="B301" t="s">
        <v>1619</v>
      </c>
      <c r="C301" t="s">
        <v>1108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hidden="1" x14ac:dyDescent="0.3">
      <c r="A302">
        <v>1192565</v>
      </c>
      <c r="B302" t="s">
        <v>1619</v>
      </c>
      <c r="C302" t="s">
        <v>1618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1610</v>
      </c>
      <c r="C303" t="s">
        <v>1107</v>
      </c>
      <c r="D303" t="s">
        <v>1106</v>
      </c>
      <c r="E303" t="s">
        <v>1105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hidden="1" x14ac:dyDescent="0.3">
      <c r="A304">
        <v>1194190</v>
      </c>
      <c r="B304" t="s">
        <v>1610</v>
      </c>
      <c r="C304" t="s">
        <v>1617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1610</v>
      </c>
      <c r="C305" t="s">
        <v>1095</v>
      </c>
      <c r="D305" t="s">
        <v>1094</v>
      </c>
      <c r="E305" t="s">
        <v>1093</v>
      </c>
      <c r="G305" t="s">
        <v>1103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1610</v>
      </c>
      <c r="C306" t="s">
        <v>1095</v>
      </c>
      <c r="D306" t="s">
        <v>1094</v>
      </c>
      <c r="E306" t="s">
        <v>1093</v>
      </c>
      <c r="G306" t="s">
        <v>1102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1610</v>
      </c>
      <c r="C307" t="s">
        <v>1095</v>
      </c>
      <c r="D307" t="s">
        <v>1094</v>
      </c>
      <c r="E307" t="s">
        <v>1093</v>
      </c>
      <c r="G307" t="s">
        <v>1101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1610</v>
      </c>
      <c r="C308" t="s">
        <v>1095</v>
      </c>
      <c r="D308" t="s">
        <v>1094</v>
      </c>
      <c r="E308" t="s">
        <v>1093</v>
      </c>
      <c r="G308" t="s">
        <v>1100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1610</v>
      </c>
      <c r="C309" t="s">
        <v>1095</v>
      </c>
      <c r="D309" t="s">
        <v>1094</v>
      </c>
      <c r="E309" t="s">
        <v>1093</v>
      </c>
      <c r="G309" t="s">
        <v>1099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1610</v>
      </c>
      <c r="C310" t="s">
        <v>1095</v>
      </c>
      <c r="D310" t="s">
        <v>1094</v>
      </c>
      <c r="E310" t="s">
        <v>1093</v>
      </c>
      <c r="G310" t="s">
        <v>1098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1610</v>
      </c>
      <c r="C311" t="s">
        <v>1095</v>
      </c>
      <c r="D311" t="s">
        <v>1094</v>
      </c>
      <c r="E311" t="s">
        <v>1093</v>
      </c>
      <c r="G311" t="s">
        <v>1097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1610</v>
      </c>
      <c r="C312" t="s">
        <v>1095</v>
      </c>
      <c r="D312" t="s">
        <v>1094</v>
      </c>
      <c r="E312" t="s">
        <v>1093</v>
      </c>
      <c r="G312" t="s">
        <v>1096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1610</v>
      </c>
      <c r="C313" t="s">
        <v>1095</v>
      </c>
      <c r="D313" t="s">
        <v>1094</v>
      </c>
      <c r="E313" t="s">
        <v>1093</v>
      </c>
      <c r="G313" t="s">
        <v>1092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hidden="1" x14ac:dyDescent="0.3">
      <c r="A314">
        <v>1194190</v>
      </c>
      <c r="B314" t="s">
        <v>1610</v>
      </c>
      <c r="C314" t="s">
        <v>1616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1610</v>
      </c>
      <c r="C315" t="s">
        <v>1609</v>
      </c>
      <c r="D315" t="s">
        <v>1608</v>
      </c>
      <c r="E315" t="s">
        <v>1607</v>
      </c>
      <c r="G315" t="s">
        <v>1615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1610</v>
      </c>
      <c r="C316" t="s">
        <v>1609</v>
      </c>
      <c r="D316" t="s">
        <v>1608</v>
      </c>
      <c r="E316" t="s">
        <v>1607</v>
      </c>
      <c r="G316" t="s">
        <v>1614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1610</v>
      </c>
      <c r="C317" t="s">
        <v>1609</v>
      </c>
      <c r="D317" t="s">
        <v>1608</v>
      </c>
      <c r="E317" t="s">
        <v>1607</v>
      </c>
      <c r="G317" t="s">
        <v>1613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1610</v>
      </c>
      <c r="C318" t="s">
        <v>1609</v>
      </c>
      <c r="D318" t="s">
        <v>1608</v>
      </c>
      <c r="E318" t="s">
        <v>1607</v>
      </c>
      <c r="G318" t="s">
        <v>1612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1610</v>
      </c>
      <c r="C319" t="s">
        <v>1609</v>
      </c>
      <c r="D319" t="s">
        <v>1608</v>
      </c>
      <c r="E319" t="s">
        <v>1607</v>
      </c>
      <c r="G319" t="s">
        <v>1611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1610</v>
      </c>
      <c r="C320" t="s">
        <v>1609</v>
      </c>
      <c r="D320" t="s">
        <v>1608</v>
      </c>
      <c r="E320" t="s">
        <v>1607</v>
      </c>
      <c r="G320" t="s">
        <v>1606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hidden="1" x14ac:dyDescent="0.3">
      <c r="A321">
        <v>1211157</v>
      </c>
      <c r="B321" t="s">
        <v>1234</v>
      </c>
      <c r="C321" t="s">
        <v>1605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1234</v>
      </c>
      <c r="C322" t="s">
        <v>1602</v>
      </c>
      <c r="D322" t="s">
        <v>1601</v>
      </c>
      <c r="E322" t="s">
        <v>1600</v>
      </c>
      <c r="G322" t="s">
        <v>1604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1234</v>
      </c>
      <c r="C323" t="s">
        <v>1602</v>
      </c>
      <c r="D323" t="s">
        <v>1601</v>
      </c>
      <c r="E323" t="s">
        <v>1600</v>
      </c>
      <c r="G323" t="s">
        <v>1603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1234</v>
      </c>
      <c r="C324" t="s">
        <v>1602</v>
      </c>
      <c r="D324" t="s">
        <v>1601</v>
      </c>
      <c r="E324" t="s">
        <v>1600</v>
      </c>
      <c r="G324" t="s">
        <v>1599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1234</v>
      </c>
      <c r="C325" t="s">
        <v>1592</v>
      </c>
      <c r="D325" t="s">
        <v>1591</v>
      </c>
      <c r="E325" t="s">
        <v>1590</v>
      </c>
      <c r="F325" t="s">
        <v>1589</v>
      </c>
      <c r="G325" t="s">
        <v>1598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1587</v>
      </c>
      <c r="N325" t="s">
        <v>1586</v>
      </c>
    </row>
    <row r="326" spans="1:14" x14ac:dyDescent="0.3">
      <c r="A326">
        <v>1211157</v>
      </c>
      <c r="B326" t="s">
        <v>1234</v>
      </c>
      <c r="C326" t="s">
        <v>1592</v>
      </c>
      <c r="D326" t="s">
        <v>1591</v>
      </c>
      <c r="E326" t="s">
        <v>1590</v>
      </c>
      <c r="F326" t="s">
        <v>1589</v>
      </c>
      <c r="G326" t="s">
        <v>1597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1587</v>
      </c>
      <c r="N326" t="s">
        <v>1586</v>
      </c>
    </row>
    <row r="327" spans="1:14" x14ac:dyDescent="0.3">
      <c r="A327">
        <v>1211157</v>
      </c>
      <c r="B327" t="s">
        <v>1234</v>
      </c>
      <c r="C327" t="s">
        <v>1592</v>
      </c>
      <c r="D327" t="s">
        <v>1591</v>
      </c>
      <c r="E327" t="s">
        <v>1590</v>
      </c>
      <c r="F327" t="s">
        <v>1589</v>
      </c>
      <c r="G327" t="s">
        <v>1596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1587</v>
      </c>
      <c r="N327" t="s">
        <v>1586</v>
      </c>
    </row>
    <row r="328" spans="1:14" x14ac:dyDescent="0.3">
      <c r="A328">
        <v>1211157</v>
      </c>
      <c r="B328" t="s">
        <v>1234</v>
      </c>
      <c r="C328" t="s">
        <v>1592</v>
      </c>
      <c r="D328" t="s">
        <v>1591</v>
      </c>
      <c r="E328" t="s">
        <v>1590</v>
      </c>
      <c r="F328" t="s">
        <v>1589</v>
      </c>
      <c r="G328" t="s">
        <v>1595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1587</v>
      </c>
      <c r="N328" t="s">
        <v>1586</v>
      </c>
    </row>
    <row r="329" spans="1:14" x14ac:dyDescent="0.3">
      <c r="A329">
        <v>1211157</v>
      </c>
      <c r="B329" t="s">
        <v>1234</v>
      </c>
      <c r="C329" t="s">
        <v>1592</v>
      </c>
      <c r="D329" t="s">
        <v>1591</v>
      </c>
      <c r="E329" t="s">
        <v>1590</v>
      </c>
      <c r="F329" t="s">
        <v>1589</v>
      </c>
      <c r="G329" t="s">
        <v>1594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1587</v>
      </c>
      <c r="N329" t="s">
        <v>1586</v>
      </c>
    </row>
    <row r="330" spans="1:14" x14ac:dyDescent="0.3">
      <c r="A330">
        <v>1211157</v>
      </c>
      <c r="B330" t="s">
        <v>1234</v>
      </c>
      <c r="C330" t="s">
        <v>1592</v>
      </c>
      <c r="D330" t="s">
        <v>1591</v>
      </c>
      <c r="E330" t="s">
        <v>1590</v>
      </c>
      <c r="F330" t="s">
        <v>1589</v>
      </c>
      <c r="G330" t="s">
        <v>1593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1587</v>
      </c>
      <c r="N330" t="s">
        <v>1586</v>
      </c>
    </row>
    <row r="331" spans="1:14" x14ac:dyDescent="0.3">
      <c r="A331">
        <v>1211157</v>
      </c>
      <c r="B331" t="s">
        <v>1234</v>
      </c>
      <c r="C331" t="s">
        <v>1592</v>
      </c>
      <c r="D331" t="s">
        <v>1591</v>
      </c>
      <c r="E331" t="s">
        <v>1590</v>
      </c>
      <c r="F331" t="s">
        <v>1589</v>
      </c>
      <c r="G331" t="s">
        <v>1588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1587</v>
      </c>
      <c r="N331" t="s">
        <v>1586</v>
      </c>
    </row>
    <row r="332" spans="1:14" x14ac:dyDescent="0.3">
      <c r="A332">
        <v>1211157</v>
      </c>
      <c r="B332" t="s">
        <v>1234</v>
      </c>
      <c r="C332" t="s">
        <v>1553</v>
      </c>
      <c r="D332" t="s">
        <v>1552</v>
      </c>
      <c r="E332" t="s">
        <v>1551</v>
      </c>
      <c r="G332" t="s">
        <v>1585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1549</v>
      </c>
      <c r="N332" t="s">
        <v>1548</v>
      </c>
    </row>
    <row r="333" spans="1:14" x14ac:dyDescent="0.3">
      <c r="A333">
        <v>1211157</v>
      </c>
      <c r="B333" t="s">
        <v>1234</v>
      </c>
      <c r="C333" t="s">
        <v>1553</v>
      </c>
      <c r="D333" t="s">
        <v>1552</v>
      </c>
      <c r="E333" t="s">
        <v>1551</v>
      </c>
      <c r="G333" t="s">
        <v>1584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1549</v>
      </c>
      <c r="N333" t="s">
        <v>1548</v>
      </c>
    </row>
    <row r="334" spans="1:14" x14ac:dyDescent="0.3">
      <c r="A334">
        <v>1211157</v>
      </c>
      <c r="B334" t="s">
        <v>1234</v>
      </c>
      <c r="C334" t="s">
        <v>1553</v>
      </c>
      <c r="D334" t="s">
        <v>1552</v>
      </c>
      <c r="E334" t="s">
        <v>1551</v>
      </c>
      <c r="G334" t="s">
        <v>1583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1549</v>
      </c>
      <c r="N334" t="s">
        <v>1548</v>
      </c>
    </row>
    <row r="335" spans="1:14" x14ac:dyDescent="0.3">
      <c r="A335">
        <v>1211157</v>
      </c>
      <c r="B335" t="s">
        <v>1234</v>
      </c>
      <c r="C335" t="s">
        <v>1553</v>
      </c>
      <c r="D335" t="s">
        <v>1552</v>
      </c>
      <c r="E335" t="s">
        <v>1551</v>
      </c>
      <c r="G335" t="s">
        <v>1582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1549</v>
      </c>
      <c r="N335" t="s">
        <v>1548</v>
      </c>
    </row>
    <row r="336" spans="1:14" x14ac:dyDescent="0.3">
      <c r="A336">
        <v>1211157</v>
      </c>
      <c r="B336" t="s">
        <v>1234</v>
      </c>
      <c r="C336" t="s">
        <v>1553</v>
      </c>
      <c r="D336" t="s">
        <v>1552</v>
      </c>
      <c r="E336" t="s">
        <v>1551</v>
      </c>
      <c r="G336" t="s">
        <v>1581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1549</v>
      </c>
      <c r="N336" t="s">
        <v>1548</v>
      </c>
    </row>
    <row r="337" spans="1:14" x14ac:dyDescent="0.3">
      <c r="A337">
        <v>1211157</v>
      </c>
      <c r="B337" t="s">
        <v>1234</v>
      </c>
      <c r="C337" t="s">
        <v>1553</v>
      </c>
      <c r="D337" t="s">
        <v>1552</v>
      </c>
      <c r="E337" t="s">
        <v>1551</v>
      </c>
      <c r="G337" t="s">
        <v>1580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1549</v>
      </c>
      <c r="N337" t="s">
        <v>1548</v>
      </c>
    </row>
    <row r="338" spans="1:14" x14ac:dyDescent="0.3">
      <c r="A338">
        <v>1211157</v>
      </c>
      <c r="B338" t="s">
        <v>1234</v>
      </c>
      <c r="C338" t="s">
        <v>1553</v>
      </c>
      <c r="D338" t="s">
        <v>1552</v>
      </c>
      <c r="E338" t="s">
        <v>1551</v>
      </c>
      <c r="G338" t="s">
        <v>1579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1549</v>
      </c>
      <c r="N338" t="s">
        <v>1548</v>
      </c>
    </row>
    <row r="339" spans="1:14" x14ac:dyDescent="0.3">
      <c r="A339">
        <v>1211157</v>
      </c>
      <c r="B339" t="s">
        <v>1234</v>
      </c>
      <c r="C339" t="s">
        <v>1553</v>
      </c>
      <c r="D339" t="s">
        <v>1552</v>
      </c>
      <c r="E339" t="s">
        <v>1551</v>
      </c>
      <c r="G339" t="s">
        <v>1578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1549</v>
      </c>
      <c r="N339" t="s">
        <v>1548</v>
      </c>
    </row>
    <row r="340" spans="1:14" x14ac:dyDescent="0.3">
      <c r="A340">
        <v>1211157</v>
      </c>
      <c r="B340" t="s">
        <v>1234</v>
      </c>
      <c r="C340" t="s">
        <v>1553</v>
      </c>
      <c r="D340" t="s">
        <v>1552</v>
      </c>
      <c r="E340" t="s">
        <v>1551</v>
      </c>
      <c r="G340" t="s">
        <v>1577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1549</v>
      </c>
      <c r="N340" t="s">
        <v>1548</v>
      </c>
    </row>
    <row r="341" spans="1:14" x14ac:dyDescent="0.3">
      <c r="A341">
        <v>1211157</v>
      </c>
      <c r="B341" t="s">
        <v>1234</v>
      </c>
      <c r="C341" t="s">
        <v>1553</v>
      </c>
      <c r="D341" t="s">
        <v>1552</v>
      </c>
      <c r="E341" t="s">
        <v>1551</v>
      </c>
      <c r="G341" t="s">
        <v>1576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1549</v>
      </c>
      <c r="N341" t="s">
        <v>1548</v>
      </c>
    </row>
    <row r="342" spans="1:14" x14ac:dyDescent="0.3">
      <c r="A342">
        <v>1211157</v>
      </c>
      <c r="B342" t="s">
        <v>1234</v>
      </c>
      <c r="C342" t="s">
        <v>1553</v>
      </c>
      <c r="D342" t="s">
        <v>1552</v>
      </c>
      <c r="E342" t="s">
        <v>1551</v>
      </c>
      <c r="G342" t="s">
        <v>1575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1549</v>
      </c>
      <c r="N342" t="s">
        <v>1548</v>
      </c>
    </row>
    <row r="343" spans="1:14" x14ac:dyDescent="0.3">
      <c r="A343">
        <v>1211157</v>
      </c>
      <c r="B343" t="s">
        <v>1234</v>
      </c>
      <c r="C343" t="s">
        <v>1553</v>
      </c>
      <c r="D343" t="s">
        <v>1552</v>
      </c>
      <c r="E343" t="s">
        <v>1551</v>
      </c>
      <c r="G343" t="s">
        <v>1574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1549</v>
      </c>
      <c r="N343" t="s">
        <v>1548</v>
      </c>
    </row>
    <row r="344" spans="1:14" x14ac:dyDescent="0.3">
      <c r="A344">
        <v>1211157</v>
      </c>
      <c r="B344" t="s">
        <v>1234</v>
      </c>
      <c r="C344" t="s">
        <v>1553</v>
      </c>
      <c r="D344" t="s">
        <v>1552</v>
      </c>
      <c r="E344" t="s">
        <v>1551</v>
      </c>
      <c r="G344" t="s">
        <v>1573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1549</v>
      </c>
      <c r="N344" t="s">
        <v>1548</v>
      </c>
    </row>
    <row r="345" spans="1:14" x14ac:dyDescent="0.3">
      <c r="A345">
        <v>1211157</v>
      </c>
      <c r="B345" t="s">
        <v>1234</v>
      </c>
      <c r="C345" t="s">
        <v>1553</v>
      </c>
      <c r="D345" t="s">
        <v>1552</v>
      </c>
      <c r="E345" t="s">
        <v>1551</v>
      </c>
      <c r="G345" t="s">
        <v>1572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1549</v>
      </c>
      <c r="N345" t="s">
        <v>1548</v>
      </c>
    </row>
    <row r="346" spans="1:14" x14ac:dyDescent="0.3">
      <c r="A346">
        <v>1211157</v>
      </c>
      <c r="B346" t="s">
        <v>1234</v>
      </c>
      <c r="C346" t="s">
        <v>1553</v>
      </c>
      <c r="D346" t="s">
        <v>1552</v>
      </c>
      <c r="E346" t="s">
        <v>1551</v>
      </c>
      <c r="G346" t="s">
        <v>1571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1549</v>
      </c>
      <c r="N346" t="s">
        <v>1548</v>
      </c>
    </row>
    <row r="347" spans="1:14" x14ac:dyDescent="0.3">
      <c r="A347">
        <v>1211157</v>
      </c>
      <c r="B347" t="s">
        <v>1234</v>
      </c>
      <c r="C347" t="s">
        <v>1553</v>
      </c>
      <c r="D347" t="s">
        <v>1552</v>
      </c>
      <c r="E347" t="s">
        <v>1551</v>
      </c>
      <c r="G347" t="s">
        <v>1570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1549</v>
      </c>
      <c r="N347" t="s">
        <v>1548</v>
      </c>
    </row>
    <row r="348" spans="1:14" x14ac:dyDescent="0.3">
      <c r="A348">
        <v>1211157</v>
      </c>
      <c r="B348" t="s">
        <v>1234</v>
      </c>
      <c r="C348" t="s">
        <v>1553</v>
      </c>
      <c r="D348" t="s">
        <v>1552</v>
      </c>
      <c r="E348" t="s">
        <v>1551</v>
      </c>
      <c r="G348" t="s">
        <v>1569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1549</v>
      </c>
      <c r="N348" t="s">
        <v>1548</v>
      </c>
    </row>
    <row r="349" spans="1:14" x14ac:dyDescent="0.3">
      <c r="A349">
        <v>1211157</v>
      </c>
      <c r="B349" t="s">
        <v>1234</v>
      </c>
      <c r="C349" t="s">
        <v>1553</v>
      </c>
      <c r="D349" t="s">
        <v>1552</v>
      </c>
      <c r="E349" t="s">
        <v>1551</v>
      </c>
      <c r="G349" t="s">
        <v>1568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1549</v>
      </c>
      <c r="N349" t="s">
        <v>1548</v>
      </c>
    </row>
    <row r="350" spans="1:14" x14ac:dyDescent="0.3">
      <c r="A350">
        <v>1211157</v>
      </c>
      <c r="B350" t="s">
        <v>1234</v>
      </c>
      <c r="C350" t="s">
        <v>1553</v>
      </c>
      <c r="D350" t="s">
        <v>1552</v>
      </c>
      <c r="E350" t="s">
        <v>1551</v>
      </c>
      <c r="G350" t="s">
        <v>1567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1549</v>
      </c>
      <c r="N350" t="s">
        <v>1548</v>
      </c>
    </row>
    <row r="351" spans="1:14" x14ac:dyDescent="0.3">
      <c r="A351">
        <v>1211157</v>
      </c>
      <c r="B351" t="s">
        <v>1234</v>
      </c>
      <c r="C351" t="s">
        <v>1553</v>
      </c>
      <c r="D351" t="s">
        <v>1552</v>
      </c>
      <c r="E351" t="s">
        <v>1551</v>
      </c>
      <c r="G351" t="s">
        <v>1566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1549</v>
      </c>
      <c r="N351" t="s">
        <v>1548</v>
      </c>
    </row>
    <row r="352" spans="1:14" x14ac:dyDescent="0.3">
      <c r="A352">
        <v>1211157</v>
      </c>
      <c r="B352" t="s">
        <v>1234</v>
      </c>
      <c r="C352" t="s">
        <v>1553</v>
      </c>
      <c r="D352" t="s">
        <v>1552</v>
      </c>
      <c r="E352" t="s">
        <v>1551</v>
      </c>
      <c r="G352" t="s">
        <v>1565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1549</v>
      </c>
      <c r="N352" t="s">
        <v>1548</v>
      </c>
    </row>
    <row r="353" spans="1:14" x14ac:dyDescent="0.3">
      <c r="A353">
        <v>1211157</v>
      </c>
      <c r="B353" t="s">
        <v>1234</v>
      </c>
      <c r="C353" t="s">
        <v>1553</v>
      </c>
      <c r="D353" t="s">
        <v>1552</v>
      </c>
      <c r="E353" t="s">
        <v>1551</v>
      </c>
      <c r="G353" t="s">
        <v>1564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1549</v>
      </c>
      <c r="N353" t="s">
        <v>1548</v>
      </c>
    </row>
    <row r="354" spans="1:14" x14ac:dyDescent="0.3">
      <c r="A354">
        <v>1211157</v>
      </c>
      <c r="B354" t="s">
        <v>1234</v>
      </c>
      <c r="C354" t="s">
        <v>1553</v>
      </c>
      <c r="D354" t="s">
        <v>1552</v>
      </c>
      <c r="E354" t="s">
        <v>1551</v>
      </c>
      <c r="G354" t="s">
        <v>1563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1549</v>
      </c>
      <c r="N354" t="s">
        <v>1548</v>
      </c>
    </row>
    <row r="355" spans="1:14" x14ac:dyDescent="0.3">
      <c r="A355">
        <v>1211157</v>
      </c>
      <c r="B355" t="s">
        <v>1234</v>
      </c>
      <c r="C355" t="s">
        <v>1553</v>
      </c>
      <c r="D355" t="s">
        <v>1552</v>
      </c>
      <c r="E355" t="s">
        <v>1551</v>
      </c>
      <c r="G355" t="s">
        <v>1562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1549</v>
      </c>
      <c r="N355" t="s">
        <v>1548</v>
      </c>
    </row>
    <row r="356" spans="1:14" x14ac:dyDescent="0.3">
      <c r="A356">
        <v>1211157</v>
      </c>
      <c r="B356" t="s">
        <v>1234</v>
      </c>
      <c r="C356" t="s">
        <v>1553</v>
      </c>
      <c r="D356" t="s">
        <v>1552</v>
      </c>
      <c r="E356" t="s">
        <v>1551</v>
      </c>
      <c r="G356" t="s">
        <v>1561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1549</v>
      </c>
      <c r="N356" t="s">
        <v>1548</v>
      </c>
    </row>
    <row r="357" spans="1:14" x14ac:dyDescent="0.3">
      <c r="A357">
        <v>1211157</v>
      </c>
      <c r="B357" t="s">
        <v>1234</v>
      </c>
      <c r="C357" t="s">
        <v>1553</v>
      </c>
      <c r="D357" t="s">
        <v>1552</v>
      </c>
      <c r="E357" t="s">
        <v>1551</v>
      </c>
      <c r="G357" t="s">
        <v>1560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1549</v>
      </c>
      <c r="N357" t="s">
        <v>1548</v>
      </c>
    </row>
    <row r="358" spans="1:14" x14ac:dyDescent="0.3">
      <c r="A358">
        <v>1211157</v>
      </c>
      <c r="B358" t="s">
        <v>1234</v>
      </c>
      <c r="C358" t="s">
        <v>1553</v>
      </c>
      <c r="D358" t="s">
        <v>1552</v>
      </c>
      <c r="E358" t="s">
        <v>1551</v>
      </c>
      <c r="G358" t="s">
        <v>1559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1549</v>
      </c>
      <c r="N358" t="s">
        <v>1548</v>
      </c>
    </row>
    <row r="359" spans="1:14" x14ac:dyDescent="0.3">
      <c r="A359">
        <v>1211157</v>
      </c>
      <c r="B359" t="s">
        <v>1234</v>
      </c>
      <c r="C359" t="s">
        <v>1553</v>
      </c>
      <c r="D359" t="s">
        <v>1552</v>
      </c>
      <c r="E359" t="s">
        <v>1551</v>
      </c>
      <c r="G359" t="s">
        <v>1558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1549</v>
      </c>
      <c r="N359" t="s">
        <v>1548</v>
      </c>
    </row>
    <row r="360" spans="1:14" x14ac:dyDescent="0.3">
      <c r="A360">
        <v>1211157</v>
      </c>
      <c r="B360" t="s">
        <v>1234</v>
      </c>
      <c r="C360" t="s">
        <v>1553</v>
      </c>
      <c r="D360" t="s">
        <v>1552</v>
      </c>
      <c r="E360" t="s">
        <v>1551</v>
      </c>
      <c r="G360" t="s">
        <v>1557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1549</v>
      </c>
      <c r="N360" t="s">
        <v>1548</v>
      </c>
    </row>
    <row r="361" spans="1:14" x14ac:dyDescent="0.3">
      <c r="A361">
        <v>1211157</v>
      </c>
      <c r="B361" t="s">
        <v>1234</v>
      </c>
      <c r="C361" t="s">
        <v>1553</v>
      </c>
      <c r="D361" t="s">
        <v>1552</v>
      </c>
      <c r="E361" t="s">
        <v>1551</v>
      </c>
      <c r="G361" t="s">
        <v>1556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1549</v>
      </c>
      <c r="N361" t="s">
        <v>1548</v>
      </c>
    </row>
    <row r="362" spans="1:14" x14ac:dyDescent="0.3">
      <c r="A362">
        <v>1211157</v>
      </c>
      <c r="B362" t="s">
        <v>1234</v>
      </c>
      <c r="C362" t="s">
        <v>1553</v>
      </c>
      <c r="D362" t="s">
        <v>1552</v>
      </c>
      <c r="E362" t="s">
        <v>1551</v>
      </c>
      <c r="G362" t="s">
        <v>1555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1549</v>
      </c>
      <c r="N362" t="s">
        <v>1548</v>
      </c>
    </row>
    <row r="363" spans="1:14" x14ac:dyDescent="0.3">
      <c r="A363">
        <v>1211157</v>
      </c>
      <c r="B363" t="s">
        <v>1234</v>
      </c>
      <c r="C363" t="s">
        <v>1553</v>
      </c>
      <c r="D363" t="s">
        <v>1552</v>
      </c>
      <c r="E363" t="s">
        <v>1551</v>
      </c>
      <c r="G363" t="s">
        <v>1554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1549</v>
      </c>
      <c r="N363" t="s">
        <v>1548</v>
      </c>
    </row>
    <row r="364" spans="1:14" x14ac:dyDescent="0.3">
      <c r="A364">
        <v>1211157</v>
      </c>
      <c r="B364" t="s">
        <v>1234</v>
      </c>
      <c r="C364" t="s">
        <v>1553</v>
      </c>
      <c r="D364" t="s">
        <v>1552</v>
      </c>
      <c r="E364" t="s">
        <v>1551</v>
      </c>
      <c r="G364" t="s">
        <v>1550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1549</v>
      </c>
      <c r="N364" t="s">
        <v>1548</v>
      </c>
    </row>
    <row r="365" spans="1:14" x14ac:dyDescent="0.3">
      <c r="A365">
        <v>1211157</v>
      </c>
      <c r="B365" t="s">
        <v>1234</v>
      </c>
      <c r="C365" t="s">
        <v>1533</v>
      </c>
      <c r="D365" t="s">
        <v>1532</v>
      </c>
      <c r="E365" t="s">
        <v>1531</v>
      </c>
      <c r="G365" t="s">
        <v>1547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1234</v>
      </c>
      <c r="C366" t="s">
        <v>1533</v>
      </c>
      <c r="D366" t="s">
        <v>1532</v>
      </c>
      <c r="E366" t="s">
        <v>1531</v>
      </c>
      <c r="G366" t="s">
        <v>1546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1234</v>
      </c>
      <c r="C367" t="s">
        <v>1533</v>
      </c>
      <c r="D367" t="s">
        <v>1532</v>
      </c>
      <c r="E367" t="s">
        <v>1531</v>
      </c>
      <c r="G367" t="s">
        <v>1545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1234</v>
      </c>
      <c r="C368" t="s">
        <v>1533</v>
      </c>
      <c r="D368" t="s">
        <v>1532</v>
      </c>
      <c r="E368" t="s">
        <v>1531</v>
      </c>
      <c r="G368" t="s">
        <v>1544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1234</v>
      </c>
      <c r="C369" t="s">
        <v>1533</v>
      </c>
      <c r="D369" t="s">
        <v>1532</v>
      </c>
      <c r="E369" t="s">
        <v>1531</v>
      </c>
      <c r="G369" t="s">
        <v>1543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1234</v>
      </c>
      <c r="C370" t="s">
        <v>1533</v>
      </c>
      <c r="D370" t="s">
        <v>1532</v>
      </c>
      <c r="E370" t="s">
        <v>1531</v>
      </c>
      <c r="G370" t="s">
        <v>1542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1234</v>
      </c>
      <c r="C371" t="s">
        <v>1533</v>
      </c>
      <c r="D371" t="s">
        <v>1532</v>
      </c>
      <c r="E371" t="s">
        <v>1531</v>
      </c>
      <c r="G371" t="s">
        <v>1541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1234</v>
      </c>
      <c r="C372" t="s">
        <v>1533</v>
      </c>
      <c r="D372" t="s">
        <v>1532</v>
      </c>
      <c r="E372" t="s">
        <v>1531</v>
      </c>
      <c r="G372" t="s">
        <v>1540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1234</v>
      </c>
      <c r="C373" t="s">
        <v>1533</v>
      </c>
      <c r="D373" t="s">
        <v>1532</v>
      </c>
      <c r="E373" t="s">
        <v>1531</v>
      </c>
      <c r="G373" t="s">
        <v>1539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1234</v>
      </c>
      <c r="C374" t="s">
        <v>1533</v>
      </c>
      <c r="D374" t="s">
        <v>1532</v>
      </c>
      <c r="E374" t="s">
        <v>1531</v>
      </c>
      <c r="G374" t="s">
        <v>1538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1234</v>
      </c>
      <c r="C375" t="s">
        <v>1533</v>
      </c>
      <c r="D375" t="s">
        <v>1532</v>
      </c>
      <c r="E375" t="s">
        <v>1531</v>
      </c>
      <c r="G375" t="s">
        <v>1537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1234</v>
      </c>
      <c r="C376" t="s">
        <v>1533</v>
      </c>
      <c r="D376" t="s">
        <v>1532</v>
      </c>
      <c r="E376" t="s">
        <v>1531</v>
      </c>
      <c r="G376" t="s">
        <v>1536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1234</v>
      </c>
      <c r="C377" t="s">
        <v>1533</v>
      </c>
      <c r="D377" t="s">
        <v>1532</v>
      </c>
      <c r="E377" t="s">
        <v>1531</v>
      </c>
      <c r="G377" t="s">
        <v>1535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1234</v>
      </c>
      <c r="C378" t="s">
        <v>1533</v>
      </c>
      <c r="D378" t="s">
        <v>1532</v>
      </c>
      <c r="E378" t="s">
        <v>1531</v>
      </c>
      <c r="G378" t="s">
        <v>1534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1234</v>
      </c>
      <c r="C379" t="s">
        <v>1533</v>
      </c>
      <c r="D379" t="s">
        <v>1532</v>
      </c>
      <c r="E379" t="s">
        <v>1531</v>
      </c>
      <c r="G379" t="s">
        <v>1530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hidden="1" x14ac:dyDescent="0.3">
      <c r="A380">
        <v>1211157</v>
      </c>
      <c r="B380" t="s">
        <v>1234</v>
      </c>
      <c r="C380" t="s">
        <v>1529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1234</v>
      </c>
      <c r="C381" t="s">
        <v>1528</v>
      </c>
      <c r="D381" t="s">
        <v>1528</v>
      </c>
      <c r="E381" t="s">
        <v>1527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hidden="1" x14ac:dyDescent="0.3">
      <c r="A382">
        <v>1211157</v>
      </c>
      <c r="B382" t="s">
        <v>1234</v>
      </c>
      <c r="C382" t="s">
        <v>1526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hidden="1" x14ac:dyDescent="0.3">
      <c r="A383">
        <v>1211157</v>
      </c>
      <c r="B383" t="s">
        <v>1234</v>
      </c>
      <c r="C383" t="s">
        <v>1525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hidden="1" x14ac:dyDescent="0.3">
      <c r="A384">
        <v>1211157</v>
      </c>
      <c r="B384" t="s">
        <v>1234</v>
      </c>
      <c r="C384" t="s">
        <v>1524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1234</v>
      </c>
      <c r="C385" t="s">
        <v>1523</v>
      </c>
      <c r="D385" t="s">
        <v>1523</v>
      </c>
      <c r="E385" t="s">
        <v>1522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hidden="1" x14ac:dyDescent="0.3">
      <c r="A386">
        <v>1211157</v>
      </c>
      <c r="B386" t="s">
        <v>1234</v>
      </c>
      <c r="C386" t="s">
        <v>1521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1234</v>
      </c>
      <c r="C387" t="s">
        <v>1520</v>
      </c>
      <c r="D387" t="s">
        <v>1519</v>
      </c>
      <c r="E387" t="s">
        <v>1518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1517</v>
      </c>
      <c r="N387" t="s">
        <v>1516</v>
      </c>
    </row>
    <row r="388" spans="1:14" x14ac:dyDescent="0.3">
      <c r="A388">
        <v>1211157</v>
      </c>
      <c r="B388" t="s">
        <v>1234</v>
      </c>
      <c r="C388" t="s">
        <v>1511</v>
      </c>
      <c r="D388" t="s">
        <v>1510</v>
      </c>
      <c r="E388" t="s">
        <v>1509</v>
      </c>
      <c r="G388" t="s">
        <v>1515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1234</v>
      </c>
      <c r="C389" t="s">
        <v>1511</v>
      </c>
      <c r="D389" t="s">
        <v>1510</v>
      </c>
      <c r="E389" t="s">
        <v>1509</v>
      </c>
      <c r="G389" t="s">
        <v>1514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1234</v>
      </c>
      <c r="C390" t="s">
        <v>1511</v>
      </c>
      <c r="D390" t="s">
        <v>1510</v>
      </c>
      <c r="E390" t="s">
        <v>1509</v>
      </c>
      <c r="G390" t="s">
        <v>1513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1234</v>
      </c>
      <c r="C391" t="s">
        <v>1511</v>
      </c>
      <c r="D391" t="s">
        <v>1510</v>
      </c>
      <c r="E391" t="s">
        <v>1509</v>
      </c>
      <c r="G391" t="s">
        <v>1512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1234</v>
      </c>
      <c r="C392" t="s">
        <v>1511</v>
      </c>
      <c r="D392" t="s">
        <v>1510</v>
      </c>
      <c r="E392" t="s">
        <v>1509</v>
      </c>
      <c r="G392" t="s">
        <v>1508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1234</v>
      </c>
      <c r="C393" t="s">
        <v>1496</v>
      </c>
      <c r="D393" t="s">
        <v>1495</v>
      </c>
      <c r="E393" t="s">
        <v>1494</v>
      </c>
      <c r="G393" t="s">
        <v>1507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1234</v>
      </c>
      <c r="C394" t="s">
        <v>1496</v>
      </c>
      <c r="D394" t="s">
        <v>1495</v>
      </c>
      <c r="E394" t="s">
        <v>1494</v>
      </c>
      <c r="G394" t="s">
        <v>1506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1234</v>
      </c>
      <c r="C395" t="s">
        <v>1496</v>
      </c>
      <c r="D395" t="s">
        <v>1495</v>
      </c>
      <c r="E395" t="s">
        <v>1494</v>
      </c>
      <c r="G395" t="s">
        <v>1505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1234</v>
      </c>
      <c r="C396" t="s">
        <v>1496</v>
      </c>
      <c r="D396" t="s">
        <v>1495</v>
      </c>
      <c r="E396" t="s">
        <v>1494</v>
      </c>
      <c r="G396" t="s">
        <v>1504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1234</v>
      </c>
      <c r="C397" t="s">
        <v>1496</v>
      </c>
      <c r="D397" t="s">
        <v>1495</v>
      </c>
      <c r="E397" t="s">
        <v>1494</v>
      </c>
      <c r="G397" t="s">
        <v>1503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1234</v>
      </c>
      <c r="C398" t="s">
        <v>1496</v>
      </c>
      <c r="D398" t="s">
        <v>1495</v>
      </c>
      <c r="E398" t="s">
        <v>1494</v>
      </c>
      <c r="G398" t="s">
        <v>1502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1234</v>
      </c>
      <c r="C399" t="s">
        <v>1496</v>
      </c>
      <c r="D399" t="s">
        <v>1495</v>
      </c>
      <c r="E399" t="s">
        <v>1494</v>
      </c>
      <c r="G399" t="s">
        <v>1501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1234</v>
      </c>
      <c r="C400" t="s">
        <v>1496</v>
      </c>
      <c r="D400" t="s">
        <v>1495</v>
      </c>
      <c r="E400" t="s">
        <v>1494</v>
      </c>
      <c r="G400" t="s">
        <v>1500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1234</v>
      </c>
      <c r="C401" t="s">
        <v>1496</v>
      </c>
      <c r="D401" t="s">
        <v>1495</v>
      </c>
      <c r="E401" t="s">
        <v>1494</v>
      </c>
      <c r="G401" t="s">
        <v>1499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1234</v>
      </c>
      <c r="C402" t="s">
        <v>1496</v>
      </c>
      <c r="D402" t="s">
        <v>1495</v>
      </c>
      <c r="E402" t="s">
        <v>1494</v>
      </c>
      <c r="G402" t="s">
        <v>1498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1234</v>
      </c>
      <c r="C403" t="s">
        <v>1496</v>
      </c>
      <c r="D403" t="s">
        <v>1495</v>
      </c>
      <c r="E403" t="s">
        <v>1494</v>
      </c>
      <c r="G403" t="s">
        <v>1497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1234</v>
      </c>
      <c r="C404" t="s">
        <v>1496</v>
      </c>
      <c r="D404" t="s">
        <v>1495</v>
      </c>
      <c r="E404" t="s">
        <v>1494</v>
      </c>
      <c r="G404" t="s">
        <v>1493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hidden="1" x14ac:dyDescent="0.3">
      <c r="A405">
        <v>1211157</v>
      </c>
      <c r="B405" t="s">
        <v>1234</v>
      </c>
      <c r="C405" t="s">
        <v>1492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1234</v>
      </c>
      <c r="C406" t="s">
        <v>1474</v>
      </c>
      <c r="D406" t="s">
        <v>1473</v>
      </c>
      <c r="E406" t="s">
        <v>1472</v>
      </c>
      <c r="G406" t="s">
        <v>1491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1470</v>
      </c>
      <c r="N406" t="s">
        <v>1469</v>
      </c>
    </row>
    <row r="407" spans="1:14" x14ac:dyDescent="0.3">
      <c r="A407">
        <v>1211157</v>
      </c>
      <c r="B407" t="s">
        <v>1234</v>
      </c>
      <c r="C407" t="s">
        <v>1474</v>
      </c>
      <c r="D407" t="s">
        <v>1473</v>
      </c>
      <c r="E407" t="s">
        <v>1472</v>
      </c>
      <c r="G407" t="s">
        <v>1490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1470</v>
      </c>
      <c r="N407" t="s">
        <v>1469</v>
      </c>
    </row>
    <row r="408" spans="1:14" x14ac:dyDescent="0.3">
      <c r="A408">
        <v>1211157</v>
      </c>
      <c r="B408" t="s">
        <v>1234</v>
      </c>
      <c r="C408" t="s">
        <v>1474</v>
      </c>
      <c r="D408" t="s">
        <v>1473</v>
      </c>
      <c r="E408" t="s">
        <v>1472</v>
      </c>
      <c r="G408" t="s">
        <v>1489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1470</v>
      </c>
      <c r="N408" t="s">
        <v>1469</v>
      </c>
    </row>
    <row r="409" spans="1:14" x14ac:dyDescent="0.3">
      <c r="A409">
        <v>1211157</v>
      </c>
      <c r="B409" t="s">
        <v>1234</v>
      </c>
      <c r="C409" t="s">
        <v>1474</v>
      </c>
      <c r="D409" t="s">
        <v>1473</v>
      </c>
      <c r="E409" t="s">
        <v>1472</v>
      </c>
      <c r="G409" t="s">
        <v>1488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1470</v>
      </c>
      <c r="N409" t="s">
        <v>1469</v>
      </c>
    </row>
    <row r="410" spans="1:14" x14ac:dyDescent="0.3">
      <c r="A410">
        <v>1211157</v>
      </c>
      <c r="B410" t="s">
        <v>1234</v>
      </c>
      <c r="C410" t="s">
        <v>1474</v>
      </c>
      <c r="D410" t="s">
        <v>1473</v>
      </c>
      <c r="E410" t="s">
        <v>1472</v>
      </c>
      <c r="G410" t="s">
        <v>1487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1470</v>
      </c>
      <c r="N410" t="s">
        <v>1469</v>
      </c>
    </row>
    <row r="411" spans="1:14" x14ac:dyDescent="0.3">
      <c r="A411">
        <v>1211157</v>
      </c>
      <c r="B411" t="s">
        <v>1234</v>
      </c>
      <c r="C411" t="s">
        <v>1474</v>
      </c>
      <c r="D411" t="s">
        <v>1473</v>
      </c>
      <c r="E411" t="s">
        <v>1472</v>
      </c>
      <c r="G411" t="s">
        <v>1486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1470</v>
      </c>
      <c r="N411" t="s">
        <v>1469</v>
      </c>
    </row>
    <row r="412" spans="1:14" x14ac:dyDescent="0.3">
      <c r="A412">
        <v>1211157</v>
      </c>
      <c r="B412" t="s">
        <v>1234</v>
      </c>
      <c r="C412" t="s">
        <v>1474</v>
      </c>
      <c r="D412" t="s">
        <v>1473</v>
      </c>
      <c r="E412" t="s">
        <v>1472</v>
      </c>
      <c r="G412" t="s">
        <v>1485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1470</v>
      </c>
      <c r="N412" t="s">
        <v>1469</v>
      </c>
    </row>
    <row r="413" spans="1:14" x14ac:dyDescent="0.3">
      <c r="A413">
        <v>1211157</v>
      </c>
      <c r="B413" t="s">
        <v>1234</v>
      </c>
      <c r="C413" t="s">
        <v>1474</v>
      </c>
      <c r="D413" t="s">
        <v>1473</v>
      </c>
      <c r="E413" t="s">
        <v>1472</v>
      </c>
      <c r="G413" t="s">
        <v>1484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1470</v>
      </c>
      <c r="N413" t="s">
        <v>1469</v>
      </c>
    </row>
    <row r="414" spans="1:14" x14ac:dyDescent="0.3">
      <c r="A414">
        <v>1211157</v>
      </c>
      <c r="B414" t="s">
        <v>1234</v>
      </c>
      <c r="C414" t="s">
        <v>1474</v>
      </c>
      <c r="D414" t="s">
        <v>1473</v>
      </c>
      <c r="E414" t="s">
        <v>1472</v>
      </c>
      <c r="G414" t="s">
        <v>1483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1470</v>
      </c>
      <c r="N414" t="s">
        <v>1469</v>
      </c>
    </row>
    <row r="415" spans="1:14" x14ac:dyDescent="0.3">
      <c r="A415">
        <v>1211157</v>
      </c>
      <c r="B415" t="s">
        <v>1234</v>
      </c>
      <c r="C415" t="s">
        <v>1474</v>
      </c>
      <c r="D415" t="s">
        <v>1473</v>
      </c>
      <c r="E415" t="s">
        <v>1472</v>
      </c>
      <c r="G415" t="s">
        <v>1482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1470</v>
      </c>
      <c r="N415" t="s">
        <v>1469</v>
      </c>
    </row>
    <row r="416" spans="1:14" x14ac:dyDescent="0.3">
      <c r="A416">
        <v>1211157</v>
      </c>
      <c r="B416" t="s">
        <v>1234</v>
      </c>
      <c r="C416" t="s">
        <v>1474</v>
      </c>
      <c r="D416" t="s">
        <v>1473</v>
      </c>
      <c r="E416" t="s">
        <v>1472</v>
      </c>
      <c r="G416" t="s">
        <v>1481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1470</v>
      </c>
      <c r="N416" t="s">
        <v>1469</v>
      </c>
    </row>
    <row r="417" spans="1:14" x14ac:dyDescent="0.3">
      <c r="A417">
        <v>1211157</v>
      </c>
      <c r="B417" t="s">
        <v>1234</v>
      </c>
      <c r="C417" t="s">
        <v>1474</v>
      </c>
      <c r="D417" t="s">
        <v>1473</v>
      </c>
      <c r="E417" t="s">
        <v>1472</v>
      </c>
      <c r="G417" t="s">
        <v>1480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1470</v>
      </c>
      <c r="N417" t="s">
        <v>1469</v>
      </c>
    </row>
    <row r="418" spans="1:14" x14ac:dyDescent="0.3">
      <c r="A418">
        <v>1211157</v>
      </c>
      <c r="B418" t="s">
        <v>1234</v>
      </c>
      <c r="C418" t="s">
        <v>1474</v>
      </c>
      <c r="D418" t="s">
        <v>1473</v>
      </c>
      <c r="E418" t="s">
        <v>1472</v>
      </c>
      <c r="G418" t="s">
        <v>1479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1470</v>
      </c>
      <c r="N418" t="s">
        <v>1469</v>
      </c>
    </row>
    <row r="419" spans="1:14" x14ac:dyDescent="0.3">
      <c r="A419">
        <v>1211157</v>
      </c>
      <c r="B419" t="s">
        <v>1234</v>
      </c>
      <c r="C419" t="s">
        <v>1474</v>
      </c>
      <c r="D419" t="s">
        <v>1473</v>
      </c>
      <c r="E419" t="s">
        <v>1472</v>
      </c>
      <c r="G419" t="s">
        <v>1478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1470</v>
      </c>
      <c r="N419" t="s">
        <v>1469</v>
      </c>
    </row>
    <row r="420" spans="1:14" x14ac:dyDescent="0.3">
      <c r="A420">
        <v>1211157</v>
      </c>
      <c r="B420" t="s">
        <v>1234</v>
      </c>
      <c r="C420" t="s">
        <v>1474</v>
      </c>
      <c r="D420" t="s">
        <v>1473</v>
      </c>
      <c r="E420" t="s">
        <v>1472</v>
      </c>
      <c r="G420" t="s">
        <v>1477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1470</v>
      </c>
      <c r="N420" t="s">
        <v>1469</v>
      </c>
    </row>
    <row r="421" spans="1:14" x14ac:dyDescent="0.3">
      <c r="A421">
        <v>1211157</v>
      </c>
      <c r="B421" t="s">
        <v>1234</v>
      </c>
      <c r="C421" t="s">
        <v>1474</v>
      </c>
      <c r="D421" t="s">
        <v>1473</v>
      </c>
      <c r="E421" t="s">
        <v>1472</v>
      </c>
      <c r="G421" t="s">
        <v>1476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1470</v>
      </c>
      <c r="N421" t="s">
        <v>1469</v>
      </c>
    </row>
    <row r="422" spans="1:14" x14ac:dyDescent="0.3">
      <c r="A422">
        <v>1211157</v>
      </c>
      <c r="B422" t="s">
        <v>1234</v>
      </c>
      <c r="C422" t="s">
        <v>1474</v>
      </c>
      <c r="D422" t="s">
        <v>1473</v>
      </c>
      <c r="E422" t="s">
        <v>1472</v>
      </c>
      <c r="G422" t="s">
        <v>1475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1470</v>
      </c>
      <c r="N422" t="s">
        <v>1469</v>
      </c>
    </row>
    <row r="423" spans="1:14" x14ac:dyDescent="0.3">
      <c r="A423">
        <v>1211157</v>
      </c>
      <c r="B423" t="s">
        <v>1234</v>
      </c>
      <c r="C423" t="s">
        <v>1474</v>
      </c>
      <c r="D423" t="s">
        <v>1473</v>
      </c>
      <c r="E423" t="s">
        <v>1472</v>
      </c>
      <c r="G423" t="s">
        <v>1471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1470</v>
      </c>
      <c r="N423" t="s">
        <v>1469</v>
      </c>
    </row>
    <row r="424" spans="1:14" x14ac:dyDescent="0.3">
      <c r="A424">
        <v>1211157</v>
      </c>
      <c r="B424" t="s">
        <v>1234</v>
      </c>
      <c r="C424" t="s">
        <v>1397</v>
      </c>
      <c r="D424" t="s">
        <v>1396</v>
      </c>
      <c r="E424" t="s">
        <v>1395</v>
      </c>
      <c r="F424" t="s">
        <v>1394</v>
      </c>
      <c r="G424" t="s">
        <v>1468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1392</v>
      </c>
      <c r="N424" t="s">
        <v>1391</v>
      </c>
    </row>
    <row r="425" spans="1:14" x14ac:dyDescent="0.3">
      <c r="A425">
        <v>1211157</v>
      </c>
      <c r="B425" t="s">
        <v>1234</v>
      </c>
      <c r="C425" t="s">
        <v>1397</v>
      </c>
      <c r="D425" t="s">
        <v>1396</v>
      </c>
      <c r="E425" t="s">
        <v>1395</v>
      </c>
      <c r="F425" t="s">
        <v>1394</v>
      </c>
      <c r="G425" t="s">
        <v>1467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1392</v>
      </c>
      <c r="N425" t="s">
        <v>1391</v>
      </c>
    </row>
    <row r="426" spans="1:14" x14ac:dyDescent="0.3">
      <c r="A426">
        <v>1211157</v>
      </c>
      <c r="B426" t="s">
        <v>1234</v>
      </c>
      <c r="C426" t="s">
        <v>1397</v>
      </c>
      <c r="D426" t="s">
        <v>1396</v>
      </c>
      <c r="E426" t="s">
        <v>1395</v>
      </c>
      <c r="F426" t="s">
        <v>1394</v>
      </c>
      <c r="G426" t="s">
        <v>1466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1392</v>
      </c>
      <c r="N426" t="s">
        <v>1391</v>
      </c>
    </row>
    <row r="427" spans="1:14" x14ac:dyDescent="0.3">
      <c r="A427">
        <v>1211157</v>
      </c>
      <c r="B427" t="s">
        <v>1234</v>
      </c>
      <c r="C427" t="s">
        <v>1397</v>
      </c>
      <c r="D427" t="s">
        <v>1396</v>
      </c>
      <c r="E427" t="s">
        <v>1395</v>
      </c>
      <c r="F427" t="s">
        <v>1394</v>
      </c>
      <c r="G427" t="s">
        <v>1465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1392</v>
      </c>
      <c r="N427" t="s">
        <v>1391</v>
      </c>
    </row>
    <row r="428" spans="1:14" x14ac:dyDescent="0.3">
      <c r="A428">
        <v>1211157</v>
      </c>
      <c r="B428" t="s">
        <v>1234</v>
      </c>
      <c r="C428" t="s">
        <v>1397</v>
      </c>
      <c r="D428" t="s">
        <v>1396</v>
      </c>
      <c r="E428" t="s">
        <v>1395</v>
      </c>
      <c r="F428" t="s">
        <v>1394</v>
      </c>
      <c r="G428" t="s">
        <v>1464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1392</v>
      </c>
      <c r="N428" t="s">
        <v>1391</v>
      </c>
    </row>
    <row r="429" spans="1:14" x14ac:dyDescent="0.3">
      <c r="A429">
        <v>1211157</v>
      </c>
      <c r="B429" t="s">
        <v>1234</v>
      </c>
      <c r="C429" t="s">
        <v>1397</v>
      </c>
      <c r="D429" t="s">
        <v>1396</v>
      </c>
      <c r="E429" t="s">
        <v>1395</v>
      </c>
      <c r="F429" t="s">
        <v>1394</v>
      </c>
      <c r="G429" t="s">
        <v>1463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1392</v>
      </c>
      <c r="N429" t="s">
        <v>1391</v>
      </c>
    </row>
    <row r="430" spans="1:14" x14ac:dyDescent="0.3">
      <c r="A430">
        <v>1211157</v>
      </c>
      <c r="B430" t="s">
        <v>1234</v>
      </c>
      <c r="C430" t="s">
        <v>1397</v>
      </c>
      <c r="D430" t="s">
        <v>1396</v>
      </c>
      <c r="E430" t="s">
        <v>1395</v>
      </c>
      <c r="F430" t="s">
        <v>1394</v>
      </c>
      <c r="G430" t="s">
        <v>1462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1392</v>
      </c>
      <c r="N430" t="s">
        <v>1391</v>
      </c>
    </row>
    <row r="431" spans="1:14" x14ac:dyDescent="0.3">
      <c r="A431">
        <v>1211157</v>
      </c>
      <c r="B431" t="s">
        <v>1234</v>
      </c>
      <c r="C431" t="s">
        <v>1397</v>
      </c>
      <c r="D431" t="s">
        <v>1396</v>
      </c>
      <c r="E431" t="s">
        <v>1395</v>
      </c>
      <c r="F431" t="s">
        <v>1394</v>
      </c>
      <c r="G431" t="s">
        <v>1461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1392</v>
      </c>
      <c r="N431" t="s">
        <v>1391</v>
      </c>
    </row>
    <row r="432" spans="1:14" x14ac:dyDescent="0.3">
      <c r="A432">
        <v>1211157</v>
      </c>
      <c r="B432" t="s">
        <v>1234</v>
      </c>
      <c r="C432" t="s">
        <v>1397</v>
      </c>
      <c r="D432" t="s">
        <v>1396</v>
      </c>
      <c r="E432" t="s">
        <v>1395</v>
      </c>
      <c r="F432" t="s">
        <v>1394</v>
      </c>
      <c r="G432" t="s">
        <v>1460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1392</v>
      </c>
      <c r="N432" t="s">
        <v>1391</v>
      </c>
    </row>
    <row r="433" spans="1:14" x14ac:dyDescent="0.3">
      <c r="A433">
        <v>1211157</v>
      </c>
      <c r="B433" t="s">
        <v>1234</v>
      </c>
      <c r="C433" t="s">
        <v>1397</v>
      </c>
      <c r="D433" t="s">
        <v>1396</v>
      </c>
      <c r="E433" t="s">
        <v>1395</v>
      </c>
      <c r="F433" t="s">
        <v>1394</v>
      </c>
      <c r="G433" t="s">
        <v>1459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1392</v>
      </c>
      <c r="N433" t="s">
        <v>1391</v>
      </c>
    </row>
    <row r="434" spans="1:14" x14ac:dyDescent="0.3">
      <c r="A434">
        <v>1211157</v>
      </c>
      <c r="B434" t="s">
        <v>1234</v>
      </c>
      <c r="C434" t="s">
        <v>1397</v>
      </c>
      <c r="D434" t="s">
        <v>1396</v>
      </c>
      <c r="E434" t="s">
        <v>1395</v>
      </c>
      <c r="F434" t="s">
        <v>1394</v>
      </c>
      <c r="G434" t="s">
        <v>1458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1392</v>
      </c>
      <c r="N434" t="s">
        <v>1391</v>
      </c>
    </row>
    <row r="435" spans="1:14" x14ac:dyDescent="0.3">
      <c r="A435">
        <v>1211157</v>
      </c>
      <c r="B435" t="s">
        <v>1234</v>
      </c>
      <c r="C435" t="s">
        <v>1397</v>
      </c>
      <c r="D435" t="s">
        <v>1396</v>
      </c>
      <c r="E435" t="s">
        <v>1395</v>
      </c>
      <c r="F435" t="s">
        <v>1394</v>
      </c>
      <c r="G435" t="s">
        <v>1457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1392</v>
      </c>
      <c r="N435" t="s">
        <v>1391</v>
      </c>
    </row>
    <row r="436" spans="1:14" x14ac:dyDescent="0.3">
      <c r="A436">
        <v>1211157</v>
      </c>
      <c r="B436" t="s">
        <v>1234</v>
      </c>
      <c r="C436" t="s">
        <v>1397</v>
      </c>
      <c r="D436" t="s">
        <v>1396</v>
      </c>
      <c r="E436" t="s">
        <v>1395</v>
      </c>
      <c r="F436" t="s">
        <v>1394</v>
      </c>
      <c r="G436" t="s">
        <v>1456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1392</v>
      </c>
      <c r="N436" t="s">
        <v>1391</v>
      </c>
    </row>
    <row r="437" spans="1:14" x14ac:dyDescent="0.3">
      <c r="A437">
        <v>1211157</v>
      </c>
      <c r="B437" t="s">
        <v>1234</v>
      </c>
      <c r="C437" t="s">
        <v>1397</v>
      </c>
      <c r="D437" t="s">
        <v>1396</v>
      </c>
      <c r="E437" t="s">
        <v>1395</v>
      </c>
      <c r="F437" t="s">
        <v>1394</v>
      </c>
      <c r="G437" t="s">
        <v>1455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1392</v>
      </c>
      <c r="N437" t="s">
        <v>1391</v>
      </c>
    </row>
    <row r="438" spans="1:14" x14ac:dyDescent="0.3">
      <c r="A438">
        <v>1211157</v>
      </c>
      <c r="B438" t="s">
        <v>1234</v>
      </c>
      <c r="C438" t="s">
        <v>1397</v>
      </c>
      <c r="D438" t="s">
        <v>1396</v>
      </c>
      <c r="E438" t="s">
        <v>1395</v>
      </c>
      <c r="F438" t="s">
        <v>1394</v>
      </c>
      <c r="G438" t="s">
        <v>1454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1392</v>
      </c>
      <c r="N438" t="s">
        <v>1391</v>
      </c>
    </row>
    <row r="439" spans="1:14" x14ac:dyDescent="0.3">
      <c r="A439">
        <v>1211157</v>
      </c>
      <c r="B439" t="s">
        <v>1234</v>
      </c>
      <c r="C439" t="s">
        <v>1397</v>
      </c>
      <c r="D439" t="s">
        <v>1396</v>
      </c>
      <c r="E439" t="s">
        <v>1395</v>
      </c>
      <c r="F439" t="s">
        <v>1394</v>
      </c>
      <c r="G439" t="s">
        <v>1453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1392</v>
      </c>
      <c r="N439" t="s">
        <v>1391</v>
      </c>
    </row>
    <row r="440" spans="1:14" x14ac:dyDescent="0.3">
      <c r="A440">
        <v>1211157</v>
      </c>
      <c r="B440" t="s">
        <v>1234</v>
      </c>
      <c r="C440" t="s">
        <v>1397</v>
      </c>
      <c r="D440" t="s">
        <v>1396</v>
      </c>
      <c r="E440" t="s">
        <v>1395</v>
      </c>
      <c r="F440" t="s">
        <v>1394</v>
      </c>
      <c r="G440" t="s">
        <v>1452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1392</v>
      </c>
      <c r="N440" t="s">
        <v>1391</v>
      </c>
    </row>
    <row r="441" spans="1:14" x14ac:dyDescent="0.3">
      <c r="A441">
        <v>1211157</v>
      </c>
      <c r="B441" t="s">
        <v>1234</v>
      </c>
      <c r="C441" t="s">
        <v>1397</v>
      </c>
      <c r="D441" t="s">
        <v>1396</v>
      </c>
      <c r="E441" t="s">
        <v>1395</v>
      </c>
      <c r="F441" t="s">
        <v>1394</v>
      </c>
      <c r="G441" t="s">
        <v>1451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1392</v>
      </c>
      <c r="N441" t="s">
        <v>1391</v>
      </c>
    </row>
    <row r="442" spans="1:14" x14ac:dyDescent="0.3">
      <c r="A442">
        <v>1211157</v>
      </c>
      <c r="B442" t="s">
        <v>1234</v>
      </c>
      <c r="C442" t="s">
        <v>1397</v>
      </c>
      <c r="D442" t="s">
        <v>1396</v>
      </c>
      <c r="E442" t="s">
        <v>1395</v>
      </c>
      <c r="F442" t="s">
        <v>1394</v>
      </c>
      <c r="G442" t="s">
        <v>1450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1392</v>
      </c>
      <c r="N442" t="s">
        <v>1391</v>
      </c>
    </row>
    <row r="443" spans="1:14" x14ac:dyDescent="0.3">
      <c r="A443">
        <v>1211157</v>
      </c>
      <c r="B443" t="s">
        <v>1234</v>
      </c>
      <c r="C443" t="s">
        <v>1397</v>
      </c>
      <c r="D443" t="s">
        <v>1396</v>
      </c>
      <c r="E443" t="s">
        <v>1395</v>
      </c>
      <c r="F443" t="s">
        <v>1394</v>
      </c>
      <c r="G443" t="s">
        <v>1449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1392</v>
      </c>
      <c r="N443" t="s">
        <v>1391</v>
      </c>
    </row>
    <row r="444" spans="1:14" x14ac:dyDescent="0.3">
      <c r="A444">
        <v>1211157</v>
      </c>
      <c r="B444" t="s">
        <v>1234</v>
      </c>
      <c r="C444" t="s">
        <v>1397</v>
      </c>
      <c r="D444" t="s">
        <v>1396</v>
      </c>
      <c r="E444" t="s">
        <v>1395</v>
      </c>
      <c r="F444" t="s">
        <v>1394</v>
      </c>
      <c r="G444" t="s">
        <v>1448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1392</v>
      </c>
      <c r="N444" t="s">
        <v>1391</v>
      </c>
    </row>
    <row r="445" spans="1:14" x14ac:dyDescent="0.3">
      <c r="A445">
        <v>1211157</v>
      </c>
      <c r="B445" t="s">
        <v>1234</v>
      </c>
      <c r="C445" t="s">
        <v>1397</v>
      </c>
      <c r="D445" t="s">
        <v>1396</v>
      </c>
      <c r="E445" t="s">
        <v>1395</v>
      </c>
      <c r="F445" t="s">
        <v>1394</v>
      </c>
      <c r="G445" t="s">
        <v>1447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1392</v>
      </c>
      <c r="N445" t="s">
        <v>1391</v>
      </c>
    </row>
    <row r="446" spans="1:14" x14ac:dyDescent="0.3">
      <c r="A446">
        <v>1211157</v>
      </c>
      <c r="B446" t="s">
        <v>1234</v>
      </c>
      <c r="C446" t="s">
        <v>1397</v>
      </c>
      <c r="D446" t="s">
        <v>1396</v>
      </c>
      <c r="E446" t="s">
        <v>1395</v>
      </c>
      <c r="F446" t="s">
        <v>1394</v>
      </c>
      <c r="G446" t="s">
        <v>1446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1392</v>
      </c>
      <c r="N446" t="s">
        <v>1391</v>
      </c>
    </row>
    <row r="447" spans="1:14" x14ac:dyDescent="0.3">
      <c r="A447">
        <v>1211157</v>
      </c>
      <c r="B447" t="s">
        <v>1234</v>
      </c>
      <c r="C447" t="s">
        <v>1397</v>
      </c>
      <c r="D447" t="s">
        <v>1396</v>
      </c>
      <c r="E447" t="s">
        <v>1395</v>
      </c>
      <c r="F447" t="s">
        <v>1394</v>
      </c>
      <c r="G447" t="s">
        <v>1445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1392</v>
      </c>
      <c r="N447" t="s">
        <v>1391</v>
      </c>
    </row>
    <row r="448" spans="1:14" x14ac:dyDescent="0.3">
      <c r="A448">
        <v>1211157</v>
      </c>
      <c r="B448" t="s">
        <v>1234</v>
      </c>
      <c r="C448" t="s">
        <v>1397</v>
      </c>
      <c r="D448" t="s">
        <v>1396</v>
      </c>
      <c r="E448" t="s">
        <v>1395</v>
      </c>
      <c r="F448" t="s">
        <v>1394</v>
      </c>
      <c r="G448" t="s">
        <v>1444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1392</v>
      </c>
      <c r="N448" t="s">
        <v>1391</v>
      </c>
    </row>
    <row r="449" spans="1:14" x14ac:dyDescent="0.3">
      <c r="A449">
        <v>1211157</v>
      </c>
      <c r="B449" t="s">
        <v>1234</v>
      </c>
      <c r="C449" t="s">
        <v>1397</v>
      </c>
      <c r="D449" t="s">
        <v>1396</v>
      </c>
      <c r="E449" t="s">
        <v>1395</v>
      </c>
      <c r="F449" t="s">
        <v>1394</v>
      </c>
      <c r="G449" t="s">
        <v>1443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1392</v>
      </c>
      <c r="N449" t="s">
        <v>1391</v>
      </c>
    </row>
    <row r="450" spans="1:14" x14ac:dyDescent="0.3">
      <c r="A450">
        <v>1211157</v>
      </c>
      <c r="B450" t="s">
        <v>1234</v>
      </c>
      <c r="C450" t="s">
        <v>1397</v>
      </c>
      <c r="D450" t="s">
        <v>1396</v>
      </c>
      <c r="E450" t="s">
        <v>1395</v>
      </c>
      <c r="F450" t="s">
        <v>1394</v>
      </c>
      <c r="G450" t="s">
        <v>1442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1392</v>
      </c>
      <c r="N450" t="s">
        <v>1391</v>
      </c>
    </row>
    <row r="451" spans="1:14" x14ac:dyDescent="0.3">
      <c r="A451">
        <v>1211157</v>
      </c>
      <c r="B451" t="s">
        <v>1234</v>
      </c>
      <c r="C451" t="s">
        <v>1397</v>
      </c>
      <c r="D451" t="s">
        <v>1396</v>
      </c>
      <c r="E451" t="s">
        <v>1395</v>
      </c>
      <c r="F451" t="s">
        <v>1394</v>
      </c>
      <c r="G451" t="s">
        <v>1441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1392</v>
      </c>
      <c r="N451" t="s">
        <v>1391</v>
      </c>
    </row>
    <row r="452" spans="1:14" x14ac:dyDescent="0.3">
      <c r="A452">
        <v>1211157</v>
      </c>
      <c r="B452" t="s">
        <v>1234</v>
      </c>
      <c r="C452" t="s">
        <v>1397</v>
      </c>
      <c r="D452" t="s">
        <v>1396</v>
      </c>
      <c r="E452" t="s">
        <v>1395</v>
      </c>
      <c r="F452" t="s">
        <v>1394</v>
      </c>
      <c r="G452" t="s">
        <v>1440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1392</v>
      </c>
      <c r="N452" t="s">
        <v>1391</v>
      </c>
    </row>
    <row r="453" spans="1:14" x14ac:dyDescent="0.3">
      <c r="A453">
        <v>1211157</v>
      </c>
      <c r="B453" t="s">
        <v>1234</v>
      </c>
      <c r="C453" t="s">
        <v>1397</v>
      </c>
      <c r="D453" t="s">
        <v>1396</v>
      </c>
      <c r="E453" t="s">
        <v>1395</v>
      </c>
      <c r="F453" t="s">
        <v>1394</v>
      </c>
      <c r="G453" t="s">
        <v>1439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1392</v>
      </c>
      <c r="N453" t="s">
        <v>1391</v>
      </c>
    </row>
    <row r="454" spans="1:14" x14ac:dyDescent="0.3">
      <c r="A454">
        <v>1211157</v>
      </c>
      <c r="B454" t="s">
        <v>1234</v>
      </c>
      <c r="C454" t="s">
        <v>1397</v>
      </c>
      <c r="D454" t="s">
        <v>1396</v>
      </c>
      <c r="E454" t="s">
        <v>1395</v>
      </c>
      <c r="F454" t="s">
        <v>1394</v>
      </c>
      <c r="G454" t="s">
        <v>1438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1392</v>
      </c>
      <c r="N454" t="s">
        <v>1391</v>
      </c>
    </row>
    <row r="455" spans="1:14" x14ac:dyDescent="0.3">
      <c r="A455">
        <v>1211157</v>
      </c>
      <c r="B455" t="s">
        <v>1234</v>
      </c>
      <c r="C455" t="s">
        <v>1397</v>
      </c>
      <c r="D455" t="s">
        <v>1396</v>
      </c>
      <c r="E455" t="s">
        <v>1395</v>
      </c>
      <c r="F455" t="s">
        <v>1394</v>
      </c>
      <c r="G455" t="s">
        <v>1437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1392</v>
      </c>
      <c r="N455" t="s">
        <v>1391</v>
      </c>
    </row>
    <row r="456" spans="1:14" x14ac:dyDescent="0.3">
      <c r="A456">
        <v>1211157</v>
      </c>
      <c r="B456" t="s">
        <v>1234</v>
      </c>
      <c r="C456" t="s">
        <v>1397</v>
      </c>
      <c r="D456" t="s">
        <v>1396</v>
      </c>
      <c r="E456" t="s">
        <v>1395</v>
      </c>
      <c r="F456" t="s">
        <v>1394</v>
      </c>
      <c r="G456" t="s">
        <v>1436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1392</v>
      </c>
      <c r="N456" t="s">
        <v>1391</v>
      </c>
    </row>
    <row r="457" spans="1:14" x14ac:dyDescent="0.3">
      <c r="A457">
        <v>1211157</v>
      </c>
      <c r="B457" t="s">
        <v>1234</v>
      </c>
      <c r="C457" t="s">
        <v>1397</v>
      </c>
      <c r="D457" t="s">
        <v>1396</v>
      </c>
      <c r="E457" t="s">
        <v>1395</v>
      </c>
      <c r="F457" t="s">
        <v>1394</v>
      </c>
      <c r="G457" t="s">
        <v>1435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1392</v>
      </c>
      <c r="N457" t="s">
        <v>1391</v>
      </c>
    </row>
    <row r="458" spans="1:14" x14ac:dyDescent="0.3">
      <c r="A458">
        <v>1211157</v>
      </c>
      <c r="B458" t="s">
        <v>1234</v>
      </c>
      <c r="C458" t="s">
        <v>1397</v>
      </c>
      <c r="D458" t="s">
        <v>1396</v>
      </c>
      <c r="E458" t="s">
        <v>1395</v>
      </c>
      <c r="F458" t="s">
        <v>1394</v>
      </c>
      <c r="G458" t="s">
        <v>1434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1392</v>
      </c>
      <c r="N458" t="s">
        <v>1391</v>
      </c>
    </row>
    <row r="459" spans="1:14" x14ac:dyDescent="0.3">
      <c r="A459">
        <v>1211157</v>
      </c>
      <c r="B459" t="s">
        <v>1234</v>
      </c>
      <c r="C459" t="s">
        <v>1397</v>
      </c>
      <c r="D459" t="s">
        <v>1396</v>
      </c>
      <c r="E459" t="s">
        <v>1395</v>
      </c>
      <c r="F459" t="s">
        <v>1394</v>
      </c>
      <c r="G459" t="s">
        <v>1433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1392</v>
      </c>
      <c r="N459" t="s">
        <v>1391</v>
      </c>
    </row>
    <row r="460" spans="1:14" x14ac:dyDescent="0.3">
      <c r="A460">
        <v>1211157</v>
      </c>
      <c r="B460" t="s">
        <v>1234</v>
      </c>
      <c r="C460" t="s">
        <v>1397</v>
      </c>
      <c r="D460" t="s">
        <v>1396</v>
      </c>
      <c r="E460" t="s">
        <v>1395</v>
      </c>
      <c r="F460" t="s">
        <v>1394</v>
      </c>
      <c r="G460" t="s">
        <v>1432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1392</v>
      </c>
      <c r="N460" t="s">
        <v>1391</v>
      </c>
    </row>
    <row r="461" spans="1:14" x14ac:dyDescent="0.3">
      <c r="A461">
        <v>1211157</v>
      </c>
      <c r="B461" t="s">
        <v>1234</v>
      </c>
      <c r="C461" t="s">
        <v>1397</v>
      </c>
      <c r="D461" t="s">
        <v>1396</v>
      </c>
      <c r="E461" t="s">
        <v>1395</v>
      </c>
      <c r="F461" t="s">
        <v>1394</v>
      </c>
      <c r="G461" t="s">
        <v>1431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1392</v>
      </c>
      <c r="N461" t="s">
        <v>1391</v>
      </c>
    </row>
    <row r="462" spans="1:14" x14ac:dyDescent="0.3">
      <c r="A462">
        <v>1211157</v>
      </c>
      <c r="B462" t="s">
        <v>1234</v>
      </c>
      <c r="C462" t="s">
        <v>1397</v>
      </c>
      <c r="D462" t="s">
        <v>1396</v>
      </c>
      <c r="E462" t="s">
        <v>1395</v>
      </c>
      <c r="F462" t="s">
        <v>1394</v>
      </c>
      <c r="G462" t="s">
        <v>1430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1392</v>
      </c>
      <c r="N462" t="s">
        <v>1391</v>
      </c>
    </row>
    <row r="463" spans="1:14" x14ac:dyDescent="0.3">
      <c r="A463">
        <v>1211157</v>
      </c>
      <c r="B463" t="s">
        <v>1234</v>
      </c>
      <c r="C463" t="s">
        <v>1397</v>
      </c>
      <c r="D463" t="s">
        <v>1396</v>
      </c>
      <c r="E463" t="s">
        <v>1395</v>
      </c>
      <c r="F463" t="s">
        <v>1394</v>
      </c>
      <c r="G463" t="s">
        <v>1429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1392</v>
      </c>
      <c r="N463" t="s">
        <v>1391</v>
      </c>
    </row>
    <row r="464" spans="1:14" x14ac:dyDescent="0.3">
      <c r="A464">
        <v>1211157</v>
      </c>
      <c r="B464" t="s">
        <v>1234</v>
      </c>
      <c r="C464" t="s">
        <v>1397</v>
      </c>
      <c r="D464" t="s">
        <v>1396</v>
      </c>
      <c r="E464" t="s">
        <v>1395</v>
      </c>
      <c r="F464" t="s">
        <v>1394</v>
      </c>
      <c r="G464" t="s">
        <v>1428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1392</v>
      </c>
      <c r="N464" t="s">
        <v>1391</v>
      </c>
    </row>
    <row r="465" spans="1:14" x14ac:dyDescent="0.3">
      <c r="A465">
        <v>1211157</v>
      </c>
      <c r="B465" t="s">
        <v>1234</v>
      </c>
      <c r="C465" t="s">
        <v>1397</v>
      </c>
      <c r="D465" t="s">
        <v>1396</v>
      </c>
      <c r="E465" t="s">
        <v>1395</v>
      </c>
      <c r="F465" t="s">
        <v>1394</v>
      </c>
      <c r="G465" t="s">
        <v>1427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1392</v>
      </c>
      <c r="N465" t="s">
        <v>1391</v>
      </c>
    </row>
    <row r="466" spans="1:14" x14ac:dyDescent="0.3">
      <c r="A466">
        <v>1211157</v>
      </c>
      <c r="B466" t="s">
        <v>1234</v>
      </c>
      <c r="C466" t="s">
        <v>1397</v>
      </c>
      <c r="D466" t="s">
        <v>1396</v>
      </c>
      <c r="E466" t="s">
        <v>1395</v>
      </c>
      <c r="F466" t="s">
        <v>1394</v>
      </c>
      <c r="G466" t="s">
        <v>1426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1392</v>
      </c>
      <c r="N466" t="s">
        <v>1391</v>
      </c>
    </row>
    <row r="467" spans="1:14" x14ac:dyDescent="0.3">
      <c r="A467">
        <v>1211157</v>
      </c>
      <c r="B467" t="s">
        <v>1234</v>
      </c>
      <c r="C467" t="s">
        <v>1397</v>
      </c>
      <c r="D467" t="s">
        <v>1396</v>
      </c>
      <c r="E467" t="s">
        <v>1395</v>
      </c>
      <c r="F467" t="s">
        <v>1394</v>
      </c>
      <c r="G467" t="s">
        <v>1425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1392</v>
      </c>
      <c r="N467" t="s">
        <v>1391</v>
      </c>
    </row>
    <row r="468" spans="1:14" x14ac:dyDescent="0.3">
      <c r="A468">
        <v>1211157</v>
      </c>
      <c r="B468" t="s">
        <v>1234</v>
      </c>
      <c r="C468" t="s">
        <v>1397</v>
      </c>
      <c r="D468" t="s">
        <v>1396</v>
      </c>
      <c r="E468" t="s">
        <v>1395</v>
      </c>
      <c r="F468" t="s">
        <v>1394</v>
      </c>
      <c r="G468" t="s">
        <v>1424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1392</v>
      </c>
      <c r="N468" t="s">
        <v>1391</v>
      </c>
    </row>
    <row r="469" spans="1:14" x14ac:dyDescent="0.3">
      <c r="A469">
        <v>1211157</v>
      </c>
      <c r="B469" t="s">
        <v>1234</v>
      </c>
      <c r="C469" t="s">
        <v>1397</v>
      </c>
      <c r="D469" t="s">
        <v>1396</v>
      </c>
      <c r="E469" t="s">
        <v>1395</v>
      </c>
      <c r="F469" t="s">
        <v>1394</v>
      </c>
      <c r="G469" t="s">
        <v>1423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1392</v>
      </c>
      <c r="N469" t="s">
        <v>1391</v>
      </c>
    </row>
    <row r="470" spans="1:14" x14ac:dyDescent="0.3">
      <c r="A470">
        <v>1211157</v>
      </c>
      <c r="B470" t="s">
        <v>1234</v>
      </c>
      <c r="C470" t="s">
        <v>1397</v>
      </c>
      <c r="D470" t="s">
        <v>1396</v>
      </c>
      <c r="E470" t="s">
        <v>1395</v>
      </c>
      <c r="F470" t="s">
        <v>1394</v>
      </c>
      <c r="G470" t="s">
        <v>1422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1392</v>
      </c>
      <c r="N470" t="s">
        <v>1391</v>
      </c>
    </row>
    <row r="471" spans="1:14" x14ac:dyDescent="0.3">
      <c r="A471">
        <v>1211157</v>
      </c>
      <c r="B471" t="s">
        <v>1234</v>
      </c>
      <c r="C471" t="s">
        <v>1397</v>
      </c>
      <c r="D471" t="s">
        <v>1396</v>
      </c>
      <c r="E471" t="s">
        <v>1395</v>
      </c>
      <c r="F471" t="s">
        <v>1394</v>
      </c>
      <c r="G471" t="s">
        <v>1421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1392</v>
      </c>
      <c r="N471" t="s">
        <v>1391</v>
      </c>
    </row>
    <row r="472" spans="1:14" x14ac:dyDescent="0.3">
      <c r="A472">
        <v>1211157</v>
      </c>
      <c r="B472" t="s">
        <v>1234</v>
      </c>
      <c r="C472" t="s">
        <v>1397</v>
      </c>
      <c r="D472" t="s">
        <v>1396</v>
      </c>
      <c r="E472" t="s">
        <v>1395</v>
      </c>
      <c r="F472" t="s">
        <v>1394</v>
      </c>
      <c r="G472" t="s">
        <v>1420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1392</v>
      </c>
      <c r="N472" t="s">
        <v>1391</v>
      </c>
    </row>
    <row r="473" spans="1:14" x14ac:dyDescent="0.3">
      <c r="A473">
        <v>1211157</v>
      </c>
      <c r="B473" t="s">
        <v>1234</v>
      </c>
      <c r="C473" t="s">
        <v>1397</v>
      </c>
      <c r="D473" t="s">
        <v>1396</v>
      </c>
      <c r="E473" t="s">
        <v>1395</v>
      </c>
      <c r="F473" t="s">
        <v>1394</v>
      </c>
      <c r="G473" t="s">
        <v>1419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1392</v>
      </c>
      <c r="N473" t="s">
        <v>1391</v>
      </c>
    </row>
    <row r="474" spans="1:14" x14ac:dyDescent="0.3">
      <c r="A474">
        <v>1211157</v>
      </c>
      <c r="B474" t="s">
        <v>1234</v>
      </c>
      <c r="C474" t="s">
        <v>1397</v>
      </c>
      <c r="D474" t="s">
        <v>1396</v>
      </c>
      <c r="E474" t="s">
        <v>1395</v>
      </c>
      <c r="F474" t="s">
        <v>1394</v>
      </c>
      <c r="G474" t="s">
        <v>1418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1392</v>
      </c>
      <c r="N474" t="s">
        <v>1391</v>
      </c>
    </row>
    <row r="475" spans="1:14" x14ac:dyDescent="0.3">
      <c r="A475">
        <v>1211157</v>
      </c>
      <c r="B475" t="s">
        <v>1234</v>
      </c>
      <c r="C475" t="s">
        <v>1397</v>
      </c>
      <c r="D475" t="s">
        <v>1396</v>
      </c>
      <c r="E475" t="s">
        <v>1395</v>
      </c>
      <c r="F475" t="s">
        <v>1394</v>
      </c>
      <c r="G475" t="s">
        <v>1417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1392</v>
      </c>
      <c r="N475" t="s">
        <v>1391</v>
      </c>
    </row>
    <row r="476" spans="1:14" x14ac:dyDescent="0.3">
      <c r="A476">
        <v>1211157</v>
      </c>
      <c r="B476" t="s">
        <v>1234</v>
      </c>
      <c r="C476" t="s">
        <v>1397</v>
      </c>
      <c r="D476" t="s">
        <v>1396</v>
      </c>
      <c r="E476" t="s">
        <v>1395</v>
      </c>
      <c r="F476" t="s">
        <v>1394</v>
      </c>
      <c r="G476" t="s">
        <v>1416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1392</v>
      </c>
      <c r="N476" t="s">
        <v>1391</v>
      </c>
    </row>
    <row r="477" spans="1:14" x14ac:dyDescent="0.3">
      <c r="A477">
        <v>1211157</v>
      </c>
      <c r="B477" t="s">
        <v>1234</v>
      </c>
      <c r="C477" t="s">
        <v>1397</v>
      </c>
      <c r="D477" t="s">
        <v>1396</v>
      </c>
      <c r="E477" t="s">
        <v>1395</v>
      </c>
      <c r="F477" t="s">
        <v>1394</v>
      </c>
      <c r="G477" t="s">
        <v>1415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1392</v>
      </c>
      <c r="N477" t="s">
        <v>1391</v>
      </c>
    </row>
    <row r="478" spans="1:14" x14ac:dyDescent="0.3">
      <c r="A478">
        <v>1211157</v>
      </c>
      <c r="B478" t="s">
        <v>1234</v>
      </c>
      <c r="C478" t="s">
        <v>1397</v>
      </c>
      <c r="D478" t="s">
        <v>1396</v>
      </c>
      <c r="E478" t="s">
        <v>1395</v>
      </c>
      <c r="F478" t="s">
        <v>1394</v>
      </c>
      <c r="G478" t="s">
        <v>1414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1392</v>
      </c>
      <c r="N478" t="s">
        <v>1391</v>
      </c>
    </row>
    <row r="479" spans="1:14" x14ac:dyDescent="0.3">
      <c r="A479">
        <v>1211157</v>
      </c>
      <c r="B479" t="s">
        <v>1234</v>
      </c>
      <c r="C479" t="s">
        <v>1397</v>
      </c>
      <c r="D479" t="s">
        <v>1396</v>
      </c>
      <c r="E479" t="s">
        <v>1395</v>
      </c>
      <c r="F479" t="s">
        <v>1394</v>
      </c>
      <c r="G479" t="s">
        <v>1413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1392</v>
      </c>
      <c r="N479" t="s">
        <v>1391</v>
      </c>
    </row>
    <row r="480" spans="1:14" x14ac:dyDescent="0.3">
      <c r="A480">
        <v>1211157</v>
      </c>
      <c r="B480" t="s">
        <v>1234</v>
      </c>
      <c r="C480" t="s">
        <v>1397</v>
      </c>
      <c r="D480" t="s">
        <v>1396</v>
      </c>
      <c r="E480" t="s">
        <v>1395</v>
      </c>
      <c r="F480" t="s">
        <v>1394</v>
      </c>
      <c r="G480" t="s">
        <v>1412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1392</v>
      </c>
      <c r="N480" t="s">
        <v>1391</v>
      </c>
    </row>
    <row r="481" spans="1:14" x14ac:dyDescent="0.3">
      <c r="A481">
        <v>1211157</v>
      </c>
      <c r="B481" t="s">
        <v>1234</v>
      </c>
      <c r="C481" t="s">
        <v>1397</v>
      </c>
      <c r="D481" t="s">
        <v>1396</v>
      </c>
      <c r="E481" t="s">
        <v>1395</v>
      </c>
      <c r="F481" t="s">
        <v>1394</v>
      </c>
      <c r="G481" t="s">
        <v>1411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1392</v>
      </c>
      <c r="N481" t="s">
        <v>1391</v>
      </c>
    </row>
    <row r="482" spans="1:14" x14ac:dyDescent="0.3">
      <c r="A482">
        <v>1211157</v>
      </c>
      <c r="B482" t="s">
        <v>1234</v>
      </c>
      <c r="C482" t="s">
        <v>1397</v>
      </c>
      <c r="D482" t="s">
        <v>1396</v>
      </c>
      <c r="E482" t="s">
        <v>1395</v>
      </c>
      <c r="F482" t="s">
        <v>1394</v>
      </c>
      <c r="G482" t="s">
        <v>1410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1392</v>
      </c>
      <c r="N482" t="s">
        <v>1391</v>
      </c>
    </row>
    <row r="483" spans="1:14" x14ac:dyDescent="0.3">
      <c r="A483">
        <v>1211157</v>
      </c>
      <c r="B483" t="s">
        <v>1234</v>
      </c>
      <c r="C483" t="s">
        <v>1397</v>
      </c>
      <c r="D483" t="s">
        <v>1396</v>
      </c>
      <c r="E483" t="s">
        <v>1395</v>
      </c>
      <c r="F483" t="s">
        <v>1394</v>
      </c>
      <c r="G483" t="s">
        <v>1409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1392</v>
      </c>
      <c r="N483" t="s">
        <v>1391</v>
      </c>
    </row>
    <row r="484" spans="1:14" x14ac:dyDescent="0.3">
      <c r="A484">
        <v>1211157</v>
      </c>
      <c r="B484" t="s">
        <v>1234</v>
      </c>
      <c r="C484" t="s">
        <v>1397</v>
      </c>
      <c r="D484" t="s">
        <v>1396</v>
      </c>
      <c r="E484" t="s">
        <v>1395</v>
      </c>
      <c r="F484" t="s">
        <v>1394</v>
      </c>
      <c r="G484" t="s">
        <v>1408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1392</v>
      </c>
      <c r="N484" t="s">
        <v>1391</v>
      </c>
    </row>
    <row r="485" spans="1:14" x14ac:dyDescent="0.3">
      <c r="A485">
        <v>1211157</v>
      </c>
      <c r="B485" t="s">
        <v>1234</v>
      </c>
      <c r="C485" t="s">
        <v>1397</v>
      </c>
      <c r="D485" t="s">
        <v>1396</v>
      </c>
      <c r="E485" t="s">
        <v>1395</v>
      </c>
      <c r="F485" t="s">
        <v>1394</v>
      </c>
      <c r="G485" t="s">
        <v>1407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1392</v>
      </c>
      <c r="N485" t="s">
        <v>1391</v>
      </c>
    </row>
    <row r="486" spans="1:14" x14ac:dyDescent="0.3">
      <c r="A486">
        <v>1211157</v>
      </c>
      <c r="B486" t="s">
        <v>1234</v>
      </c>
      <c r="C486" t="s">
        <v>1397</v>
      </c>
      <c r="D486" t="s">
        <v>1396</v>
      </c>
      <c r="E486" t="s">
        <v>1395</v>
      </c>
      <c r="F486" t="s">
        <v>1394</v>
      </c>
      <c r="G486" t="s">
        <v>1406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1392</v>
      </c>
      <c r="N486" t="s">
        <v>1391</v>
      </c>
    </row>
    <row r="487" spans="1:14" x14ac:dyDescent="0.3">
      <c r="A487">
        <v>1211157</v>
      </c>
      <c r="B487" t="s">
        <v>1234</v>
      </c>
      <c r="C487" t="s">
        <v>1397</v>
      </c>
      <c r="D487" t="s">
        <v>1396</v>
      </c>
      <c r="E487" t="s">
        <v>1395</v>
      </c>
      <c r="F487" t="s">
        <v>1394</v>
      </c>
      <c r="G487" t="s">
        <v>1405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1392</v>
      </c>
      <c r="N487" t="s">
        <v>1391</v>
      </c>
    </row>
    <row r="488" spans="1:14" x14ac:dyDescent="0.3">
      <c r="A488">
        <v>1211157</v>
      </c>
      <c r="B488" t="s">
        <v>1234</v>
      </c>
      <c r="C488" t="s">
        <v>1397</v>
      </c>
      <c r="D488" t="s">
        <v>1396</v>
      </c>
      <c r="E488" t="s">
        <v>1395</v>
      </c>
      <c r="F488" t="s">
        <v>1394</v>
      </c>
      <c r="G488" t="s">
        <v>1404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1392</v>
      </c>
      <c r="N488" t="s">
        <v>1391</v>
      </c>
    </row>
    <row r="489" spans="1:14" x14ac:dyDescent="0.3">
      <c r="A489">
        <v>1211157</v>
      </c>
      <c r="B489" t="s">
        <v>1234</v>
      </c>
      <c r="C489" t="s">
        <v>1397</v>
      </c>
      <c r="D489" t="s">
        <v>1396</v>
      </c>
      <c r="E489" t="s">
        <v>1395</v>
      </c>
      <c r="F489" t="s">
        <v>1394</v>
      </c>
      <c r="G489" t="s">
        <v>1403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1392</v>
      </c>
      <c r="N489" t="s">
        <v>1391</v>
      </c>
    </row>
    <row r="490" spans="1:14" x14ac:dyDescent="0.3">
      <c r="A490">
        <v>1211157</v>
      </c>
      <c r="B490" t="s">
        <v>1234</v>
      </c>
      <c r="C490" t="s">
        <v>1397</v>
      </c>
      <c r="D490" t="s">
        <v>1396</v>
      </c>
      <c r="E490" t="s">
        <v>1395</v>
      </c>
      <c r="F490" t="s">
        <v>1394</v>
      </c>
      <c r="G490" t="s">
        <v>1402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1392</v>
      </c>
      <c r="N490" t="s">
        <v>1391</v>
      </c>
    </row>
    <row r="491" spans="1:14" x14ac:dyDescent="0.3">
      <c r="A491">
        <v>1211157</v>
      </c>
      <c r="B491" t="s">
        <v>1234</v>
      </c>
      <c r="C491" t="s">
        <v>1397</v>
      </c>
      <c r="D491" t="s">
        <v>1396</v>
      </c>
      <c r="E491" t="s">
        <v>1395</v>
      </c>
      <c r="F491" t="s">
        <v>1394</v>
      </c>
      <c r="G491" t="s">
        <v>1401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1392</v>
      </c>
      <c r="N491" t="s">
        <v>1391</v>
      </c>
    </row>
    <row r="492" spans="1:14" x14ac:dyDescent="0.3">
      <c r="A492">
        <v>1211157</v>
      </c>
      <c r="B492" t="s">
        <v>1234</v>
      </c>
      <c r="C492" t="s">
        <v>1397</v>
      </c>
      <c r="D492" t="s">
        <v>1396</v>
      </c>
      <c r="E492" t="s">
        <v>1395</v>
      </c>
      <c r="F492" t="s">
        <v>1394</v>
      </c>
      <c r="G492" t="s">
        <v>1400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1392</v>
      </c>
      <c r="N492" t="s">
        <v>1391</v>
      </c>
    </row>
    <row r="493" spans="1:14" x14ac:dyDescent="0.3">
      <c r="A493">
        <v>1211157</v>
      </c>
      <c r="B493" t="s">
        <v>1234</v>
      </c>
      <c r="C493" t="s">
        <v>1397</v>
      </c>
      <c r="D493" t="s">
        <v>1396</v>
      </c>
      <c r="E493" t="s">
        <v>1395</v>
      </c>
      <c r="F493" t="s">
        <v>1394</v>
      </c>
      <c r="G493" t="s">
        <v>1399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1392</v>
      </c>
      <c r="N493" t="s">
        <v>1391</v>
      </c>
    </row>
    <row r="494" spans="1:14" x14ac:dyDescent="0.3">
      <c r="A494">
        <v>1211157</v>
      </c>
      <c r="B494" t="s">
        <v>1234</v>
      </c>
      <c r="C494" t="s">
        <v>1397</v>
      </c>
      <c r="D494" t="s">
        <v>1396</v>
      </c>
      <c r="E494" t="s">
        <v>1395</v>
      </c>
      <c r="F494" t="s">
        <v>1394</v>
      </c>
      <c r="G494" t="s">
        <v>1398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1392</v>
      </c>
      <c r="N494" t="s">
        <v>1391</v>
      </c>
    </row>
    <row r="495" spans="1:14" x14ac:dyDescent="0.3">
      <c r="A495">
        <v>1211157</v>
      </c>
      <c r="B495" t="s">
        <v>1234</v>
      </c>
      <c r="C495" t="s">
        <v>1397</v>
      </c>
      <c r="D495" t="s">
        <v>1396</v>
      </c>
      <c r="E495" t="s">
        <v>1395</v>
      </c>
      <c r="F495" t="s">
        <v>1394</v>
      </c>
      <c r="G495" t="s">
        <v>1393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1392</v>
      </c>
      <c r="N495" t="s">
        <v>1391</v>
      </c>
    </row>
    <row r="496" spans="1:14" x14ac:dyDescent="0.3">
      <c r="A496">
        <v>1211157</v>
      </c>
      <c r="B496" t="s">
        <v>1234</v>
      </c>
      <c r="C496" t="s">
        <v>1390</v>
      </c>
      <c r="D496" t="s">
        <v>1390</v>
      </c>
      <c r="E496" t="s">
        <v>1389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1388</v>
      </c>
      <c r="N496" t="s">
        <v>1387</v>
      </c>
    </row>
    <row r="497" spans="1:14" x14ac:dyDescent="0.3">
      <c r="A497">
        <v>1211157</v>
      </c>
      <c r="B497" t="s">
        <v>1234</v>
      </c>
      <c r="C497" t="s">
        <v>1386</v>
      </c>
      <c r="D497" t="s">
        <v>1385</v>
      </c>
      <c r="E497" t="s">
        <v>1384</v>
      </c>
      <c r="G497" t="s">
        <v>1383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hidden="1" x14ac:dyDescent="0.3">
      <c r="A498">
        <v>1211157</v>
      </c>
      <c r="B498" t="s">
        <v>1234</v>
      </c>
      <c r="C498" t="s">
        <v>1382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1234</v>
      </c>
      <c r="C499" t="s">
        <v>1381</v>
      </c>
      <c r="D499" t="s">
        <v>1381</v>
      </c>
      <c r="E499" t="s">
        <v>1380</v>
      </c>
      <c r="G499" t="s">
        <v>868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869</v>
      </c>
      <c r="N499" t="s">
        <v>870</v>
      </c>
    </row>
    <row r="500" spans="1:14" x14ac:dyDescent="0.3">
      <c r="A500">
        <v>1211157</v>
      </c>
      <c r="B500" t="s">
        <v>1234</v>
      </c>
      <c r="C500" t="s">
        <v>1381</v>
      </c>
      <c r="D500" t="s">
        <v>1381</v>
      </c>
      <c r="E500" t="s">
        <v>1380</v>
      </c>
      <c r="G500" t="s">
        <v>872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869</v>
      </c>
      <c r="N500" t="s">
        <v>870</v>
      </c>
    </row>
    <row r="501" spans="1:14" x14ac:dyDescent="0.3">
      <c r="A501">
        <v>1211157</v>
      </c>
      <c r="B501" t="s">
        <v>1234</v>
      </c>
      <c r="C501" t="s">
        <v>1381</v>
      </c>
      <c r="D501" t="s">
        <v>1381</v>
      </c>
      <c r="E501" t="s">
        <v>1380</v>
      </c>
      <c r="G501" t="s">
        <v>873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869</v>
      </c>
      <c r="N501" t="s">
        <v>870</v>
      </c>
    </row>
    <row r="502" spans="1:14" x14ac:dyDescent="0.3">
      <c r="A502">
        <v>1211157</v>
      </c>
      <c r="B502" t="s">
        <v>1234</v>
      </c>
      <c r="C502" t="s">
        <v>1381</v>
      </c>
      <c r="D502" t="s">
        <v>1381</v>
      </c>
      <c r="E502" t="s">
        <v>1380</v>
      </c>
      <c r="G502" t="s">
        <v>874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869</v>
      </c>
      <c r="N502" t="s">
        <v>870</v>
      </c>
    </row>
    <row r="503" spans="1:14" x14ac:dyDescent="0.3">
      <c r="A503">
        <v>1211157</v>
      </c>
      <c r="B503" t="s">
        <v>1234</v>
      </c>
      <c r="C503" t="s">
        <v>1381</v>
      </c>
      <c r="D503" t="s">
        <v>1381</v>
      </c>
      <c r="E503" t="s">
        <v>1380</v>
      </c>
      <c r="G503" t="s">
        <v>875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869</v>
      </c>
      <c r="N503" t="s">
        <v>870</v>
      </c>
    </row>
    <row r="504" spans="1:14" x14ac:dyDescent="0.3">
      <c r="A504">
        <v>1211157</v>
      </c>
      <c r="B504" t="s">
        <v>1234</v>
      </c>
      <c r="C504" t="s">
        <v>1381</v>
      </c>
      <c r="D504" t="s">
        <v>1381</v>
      </c>
      <c r="E504" t="s">
        <v>1380</v>
      </c>
      <c r="G504" t="s">
        <v>876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869</v>
      </c>
      <c r="N504" t="s">
        <v>870</v>
      </c>
    </row>
    <row r="505" spans="1:14" x14ac:dyDescent="0.3">
      <c r="A505">
        <v>1211157</v>
      </c>
      <c r="B505" t="s">
        <v>1234</v>
      </c>
      <c r="C505" t="s">
        <v>1381</v>
      </c>
      <c r="D505" t="s">
        <v>1381</v>
      </c>
      <c r="E505" t="s">
        <v>1380</v>
      </c>
      <c r="G505" t="s">
        <v>877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869</v>
      </c>
      <c r="N505" t="s">
        <v>870</v>
      </c>
    </row>
    <row r="506" spans="1:14" x14ac:dyDescent="0.3">
      <c r="A506">
        <v>1211157</v>
      </c>
      <c r="B506" t="s">
        <v>1234</v>
      </c>
      <c r="C506" t="s">
        <v>1381</v>
      </c>
      <c r="D506" t="s">
        <v>1381</v>
      </c>
      <c r="E506" t="s">
        <v>1380</v>
      </c>
      <c r="G506" t="s">
        <v>878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869</v>
      </c>
      <c r="N506" t="s">
        <v>870</v>
      </c>
    </row>
    <row r="507" spans="1:14" x14ac:dyDescent="0.3">
      <c r="A507">
        <v>1211157</v>
      </c>
      <c r="B507" t="s">
        <v>1234</v>
      </c>
      <c r="C507" t="s">
        <v>1351</v>
      </c>
      <c r="D507" t="s">
        <v>1350</v>
      </c>
      <c r="E507" t="s">
        <v>1349</v>
      </c>
      <c r="F507" t="s">
        <v>1348</v>
      </c>
      <c r="G507" t="s">
        <v>1379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1346</v>
      </c>
      <c r="N507" t="s">
        <v>1345</v>
      </c>
    </row>
    <row r="508" spans="1:14" x14ac:dyDescent="0.3">
      <c r="A508">
        <v>1211157</v>
      </c>
      <c r="B508" t="s">
        <v>1234</v>
      </c>
      <c r="C508" t="s">
        <v>1351</v>
      </c>
      <c r="D508" t="s">
        <v>1350</v>
      </c>
      <c r="E508" t="s">
        <v>1349</v>
      </c>
      <c r="F508" t="s">
        <v>1348</v>
      </c>
      <c r="G508" t="s">
        <v>1378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1346</v>
      </c>
      <c r="N508" t="s">
        <v>1345</v>
      </c>
    </row>
    <row r="509" spans="1:14" x14ac:dyDescent="0.3">
      <c r="A509">
        <v>1211157</v>
      </c>
      <c r="B509" t="s">
        <v>1234</v>
      </c>
      <c r="C509" t="s">
        <v>1351</v>
      </c>
      <c r="D509" t="s">
        <v>1350</v>
      </c>
      <c r="E509" t="s">
        <v>1349</v>
      </c>
      <c r="F509" t="s">
        <v>1348</v>
      </c>
      <c r="G509" t="s">
        <v>1377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1346</v>
      </c>
      <c r="N509" t="s">
        <v>1345</v>
      </c>
    </row>
    <row r="510" spans="1:14" x14ac:dyDescent="0.3">
      <c r="A510">
        <v>1211157</v>
      </c>
      <c r="B510" t="s">
        <v>1234</v>
      </c>
      <c r="C510" t="s">
        <v>1351</v>
      </c>
      <c r="D510" t="s">
        <v>1350</v>
      </c>
      <c r="E510" t="s">
        <v>1349</v>
      </c>
      <c r="F510" t="s">
        <v>1348</v>
      </c>
      <c r="G510" t="s">
        <v>1376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1346</v>
      </c>
      <c r="N510" t="s">
        <v>1345</v>
      </c>
    </row>
    <row r="511" spans="1:14" x14ac:dyDescent="0.3">
      <c r="A511">
        <v>1211157</v>
      </c>
      <c r="B511" t="s">
        <v>1234</v>
      </c>
      <c r="C511" t="s">
        <v>1351</v>
      </c>
      <c r="D511" t="s">
        <v>1350</v>
      </c>
      <c r="E511" t="s">
        <v>1349</v>
      </c>
      <c r="F511" t="s">
        <v>1348</v>
      </c>
      <c r="G511" t="s">
        <v>1375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1346</v>
      </c>
      <c r="N511" t="s">
        <v>1345</v>
      </c>
    </row>
    <row r="512" spans="1:14" x14ac:dyDescent="0.3">
      <c r="A512">
        <v>1211157</v>
      </c>
      <c r="B512" t="s">
        <v>1234</v>
      </c>
      <c r="C512" t="s">
        <v>1351</v>
      </c>
      <c r="D512" t="s">
        <v>1350</v>
      </c>
      <c r="E512" t="s">
        <v>1349</v>
      </c>
      <c r="F512" t="s">
        <v>1348</v>
      </c>
      <c r="G512" t="s">
        <v>1374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1346</v>
      </c>
      <c r="N512" t="s">
        <v>1345</v>
      </c>
    </row>
    <row r="513" spans="1:14" x14ac:dyDescent="0.3">
      <c r="A513">
        <v>1211157</v>
      </c>
      <c r="B513" t="s">
        <v>1234</v>
      </c>
      <c r="C513" t="s">
        <v>1351</v>
      </c>
      <c r="D513" t="s">
        <v>1350</v>
      </c>
      <c r="E513" t="s">
        <v>1349</v>
      </c>
      <c r="F513" t="s">
        <v>1348</v>
      </c>
      <c r="G513" t="s">
        <v>1373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1346</v>
      </c>
      <c r="N513" t="s">
        <v>1345</v>
      </c>
    </row>
    <row r="514" spans="1:14" x14ac:dyDescent="0.3">
      <c r="A514">
        <v>1211157</v>
      </c>
      <c r="B514" t="s">
        <v>1234</v>
      </c>
      <c r="C514" t="s">
        <v>1351</v>
      </c>
      <c r="D514" t="s">
        <v>1350</v>
      </c>
      <c r="E514" t="s">
        <v>1349</v>
      </c>
      <c r="F514" t="s">
        <v>1348</v>
      </c>
      <c r="G514" t="s">
        <v>1372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1346</v>
      </c>
      <c r="N514" t="s">
        <v>1345</v>
      </c>
    </row>
    <row r="515" spans="1:14" x14ac:dyDescent="0.3">
      <c r="A515">
        <v>1211157</v>
      </c>
      <c r="B515" t="s">
        <v>1234</v>
      </c>
      <c r="C515" t="s">
        <v>1351</v>
      </c>
      <c r="D515" t="s">
        <v>1350</v>
      </c>
      <c r="E515" t="s">
        <v>1349</v>
      </c>
      <c r="F515" t="s">
        <v>1348</v>
      </c>
      <c r="G515" t="s">
        <v>1371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1346</v>
      </c>
      <c r="N515" t="s">
        <v>1345</v>
      </c>
    </row>
    <row r="516" spans="1:14" x14ac:dyDescent="0.3">
      <c r="A516">
        <v>1211157</v>
      </c>
      <c r="B516" t="s">
        <v>1234</v>
      </c>
      <c r="C516" t="s">
        <v>1351</v>
      </c>
      <c r="D516" t="s">
        <v>1350</v>
      </c>
      <c r="E516" t="s">
        <v>1349</v>
      </c>
      <c r="F516" t="s">
        <v>1348</v>
      </c>
      <c r="G516" t="s">
        <v>1370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1346</v>
      </c>
      <c r="N516" t="s">
        <v>1345</v>
      </c>
    </row>
    <row r="517" spans="1:14" x14ac:dyDescent="0.3">
      <c r="A517">
        <v>1211157</v>
      </c>
      <c r="B517" t="s">
        <v>1234</v>
      </c>
      <c r="C517" t="s">
        <v>1351</v>
      </c>
      <c r="D517" t="s">
        <v>1350</v>
      </c>
      <c r="E517" t="s">
        <v>1349</v>
      </c>
      <c r="F517" t="s">
        <v>1348</v>
      </c>
      <c r="G517" t="s">
        <v>1369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1346</v>
      </c>
      <c r="N517" t="s">
        <v>1345</v>
      </c>
    </row>
    <row r="518" spans="1:14" x14ac:dyDescent="0.3">
      <c r="A518">
        <v>1211157</v>
      </c>
      <c r="B518" t="s">
        <v>1234</v>
      </c>
      <c r="C518" t="s">
        <v>1351</v>
      </c>
      <c r="D518" t="s">
        <v>1350</v>
      </c>
      <c r="E518" t="s">
        <v>1349</v>
      </c>
      <c r="F518" t="s">
        <v>1348</v>
      </c>
      <c r="G518" t="s">
        <v>1368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1346</v>
      </c>
      <c r="N518" t="s">
        <v>1345</v>
      </c>
    </row>
    <row r="519" spans="1:14" x14ac:dyDescent="0.3">
      <c r="A519">
        <v>1211157</v>
      </c>
      <c r="B519" t="s">
        <v>1234</v>
      </c>
      <c r="C519" t="s">
        <v>1351</v>
      </c>
      <c r="D519" t="s">
        <v>1350</v>
      </c>
      <c r="E519" t="s">
        <v>1349</v>
      </c>
      <c r="F519" t="s">
        <v>1348</v>
      </c>
      <c r="G519" t="s">
        <v>1367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1346</v>
      </c>
      <c r="N519" t="s">
        <v>1345</v>
      </c>
    </row>
    <row r="520" spans="1:14" x14ac:dyDescent="0.3">
      <c r="A520">
        <v>1211157</v>
      </c>
      <c r="B520" t="s">
        <v>1234</v>
      </c>
      <c r="C520" t="s">
        <v>1351</v>
      </c>
      <c r="D520" t="s">
        <v>1350</v>
      </c>
      <c r="E520" t="s">
        <v>1349</v>
      </c>
      <c r="F520" t="s">
        <v>1348</v>
      </c>
      <c r="G520" t="s">
        <v>1366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1346</v>
      </c>
      <c r="N520" t="s">
        <v>1345</v>
      </c>
    </row>
    <row r="521" spans="1:14" x14ac:dyDescent="0.3">
      <c r="A521">
        <v>1211157</v>
      </c>
      <c r="B521" t="s">
        <v>1234</v>
      </c>
      <c r="C521" t="s">
        <v>1351</v>
      </c>
      <c r="D521" t="s">
        <v>1350</v>
      </c>
      <c r="E521" t="s">
        <v>1349</v>
      </c>
      <c r="F521" t="s">
        <v>1348</v>
      </c>
      <c r="G521" t="s">
        <v>1365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1346</v>
      </c>
      <c r="N521" t="s">
        <v>1345</v>
      </c>
    </row>
    <row r="522" spans="1:14" x14ac:dyDescent="0.3">
      <c r="A522">
        <v>1211157</v>
      </c>
      <c r="B522" t="s">
        <v>1234</v>
      </c>
      <c r="C522" t="s">
        <v>1351</v>
      </c>
      <c r="D522" t="s">
        <v>1350</v>
      </c>
      <c r="E522" t="s">
        <v>1349</v>
      </c>
      <c r="F522" t="s">
        <v>1348</v>
      </c>
      <c r="G522" t="s">
        <v>1364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1346</v>
      </c>
      <c r="N522" t="s">
        <v>1345</v>
      </c>
    </row>
    <row r="523" spans="1:14" x14ac:dyDescent="0.3">
      <c r="A523">
        <v>1211157</v>
      </c>
      <c r="B523" t="s">
        <v>1234</v>
      </c>
      <c r="C523" t="s">
        <v>1351</v>
      </c>
      <c r="D523" t="s">
        <v>1350</v>
      </c>
      <c r="E523" t="s">
        <v>1349</v>
      </c>
      <c r="F523" t="s">
        <v>1348</v>
      </c>
      <c r="G523" t="s">
        <v>1363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1346</v>
      </c>
      <c r="N523" t="s">
        <v>1345</v>
      </c>
    </row>
    <row r="524" spans="1:14" x14ac:dyDescent="0.3">
      <c r="A524">
        <v>1211157</v>
      </c>
      <c r="B524" t="s">
        <v>1234</v>
      </c>
      <c r="C524" t="s">
        <v>1351</v>
      </c>
      <c r="D524" t="s">
        <v>1350</v>
      </c>
      <c r="E524" t="s">
        <v>1349</v>
      </c>
      <c r="F524" t="s">
        <v>1348</v>
      </c>
      <c r="G524" t="s">
        <v>1362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1346</v>
      </c>
      <c r="N524" t="s">
        <v>1345</v>
      </c>
    </row>
    <row r="525" spans="1:14" x14ac:dyDescent="0.3">
      <c r="A525">
        <v>1211157</v>
      </c>
      <c r="B525" t="s">
        <v>1234</v>
      </c>
      <c r="C525" t="s">
        <v>1351</v>
      </c>
      <c r="D525" t="s">
        <v>1350</v>
      </c>
      <c r="E525" t="s">
        <v>1349</v>
      </c>
      <c r="F525" t="s">
        <v>1348</v>
      </c>
      <c r="G525" t="s">
        <v>1361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1346</v>
      </c>
      <c r="N525" t="s">
        <v>1345</v>
      </c>
    </row>
    <row r="526" spans="1:14" x14ac:dyDescent="0.3">
      <c r="A526">
        <v>1211157</v>
      </c>
      <c r="B526" t="s">
        <v>1234</v>
      </c>
      <c r="C526" t="s">
        <v>1351</v>
      </c>
      <c r="D526" t="s">
        <v>1350</v>
      </c>
      <c r="E526" t="s">
        <v>1349</v>
      </c>
      <c r="F526" t="s">
        <v>1348</v>
      </c>
      <c r="G526" t="s">
        <v>1360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1346</v>
      </c>
      <c r="N526" t="s">
        <v>1345</v>
      </c>
    </row>
    <row r="527" spans="1:14" x14ac:dyDescent="0.3">
      <c r="A527">
        <v>1211157</v>
      </c>
      <c r="B527" t="s">
        <v>1234</v>
      </c>
      <c r="C527" t="s">
        <v>1351</v>
      </c>
      <c r="D527" t="s">
        <v>1350</v>
      </c>
      <c r="E527" t="s">
        <v>1349</v>
      </c>
      <c r="F527" t="s">
        <v>1348</v>
      </c>
      <c r="G527" t="s">
        <v>1359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1346</v>
      </c>
      <c r="N527" t="s">
        <v>1345</v>
      </c>
    </row>
    <row r="528" spans="1:14" x14ac:dyDescent="0.3">
      <c r="A528">
        <v>1211157</v>
      </c>
      <c r="B528" t="s">
        <v>1234</v>
      </c>
      <c r="C528" t="s">
        <v>1351</v>
      </c>
      <c r="D528" t="s">
        <v>1350</v>
      </c>
      <c r="E528" t="s">
        <v>1349</v>
      </c>
      <c r="F528" t="s">
        <v>1348</v>
      </c>
      <c r="G528" t="s">
        <v>1358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1346</v>
      </c>
      <c r="N528" t="s">
        <v>1345</v>
      </c>
    </row>
    <row r="529" spans="1:14" x14ac:dyDescent="0.3">
      <c r="A529">
        <v>1211157</v>
      </c>
      <c r="B529" t="s">
        <v>1234</v>
      </c>
      <c r="C529" t="s">
        <v>1351</v>
      </c>
      <c r="D529" t="s">
        <v>1350</v>
      </c>
      <c r="E529" t="s">
        <v>1349</v>
      </c>
      <c r="F529" t="s">
        <v>1348</v>
      </c>
      <c r="G529" t="s">
        <v>1357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1346</v>
      </c>
      <c r="N529" t="s">
        <v>1345</v>
      </c>
    </row>
    <row r="530" spans="1:14" x14ac:dyDescent="0.3">
      <c r="A530">
        <v>1211157</v>
      </c>
      <c r="B530" t="s">
        <v>1234</v>
      </c>
      <c r="C530" t="s">
        <v>1351</v>
      </c>
      <c r="D530" t="s">
        <v>1350</v>
      </c>
      <c r="E530" t="s">
        <v>1349</v>
      </c>
      <c r="F530" t="s">
        <v>1348</v>
      </c>
      <c r="G530" t="s">
        <v>1356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1346</v>
      </c>
      <c r="N530" t="s">
        <v>1345</v>
      </c>
    </row>
    <row r="531" spans="1:14" x14ac:dyDescent="0.3">
      <c r="A531">
        <v>1211157</v>
      </c>
      <c r="B531" t="s">
        <v>1234</v>
      </c>
      <c r="C531" t="s">
        <v>1351</v>
      </c>
      <c r="D531" t="s">
        <v>1350</v>
      </c>
      <c r="E531" t="s">
        <v>1349</v>
      </c>
      <c r="F531" t="s">
        <v>1348</v>
      </c>
      <c r="G531" t="s">
        <v>1355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1346</v>
      </c>
      <c r="N531" t="s">
        <v>1345</v>
      </c>
    </row>
    <row r="532" spans="1:14" x14ac:dyDescent="0.3">
      <c r="A532">
        <v>1211157</v>
      </c>
      <c r="B532" t="s">
        <v>1234</v>
      </c>
      <c r="C532" t="s">
        <v>1351</v>
      </c>
      <c r="D532" t="s">
        <v>1350</v>
      </c>
      <c r="E532" t="s">
        <v>1349</v>
      </c>
      <c r="F532" t="s">
        <v>1348</v>
      </c>
      <c r="G532" t="s">
        <v>1354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1346</v>
      </c>
      <c r="N532" t="s">
        <v>1345</v>
      </c>
    </row>
    <row r="533" spans="1:14" x14ac:dyDescent="0.3">
      <c r="A533">
        <v>1211157</v>
      </c>
      <c r="B533" t="s">
        <v>1234</v>
      </c>
      <c r="C533" t="s">
        <v>1351</v>
      </c>
      <c r="D533" t="s">
        <v>1350</v>
      </c>
      <c r="E533" t="s">
        <v>1349</v>
      </c>
      <c r="F533" t="s">
        <v>1348</v>
      </c>
      <c r="G533" t="s">
        <v>1353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1346</v>
      </c>
      <c r="N533" t="s">
        <v>1345</v>
      </c>
    </row>
    <row r="534" spans="1:14" x14ac:dyDescent="0.3">
      <c r="A534">
        <v>1211157</v>
      </c>
      <c r="B534" t="s">
        <v>1234</v>
      </c>
      <c r="C534" t="s">
        <v>1351</v>
      </c>
      <c r="D534" t="s">
        <v>1350</v>
      </c>
      <c r="E534" t="s">
        <v>1349</v>
      </c>
      <c r="F534" t="s">
        <v>1348</v>
      </c>
      <c r="G534" t="s">
        <v>1352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1346</v>
      </c>
      <c r="N534" t="s">
        <v>1345</v>
      </c>
    </row>
    <row r="535" spans="1:14" x14ac:dyDescent="0.3">
      <c r="A535">
        <v>1211157</v>
      </c>
      <c r="B535" t="s">
        <v>1234</v>
      </c>
      <c r="C535" t="s">
        <v>1351</v>
      </c>
      <c r="D535" t="s">
        <v>1350</v>
      </c>
      <c r="E535" t="s">
        <v>1349</v>
      </c>
      <c r="F535" t="s">
        <v>1348</v>
      </c>
      <c r="G535" t="s">
        <v>1347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1346</v>
      </c>
      <c r="N535" t="s">
        <v>1345</v>
      </c>
    </row>
    <row r="536" spans="1:14" hidden="1" x14ac:dyDescent="0.3">
      <c r="A536">
        <v>1211157</v>
      </c>
      <c r="B536" t="s">
        <v>1234</v>
      </c>
      <c r="C536" t="s">
        <v>1344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1234</v>
      </c>
      <c r="C537" t="s">
        <v>1331</v>
      </c>
      <c r="D537" t="s">
        <v>1330</v>
      </c>
      <c r="E537" t="s">
        <v>1329</v>
      </c>
      <c r="F537" t="s">
        <v>1328</v>
      </c>
      <c r="G537" t="s">
        <v>1343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1326</v>
      </c>
      <c r="N537" t="s">
        <v>1325</v>
      </c>
    </row>
    <row r="538" spans="1:14" x14ac:dyDescent="0.3">
      <c r="A538">
        <v>1211157</v>
      </c>
      <c r="B538" t="s">
        <v>1234</v>
      </c>
      <c r="C538" t="s">
        <v>1331</v>
      </c>
      <c r="D538" t="s">
        <v>1330</v>
      </c>
      <c r="E538" t="s">
        <v>1329</v>
      </c>
      <c r="F538" t="s">
        <v>1328</v>
      </c>
      <c r="G538" t="s">
        <v>1342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1326</v>
      </c>
      <c r="N538" t="s">
        <v>1325</v>
      </c>
    </row>
    <row r="539" spans="1:14" x14ac:dyDescent="0.3">
      <c r="A539">
        <v>1211157</v>
      </c>
      <c r="B539" t="s">
        <v>1234</v>
      </c>
      <c r="C539" t="s">
        <v>1331</v>
      </c>
      <c r="D539" t="s">
        <v>1330</v>
      </c>
      <c r="E539" t="s">
        <v>1329</v>
      </c>
      <c r="F539" t="s">
        <v>1328</v>
      </c>
      <c r="G539" t="s">
        <v>1341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1326</v>
      </c>
      <c r="N539" t="s">
        <v>1325</v>
      </c>
    </row>
    <row r="540" spans="1:14" x14ac:dyDescent="0.3">
      <c r="A540">
        <v>1211157</v>
      </c>
      <c r="B540" t="s">
        <v>1234</v>
      </c>
      <c r="C540" t="s">
        <v>1331</v>
      </c>
      <c r="D540" t="s">
        <v>1330</v>
      </c>
      <c r="E540" t="s">
        <v>1329</v>
      </c>
      <c r="F540" t="s">
        <v>1328</v>
      </c>
      <c r="G540" t="s">
        <v>1340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1326</v>
      </c>
      <c r="N540" t="s">
        <v>1325</v>
      </c>
    </row>
    <row r="541" spans="1:14" x14ac:dyDescent="0.3">
      <c r="A541">
        <v>1211157</v>
      </c>
      <c r="B541" t="s">
        <v>1234</v>
      </c>
      <c r="C541" t="s">
        <v>1331</v>
      </c>
      <c r="D541" t="s">
        <v>1330</v>
      </c>
      <c r="E541" t="s">
        <v>1329</v>
      </c>
      <c r="F541" t="s">
        <v>1328</v>
      </c>
      <c r="G541" t="s">
        <v>1339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1326</v>
      </c>
      <c r="N541" t="s">
        <v>1325</v>
      </c>
    </row>
    <row r="542" spans="1:14" x14ac:dyDescent="0.3">
      <c r="A542">
        <v>1211157</v>
      </c>
      <c r="B542" t="s">
        <v>1234</v>
      </c>
      <c r="C542" t="s">
        <v>1331</v>
      </c>
      <c r="D542" t="s">
        <v>1330</v>
      </c>
      <c r="E542" t="s">
        <v>1329</v>
      </c>
      <c r="F542" t="s">
        <v>1328</v>
      </c>
      <c r="G542" t="s">
        <v>1338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1326</v>
      </c>
      <c r="N542" t="s">
        <v>1325</v>
      </c>
    </row>
    <row r="543" spans="1:14" x14ac:dyDescent="0.3">
      <c r="A543">
        <v>1211157</v>
      </c>
      <c r="B543" t="s">
        <v>1234</v>
      </c>
      <c r="C543" t="s">
        <v>1331</v>
      </c>
      <c r="D543" t="s">
        <v>1330</v>
      </c>
      <c r="E543" t="s">
        <v>1329</v>
      </c>
      <c r="F543" t="s">
        <v>1328</v>
      </c>
      <c r="G543" t="s">
        <v>1337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1326</v>
      </c>
      <c r="N543" t="s">
        <v>1325</v>
      </c>
    </row>
    <row r="544" spans="1:14" x14ac:dyDescent="0.3">
      <c r="A544">
        <v>1211157</v>
      </c>
      <c r="B544" t="s">
        <v>1234</v>
      </c>
      <c r="C544" t="s">
        <v>1331</v>
      </c>
      <c r="D544" t="s">
        <v>1330</v>
      </c>
      <c r="E544" t="s">
        <v>1329</v>
      </c>
      <c r="F544" t="s">
        <v>1328</v>
      </c>
      <c r="G544" t="s">
        <v>1336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1326</v>
      </c>
      <c r="N544" t="s">
        <v>1325</v>
      </c>
    </row>
    <row r="545" spans="1:14" x14ac:dyDescent="0.3">
      <c r="A545">
        <v>1211157</v>
      </c>
      <c r="B545" t="s">
        <v>1234</v>
      </c>
      <c r="C545" t="s">
        <v>1331</v>
      </c>
      <c r="D545" t="s">
        <v>1330</v>
      </c>
      <c r="E545" t="s">
        <v>1329</v>
      </c>
      <c r="F545" t="s">
        <v>1328</v>
      </c>
      <c r="G545" t="s">
        <v>1335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1326</v>
      </c>
      <c r="N545" t="s">
        <v>1325</v>
      </c>
    </row>
    <row r="546" spans="1:14" x14ac:dyDescent="0.3">
      <c r="A546">
        <v>1211157</v>
      </c>
      <c r="B546" t="s">
        <v>1234</v>
      </c>
      <c r="C546" t="s">
        <v>1331</v>
      </c>
      <c r="D546" t="s">
        <v>1330</v>
      </c>
      <c r="E546" t="s">
        <v>1329</v>
      </c>
      <c r="F546" t="s">
        <v>1328</v>
      </c>
      <c r="G546" t="s">
        <v>1334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1326</v>
      </c>
      <c r="N546" t="s">
        <v>1325</v>
      </c>
    </row>
    <row r="547" spans="1:14" x14ac:dyDescent="0.3">
      <c r="A547">
        <v>1211157</v>
      </c>
      <c r="B547" t="s">
        <v>1234</v>
      </c>
      <c r="C547" t="s">
        <v>1331</v>
      </c>
      <c r="D547" t="s">
        <v>1330</v>
      </c>
      <c r="E547" t="s">
        <v>1329</v>
      </c>
      <c r="F547" t="s">
        <v>1328</v>
      </c>
      <c r="G547" t="s">
        <v>1333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1326</v>
      </c>
      <c r="N547" t="s">
        <v>1325</v>
      </c>
    </row>
    <row r="548" spans="1:14" x14ac:dyDescent="0.3">
      <c r="A548">
        <v>1211157</v>
      </c>
      <c r="B548" t="s">
        <v>1234</v>
      </c>
      <c r="C548" t="s">
        <v>1331</v>
      </c>
      <c r="D548" t="s">
        <v>1330</v>
      </c>
      <c r="E548" t="s">
        <v>1329</v>
      </c>
      <c r="F548" t="s">
        <v>1328</v>
      </c>
      <c r="G548" t="s">
        <v>1332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1326</v>
      </c>
      <c r="N548" t="s">
        <v>1325</v>
      </c>
    </row>
    <row r="549" spans="1:14" x14ac:dyDescent="0.3">
      <c r="A549">
        <v>1211157</v>
      </c>
      <c r="B549" t="s">
        <v>1234</v>
      </c>
      <c r="C549" t="s">
        <v>1331</v>
      </c>
      <c r="D549" t="s">
        <v>1330</v>
      </c>
      <c r="E549" t="s">
        <v>1329</v>
      </c>
      <c r="F549" t="s">
        <v>1328</v>
      </c>
      <c r="G549" t="s">
        <v>1327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1326</v>
      </c>
      <c r="N549" t="s">
        <v>1325</v>
      </c>
    </row>
    <row r="550" spans="1:14" hidden="1" x14ac:dyDescent="0.3">
      <c r="A550">
        <v>1211157</v>
      </c>
      <c r="B550" t="s">
        <v>1234</v>
      </c>
      <c r="C550" t="s">
        <v>1324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1234</v>
      </c>
      <c r="C551" t="s">
        <v>1323</v>
      </c>
      <c r="D551" t="s">
        <v>1322</v>
      </c>
      <c r="E551" t="s">
        <v>1321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1320</v>
      </c>
      <c r="N551" t="s">
        <v>1319</v>
      </c>
    </row>
    <row r="552" spans="1:14" x14ac:dyDescent="0.3">
      <c r="A552">
        <v>1211157</v>
      </c>
      <c r="B552" t="s">
        <v>1234</v>
      </c>
      <c r="C552" t="s">
        <v>1315</v>
      </c>
      <c r="D552" t="s">
        <v>1314</v>
      </c>
      <c r="E552" t="s">
        <v>1313</v>
      </c>
      <c r="G552" t="s">
        <v>1318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1234</v>
      </c>
      <c r="C553" t="s">
        <v>1315</v>
      </c>
      <c r="D553" t="s">
        <v>1314</v>
      </c>
      <c r="E553" t="s">
        <v>1313</v>
      </c>
      <c r="G553" t="s">
        <v>1317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1234</v>
      </c>
      <c r="C554" t="s">
        <v>1315</v>
      </c>
      <c r="D554" t="s">
        <v>1314</v>
      </c>
      <c r="E554" t="s">
        <v>1313</v>
      </c>
      <c r="G554" t="s">
        <v>1316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1234</v>
      </c>
      <c r="C555" t="s">
        <v>1315</v>
      </c>
      <c r="D555" t="s">
        <v>1314</v>
      </c>
      <c r="E555" t="s">
        <v>1313</v>
      </c>
      <c r="G555" t="s">
        <v>1312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1234</v>
      </c>
      <c r="C556" t="s">
        <v>1307</v>
      </c>
      <c r="D556" t="s">
        <v>1307</v>
      </c>
      <c r="E556" t="s">
        <v>1306</v>
      </c>
      <c r="G556" t="s">
        <v>1311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1304</v>
      </c>
      <c r="N556" t="s">
        <v>1303</v>
      </c>
    </row>
    <row r="557" spans="1:14" x14ac:dyDescent="0.3">
      <c r="A557">
        <v>1211157</v>
      </c>
      <c r="B557" t="s">
        <v>1234</v>
      </c>
      <c r="C557" t="s">
        <v>1307</v>
      </c>
      <c r="D557" t="s">
        <v>1307</v>
      </c>
      <c r="E557" t="s">
        <v>1306</v>
      </c>
      <c r="G557" t="s">
        <v>1310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1304</v>
      </c>
      <c r="N557" t="s">
        <v>1303</v>
      </c>
    </row>
    <row r="558" spans="1:14" x14ac:dyDescent="0.3">
      <c r="A558">
        <v>1211157</v>
      </c>
      <c r="B558" t="s">
        <v>1234</v>
      </c>
      <c r="C558" t="s">
        <v>1307</v>
      </c>
      <c r="D558" t="s">
        <v>1307</v>
      </c>
      <c r="E558" t="s">
        <v>1306</v>
      </c>
      <c r="G558" t="s">
        <v>1309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1304</v>
      </c>
      <c r="N558" t="s">
        <v>1303</v>
      </c>
    </row>
    <row r="559" spans="1:14" x14ac:dyDescent="0.3">
      <c r="A559">
        <v>1211157</v>
      </c>
      <c r="B559" t="s">
        <v>1234</v>
      </c>
      <c r="C559" t="s">
        <v>1307</v>
      </c>
      <c r="D559" t="s">
        <v>1307</v>
      </c>
      <c r="E559" t="s">
        <v>1306</v>
      </c>
      <c r="G559" t="s">
        <v>1308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1304</v>
      </c>
      <c r="N559" t="s">
        <v>1303</v>
      </c>
    </row>
    <row r="560" spans="1:14" x14ac:dyDescent="0.3">
      <c r="A560">
        <v>1211157</v>
      </c>
      <c r="B560" t="s">
        <v>1234</v>
      </c>
      <c r="C560" t="s">
        <v>1307</v>
      </c>
      <c r="D560" t="s">
        <v>1307</v>
      </c>
      <c r="E560" t="s">
        <v>1306</v>
      </c>
      <c r="G560" t="s">
        <v>1305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1304</v>
      </c>
      <c r="N560" t="s">
        <v>1303</v>
      </c>
    </row>
    <row r="561" spans="1:14" x14ac:dyDescent="0.3">
      <c r="A561">
        <v>1211157</v>
      </c>
      <c r="B561" t="s">
        <v>1234</v>
      </c>
      <c r="C561" t="s">
        <v>1302</v>
      </c>
      <c r="D561" t="s">
        <v>1301</v>
      </c>
      <c r="E561" t="s">
        <v>1300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1299</v>
      </c>
      <c r="N561" t="s">
        <v>1298</v>
      </c>
    </row>
    <row r="562" spans="1:14" x14ac:dyDescent="0.3">
      <c r="A562">
        <v>1211157</v>
      </c>
      <c r="B562" t="s">
        <v>1234</v>
      </c>
      <c r="C562" t="s">
        <v>1287</v>
      </c>
      <c r="D562" t="s">
        <v>1286</v>
      </c>
      <c r="E562" t="s">
        <v>1285</v>
      </c>
      <c r="G562" t="s">
        <v>1297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1234</v>
      </c>
      <c r="C563" t="s">
        <v>1287</v>
      </c>
      <c r="D563" t="s">
        <v>1286</v>
      </c>
      <c r="E563" t="s">
        <v>1285</v>
      </c>
      <c r="G563" t="s">
        <v>1296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1234</v>
      </c>
      <c r="C564" t="s">
        <v>1287</v>
      </c>
      <c r="D564" t="s">
        <v>1286</v>
      </c>
      <c r="E564" t="s">
        <v>1285</v>
      </c>
      <c r="G564" t="s">
        <v>1295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1234</v>
      </c>
      <c r="C565" t="s">
        <v>1287</v>
      </c>
      <c r="D565" t="s">
        <v>1286</v>
      </c>
      <c r="E565" t="s">
        <v>1285</v>
      </c>
      <c r="G565" t="s">
        <v>1294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1234</v>
      </c>
      <c r="C566" t="s">
        <v>1287</v>
      </c>
      <c r="D566" t="s">
        <v>1286</v>
      </c>
      <c r="E566" t="s">
        <v>1285</v>
      </c>
      <c r="G566" t="s">
        <v>1293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1234</v>
      </c>
      <c r="C567" t="s">
        <v>1287</v>
      </c>
      <c r="D567" t="s">
        <v>1286</v>
      </c>
      <c r="E567" t="s">
        <v>1285</v>
      </c>
      <c r="G567" t="s">
        <v>1292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1234</v>
      </c>
      <c r="C568" t="s">
        <v>1287</v>
      </c>
      <c r="D568" t="s">
        <v>1286</v>
      </c>
      <c r="E568" t="s">
        <v>1285</v>
      </c>
      <c r="G568" t="s">
        <v>1291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1234</v>
      </c>
      <c r="C569" t="s">
        <v>1287</v>
      </c>
      <c r="D569" t="s">
        <v>1286</v>
      </c>
      <c r="E569" t="s">
        <v>1285</v>
      </c>
      <c r="G569" t="s">
        <v>1290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1234</v>
      </c>
      <c r="C570" t="s">
        <v>1287</v>
      </c>
      <c r="D570" t="s">
        <v>1286</v>
      </c>
      <c r="E570" t="s">
        <v>1285</v>
      </c>
      <c r="G570" t="s">
        <v>1289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1234</v>
      </c>
      <c r="C571" t="s">
        <v>1287</v>
      </c>
      <c r="D571" t="s">
        <v>1286</v>
      </c>
      <c r="E571" t="s">
        <v>1285</v>
      </c>
      <c r="G571" t="s">
        <v>1288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1234</v>
      </c>
      <c r="C572" t="s">
        <v>1287</v>
      </c>
      <c r="D572" t="s">
        <v>1286</v>
      </c>
      <c r="E572" t="s">
        <v>1285</v>
      </c>
      <c r="G572" t="s">
        <v>1284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1234</v>
      </c>
      <c r="C573" t="s">
        <v>1265</v>
      </c>
      <c r="D573" t="s">
        <v>1264</v>
      </c>
      <c r="E573" t="s">
        <v>1263</v>
      </c>
      <c r="G573" t="s">
        <v>1283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1261</v>
      </c>
      <c r="N573" t="s">
        <v>1260</v>
      </c>
    </row>
    <row r="574" spans="1:14" x14ac:dyDescent="0.3">
      <c r="A574">
        <v>1211157</v>
      </c>
      <c r="B574" t="s">
        <v>1234</v>
      </c>
      <c r="C574" t="s">
        <v>1265</v>
      </c>
      <c r="D574" t="s">
        <v>1264</v>
      </c>
      <c r="E574" t="s">
        <v>1263</v>
      </c>
      <c r="G574" t="s">
        <v>1282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1261</v>
      </c>
      <c r="N574" t="s">
        <v>1260</v>
      </c>
    </row>
    <row r="575" spans="1:14" x14ac:dyDescent="0.3">
      <c r="A575">
        <v>1211157</v>
      </c>
      <c r="B575" t="s">
        <v>1234</v>
      </c>
      <c r="C575" t="s">
        <v>1265</v>
      </c>
      <c r="D575" t="s">
        <v>1264</v>
      </c>
      <c r="E575" t="s">
        <v>1263</v>
      </c>
      <c r="G575" t="s">
        <v>1281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1261</v>
      </c>
      <c r="N575" t="s">
        <v>1260</v>
      </c>
    </row>
    <row r="576" spans="1:14" x14ac:dyDescent="0.3">
      <c r="A576">
        <v>1211157</v>
      </c>
      <c r="B576" t="s">
        <v>1234</v>
      </c>
      <c r="C576" t="s">
        <v>1265</v>
      </c>
      <c r="D576" t="s">
        <v>1264</v>
      </c>
      <c r="E576" t="s">
        <v>1263</v>
      </c>
      <c r="G576" t="s">
        <v>1280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1261</v>
      </c>
      <c r="N576" t="s">
        <v>1260</v>
      </c>
    </row>
    <row r="577" spans="1:14" x14ac:dyDescent="0.3">
      <c r="A577">
        <v>1211157</v>
      </c>
      <c r="B577" t="s">
        <v>1234</v>
      </c>
      <c r="C577" t="s">
        <v>1265</v>
      </c>
      <c r="D577" t="s">
        <v>1264</v>
      </c>
      <c r="E577" t="s">
        <v>1263</v>
      </c>
      <c r="G577" t="s">
        <v>1279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1261</v>
      </c>
      <c r="N577" t="s">
        <v>1260</v>
      </c>
    </row>
    <row r="578" spans="1:14" x14ac:dyDescent="0.3">
      <c r="A578">
        <v>1211157</v>
      </c>
      <c r="B578" t="s">
        <v>1234</v>
      </c>
      <c r="C578" t="s">
        <v>1265</v>
      </c>
      <c r="D578" t="s">
        <v>1264</v>
      </c>
      <c r="E578" t="s">
        <v>1263</v>
      </c>
      <c r="G578" t="s">
        <v>1278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1261</v>
      </c>
      <c r="N578" t="s">
        <v>1260</v>
      </c>
    </row>
    <row r="579" spans="1:14" x14ac:dyDescent="0.3">
      <c r="A579">
        <v>1211157</v>
      </c>
      <c r="B579" t="s">
        <v>1234</v>
      </c>
      <c r="C579" t="s">
        <v>1265</v>
      </c>
      <c r="D579" t="s">
        <v>1264</v>
      </c>
      <c r="E579" t="s">
        <v>1263</v>
      </c>
      <c r="G579" t="s">
        <v>1277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1261</v>
      </c>
      <c r="N579" t="s">
        <v>1260</v>
      </c>
    </row>
    <row r="580" spans="1:14" x14ac:dyDescent="0.3">
      <c r="A580">
        <v>1211157</v>
      </c>
      <c r="B580" t="s">
        <v>1234</v>
      </c>
      <c r="C580" t="s">
        <v>1265</v>
      </c>
      <c r="D580" t="s">
        <v>1264</v>
      </c>
      <c r="E580" t="s">
        <v>1263</v>
      </c>
      <c r="G580" t="s">
        <v>1276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1261</v>
      </c>
      <c r="N580" t="s">
        <v>1260</v>
      </c>
    </row>
    <row r="581" spans="1:14" x14ac:dyDescent="0.3">
      <c r="A581">
        <v>1211157</v>
      </c>
      <c r="B581" t="s">
        <v>1234</v>
      </c>
      <c r="C581" t="s">
        <v>1265</v>
      </c>
      <c r="D581" t="s">
        <v>1264</v>
      </c>
      <c r="E581" t="s">
        <v>1263</v>
      </c>
      <c r="G581" t="s">
        <v>1275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1261</v>
      </c>
      <c r="N581" t="s">
        <v>1260</v>
      </c>
    </row>
    <row r="582" spans="1:14" x14ac:dyDescent="0.3">
      <c r="A582">
        <v>1211157</v>
      </c>
      <c r="B582" t="s">
        <v>1234</v>
      </c>
      <c r="C582" t="s">
        <v>1265</v>
      </c>
      <c r="D582" t="s">
        <v>1264</v>
      </c>
      <c r="E582" t="s">
        <v>1263</v>
      </c>
      <c r="G582" t="s">
        <v>1274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1261</v>
      </c>
      <c r="N582" t="s">
        <v>1260</v>
      </c>
    </row>
    <row r="583" spans="1:14" x14ac:dyDescent="0.3">
      <c r="A583">
        <v>1211157</v>
      </c>
      <c r="B583" t="s">
        <v>1234</v>
      </c>
      <c r="C583" t="s">
        <v>1265</v>
      </c>
      <c r="D583" t="s">
        <v>1264</v>
      </c>
      <c r="E583" t="s">
        <v>1263</v>
      </c>
      <c r="G583" t="s">
        <v>1273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1261</v>
      </c>
      <c r="N583" t="s">
        <v>1260</v>
      </c>
    </row>
    <row r="584" spans="1:14" x14ac:dyDescent="0.3">
      <c r="A584">
        <v>1211157</v>
      </c>
      <c r="B584" t="s">
        <v>1234</v>
      </c>
      <c r="C584" t="s">
        <v>1265</v>
      </c>
      <c r="D584" t="s">
        <v>1264</v>
      </c>
      <c r="E584" t="s">
        <v>1263</v>
      </c>
      <c r="G584" t="s">
        <v>1272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1261</v>
      </c>
      <c r="N584" t="s">
        <v>1260</v>
      </c>
    </row>
    <row r="585" spans="1:14" x14ac:dyDescent="0.3">
      <c r="A585">
        <v>1211157</v>
      </c>
      <c r="B585" t="s">
        <v>1234</v>
      </c>
      <c r="C585" t="s">
        <v>1265</v>
      </c>
      <c r="D585" t="s">
        <v>1264</v>
      </c>
      <c r="E585" t="s">
        <v>1263</v>
      </c>
      <c r="G585" t="s">
        <v>1271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1261</v>
      </c>
      <c r="N585" t="s">
        <v>1260</v>
      </c>
    </row>
    <row r="586" spans="1:14" x14ac:dyDescent="0.3">
      <c r="A586">
        <v>1211157</v>
      </c>
      <c r="B586" t="s">
        <v>1234</v>
      </c>
      <c r="C586" t="s">
        <v>1265</v>
      </c>
      <c r="D586" t="s">
        <v>1264</v>
      </c>
      <c r="E586" t="s">
        <v>1263</v>
      </c>
      <c r="G586" t="s">
        <v>1270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1261</v>
      </c>
      <c r="N586" t="s">
        <v>1260</v>
      </c>
    </row>
    <row r="587" spans="1:14" x14ac:dyDescent="0.3">
      <c r="A587">
        <v>1211157</v>
      </c>
      <c r="B587" t="s">
        <v>1234</v>
      </c>
      <c r="C587" t="s">
        <v>1265</v>
      </c>
      <c r="D587" t="s">
        <v>1264</v>
      </c>
      <c r="E587" t="s">
        <v>1263</v>
      </c>
      <c r="G587" t="s">
        <v>1269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1261</v>
      </c>
      <c r="N587" t="s">
        <v>1260</v>
      </c>
    </row>
    <row r="588" spans="1:14" x14ac:dyDescent="0.3">
      <c r="A588">
        <v>1211157</v>
      </c>
      <c r="B588" t="s">
        <v>1234</v>
      </c>
      <c r="C588" t="s">
        <v>1265</v>
      </c>
      <c r="D588" t="s">
        <v>1264</v>
      </c>
      <c r="E588" t="s">
        <v>1263</v>
      </c>
      <c r="G588" t="s">
        <v>1268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1261</v>
      </c>
      <c r="N588" t="s">
        <v>1260</v>
      </c>
    </row>
    <row r="589" spans="1:14" x14ac:dyDescent="0.3">
      <c r="A589">
        <v>1211157</v>
      </c>
      <c r="B589" t="s">
        <v>1234</v>
      </c>
      <c r="C589" t="s">
        <v>1265</v>
      </c>
      <c r="D589" t="s">
        <v>1264</v>
      </c>
      <c r="E589" t="s">
        <v>1263</v>
      </c>
      <c r="G589" t="s">
        <v>1267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1261</v>
      </c>
      <c r="N589" t="s">
        <v>1260</v>
      </c>
    </row>
    <row r="590" spans="1:14" x14ac:dyDescent="0.3">
      <c r="A590">
        <v>1211157</v>
      </c>
      <c r="B590" t="s">
        <v>1234</v>
      </c>
      <c r="C590" t="s">
        <v>1265</v>
      </c>
      <c r="D590" t="s">
        <v>1264</v>
      </c>
      <c r="E590" t="s">
        <v>1263</v>
      </c>
      <c r="G590" t="s">
        <v>1266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1261</v>
      </c>
      <c r="N590" t="s">
        <v>1260</v>
      </c>
    </row>
    <row r="591" spans="1:14" x14ac:dyDescent="0.3">
      <c r="A591">
        <v>1211157</v>
      </c>
      <c r="B591" t="s">
        <v>1234</v>
      </c>
      <c r="C591" t="s">
        <v>1265</v>
      </c>
      <c r="D591" t="s">
        <v>1264</v>
      </c>
      <c r="E591" t="s">
        <v>1263</v>
      </c>
      <c r="G591" t="s">
        <v>1262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1261</v>
      </c>
      <c r="N591" t="s">
        <v>1260</v>
      </c>
    </row>
    <row r="592" spans="1:14" hidden="1" x14ac:dyDescent="0.3">
      <c r="A592">
        <v>1211157</v>
      </c>
      <c r="B592" t="s">
        <v>1234</v>
      </c>
      <c r="C592" t="s">
        <v>1259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1234</v>
      </c>
      <c r="C593" t="s">
        <v>1245</v>
      </c>
      <c r="D593" t="s">
        <v>1244</v>
      </c>
      <c r="E593" t="s">
        <v>1243</v>
      </c>
      <c r="G593" t="s">
        <v>1258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1241</v>
      </c>
      <c r="N593" t="s">
        <v>1240</v>
      </c>
    </row>
    <row r="594" spans="1:14" x14ac:dyDescent="0.3">
      <c r="A594">
        <v>1211157</v>
      </c>
      <c r="B594" t="s">
        <v>1234</v>
      </c>
      <c r="C594" t="s">
        <v>1245</v>
      </c>
      <c r="D594" t="s">
        <v>1244</v>
      </c>
      <c r="E594" t="s">
        <v>1243</v>
      </c>
      <c r="G594" t="s">
        <v>1257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1241</v>
      </c>
      <c r="N594" t="s">
        <v>1240</v>
      </c>
    </row>
    <row r="595" spans="1:14" x14ac:dyDescent="0.3">
      <c r="A595">
        <v>1211157</v>
      </c>
      <c r="B595" t="s">
        <v>1234</v>
      </c>
      <c r="C595" t="s">
        <v>1245</v>
      </c>
      <c r="D595" t="s">
        <v>1244</v>
      </c>
      <c r="E595" t="s">
        <v>1243</v>
      </c>
      <c r="G595" t="s">
        <v>1256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1241</v>
      </c>
      <c r="N595" t="s">
        <v>1240</v>
      </c>
    </row>
    <row r="596" spans="1:14" x14ac:dyDescent="0.3">
      <c r="A596">
        <v>1211157</v>
      </c>
      <c r="B596" t="s">
        <v>1234</v>
      </c>
      <c r="C596" t="s">
        <v>1245</v>
      </c>
      <c r="D596" t="s">
        <v>1244</v>
      </c>
      <c r="E596" t="s">
        <v>1243</v>
      </c>
      <c r="G596" t="s">
        <v>1255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1241</v>
      </c>
      <c r="N596" t="s">
        <v>1240</v>
      </c>
    </row>
    <row r="597" spans="1:14" x14ac:dyDescent="0.3">
      <c r="A597">
        <v>1211157</v>
      </c>
      <c r="B597" t="s">
        <v>1234</v>
      </c>
      <c r="C597" t="s">
        <v>1245</v>
      </c>
      <c r="D597" t="s">
        <v>1244</v>
      </c>
      <c r="E597" t="s">
        <v>1243</v>
      </c>
      <c r="G597" t="s">
        <v>1254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1241</v>
      </c>
      <c r="N597" t="s">
        <v>1240</v>
      </c>
    </row>
    <row r="598" spans="1:14" x14ac:dyDescent="0.3">
      <c r="A598">
        <v>1211157</v>
      </c>
      <c r="B598" t="s">
        <v>1234</v>
      </c>
      <c r="C598" t="s">
        <v>1245</v>
      </c>
      <c r="D598" t="s">
        <v>1244</v>
      </c>
      <c r="E598" t="s">
        <v>1243</v>
      </c>
      <c r="G598" t="s">
        <v>1253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1241</v>
      </c>
      <c r="N598" t="s">
        <v>1240</v>
      </c>
    </row>
    <row r="599" spans="1:14" x14ac:dyDescent="0.3">
      <c r="A599">
        <v>1211157</v>
      </c>
      <c r="B599" t="s">
        <v>1234</v>
      </c>
      <c r="C599" t="s">
        <v>1245</v>
      </c>
      <c r="D599" t="s">
        <v>1244</v>
      </c>
      <c r="E599" t="s">
        <v>1243</v>
      </c>
      <c r="G599" t="s">
        <v>1252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1241</v>
      </c>
      <c r="N599" t="s">
        <v>1240</v>
      </c>
    </row>
    <row r="600" spans="1:14" x14ac:dyDescent="0.3">
      <c r="A600">
        <v>1211157</v>
      </c>
      <c r="B600" t="s">
        <v>1234</v>
      </c>
      <c r="C600" t="s">
        <v>1245</v>
      </c>
      <c r="D600" t="s">
        <v>1244</v>
      </c>
      <c r="E600" t="s">
        <v>1243</v>
      </c>
      <c r="G600" t="s">
        <v>1251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1241</v>
      </c>
      <c r="N600" t="s">
        <v>1240</v>
      </c>
    </row>
    <row r="601" spans="1:14" x14ac:dyDescent="0.3">
      <c r="A601">
        <v>1211157</v>
      </c>
      <c r="B601" t="s">
        <v>1234</v>
      </c>
      <c r="C601" t="s">
        <v>1245</v>
      </c>
      <c r="D601" t="s">
        <v>1244</v>
      </c>
      <c r="E601" t="s">
        <v>1243</v>
      </c>
      <c r="G601" t="s">
        <v>1250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1241</v>
      </c>
      <c r="N601" t="s">
        <v>1240</v>
      </c>
    </row>
    <row r="602" spans="1:14" x14ac:dyDescent="0.3">
      <c r="A602">
        <v>1211157</v>
      </c>
      <c r="B602" t="s">
        <v>1234</v>
      </c>
      <c r="C602" t="s">
        <v>1245</v>
      </c>
      <c r="D602" t="s">
        <v>1244</v>
      </c>
      <c r="E602" t="s">
        <v>1243</v>
      </c>
      <c r="G602" t="s">
        <v>1249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1241</v>
      </c>
      <c r="N602" t="s">
        <v>1240</v>
      </c>
    </row>
    <row r="603" spans="1:14" x14ac:dyDescent="0.3">
      <c r="A603">
        <v>1211157</v>
      </c>
      <c r="B603" t="s">
        <v>1234</v>
      </c>
      <c r="C603" t="s">
        <v>1245</v>
      </c>
      <c r="D603" t="s">
        <v>1244</v>
      </c>
      <c r="E603" t="s">
        <v>1243</v>
      </c>
      <c r="G603" t="s">
        <v>1248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1241</v>
      </c>
      <c r="N603" t="s">
        <v>1240</v>
      </c>
    </row>
    <row r="604" spans="1:14" x14ac:dyDescent="0.3">
      <c r="A604">
        <v>1211157</v>
      </c>
      <c r="B604" t="s">
        <v>1234</v>
      </c>
      <c r="C604" t="s">
        <v>1245</v>
      </c>
      <c r="D604" t="s">
        <v>1244</v>
      </c>
      <c r="E604" t="s">
        <v>1243</v>
      </c>
      <c r="G604" t="s">
        <v>1247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1241</v>
      </c>
      <c r="N604" t="s">
        <v>1240</v>
      </c>
    </row>
    <row r="605" spans="1:14" x14ac:dyDescent="0.3">
      <c r="A605">
        <v>1211157</v>
      </c>
      <c r="B605" t="s">
        <v>1234</v>
      </c>
      <c r="C605" t="s">
        <v>1245</v>
      </c>
      <c r="D605" t="s">
        <v>1244</v>
      </c>
      <c r="E605" t="s">
        <v>1243</v>
      </c>
      <c r="G605" t="s">
        <v>1246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1241</v>
      </c>
      <c r="N605" t="s">
        <v>1240</v>
      </c>
    </row>
    <row r="606" spans="1:14" x14ac:dyDescent="0.3">
      <c r="A606">
        <v>1211157</v>
      </c>
      <c r="B606" t="s">
        <v>1234</v>
      </c>
      <c r="C606" t="s">
        <v>1245</v>
      </c>
      <c r="D606" t="s">
        <v>1244</v>
      </c>
      <c r="E606" t="s">
        <v>1243</v>
      </c>
      <c r="G606" t="s">
        <v>1242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1241</v>
      </c>
      <c r="N606" t="s">
        <v>1240</v>
      </c>
    </row>
    <row r="607" spans="1:14" x14ac:dyDescent="0.3">
      <c r="A607">
        <v>1211157</v>
      </c>
      <c r="B607" t="s">
        <v>1234</v>
      </c>
      <c r="C607" t="s">
        <v>1239</v>
      </c>
      <c r="D607" t="s">
        <v>1238</v>
      </c>
      <c r="E607" t="s">
        <v>1237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hidden="1" x14ac:dyDescent="0.3">
      <c r="A608">
        <v>1211157</v>
      </c>
      <c r="B608" t="s">
        <v>1234</v>
      </c>
      <c r="C608" t="s">
        <v>1236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hidden="1" x14ac:dyDescent="0.3">
      <c r="A609">
        <v>1211157</v>
      </c>
      <c r="B609" t="s">
        <v>1234</v>
      </c>
      <c r="C609" t="s">
        <v>1235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1234</v>
      </c>
      <c r="C610" t="s">
        <v>1233</v>
      </c>
      <c r="D610" t="s">
        <v>1233</v>
      </c>
      <c r="E610" t="s">
        <v>1232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1231</v>
      </c>
      <c r="N610" t="s">
        <v>1230</v>
      </c>
    </row>
    <row r="611" spans="1:14" hidden="1" x14ac:dyDescent="0.3">
      <c r="A611">
        <v>1213943</v>
      </c>
      <c r="B611" t="s">
        <v>1219</v>
      </c>
      <c r="C611" t="s">
        <v>1229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hidden="1" x14ac:dyDescent="0.3">
      <c r="A612">
        <v>1213943</v>
      </c>
      <c r="B612" t="s">
        <v>1219</v>
      </c>
      <c r="C612" t="s">
        <v>1228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hidden="1" x14ac:dyDescent="0.3">
      <c r="A613">
        <v>1213943</v>
      </c>
      <c r="B613" t="s">
        <v>1219</v>
      </c>
      <c r="C613" t="s">
        <v>1227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1219</v>
      </c>
      <c r="C614" t="s">
        <v>1226</v>
      </c>
      <c r="D614" t="s">
        <v>1226</v>
      </c>
      <c r="E614" t="s">
        <v>1225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1224</v>
      </c>
      <c r="N614" t="s">
        <v>1223</v>
      </c>
    </row>
    <row r="615" spans="1:14" x14ac:dyDescent="0.3">
      <c r="A615">
        <v>1213943</v>
      </c>
      <c r="B615" t="s">
        <v>1219</v>
      </c>
      <c r="C615" t="s">
        <v>1222</v>
      </c>
      <c r="D615" t="s">
        <v>1221</v>
      </c>
      <c r="E615" t="s">
        <v>1220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hidden="1" x14ac:dyDescent="0.3">
      <c r="A616">
        <v>1213943</v>
      </c>
      <c r="B616" t="s">
        <v>1219</v>
      </c>
      <c r="C616" t="s">
        <v>1218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hidden="1" x14ac:dyDescent="0.3">
      <c r="A617">
        <v>1226337</v>
      </c>
      <c r="B617" t="s">
        <v>1215</v>
      </c>
      <c r="C617" t="s">
        <v>1217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hidden="1" x14ac:dyDescent="0.3">
      <c r="A618">
        <v>1226337</v>
      </c>
      <c r="B618" t="s">
        <v>1215</v>
      </c>
      <c r="C618" t="s">
        <v>1216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hidden="1" x14ac:dyDescent="0.3">
      <c r="A619">
        <v>1226337</v>
      </c>
      <c r="B619" t="s">
        <v>1215</v>
      </c>
      <c r="C619" t="s">
        <v>1214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1204</v>
      </c>
      <c r="C620" t="s">
        <v>1210</v>
      </c>
      <c r="D620" t="s">
        <v>1209</v>
      </c>
      <c r="E620" t="s">
        <v>1208</v>
      </c>
      <c r="G620" t="s">
        <v>1213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1204</v>
      </c>
      <c r="C621" t="s">
        <v>1210</v>
      </c>
      <c r="D621" t="s">
        <v>1209</v>
      </c>
      <c r="E621" t="s">
        <v>1208</v>
      </c>
      <c r="G621" t="s">
        <v>1212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1204</v>
      </c>
      <c r="C622" t="s">
        <v>1210</v>
      </c>
      <c r="D622" t="s">
        <v>1209</v>
      </c>
      <c r="E622" t="s">
        <v>1208</v>
      </c>
      <c r="G622" t="s">
        <v>1211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1204</v>
      </c>
      <c r="C623" t="s">
        <v>1210</v>
      </c>
      <c r="D623" t="s">
        <v>1209</v>
      </c>
      <c r="E623" t="s">
        <v>1208</v>
      </c>
      <c r="G623" t="s">
        <v>1207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hidden="1" x14ac:dyDescent="0.3">
      <c r="A624">
        <v>1237381</v>
      </c>
      <c r="B624" t="s">
        <v>1204</v>
      </c>
      <c r="C624" t="s">
        <v>1206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hidden="1" x14ac:dyDescent="0.3">
      <c r="A625">
        <v>1237381</v>
      </c>
      <c r="B625" t="s">
        <v>1204</v>
      </c>
      <c r="C625" t="s">
        <v>1205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hidden="1" x14ac:dyDescent="0.3">
      <c r="A626">
        <v>1237381</v>
      </c>
      <c r="B626" t="s">
        <v>1204</v>
      </c>
      <c r="C626" t="s">
        <v>1203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1113</v>
      </c>
      <c r="C627">
        <v>1979</v>
      </c>
      <c r="D627">
        <v>1979</v>
      </c>
      <c r="E627" t="s">
        <v>1202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1113</v>
      </c>
      <c r="C628" t="s">
        <v>1201</v>
      </c>
      <c r="D628" t="s">
        <v>1201</v>
      </c>
      <c r="E628" t="s">
        <v>1200</v>
      </c>
      <c r="F628" t="s">
        <v>1199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1198</v>
      </c>
      <c r="N628" t="s">
        <v>1197</v>
      </c>
    </row>
    <row r="629" spans="1:14" x14ac:dyDescent="0.3">
      <c r="A629">
        <v>1239651</v>
      </c>
      <c r="B629" t="s">
        <v>1113</v>
      </c>
      <c r="C629" t="s">
        <v>548</v>
      </c>
      <c r="D629" t="s">
        <v>1178</v>
      </c>
      <c r="E629" t="s">
        <v>1177</v>
      </c>
      <c r="F629" t="s">
        <v>1176</v>
      </c>
      <c r="G629" t="s">
        <v>1196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1174</v>
      </c>
      <c r="N629" t="s">
        <v>1173</v>
      </c>
    </row>
    <row r="630" spans="1:14" x14ac:dyDescent="0.3">
      <c r="A630">
        <v>1239651</v>
      </c>
      <c r="B630" t="s">
        <v>1113</v>
      </c>
      <c r="C630" t="s">
        <v>548</v>
      </c>
      <c r="D630" t="s">
        <v>1178</v>
      </c>
      <c r="E630" t="s">
        <v>1177</v>
      </c>
      <c r="F630" t="s">
        <v>1176</v>
      </c>
      <c r="G630" t="s">
        <v>1195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1174</v>
      </c>
      <c r="N630" t="s">
        <v>1173</v>
      </c>
    </row>
    <row r="631" spans="1:14" x14ac:dyDescent="0.3">
      <c r="A631">
        <v>1239651</v>
      </c>
      <c r="B631" t="s">
        <v>1113</v>
      </c>
      <c r="C631" t="s">
        <v>548</v>
      </c>
      <c r="D631" t="s">
        <v>1178</v>
      </c>
      <c r="E631" t="s">
        <v>1177</v>
      </c>
      <c r="F631" t="s">
        <v>1176</v>
      </c>
      <c r="G631" t="s">
        <v>1194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1174</v>
      </c>
      <c r="N631" t="s">
        <v>1173</v>
      </c>
    </row>
    <row r="632" spans="1:14" x14ac:dyDescent="0.3">
      <c r="A632">
        <v>1239651</v>
      </c>
      <c r="B632" t="s">
        <v>1113</v>
      </c>
      <c r="C632" t="s">
        <v>548</v>
      </c>
      <c r="D632" t="s">
        <v>1178</v>
      </c>
      <c r="E632" t="s">
        <v>1177</v>
      </c>
      <c r="F632" t="s">
        <v>1176</v>
      </c>
      <c r="G632" t="s">
        <v>1193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1174</v>
      </c>
      <c r="N632" t="s">
        <v>1173</v>
      </c>
    </row>
    <row r="633" spans="1:14" x14ac:dyDescent="0.3">
      <c r="A633">
        <v>1239651</v>
      </c>
      <c r="B633" t="s">
        <v>1113</v>
      </c>
      <c r="C633" t="s">
        <v>548</v>
      </c>
      <c r="D633" t="s">
        <v>1178</v>
      </c>
      <c r="E633" t="s">
        <v>1177</v>
      </c>
      <c r="F633" t="s">
        <v>1176</v>
      </c>
      <c r="G633" t="s">
        <v>1192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1174</v>
      </c>
      <c r="N633" t="s">
        <v>1173</v>
      </c>
    </row>
    <row r="634" spans="1:14" x14ac:dyDescent="0.3">
      <c r="A634">
        <v>1239651</v>
      </c>
      <c r="B634" t="s">
        <v>1113</v>
      </c>
      <c r="C634" t="s">
        <v>548</v>
      </c>
      <c r="D634" t="s">
        <v>1178</v>
      </c>
      <c r="E634" t="s">
        <v>1177</v>
      </c>
      <c r="F634" t="s">
        <v>1176</v>
      </c>
      <c r="G634" t="s">
        <v>1191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1174</v>
      </c>
      <c r="N634" t="s">
        <v>1173</v>
      </c>
    </row>
    <row r="635" spans="1:14" x14ac:dyDescent="0.3">
      <c r="A635">
        <v>1239651</v>
      </c>
      <c r="B635" t="s">
        <v>1113</v>
      </c>
      <c r="C635" t="s">
        <v>548</v>
      </c>
      <c r="D635" t="s">
        <v>1178</v>
      </c>
      <c r="E635" t="s">
        <v>1177</v>
      </c>
      <c r="F635" t="s">
        <v>1176</v>
      </c>
      <c r="G635" t="s">
        <v>1190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1174</v>
      </c>
      <c r="N635" t="s">
        <v>1173</v>
      </c>
    </row>
    <row r="636" spans="1:14" x14ac:dyDescent="0.3">
      <c r="A636">
        <v>1239651</v>
      </c>
      <c r="B636" t="s">
        <v>1113</v>
      </c>
      <c r="C636" t="s">
        <v>548</v>
      </c>
      <c r="D636" t="s">
        <v>1178</v>
      </c>
      <c r="E636" t="s">
        <v>1177</v>
      </c>
      <c r="F636" t="s">
        <v>1176</v>
      </c>
      <c r="G636" t="s">
        <v>1189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1174</v>
      </c>
      <c r="N636" t="s">
        <v>1173</v>
      </c>
    </row>
    <row r="637" spans="1:14" x14ac:dyDescent="0.3">
      <c r="A637">
        <v>1239651</v>
      </c>
      <c r="B637" t="s">
        <v>1113</v>
      </c>
      <c r="C637" t="s">
        <v>548</v>
      </c>
      <c r="D637" t="s">
        <v>1178</v>
      </c>
      <c r="E637" t="s">
        <v>1177</v>
      </c>
      <c r="F637" t="s">
        <v>1176</v>
      </c>
      <c r="G637" t="s">
        <v>1188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1174</v>
      </c>
      <c r="N637" t="s">
        <v>1173</v>
      </c>
    </row>
    <row r="638" spans="1:14" x14ac:dyDescent="0.3">
      <c r="A638">
        <v>1239651</v>
      </c>
      <c r="B638" t="s">
        <v>1113</v>
      </c>
      <c r="C638" t="s">
        <v>548</v>
      </c>
      <c r="D638" t="s">
        <v>1178</v>
      </c>
      <c r="E638" t="s">
        <v>1177</v>
      </c>
      <c r="F638" t="s">
        <v>1176</v>
      </c>
      <c r="G638" t="s">
        <v>1187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1174</v>
      </c>
      <c r="N638" t="s">
        <v>1173</v>
      </c>
    </row>
    <row r="639" spans="1:14" x14ac:dyDescent="0.3">
      <c r="A639">
        <v>1239651</v>
      </c>
      <c r="B639" t="s">
        <v>1113</v>
      </c>
      <c r="C639" t="s">
        <v>548</v>
      </c>
      <c r="D639" t="s">
        <v>1178</v>
      </c>
      <c r="E639" t="s">
        <v>1177</v>
      </c>
      <c r="F639" t="s">
        <v>1176</v>
      </c>
      <c r="G639" t="s">
        <v>1186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1174</v>
      </c>
      <c r="N639" t="s">
        <v>1173</v>
      </c>
    </row>
    <row r="640" spans="1:14" x14ac:dyDescent="0.3">
      <c r="A640">
        <v>1239651</v>
      </c>
      <c r="B640" t="s">
        <v>1113</v>
      </c>
      <c r="C640" t="s">
        <v>548</v>
      </c>
      <c r="D640" t="s">
        <v>1178</v>
      </c>
      <c r="E640" t="s">
        <v>1177</v>
      </c>
      <c r="F640" t="s">
        <v>1176</v>
      </c>
      <c r="G640" t="s">
        <v>1185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1174</v>
      </c>
      <c r="N640" t="s">
        <v>1173</v>
      </c>
    </row>
    <row r="641" spans="1:14" x14ac:dyDescent="0.3">
      <c r="A641">
        <v>1239651</v>
      </c>
      <c r="B641" t="s">
        <v>1113</v>
      </c>
      <c r="C641" t="s">
        <v>548</v>
      </c>
      <c r="D641" t="s">
        <v>1178</v>
      </c>
      <c r="E641" t="s">
        <v>1177</v>
      </c>
      <c r="F641" t="s">
        <v>1176</v>
      </c>
      <c r="G641" t="s">
        <v>1184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1174</v>
      </c>
      <c r="N641" t="s">
        <v>1173</v>
      </c>
    </row>
    <row r="642" spans="1:14" x14ac:dyDescent="0.3">
      <c r="A642">
        <v>1239651</v>
      </c>
      <c r="B642" t="s">
        <v>1113</v>
      </c>
      <c r="C642" t="s">
        <v>548</v>
      </c>
      <c r="D642" t="s">
        <v>1178</v>
      </c>
      <c r="E642" t="s">
        <v>1177</v>
      </c>
      <c r="F642" t="s">
        <v>1176</v>
      </c>
      <c r="G642" t="s">
        <v>1183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1174</v>
      </c>
      <c r="N642" t="s">
        <v>1173</v>
      </c>
    </row>
    <row r="643" spans="1:14" x14ac:dyDescent="0.3">
      <c r="A643">
        <v>1239651</v>
      </c>
      <c r="B643" t="s">
        <v>1113</v>
      </c>
      <c r="C643" t="s">
        <v>548</v>
      </c>
      <c r="D643" t="s">
        <v>1178</v>
      </c>
      <c r="E643" t="s">
        <v>1177</v>
      </c>
      <c r="F643" t="s">
        <v>1176</v>
      </c>
      <c r="G643" t="s">
        <v>1182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1174</v>
      </c>
      <c r="N643" t="s">
        <v>1173</v>
      </c>
    </row>
    <row r="644" spans="1:14" x14ac:dyDescent="0.3">
      <c r="A644">
        <v>1239651</v>
      </c>
      <c r="B644" t="s">
        <v>1113</v>
      </c>
      <c r="C644" t="s">
        <v>548</v>
      </c>
      <c r="D644" t="s">
        <v>1178</v>
      </c>
      <c r="E644" t="s">
        <v>1177</v>
      </c>
      <c r="F644" t="s">
        <v>1176</v>
      </c>
      <c r="G644" t="s">
        <v>1181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1174</v>
      </c>
      <c r="N644" t="s">
        <v>1173</v>
      </c>
    </row>
    <row r="645" spans="1:14" x14ac:dyDescent="0.3">
      <c r="A645">
        <v>1239651</v>
      </c>
      <c r="B645" t="s">
        <v>1113</v>
      </c>
      <c r="C645" t="s">
        <v>548</v>
      </c>
      <c r="D645" t="s">
        <v>1178</v>
      </c>
      <c r="E645" t="s">
        <v>1177</v>
      </c>
      <c r="F645" t="s">
        <v>1176</v>
      </c>
      <c r="G645" t="s">
        <v>1180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1174</v>
      </c>
      <c r="N645" t="s">
        <v>1173</v>
      </c>
    </row>
    <row r="646" spans="1:14" x14ac:dyDescent="0.3">
      <c r="A646">
        <v>1239651</v>
      </c>
      <c r="B646" t="s">
        <v>1113</v>
      </c>
      <c r="C646" t="s">
        <v>548</v>
      </c>
      <c r="D646" t="s">
        <v>1178</v>
      </c>
      <c r="E646" t="s">
        <v>1177</v>
      </c>
      <c r="F646" t="s">
        <v>1176</v>
      </c>
      <c r="G646" t="s">
        <v>1179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1174</v>
      </c>
      <c r="N646" t="s">
        <v>1173</v>
      </c>
    </row>
    <row r="647" spans="1:14" x14ac:dyDescent="0.3">
      <c r="A647">
        <v>1239651</v>
      </c>
      <c r="B647" t="s">
        <v>1113</v>
      </c>
      <c r="C647" t="s">
        <v>548</v>
      </c>
      <c r="D647" t="s">
        <v>1178</v>
      </c>
      <c r="E647" t="s">
        <v>1177</v>
      </c>
      <c r="F647" t="s">
        <v>1176</v>
      </c>
      <c r="G647" t="s">
        <v>1175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1174</v>
      </c>
      <c r="N647" t="s">
        <v>1173</v>
      </c>
    </row>
    <row r="648" spans="1:14" x14ac:dyDescent="0.3">
      <c r="A648">
        <v>1239651</v>
      </c>
      <c r="B648" t="s">
        <v>1113</v>
      </c>
      <c r="C648" t="s">
        <v>1166</v>
      </c>
      <c r="D648" t="s">
        <v>1165</v>
      </c>
      <c r="E648" t="s">
        <v>1164</v>
      </c>
      <c r="G648" t="s">
        <v>1172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627</v>
      </c>
      <c r="N648" t="s">
        <v>628</v>
      </c>
    </row>
    <row r="649" spans="1:14" x14ac:dyDescent="0.3">
      <c r="A649">
        <v>1239651</v>
      </c>
      <c r="B649" t="s">
        <v>1113</v>
      </c>
      <c r="C649" t="s">
        <v>1166</v>
      </c>
      <c r="D649" t="s">
        <v>1165</v>
      </c>
      <c r="E649" t="s">
        <v>1164</v>
      </c>
      <c r="G649" t="s">
        <v>1171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627</v>
      </c>
      <c r="N649" t="s">
        <v>628</v>
      </c>
    </row>
    <row r="650" spans="1:14" x14ac:dyDescent="0.3">
      <c r="A650">
        <v>1239651</v>
      </c>
      <c r="B650" t="s">
        <v>1113</v>
      </c>
      <c r="C650" t="s">
        <v>1166</v>
      </c>
      <c r="D650" t="s">
        <v>1165</v>
      </c>
      <c r="E650" t="s">
        <v>1164</v>
      </c>
      <c r="G650" t="s">
        <v>1170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627</v>
      </c>
      <c r="N650" t="s">
        <v>628</v>
      </c>
    </row>
    <row r="651" spans="1:14" x14ac:dyDescent="0.3">
      <c r="A651">
        <v>1239651</v>
      </c>
      <c r="B651" t="s">
        <v>1113</v>
      </c>
      <c r="C651" t="s">
        <v>1166</v>
      </c>
      <c r="D651" t="s">
        <v>1165</v>
      </c>
      <c r="E651" t="s">
        <v>1164</v>
      </c>
      <c r="G651" t="s">
        <v>1169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627</v>
      </c>
      <c r="N651" t="s">
        <v>628</v>
      </c>
    </row>
    <row r="652" spans="1:14" x14ac:dyDescent="0.3">
      <c r="A652">
        <v>1239651</v>
      </c>
      <c r="B652" t="s">
        <v>1113</v>
      </c>
      <c r="C652" t="s">
        <v>1166</v>
      </c>
      <c r="D652" t="s">
        <v>1165</v>
      </c>
      <c r="E652" t="s">
        <v>1164</v>
      </c>
      <c r="G652" t="s">
        <v>1168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627</v>
      </c>
      <c r="N652" t="s">
        <v>628</v>
      </c>
    </row>
    <row r="653" spans="1:14" x14ac:dyDescent="0.3">
      <c r="A653">
        <v>1239651</v>
      </c>
      <c r="B653" t="s">
        <v>1113</v>
      </c>
      <c r="C653" t="s">
        <v>1166</v>
      </c>
      <c r="D653" t="s">
        <v>1165</v>
      </c>
      <c r="E653" t="s">
        <v>1164</v>
      </c>
      <c r="G653" t="s">
        <v>1167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627</v>
      </c>
      <c r="N653" t="s">
        <v>628</v>
      </c>
    </row>
    <row r="654" spans="1:14" x14ac:dyDescent="0.3">
      <c r="A654">
        <v>1239651</v>
      </c>
      <c r="B654" t="s">
        <v>1113</v>
      </c>
      <c r="C654" t="s">
        <v>1166</v>
      </c>
      <c r="D654" t="s">
        <v>1165</v>
      </c>
      <c r="E654" t="s">
        <v>1164</v>
      </c>
      <c r="G654" t="s">
        <v>1163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627</v>
      </c>
      <c r="N654" t="s">
        <v>628</v>
      </c>
    </row>
    <row r="655" spans="1:14" hidden="1" x14ac:dyDescent="0.3">
      <c r="A655">
        <v>1239651</v>
      </c>
      <c r="B655" t="s">
        <v>1113</v>
      </c>
      <c r="C655" t="s">
        <v>1162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hidden="1" x14ac:dyDescent="0.3">
      <c r="A656">
        <v>1239651</v>
      </c>
      <c r="B656" t="s">
        <v>1113</v>
      </c>
      <c r="C656" t="s">
        <v>1161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1113</v>
      </c>
      <c r="C657" t="s">
        <v>1160</v>
      </c>
      <c r="D657" t="s">
        <v>1160</v>
      </c>
      <c r="E657" t="s">
        <v>1159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1113</v>
      </c>
      <c r="C658" t="s">
        <v>1128</v>
      </c>
      <c r="D658" t="s">
        <v>1127</v>
      </c>
      <c r="E658" t="s">
        <v>1126</v>
      </c>
      <c r="F658" t="s">
        <v>1125</v>
      </c>
      <c r="G658" t="s">
        <v>1158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1123</v>
      </c>
      <c r="N658" t="s">
        <v>1122</v>
      </c>
    </row>
    <row r="659" spans="1:14" x14ac:dyDescent="0.3">
      <c r="A659">
        <v>1239651</v>
      </c>
      <c r="B659" t="s">
        <v>1113</v>
      </c>
      <c r="C659" t="s">
        <v>1128</v>
      </c>
      <c r="D659" t="s">
        <v>1127</v>
      </c>
      <c r="E659" t="s">
        <v>1126</v>
      </c>
      <c r="F659" t="s">
        <v>1125</v>
      </c>
      <c r="G659" t="s">
        <v>1157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1123</v>
      </c>
      <c r="N659" t="s">
        <v>1122</v>
      </c>
    </row>
    <row r="660" spans="1:14" x14ac:dyDescent="0.3">
      <c r="A660">
        <v>1239651</v>
      </c>
      <c r="B660" t="s">
        <v>1113</v>
      </c>
      <c r="C660" t="s">
        <v>1128</v>
      </c>
      <c r="D660" t="s">
        <v>1127</v>
      </c>
      <c r="E660" t="s">
        <v>1126</v>
      </c>
      <c r="F660" t="s">
        <v>1125</v>
      </c>
      <c r="G660" t="s">
        <v>1156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1123</v>
      </c>
      <c r="N660" t="s">
        <v>1122</v>
      </c>
    </row>
    <row r="661" spans="1:14" x14ac:dyDescent="0.3">
      <c r="A661">
        <v>1239651</v>
      </c>
      <c r="B661" t="s">
        <v>1113</v>
      </c>
      <c r="C661" t="s">
        <v>1128</v>
      </c>
      <c r="D661" t="s">
        <v>1127</v>
      </c>
      <c r="E661" t="s">
        <v>1126</v>
      </c>
      <c r="F661" t="s">
        <v>1125</v>
      </c>
      <c r="G661" t="s">
        <v>1155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1123</v>
      </c>
      <c r="N661" t="s">
        <v>1122</v>
      </c>
    </row>
    <row r="662" spans="1:14" x14ac:dyDescent="0.3">
      <c r="A662">
        <v>1239651</v>
      </c>
      <c r="B662" t="s">
        <v>1113</v>
      </c>
      <c r="C662" t="s">
        <v>1128</v>
      </c>
      <c r="D662" t="s">
        <v>1127</v>
      </c>
      <c r="E662" t="s">
        <v>1126</v>
      </c>
      <c r="F662" t="s">
        <v>1125</v>
      </c>
      <c r="G662" t="s">
        <v>1154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1123</v>
      </c>
      <c r="N662" t="s">
        <v>1122</v>
      </c>
    </row>
    <row r="663" spans="1:14" x14ac:dyDescent="0.3">
      <c r="A663">
        <v>1239651</v>
      </c>
      <c r="B663" t="s">
        <v>1113</v>
      </c>
      <c r="C663" t="s">
        <v>1128</v>
      </c>
      <c r="D663" t="s">
        <v>1127</v>
      </c>
      <c r="E663" t="s">
        <v>1126</v>
      </c>
      <c r="F663" t="s">
        <v>1125</v>
      </c>
      <c r="G663" t="s">
        <v>1153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1123</v>
      </c>
      <c r="N663" t="s">
        <v>1122</v>
      </c>
    </row>
    <row r="664" spans="1:14" x14ac:dyDescent="0.3">
      <c r="A664">
        <v>1239651</v>
      </c>
      <c r="B664" t="s">
        <v>1113</v>
      </c>
      <c r="C664" t="s">
        <v>1128</v>
      </c>
      <c r="D664" t="s">
        <v>1127</v>
      </c>
      <c r="E664" t="s">
        <v>1126</v>
      </c>
      <c r="F664" t="s">
        <v>1125</v>
      </c>
      <c r="G664" t="s">
        <v>1152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1123</v>
      </c>
      <c r="N664" t="s">
        <v>1122</v>
      </c>
    </row>
    <row r="665" spans="1:14" x14ac:dyDescent="0.3">
      <c r="A665">
        <v>1239651</v>
      </c>
      <c r="B665" t="s">
        <v>1113</v>
      </c>
      <c r="C665" t="s">
        <v>1128</v>
      </c>
      <c r="D665" t="s">
        <v>1127</v>
      </c>
      <c r="E665" t="s">
        <v>1126</v>
      </c>
      <c r="F665" t="s">
        <v>1125</v>
      </c>
      <c r="G665" t="s">
        <v>1151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1123</v>
      </c>
      <c r="N665" t="s">
        <v>1122</v>
      </c>
    </row>
    <row r="666" spans="1:14" x14ac:dyDescent="0.3">
      <c r="A666">
        <v>1239651</v>
      </c>
      <c r="B666" t="s">
        <v>1113</v>
      </c>
      <c r="C666" t="s">
        <v>1128</v>
      </c>
      <c r="D666" t="s">
        <v>1127</v>
      </c>
      <c r="E666" t="s">
        <v>1126</v>
      </c>
      <c r="F666" t="s">
        <v>1125</v>
      </c>
      <c r="G666" t="s">
        <v>1150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1123</v>
      </c>
      <c r="N666" t="s">
        <v>1122</v>
      </c>
    </row>
    <row r="667" spans="1:14" x14ac:dyDescent="0.3">
      <c r="A667">
        <v>1239651</v>
      </c>
      <c r="B667" t="s">
        <v>1113</v>
      </c>
      <c r="C667" t="s">
        <v>1128</v>
      </c>
      <c r="D667" t="s">
        <v>1127</v>
      </c>
      <c r="E667" t="s">
        <v>1126</v>
      </c>
      <c r="F667" t="s">
        <v>1125</v>
      </c>
      <c r="G667" t="s">
        <v>1149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1123</v>
      </c>
      <c r="N667" t="s">
        <v>1122</v>
      </c>
    </row>
    <row r="668" spans="1:14" x14ac:dyDescent="0.3">
      <c r="A668">
        <v>1239651</v>
      </c>
      <c r="B668" t="s">
        <v>1113</v>
      </c>
      <c r="C668" t="s">
        <v>1128</v>
      </c>
      <c r="D668" t="s">
        <v>1127</v>
      </c>
      <c r="E668" t="s">
        <v>1126</v>
      </c>
      <c r="F668" t="s">
        <v>1125</v>
      </c>
      <c r="G668" t="s">
        <v>1148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1123</v>
      </c>
      <c r="N668" t="s">
        <v>1122</v>
      </c>
    </row>
    <row r="669" spans="1:14" x14ac:dyDescent="0.3">
      <c r="A669">
        <v>1239651</v>
      </c>
      <c r="B669" t="s">
        <v>1113</v>
      </c>
      <c r="C669" t="s">
        <v>1128</v>
      </c>
      <c r="D669" t="s">
        <v>1127</v>
      </c>
      <c r="E669" t="s">
        <v>1126</v>
      </c>
      <c r="F669" t="s">
        <v>1125</v>
      </c>
      <c r="G669" t="s">
        <v>1147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1123</v>
      </c>
      <c r="N669" t="s">
        <v>1122</v>
      </c>
    </row>
    <row r="670" spans="1:14" x14ac:dyDescent="0.3">
      <c r="A670">
        <v>1239651</v>
      </c>
      <c r="B670" t="s">
        <v>1113</v>
      </c>
      <c r="C670" t="s">
        <v>1128</v>
      </c>
      <c r="D670" t="s">
        <v>1127</v>
      </c>
      <c r="E670" t="s">
        <v>1126</v>
      </c>
      <c r="F670" t="s">
        <v>1125</v>
      </c>
      <c r="G670" t="s">
        <v>1146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1123</v>
      </c>
      <c r="N670" t="s">
        <v>1122</v>
      </c>
    </row>
    <row r="671" spans="1:14" x14ac:dyDescent="0.3">
      <c r="A671">
        <v>1239651</v>
      </c>
      <c r="B671" t="s">
        <v>1113</v>
      </c>
      <c r="C671" t="s">
        <v>1128</v>
      </c>
      <c r="D671" t="s">
        <v>1127</v>
      </c>
      <c r="E671" t="s">
        <v>1126</v>
      </c>
      <c r="F671" t="s">
        <v>1125</v>
      </c>
      <c r="G671" t="s">
        <v>1145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1123</v>
      </c>
      <c r="N671" t="s">
        <v>1122</v>
      </c>
    </row>
    <row r="672" spans="1:14" x14ac:dyDescent="0.3">
      <c r="A672">
        <v>1239651</v>
      </c>
      <c r="B672" t="s">
        <v>1113</v>
      </c>
      <c r="C672" t="s">
        <v>1128</v>
      </c>
      <c r="D672" t="s">
        <v>1127</v>
      </c>
      <c r="E672" t="s">
        <v>1126</v>
      </c>
      <c r="F672" t="s">
        <v>1125</v>
      </c>
      <c r="G672" t="s">
        <v>1144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1123</v>
      </c>
      <c r="N672" t="s">
        <v>1122</v>
      </c>
    </row>
    <row r="673" spans="1:14" x14ac:dyDescent="0.3">
      <c r="A673">
        <v>1239651</v>
      </c>
      <c r="B673" t="s">
        <v>1113</v>
      </c>
      <c r="C673" t="s">
        <v>1128</v>
      </c>
      <c r="D673" t="s">
        <v>1127</v>
      </c>
      <c r="E673" t="s">
        <v>1126</v>
      </c>
      <c r="F673" t="s">
        <v>1125</v>
      </c>
      <c r="G673" t="s">
        <v>1143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1123</v>
      </c>
      <c r="N673" t="s">
        <v>1122</v>
      </c>
    </row>
    <row r="674" spans="1:14" x14ac:dyDescent="0.3">
      <c r="A674">
        <v>1239651</v>
      </c>
      <c r="B674" t="s">
        <v>1113</v>
      </c>
      <c r="C674" t="s">
        <v>1128</v>
      </c>
      <c r="D674" t="s">
        <v>1127</v>
      </c>
      <c r="E674" t="s">
        <v>1126</v>
      </c>
      <c r="F674" t="s">
        <v>1125</v>
      </c>
      <c r="G674" t="s">
        <v>1142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1123</v>
      </c>
      <c r="N674" t="s">
        <v>1122</v>
      </c>
    </row>
    <row r="675" spans="1:14" x14ac:dyDescent="0.3">
      <c r="A675">
        <v>1239651</v>
      </c>
      <c r="B675" t="s">
        <v>1113</v>
      </c>
      <c r="C675" t="s">
        <v>1128</v>
      </c>
      <c r="D675" t="s">
        <v>1127</v>
      </c>
      <c r="E675" t="s">
        <v>1126</v>
      </c>
      <c r="F675" t="s">
        <v>1125</v>
      </c>
      <c r="G675" t="s">
        <v>1141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1123</v>
      </c>
      <c r="N675" t="s">
        <v>1122</v>
      </c>
    </row>
    <row r="676" spans="1:14" x14ac:dyDescent="0.3">
      <c r="A676">
        <v>1239651</v>
      </c>
      <c r="B676" t="s">
        <v>1113</v>
      </c>
      <c r="C676" t="s">
        <v>1128</v>
      </c>
      <c r="D676" t="s">
        <v>1127</v>
      </c>
      <c r="E676" t="s">
        <v>1126</v>
      </c>
      <c r="F676" t="s">
        <v>1125</v>
      </c>
      <c r="G676" t="s">
        <v>1140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1123</v>
      </c>
      <c r="N676" t="s">
        <v>1122</v>
      </c>
    </row>
    <row r="677" spans="1:14" x14ac:dyDescent="0.3">
      <c r="A677">
        <v>1239651</v>
      </c>
      <c r="B677" t="s">
        <v>1113</v>
      </c>
      <c r="C677" t="s">
        <v>1128</v>
      </c>
      <c r="D677" t="s">
        <v>1127</v>
      </c>
      <c r="E677" t="s">
        <v>1126</v>
      </c>
      <c r="F677" t="s">
        <v>1125</v>
      </c>
      <c r="G677" t="s">
        <v>1139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1123</v>
      </c>
      <c r="N677" t="s">
        <v>1122</v>
      </c>
    </row>
    <row r="678" spans="1:14" x14ac:dyDescent="0.3">
      <c r="A678">
        <v>1239651</v>
      </c>
      <c r="B678" t="s">
        <v>1113</v>
      </c>
      <c r="C678" t="s">
        <v>1128</v>
      </c>
      <c r="D678" t="s">
        <v>1127</v>
      </c>
      <c r="E678" t="s">
        <v>1126</v>
      </c>
      <c r="F678" t="s">
        <v>1125</v>
      </c>
      <c r="G678" t="s">
        <v>1138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1123</v>
      </c>
      <c r="N678" t="s">
        <v>1122</v>
      </c>
    </row>
    <row r="679" spans="1:14" x14ac:dyDescent="0.3">
      <c r="A679">
        <v>1239651</v>
      </c>
      <c r="B679" t="s">
        <v>1113</v>
      </c>
      <c r="C679" t="s">
        <v>1128</v>
      </c>
      <c r="D679" t="s">
        <v>1127</v>
      </c>
      <c r="E679" t="s">
        <v>1126</v>
      </c>
      <c r="F679" t="s">
        <v>1125</v>
      </c>
      <c r="G679" t="s">
        <v>1137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1123</v>
      </c>
      <c r="N679" t="s">
        <v>1122</v>
      </c>
    </row>
    <row r="680" spans="1:14" x14ac:dyDescent="0.3">
      <c r="A680">
        <v>1239651</v>
      </c>
      <c r="B680" t="s">
        <v>1113</v>
      </c>
      <c r="C680" t="s">
        <v>1128</v>
      </c>
      <c r="D680" t="s">
        <v>1127</v>
      </c>
      <c r="E680" t="s">
        <v>1126</v>
      </c>
      <c r="F680" t="s">
        <v>1125</v>
      </c>
      <c r="G680" t="s">
        <v>1136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1123</v>
      </c>
      <c r="N680" t="s">
        <v>1122</v>
      </c>
    </row>
    <row r="681" spans="1:14" x14ac:dyDescent="0.3">
      <c r="A681">
        <v>1239651</v>
      </c>
      <c r="B681" t="s">
        <v>1113</v>
      </c>
      <c r="C681" t="s">
        <v>1128</v>
      </c>
      <c r="D681" t="s">
        <v>1127</v>
      </c>
      <c r="E681" t="s">
        <v>1126</v>
      </c>
      <c r="F681" t="s">
        <v>1125</v>
      </c>
      <c r="G681" t="s">
        <v>1135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1123</v>
      </c>
      <c r="N681" t="s">
        <v>1122</v>
      </c>
    </row>
    <row r="682" spans="1:14" x14ac:dyDescent="0.3">
      <c r="A682">
        <v>1239651</v>
      </c>
      <c r="B682" t="s">
        <v>1113</v>
      </c>
      <c r="C682" t="s">
        <v>1128</v>
      </c>
      <c r="D682" t="s">
        <v>1127</v>
      </c>
      <c r="E682" t="s">
        <v>1126</v>
      </c>
      <c r="F682" t="s">
        <v>1125</v>
      </c>
      <c r="G682" t="s">
        <v>1134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1123</v>
      </c>
      <c r="N682" t="s">
        <v>1122</v>
      </c>
    </row>
    <row r="683" spans="1:14" x14ac:dyDescent="0.3">
      <c r="A683">
        <v>1239651</v>
      </c>
      <c r="B683" t="s">
        <v>1113</v>
      </c>
      <c r="C683" t="s">
        <v>1128</v>
      </c>
      <c r="D683" t="s">
        <v>1127</v>
      </c>
      <c r="E683" t="s">
        <v>1126</v>
      </c>
      <c r="F683" t="s">
        <v>1125</v>
      </c>
      <c r="G683" t="s">
        <v>1133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1123</v>
      </c>
      <c r="N683" t="s">
        <v>1122</v>
      </c>
    </row>
    <row r="684" spans="1:14" x14ac:dyDescent="0.3">
      <c r="A684">
        <v>1239651</v>
      </c>
      <c r="B684" t="s">
        <v>1113</v>
      </c>
      <c r="C684" t="s">
        <v>1128</v>
      </c>
      <c r="D684" t="s">
        <v>1127</v>
      </c>
      <c r="E684" t="s">
        <v>1126</v>
      </c>
      <c r="F684" t="s">
        <v>1125</v>
      </c>
      <c r="G684" t="s">
        <v>1132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1123</v>
      </c>
      <c r="N684" t="s">
        <v>1122</v>
      </c>
    </row>
    <row r="685" spans="1:14" x14ac:dyDescent="0.3">
      <c r="A685">
        <v>1239651</v>
      </c>
      <c r="B685" t="s">
        <v>1113</v>
      </c>
      <c r="C685" t="s">
        <v>1128</v>
      </c>
      <c r="D685" t="s">
        <v>1127</v>
      </c>
      <c r="E685" t="s">
        <v>1126</v>
      </c>
      <c r="F685" t="s">
        <v>1125</v>
      </c>
      <c r="G685" t="s">
        <v>1131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1123</v>
      </c>
      <c r="N685" t="s">
        <v>1122</v>
      </c>
    </row>
    <row r="686" spans="1:14" x14ac:dyDescent="0.3">
      <c r="A686">
        <v>1239651</v>
      </c>
      <c r="B686" t="s">
        <v>1113</v>
      </c>
      <c r="C686" t="s">
        <v>1128</v>
      </c>
      <c r="D686" t="s">
        <v>1127</v>
      </c>
      <c r="E686" t="s">
        <v>1126</v>
      </c>
      <c r="F686" t="s">
        <v>1125</v>
      </c>
      <c r="G686" t="s">
        <v>1130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1123</v>
      </c>
      <c r="N686" t="s">
        <v>1122</v>
      </c>
    </row>
    <row r="687" spans="1:14" x14ac:dyDescent="0.3">
      <c r="A687">
        <v>1239651</v>
      </c>
      <c r="B687" t="s">
        <v>1113</v>
      </c>
      <c r="C687" t="s">
        <v>1128</v>
      </c>
      <c r="D687" t="s">
        <v>1127</v>
      </c>
      <c r="E687" t="s">
        <v>1126</v>
      </c>
      <c r="F687" t="s">
        <v>1125</v>
      </c>
      <c r="G687" t="s">
        <v>1129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1123</v>
      </c>
      <c r="N687" t="s">
        <v>1122</v>
      </c>
    </row>
    <row r="688" spans="1:14" x14ac:dyDescent="0.3">
      <c r="A688">
        <v>1239651</v>
      </c>
      <c r="B688" t="s">
        <v>1113</v>
      </c>
      <c r="C688" t="s">
        <v>1128</v>
      </c>
      <c r="D688" t="s">
        <v>1127</v>
      </c>
      <c r="E688" t="s">
        <v>1126</v>
      </c>
      <c r="F688" t="s">
        <v>1125</v>
      </c>
      <c r="G688" t="s">
        <v>1124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1123</v>
      </c>
      <c r="N688" t="s">
        <v>1122</v>
      </c>
    </row>
    <row r="689" spans="1:14" x14ac:dyDescent="0.3">
      <c r="A689">
        <v>1239651</v>
      </c>
      <c r="B689" t="s">
        <v>1113</v>
      </c>
      <c r="C689" t="s">
        <v>1121</v>
      </c>
      <c r="D689" t="s">
        <v>1121</v>
      </c>
      <c r="E689" t="s">
        <v>1120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679</v>
      </c>
      <c r="N689" t="s">
        <v>1119</v>
      </c>
    </row>
    <row r="690" spans="1:14" x14ac:dyDescent="0.3">
      <c r="A690">
        <v>1239651</v>
      </c>
      <c r="B690" t="s">
        <v>1113</v>
      </c>
      <c r="C690" t="s">
        <v>1118</v>
      </c>
      <c r="D690" t="s">
        <v>1118</v>
      </c>
      <c r="E690" t="s">
        <v>1117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1116</v>
      </c>
      <c r="N690" t="s">
        <v>1115</v>
      </c>
    </row>
    <row r="691" spans="1:14" hidden="1" x14ac:dyDescent="0.3">
      <c r="A691">
        <v>1239651</v>
      </c>
      <c r="B691" t="s">
        <v>1113</v>
      </c>
      <c r="C691" t="s">
        <v>1114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1113</v>
      </c>
      <c r="C692" t="s">
        <v>1112</v>
      </c>
      <c r="D692" t="s">
        <v>1112</v>
      </c>
      <c r="E692" t="s">
        <v>1111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1110</v>
      </c>
      <c r="N692" t="s">
        <v>1109</v>
      </c>
    </row>
    <row r="693" spans="1:14" hidden="1" x14ac:dyDescent="0.3">
      <c r="A693">
        <v>1252441</v>
      </c>
      <c r="B693" t="s">
        <v>1056</v>
      </c>
      <c r="C693" t="s">
        <v>1108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1056</v>
      </c>
      <c r="C694" t="s">
        <v>1107</v>
      </c>
      <c r="D694" t="s">
        <v>1106</v>
      </c>
      <c r="E694" t="s">
        <v>1105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hidden="1" x14ac:dyDescent="0.3">
      <c r="A695">
        <v>1252441</v>
      </c>
      <c r="B695" t="s">
        <v>1056</v>
      </c>
      <c r="C695" t="s">
        <v>1104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1056</v>
      </c>
      <c r="C696" t="s">
        <v>1095</v>
      </c>
      <c r="D696" t="s">
        <v>1094</v>
      </c>
      <c r="E696" t="s">
        <v>1093</v>
      </c>
      <c r="G696" t="s">
        <v>1103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1056</v>
      </c>
      <c r="C697" t="s">
        <v>1095</v>
      </c>
      <c r="D697" t="s">
        <v>1094</v>
      </c>
      <c r="E697" t="s">
        <v>1093</v>
      </c>
      <c r="G697" t="s">
        <v>1102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1056</v>
      </c>
      <c r="C698" t="s">
        <v>1095</v>
      </c>
      <c r="D698" t="s">
        <v>1094</v>
      </c>
      <c r="E698" t="s">
        <v>1093</v>
      </c>
      <c r="G698" t="s">
        <v>1101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1056</v>
      </c>
      <c r="C699" t="s">
        <v>1095</v>
      </c>
      <c r="D699" t="s">
        <v>1094</v>
      </c>
      <c r="E699" t="s">
        <v>1093</v>
      </c>
      <c r="G699" t="s">
        <v>1100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1056</v>
      </c>
      <c r="C700" t="s">
        <v>1095</v>
      </c>
      <c r="D700" t="s">
        <v>1094</v>
      </c>
      <c r="E700" t="s">
        <v>1093</v>
      </c>
      <c r="G700" t="s">
        <v>1099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1056</v>
      </c>
      <c r="C701" t="s">
        <v>1095</v>
      </c>
      <c r="D701" t="s">
        <v>1094</v>
      </c>
      <c r="E701" t="s">
        <v>1093</v>
      </c>
      <c r="G701" t="s">
        <v>1098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1056</v>
      </c>
      <c r="C702" t="s">
        <v>1095</v>
      </c>
      <c r="D702" t="s">
        <v>1094</v>
      </c>
      <c r="E702" t="s">
        <v>1093</v>
      </c>
      <c r="G702" t="s">
        <v>1097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1056</v>
      </c>
      <c r="C703" t="s">
        <v>1095</v>
      </c>
      <c r="D703" t="s">
        <v>1094</v>
      </c>
      <c r="E703" t="s">
        <v>1093</v>
      </c>
      <c r="G703" t="s">
        <v>1096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1056</v>
      </c>
      <c r="C704" t="s">
        <v>1095</v>
      </c>
      <c r="D704" t="s">
        <v>1094</v>
      </c>
      <c r="E704" t="s">
        <v>1093</v>
      </c>
      <c r="G704" t="s">
        <v>1092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hidden="1" x14ac:dyDescent="0.3">
      <c r="A705">
        <v>1252441</v>
      </c>
      <c r="B705" t="s">
        <v>1056</v>
      </c>
      <c r="C705" t="s">
        <v>1091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hidden="1" x14ac:dyDescent="0.3">
      <c r="A706">
        <v>1252441</v>
      </c>
      <c r="B706" t="s">
        <v>1056</v>
      </c>
      <c r="C706" t="s">
        <v>1090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1056</v>
      </c>
      <c r="C707" t="s">
        <v>1064</v>
      </c>
      <c r="D707" t="s">
        <v>1063</v>
      </c>
      <c r="E707" t="s">
        <v>1062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1060</v>
      </c>
      <c r="N707" t="s">
        <v>1059</v>
      </c>
    </row>
    <row r="708" spans="1:14" x14ac:dyDescent="0.3">
      <c r="A708">
        <v>1252441</v>
      </c>
      <c r="B708" t="s">
        <v>1056</v>
      </c>
      <c r="C708" t="s">
        <v>1064</v>
      </c>
      <c r="D708" t="s">
        <v>1063</v>
      </c>
      <c r="E708" t="s">
        <v>1062</v>
      </c>
      <c r="F708">
        <v>170665424</v>
      </c>
      <c r="G708" t="s">
        <v>1089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1060</v>
      </c>
      <c r="N708" t="s">
        <v>1059</v>
      </c>
    </row>
    <row r="709" spans="1:14" x14ac:dyDescent="0.3">
      <c r="A709">
        <v>1252441</v>
      </c>
      <c r="B709" t="s">
        <v>1056</v>
      </c>
      <c r="C709" t="s">
        <v>1064</v>
      </c>
      <c r="D709" t="s">
        <v>1063</v>
      </c>
      <c r="E709" t="s">
        <v>1062</v>
      </c>
      <c r="F709">
        <v>170665424</v>
      </c>
      <c r="G709" t="s">
        <v>1088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1060</v>
      </c>
      <c r="N709" t="s">
        <v>1059</v>
      </c>
    </row>
    <row r="710" spans="1:14" x14ac:dyDescent="0.3">
      <c r="A710">
        <v>1252441</v>
      </c>
      <c r="B710" t="s">
        <v>1056</v>
      </c>
      <c r="C710" t="s">
        <v>1064</v>
      </c>
      <c r="D710" t="s">
        <v>1063</v>
      </c>
      <c r="E710" t="s">
        <v>1062</v>
      </c>
      <c r="F710">
        <v>170665424</v>
      </c>
      <c r="G710" t="s">
        <v>1087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1060</v>
      </c>
      <c r="N710" t="s">
        <v>1059</v>
      </c>
    </row>
    <row r="711" spans="1:14" x14ac:dyDescent="0.3">
      <c r="A711">
        <v>1252441</v>
      </c>
      <c r="B711" t="s">
        <v>1056</v>
      </c>
      <c r="C711" t="s">
        <v>1064</v>
      </c>
      <c r="D711" t="s">
        <v>1063</v>
      </c>
      <c r="E711" t="s">
        <v>1062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1060</v>
      </c>
      <c r="N711" t="s">
        <v>1059</v>
      </c>
    </row>
    <row r="712" spans="1:14" x14ac:dyDescent="0.3">
      <c r="A712">
        <v>1252441</v>
      </c>
      <c r="B712" t="s">
        <v>1056</v>
      </c>
      <c r="C712" t="s">
        <v>1064</v>
      </c>
      <c r="D712" t="s">
        <v>1063</v>
      </c>
      <c r="E712" t="s">
        <v>1062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1060</v>
      </c>
      <c r="N712" t="s">
        <v>1059</v>
      </c>
    </row>
    <row r="713" spans="1:14" x14ac:dyDescent="0.3">
      <c r="A713">
        <v>1252441</v>
      </c>
      <c r="B713" t="s">
        <v>1056</v>
      </c>
      <c r="C713" t="s">
        <v>1064</v>
      </c>
      <c r="D713" t="s">
        <v>1063</v>
      </c>
      <c r="E713" t="s">
        <v>1062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1060</v>
      </c>
      <c r="N713" t="s">
        <v>1059</v>
      </c>
    </row>
    <row r="714" spans="1:14" x14ac:dyDescent="0.3">
      <c r="A714">
        <v>1252441</v>
      </c>
      <c r="B714" t="s">
        <v>1056</v>
      </c>
      <c r="C714" t="s">
        <v>1064</v>
      </c>
      <c r="D714" t="s">
        <v>1063</v>
      </c>
      <c r="E714" t="s">
        <v>1062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1060</v>
      </c>
      <c r="N714" t="s">
        <v>1059</v>
      </c>
    </row>
    <row r="715" spans="1:14" x14ac:dyDescent="0.3">
      <c r="A715">
        <v>1252441</v>
      </c>
      <c r="B715" t="s">
        <v>1056</v>
      </c>
      <c r="C715" t="s">
        <v>1064</v>
      </c>
      <c r="D715" t="s">
        <v>1063</v>
      </c>
      <c r="E715" t="s">
        <v>1062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1060</v>
      </c>
      <c r="N715" t="s">
        <v>1059</v>
      </c>
    </row>
    <row r="716" spans="1:14" x14ac:dyDescent="0.3">
      <c r="A716">
        <v>1252441</v>
      </c>
      <c r="B716" t="s">
        <v>1056</v>
      </c>
      <c r="C716" t="s">
        <v>1064</v>
      </c>
      <c r="D716" t="s">
        <v>1063</v>
      </c>
      <c r="E716" t="s">
        <v>1062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1060</v>
      </c>
      <c r="N716" t="s">
        <v>1059</v>
      </c>
    </row>
    <row r="717" spans="1:14" x14ac:dyDescent="0.3">
      <c r="A717">
        <v>1252441</v>
      </c>
      <c r="B717" t="s">
        <v>1056</v>
      </c>
      <c r="C717" t="s">
        <v>1064</v>
      </c>
      <c r="D717" t="s">
        <v>1063</v>
      </c>
      <c r="E717" t="s">
        <v>1062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1060</v>
      </c>
      <c r="N717" t="s">
        <v>1059</v>
      </c>
    </row>
    <row r="718" spans="1:14" x14ac:dyDescent="0.3">
      <c r="A718">
        <v>1252441</v>
      </c>
      <c r="B718" t="s">
        <v>1056</v>
      </c>
      <c r="C718" t="s">
        <v>1064</v>
      </c>
      <c r="D718" t="s">
        <v>1063</v>
      </c>
      <c r="E718" t="s">
        <v>1062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1060</v>
      </c>
      <c r="N718" t="s">
        <v>1059</v>
      </c>
    </row>
    <row r="719" spans="1:14" x14ac:dyDescent="0.3">
      <c r="A719">
        <v>1252441</v>
      </c>
      <c r="B719" t="s">
        <v>1056</v>
      </c>
      <c r="C719" t="s">
        <v>1064</v>
      </c>
      <c r="D719" t="s">
        <v>1063</v>
      </c>
      <c r="E719" t="s">
        <v>1062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1060</v>
      </c>
      <c r="N719" t="s">
        <v>1059</v>
      </c>
    </row>
    <row r="720" spans="1:14" x14ac:dyDescent="0.3">
      <c r="A720">
        <v>1252441</v>
      </c>
      <c r="B720" t="s">
        <v>1056</v>
      </c>
      <c r="C720" t="s">
        <v>1064</v>
      </c>
      <c r="D720" t="s">
        <v>1063</v>
      </c>
      <c r="E720" t="s">
        <v>1062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1060</v>
      </c>
      <c r="N720" t="s">
        <v>1059</v>
      </c>
    </row>
    <row r="721" spans="1:14" x14ac:dyDescent="0.3">
      <c r="A721">
        <v>1252441</v>
      </c>
      <c r="B721" t="s">
        <v>1056</v>
      </c>
      <c r="C721" t="s">
        <v>1064</v>
      </c>
      <c r="D721" t="s">
        <v>1063</v>
      </c>
      <c r="E721" t="s">
        <v>1062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1060</v>
      </c>
      <c r="N721" t="s">
        <v>1059</v>
      </c>
    </row>
    <row r="722" spans="1:14" x14ac:dyDescent="0.3">
      <c r="A722">
        <v>1252441</v>
      </c>
      <c r="B722" t="s">
        <v>1056</v>
      </c>
      <c r="C722" t="s">
        <v>1064</v>
      </c>
      <c r="D722" t="s">
        <v>1063</v>
      </c>
      <c r="E722" t="s">
        <v>1062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1060</v>
      </c>
      <c r="N722" t="s">
        <v>1059</v>
      </c>
    </row>
    <row r="723" spans="1:14" x14ac:dyDescent="0.3">
      <c r="A723">
        <v>1252441</v>
      </c>
      <c r="B723" t="s">
        <v>1056</v>
      </c>
      <c r="C723" t="s">
        <v>1064</v>
      </c>
      <c r="D723" t="s">
        <v>1063</v>
      </c>
      <c r="E723" t="s">
        <v>1062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1060</v>
      </c>
      <c r="N723" t="s">
        <v>1059</v>
      </c>
    </row>
    <row r="724" spans="1:14" x14ac:dyDescent="0.3">
      <c r="A724">
        <v>1252441</v>
      </c>
      <c r="B724" t="s">
        <v>1056</v>
      </c>
      <c r="C724" t="s">
        <v>1064</v>
      </c>
      <c r="D724" t="s">
        <v>1063</v>
      </c>
      <c r="E724" t="s">
        <v>1062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1060</v>
      </c>
      <c r="N724" t="s">
        <v>1059</v>
      </c>
    </row>
    <row r="725" spans="1:14" x14ac:dyDescent="0.3">
      <c r="A725">
        <v>1252441</v>
      </c>
      <c r="B725" t="s">
        <v>1056</v>
      </c>
      <c r="C725" t="s">
        <v>1064</v>
      </c>
      <c r="D725" t="s">
        <v>1063</v>
      </c>
      <c r="E725" t="s">
        <v>1062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1060</v>
      </c>
      <c r="N725" t="s">
        <v>1059</v>
      </c>
    </row>
    <row r="726" spans="1:14" x14ac:dyDescent="0.3">
      <c r="A726">
        <v>1252441</v>
      </c>
      <c r="B726" t="s">
        <v>1056</v>
      </c>
      <c r="C726" t="s">
        <v>1064</v>
      </c>
      <c r="D726" t="s">
        <v>1063</v>
      </c>
      <c r="E726" t="s">
        <v>1062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1060</v>
      </c>
      <c r="N726" t="s">
        <v>1059</v>
      </c>
    </row>
    <row r="727" spans="1:14" x14ac:dyDescent="0.3">
      <c r="A727">
        <v>1252441</v>
      </c>
      <c r="B727" t="s">
        <v>1056</v>
      </c>
      <c r="C727" t="s">
        <v>1064</v>
      </c>
      <c r="D727" t="s">
        <v>1063</v>
      </c>
      <c r="E727" t="s">
        <v>1062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1060</v>
      </c>
      <c r="N727" t="s">
        <v>1059</v>
      </c>
    </row>
    <row r="728" spans="1:14" x14ac:dyDescent="0.3">
      <c r="A728">
        <v>1252441</v>
      </c>
      <c r="B728" t="s">
        <v>1056</v>
      </c>
      <c r="C728" t="s">
        <v>1064</v>
      </c>
      <c r="D728" t="s">
        <v>1063</v>
      </c>
      <c r="E728" t="s">
        <v>1062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1060</v>
      </c>
      <c r="N728" t="s">
        <v>1059</v>
      </c>
    </row>
    <row r="729" spans="1:14" x14ac:dyDescent="0.3">
      <c r="A729">
        <v>1252441</v>
      </c>
      <c r="B729" t="s">
        <v>1056</v>
      </c>
      <c r="C729" t="s">
        <v>1064</v>
      </c>
      <c r="D729" t="s">
        <v>1063</v>
      </c>
      <c r="E729" t="s">
        <v>1062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1060</v>
      </c>
      <c r="N729" t="s">
        <v>1059</v>
      </c>
    </row>
    <row r="730" spans="1:14" x14ac:dyDescent="0.3">
      <c r="A730">
        <v>1252441</v>
      </c>
      <c r="B730" t="s">
        <v>1056</v>
      </c>
      <c r="C730" t="s">
        <v>1064</v>
      </c>
      <c r="D730" t="s">
        <v>1063</v>
      </c>
      <c r="E730" t="s">
        <v>1062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1060</v>
      </c>
      <c r="N730" t="s">
        <v>1059</v>
      </c>
    </row>
    <row r="731" spans="1:14" x14ac:dyDescent="0.3">
      <c r="A731">
        <v>1252441</v>
      </c>
      <c r="B731" t="s">
        <v>1056</v>
      </c>
      <c r="C731" t="s">
        <v>1064</v>
      </c>
      <c r="D731" t="s">
        <v>1063</v>
      </c>
      <c r="E731" t="s">
        <v>1062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1060</v>
      </c>
      <c r="N731" t="s">
        <v>1059</v>
      </c>
    </row>
    <row r="732" spans="1:14" x14ac:dyDescent="0.3">
      <c r="A732">
        <v>1252441</v>
      </c>
      <c r="B732" t="s">
        <v>1056</v>
      </c>
      <c r="C732" t="s">
        <v>1064</v>
      </c>
      <c r="D732" t="s">
        <v>1063</v>
      </c>
      <c r="E732" t="s">
        <v>1062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1060</v>
      </c>
      <c r="N732" t="s">
        <v>1059</v>
      </c>
    </row>
    <row r="733" spans="1:14" x14ac:dyDescent="0.3">
      <c r="A733">
        <v>1252441</v>
      </c>
      <c r="B733" t="s">
        <v>1056</v>
      </c>
      <c r="C733" t="s">
        <v>1064</v>
      </c>
      <c r="D733" t="s">
        <v>1063</v>
      </c>
      <c r="E733" t="s">
        <v>1062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1060</v>
      </c>
      <c r="N733" t="s">
        <v>1059</v>
      </c>
    </row>
    <row r="734" spans="1:14" x14ac:dyDescent="0.3">
      <c r="A734">
        <v>1252441</v>
      </c>
      <c r="B734" t="s">
        <v>1056</v>
      </c>
      <c r="C734" t="s">
        <v>1064</v>
      </c>
      <c r="D734" t="s">
        <v>1063</v>
      </c>
      <c r="E734" t="s">
        <v>1062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1060</v>
      </c>
      <c r="N734" t="s">
        <v>1059</v>
      </c>
    </row>
    <row r="735" spans="1:14" x14ac:dyDescent="0.3">
      <c r="A735">
        <v>1252441</v>
      </c>
      <c r="B735" t="s">
        <v>1056</v>
      </c>
      <c r="C735" t="s">
        <v>1064</v>
      </c>
      <c r="D735" t="s">
        <v>1063</v>
      </c>
      <c r="E735" t="s">
        <v>1062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1060</v>
      </c>
      <c r="N735" t="s">
        <v>1059</v>
      </c>
    </row>
    <row r="736" spans="1:14" x14ac:dyDescent="0.3">
      <c r="A736">
        <v>1252441</v>
      </c>
      <c r="B736" t="s">
        <v>1056</v>
      </c>
      <c r="C736" t="s">
        <v>1064</v>
      </c>
      <c r="D736" t="s">
        <v>1063</v>
      </c>
      <c r="E736" t="s">
        <v>1062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1060</v>
      </c>
      <c r="N736" t="s">
        <v>1059</v>
      </c>
    </row>
    <row r="737" spans="1:14" x14ac:dyDescent="0.3">
      <c r="A737">
        <v>1252441</v>
      </c>
      <c r="B737" t="s">
        <v>1056</v>
      </c>
      <c r="C737" t="s">
        <v>1064</v>
      </c>
      <c r="D737" t="s">
        <v>1063</v>
      </c>
      <c r="E737" t="s">
        <v>1062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1060</v>
      </c>
      <c r="N737" t="s">
        <v>1059</v>
      </c>
    </row>
    <row r="738" spans="1:14" x14ac:dyDescent="0.3">
      <c r="A738">
        <v>1252441</v>
      </c>
      <c r="B738" t="s">
        <v>1056</v>
      </c>
      <c r="C738" t="s">
        <v>1064</v>
      </c>
      <c r="D738" t="s">
        <v>1063</v>
      </c>
      <c r="E738" t="s">
        <v>1062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1060</v>
      </c>
      <c r="N738" t="s">
        <v>1059</v>
      </c>
    </row>
    <row r="739" spans="1:14" x14ac:dyDescent="0.3">
      <c r="A739">
        <v>1252441</v>
      </c>
      <c r="B739" t="s">
        <v>1056</v>
      </c>
      <c r="C739" t="s">
        <v>1064</v>
      </c>
      <c r="D739" t="s">
        <v>1063</v>
      </c>
      <c r="E739" t="s">
        <v>1062</v>
      </c>
      <c r="F739">
        <v>170665424</v>
      </c>
      <c r="G739" t="s">
        <v>1086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1060</v>
      </c>
      <c r="N739" t="s">
        <v>1059</v>
      </c>
    </row>
    <row r="740" spans="1:14" x14ac:dyDescent="0.3">
      <c r="A740">
        <v>1252441</v>
      </c>
      <c r="B740" t="s">
        <v>1056</v>
      </c>
      <c r="C740" t="s">
        <v>1064</v>
      </c>
      <c r="D740" t="s">
        <v>1063</v>
      </c>
      <c r="E740" t="s">
        <v>1062</v>
      </c>
      <c r="F740">
        <v>170665424</v>
      </c>
      <c r="G740" t="s">
        <v>1085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1060</v>
      </c>
      <c r="N740" t="s">
        <v>1059</v>
      </c>
    </row>
    <row r="741" spans="1:14" x14ac:dyDescent="0.3">
      <c r="A741">
        <v>1252441</v>
      </c>
      <c r="B741" t="s">
        <v>1056</v>
      </c>
      <c r="C741" t="s">
        <v>1064</v>
      </c>
      <c r="D741" t="s">
        <v>1063</v>
      </c>
      <c r="E741" t="s">
        <v>1062</v>
      </c>
      <c r="F741">
        <v>170665424</v>
      </c>
      <c r="G741" t="s">
        <v>1084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1060</v>
      </c>
      <c r="N741" t="s">
        <v>1059</v>
      </c>
    </row>
    <row r="742" spans="1:14" x14ac:dyDescent="0.3">
      <c r="A742">
        <v>1252441</v>
      </c>
      <c r="B742" t="s">
        <v>1056</v>
      </c>
      <c r="C742" t="s">
        <v>1064</v>
      </c>
      <c r="D742" t="s">
        <v>1063</v>
      </c>
      <c r="E742" t="s">
        <v>1062</v>
      </c>
      <c r="F742">
        <v>170665424</v>
      </c>
      <c r="G742" t="s">
        <v>1083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1060</v>
      </c>
      <c r="N742" t="s">
        <v>1059</v>
      </c>
    </row>
    <row r="743" spans="1:14" x14ac:dyDescent="0.3">
      <c r="A743">
        <v>1252441</v>
      </c>
      <c r="B743" t="s">
        <v>1056</v>
      </c>
      <c r="C743" t="s">
        <v>1064</v>
      </c>
      <c r="D743" t="s">
        <v>1063</v>
      </c>
      <c r="E743" t="s">
        <v>1062</v>
      </c>
      <c r="F743">
        <v>170665424</v>
      </c>
      <c r="G743" t="s">
        <v>1082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1060</v>
      </c>
      <c r="N743" t="s">
        <v>1059</v>
      </c>
    </row>
    <row r="744" spans="1:14" x14ac:dyDescent="0.3">
      <c r="A744">
        <v>1252441</v>
      </c>
      <c r="B744" t="s">
        <v>1056</v>
      </c>
      <c r="C744" t="s">
        <v>1064</v>
      </c>
      <c r="D744" t="s">
        <v>1063</v>
      </c>
      <c r="E744" t="s">
        <v>1062</v>
      </c>
      <c r="F744">
        <v>170665424</v>
      </c>
      <c r="G744" t="s">
        <v>1081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1060</v>
      </c>
      <c r="N744" t="s">
        <v>1059</v>
      </c>
    </row>
    <row r="745" spans="1:14" x14ac:dyDescent="0.3">
      <c r="A745">
        <v>1252441</v>
      </c>
      <c r="B745" t="s">
        <v>1056</v>
      </c>
      <c r="C745" t="s">
        <v>1064</v>
      </c>
      <c r="D745" t="s">
        <v>1063</v>
      </c>
      <c r="E745" t="s">
        <v>1062</v>
      </c>
      <c r="F745">
        <v>170665424</v>
      </c>
      <c r="G745" t="s">
        <v>1080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1060</v>
      </c>
      <c r="N745" t="s">
        <v>1059</v>
      </c>
    </row>
    <row r="746" spans="1:14" x14ac:dyDescent="0.3">
      <c r="A746">
        <v>1252441</v>
      </c>
      <c r="B746" t="s">
        <v>1056</v>
      </c>
      <c r="C746" t="s">
        <v>1064</v>
      </c>
      <c r="D746" t="s">
        <v>1063</v>
      </c>
      <c r="E746" t="s">
        <v>1062</v>
      </c>
      <c r="F746">
        <v>170665424</v>
      </c>
      <c r="G746" t="s">
        <v>1079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1060</v>
      </c>
      <c r="N746" t="s">
        <v>1059</v>
      </c>
    </row>
    <row r="747" spans="1:14" x14ac:dyDescent="0.3">
      <c r="A747">
        <v>1252441</v>
      </c>
      <c r="B747" t="s">
        <v>1056</v>
      </c>
      <c r="C747" t="s">
        <v>1064</v>
      </c>
      <c r="D747" t="s">
        <v>1063</v>
      </c>
      <c r="E747" t="s">
        <v>1062</v>
      </c>
      <c r="F747">
        <v>170665424</v>
      </c>
      <c r="G747" t="s">
        <v>1078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1060</v>
      </c>
      <c r="N747" t="s">
        <v>1059</v>
      </c>
    </row>
    <row r="748" spans="1:14" x14ac:dyDescent="0.3">
      <c r="A748">
        <v>1252441</v>
      </c>
      <c r="B748" t="s">
        <v>1056</v>
      </c>
      <c r="C748" t="s">
        <v>1064</v>
      </c>
      <c r="D748" t="s">
        <v>1063</v>
      </c>
      <c r="E748" t="s">
        <v>1062</v>
      </c>
      <c r="F748">
        <v>170665424</v>
      </c>
      <c r="G748" t="s">
        <v>1077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1060</v>
      </c>
      <c r="N748" t="s">
        <v>1059</v>
      </c>
    </row>
    <row r="749" spans="1:14" x14ac:dyDescent="0.3">
      <c r="A749">
        <v>1252441</v>
      </c>
      <c r="B749" t="s">
        <v>1056</v>
      </c>
      <c r="C749" t="s">
        <v>1064</v>
      </c>
      <c r="D749" t="s">
        <v>1063</v>
      </c>
      <c r="E749" t="s">
        <v>1062</v>
      </c>
      <c r="F749">
        <v>170665424</v>
      </c>
      <c r="G749" t="s">
        <v>1076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1060</v>
      </c>
      <c r="N749" t="s">
        <v>1059</v>
      </c>
    </row>
    <row r="750" spans="1:14" x14ac:dyDescent="0.3">
      <c r="A750">
        <v>1252441</v>
      </c>
      <c r="B750" t="s">
        <v>1056</v>
      </c>
      <c r="C750" t="s">
        <v>1064</v>
      </c>
      <c r="D750" t="s">
        <v>1063</v>
      </c>
      <c r="E750" t="s">
        <v>1062</v>
      </c>
      <c r="F750">
        <v>170665424</v>
      </c>
      <c r="G750" t="s">
        <v>1075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1060</v>
      </c>
      <c r="N750" t="s">
        <v>1059</v>
      </c>
    </row>
    <row r="751" spans="1:14" x14ac:dyDescent="0.3">
      <c r="A751">
        <v>1252441</v>
      </c>
      <c r="B751" t="s">
        <v>1056</v>
      </c>
      <c r="C751" t="s">
        <v>1064</v>
      </c>
      <c r="D751" t="s">
        <v>1063</v>
      </c>
      <c r="E751" t="s">
        <v>1062</v>
      </c>
      <c r="F751">
        <v>170665424</v>
      </c>
      <c r="G751" t="s">
        <v>1074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1060</v>
      </c>
      <c r="N751" t="s">
        <v>1059</v>
      </c>
    </row>
    <row r="752" spans="1:14" x14ac:dyDescent="0.3">
      <c r="A752">
        <v>1252441</v>
      </c>
      <c r="B752" t="s">
        <v>1056</v>
      </c>
      <c r="C752" t="s">
        <v>1064</v>
      </c>
      <c r="D752" t="s">
        <v>1063</v>
      </c>
      <c r="E752" t="s">
        <v>1062</v>
      </c>
      <c r="F752">
        <v>170665424</v>
      </c>
      <c r="G752" t="s">
        <v>1073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1060</v>
      </c>
      <c r="N752" t="s">
        <v>1059</v>
      </c>
    </row>
    <row r="753" spans="1:14" x14ac:dyDescent="0.3">
      <c r="A753">
        <v>1252441</v>
      </c>
      <c r="B753" t="s">
        <v>1056</v>
      </c>
      <c r="C753" t="s">
        <v>1064</v>
      </c>
      <c r="D753" t="s">
        <v>1063</v>
      </c>
      <c r="E753" t="s">
        <v>1062</v>
      </c>
      <c r="F753">
        <v>170665424</v>
      </c>
      <c r="G753" t="s">
        <v>1072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1060</v>
      </c>
      <c r="N753" t="s">
        <v>1059</v>
      </c>
    </row>
    <row r="754" spans="1:14" x14ac:dyDescent="0.3">
      <c r="A754">
        <v>1252441</v>
      </c>
      <c r="B754" t="s">
        <v>1056</v>
      </c>
      <c r="C754" t="s">
        <v>1064</v>
      </c>
      <c r="D754" t="s">
        <v>1063</v>
      </c>
      <c r="E754" t="s">
        <v>1062</v>
      </c>
      <c r="F754">
        <v>170665424</v>
      </c>
      <c r="G754" t="s">
        <v>1071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1060</v>
      </c>
      <c r="N754" t="s">
        <v>1059</v>
      </c>
    </row>
    <row r="755" spans="1:14" x14ac:dyDescent="0.3">
      <c r="A755">
        <v>1252441</v>
      </c>
      <c r="B755" t="s">
        <v>1056</v>
      </c>
      <c r="C755" t="s">
        <v>1064</v>
      </c>
      <c r="D755" t="s">
        <v>1063</v>
      </c>
      <c r="E755" t="s">
        <v>1062</v>
      </c>
      <c r="F755">
        <v>170665424</v>
      </c>
      <c r="G755" t="s">
        <v>1070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1060</v>
      </c>
      <c r="N755" t="s">
        <v>1059</v>
      </c>
    </row>
    <row r="756" spans="1:14" x14ac:dyDescent="0.3">
      <c r="A756">
        <v>1252441</v>
      </c>
      <c r="B756" t="s">
        <v>1056</v>
      </c>
      <c r="C756" t="s">
        <v>1064</v>
      </c>
      <c r="D756" t="s">
        <v>1063</v>
      </c>
      <c r="E756" t="s">
        <v>1062</v>
      </c>
      <c r="F756">
        <v>170665424</v>
      </c>
      <c r="G756" t="s">
        <v>1069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1060</v>
      </c>
      <c r="N756" t="s">
        <v>1059</v>
      </c>
    </row>
    <row r="757" spans="1:14" x14ac:dyDescent="0.3">
      <c r="A757">
        <v>1252441</v>
      </c>
      <c r="B757" t="s">
        <v>1056</v>
      </c>
      <c r="C757" t="s">
        <v>1064</v>
      </c>
      <c r="D757" t="s">
        <v>1063</v>
      </c>
      <c r="E757" t="s">
        <v>1062</v>
      </c>
      <c r="F757">
        <v>170665424</v>
      </c>
      <c r="G757" t="s">
        <v>1068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1060</v>
      </c>
      <c r="N757" t="s">
        <v>1059</v>
      </c>
    </row>
    <row r="758" spans="1:14" x14ac:dyDescent="0.3">
      <c r="A758">
        <v>1252441</v>
      </c>
      <c r="B758" t="s">
        <v>1056</v>
      </c>
      <c r="C758" t="s">
        <v>1064</v>
      </c>
      <c r="D758" t="s">
        <v>1063</v>
      </c>
      <c r="E758" t="s">
        <v>1062</v>
      </c>
      <c r="F758">
        <v>170665424</v>
      </c>
      <c r="G758" t="s">
        <v>1067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1060</v>
      </c>
      <c r="N758" t="s">
        <v>1059</v>
      </c>
    </row>
    <row r="759" spans="1:14" x14ac:dyDescent="0.3">
      <c r="A759">
        <v>1252441</v>
      </c>
      <c r="B759" t="s">
        <v>1056</v>
      </c>
      <c r="C759" t="s">
        <v>1064</v>
      </c>
      <c r="D759" t="s">
        <v>1063</v>
      </c>
      <c r="E759" t="s">
        <v>1062</v>
      </c>
      <c r="F759">
        <v>170665424</v>
      </c>
      <c r="G759" t="s">
        <v>1066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1060</v>
      </c>
      <c r="N759" t="s">
        <v>1059</v>
      </c>
    </row>
    <row r="760" spans="1:14" x14ac:dyDescent="0.3">
      <c r="A760">
        <v>1252441</v>
      </c>
      <c r="B760" t="s">
        <v>1056</v>
      </c>
      <c r="C760" t="s">
        <v>1064</v>
      </c>
      <c r="D760" t="s">
        <v>1063</v>
      </c>
      <c r="E760" t="s">
        <v>1062</v>
      </c>
      <c r="F760">
        <v>170665424</v>
      </c>
      <c r="G760" t="s">
        <v>1065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1060</v>
      </c>
      <c r="N760" t="s">
        <v>1059</v>
      </c>
    </row>
    <row r="761" spans="1:14" x14ac:dyDescent="0.3">
      <c r="A761">
        <v>1252441</v>
      </c>
      <c r="B761" t="s">
        <v>1056</v>
      </c>
      <c r="C761" t="s">
        <v>1064</v>
      </c>
      <c r="D761" t="s">
        <v>1063</v>
      </c>
      <c r="E761" t="s">
        <v>1062</v>
      </c>
      <c r="F761">
        <v>170665424</v>
      </c>
      <c r="G761" t="s">
        <v>1061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1060</v>
      </c>
      <c r="N761" t="s">
        <v>1059</v>
      </c>
    </row>
    <row r="762" spans="1:14" hidden="1" x14ac:dyDescent="0.3">
      <c r="A762">
        <v>1252441</v>
      </c>
      <c r="B762" t="s">
        <v>1056</v>
      </c>
      <c r="C762" t="s">
        <v>1058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hidden="1" x14ac:dyDescent="0.3">
      <c r="A763">
        <v>1252441</v>
      </c>
      <c r="B763" t="s">
        <v>1056</v>
      </c>
      <c r="C763" t="s">
        <v>1057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hidden="1" x14ac:dyDescent="0.3">
      <c r="A764">
        <v>1252441</v>
      </c>
      <c r="B764" t="s">
        <v>1056</v>
      </c>
      <c r="C764" t="s">
        <v>1055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>
    <filterColumn colId="4">
      <customFilters>
        <customFilter operator="notEqual" val=" "/>
      </customFilters>
    </filterColumn>
  </autoFilter>
  <mergeCells count="14">
    <mergeCell ref="R182:R192"/>
    <mergeCell ref="S182:S192"/>
    <mergeCell ref="R130:R150"/>
    <mergeCell ref="S130:S150"/>
    <mergeCell ref="R151:R162"/>
    <mergeCell ref="S151:S162"/>
    <mergeCell ref="R163:R181"/>
    <mergeCell ref="S163:S181"/>
    <mergeCell ref="R2:R71"/>
    <mergeCell ref="S2:S71"/>
    <mergeCell ref="R72:R74"/>
    <mergeCell ref="S72:S74"/>
    <mergeCell ref="R75:R129"/>
    <mergeCell ref="S75:S1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73</v>
      </c>
      <c r="I3" s="2">
        <f>H3/H2</f>
        <v>0.76842105263157889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22</v>
      </c>
      <c r="I4" s="3">
        <f>1-I3</f>
        <v>0.23157894736842111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Ok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Ok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ok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7"/>
  <sheetViews>
    <sheetView workbookViewId="0">
      <selection activeCell="I2" sqref="I2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 t="s">
        <v>560</v>
      </c>
      <c r="B1" s="5" t="s">
        <v>559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 t="s">
        <v>553</v>
      </c>
      <c r="B2" s="6" t="s">
        <v>537</v>
      </c>
      <c r="C2" s="7">
        <f>Sheet1!H1</f>
        <v>20</v>
      </c>
      <c r="D2" s="7">
        <f>Sheet1!H2</f>
        <v>95</v>
      </c>
      <c r="E2" s="7">
        <f>Sheet1!$H$3</f>
        <v>73</v>
      </c>
      <c r="F2" s="7">
        <f>Sheet1!H4</f>
        <v>22</v>
      </c>
      <c r="G2" s="7">
        <f>Sheet1!H5</f>
        <v>44</v>
      </c>
      <c r="H2" s="7">
        <f>Sheet1!H6</f>
        <v>5</v>
      </c>
      <c r="I2" s="8">
        <f>E2/D2</f>
        <v>0.76842105263157889</v>
      </c>
      <c r="J2" s="8">
        <f>F2/D2</f>
        <v>0.23157894736842105</v>
      </c>
      <c r="K2" s="8">
        <f>G2/$D2</f>
        <v>0.4631578947368421</v>
      </c>
      <c r="L2" s="8">
        <f>H2/$D2</f>
        <v>5.2631578947368418E-2</v>
      </c>
    </row>
    <row r="3" spans="1:12" x14ac:dyDescent="0.3">
      <c r="A3" s="6" t="s">
        <v>554</v>
      </c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>Wikidata_upec_civil_20!AC7</f>
        <v>0.72043010752688175</v>
      </c>
      <c r="J3" s="8">
        <f>Wikidata_upec_civil_20!AD7</f>
        <v>0.27956989247311825</v>
      </c>
      <c r="K3" s="8">
        <f>Wikidata_upec_civil_20!AE7</f>
        <v>0.46236559139784944</v>
      </c>
      <c r="L3" s="8">
        <f>Wikidata_upec_civil_20!AF7</f>
        <v>7.5268817204301078E-2</v>
      </c>
    </row>
    <row r="4" spans="1:12" x14ac:dyDescent="0.3">
      <c r="A4" s="6" t="s">
        <v>555</v>
      </c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41</v>
      </c>
      <c r="F4" s="7">
        <f>Wikidata_upec_civil_20_part2!Z12</f>
        <v>7</v>
      </c>
      <c r="G4" s="7">
        <f>Wikidata_upec_civil_20_part2!AA12</f>
        <v>17</v>
      </c>
      <c r="H4" s="7">
        <f>Wikidata_upec_civil_20_part2!AB12</f>
        <v>2</v>
      </c>
      <c r="I4" s="8">
        <f>Wikidata_upec_civil_20_part2!AC12</f>
        <v>0.85416666666666663</v>
      </c>
      <c r="J4" s="8">
        <f>Wikidata_upec_civil_20_part2!AD12</f>
        <v>0.14583333333333334</v>
      </c>
      <c r="K4" s="8">
        <f>Wikidata_upec_civil_20_part2!AE12</f>
        <v>0.35416666666666669</v>
      </c>
      <c r="L4" s="8">
        <f>Wikidata_upec_civil_20_part2!AF12</f>
        <v>4.1666666666666664E-2</v>
      </c>
    </row>
    <row r="5" spans="1:12" x14ac:dyDescent="0.3">
      <c r="A5" s="6" t="s">
        <v>558</v>
      </c>
      <c r="B5" s="6" t="s">
        <v>551</v>
      </c>
      <c r="C5" s="7"/>
      <c r="D5" s="7"/>
      <c r="E5" s="7"/>
      <c r="F5" s="7"/>
      <c r="G5" s="7"/>
      <c r="H5" s="7"/>
      <c r="I5" s="8"/>
      <c r="J5" s="8"/>
      <c r="K5" s="8"/>
      <c r="L5" s="8"/>
    </row>
    <row r="6" spans="1:12" x14ac:dyDescent="0.3">
      <c r="A6" s="6" t="s">
        <v>556</v>
      </c>
      <c r="B6" s="6" t="s">
        <v>549</v>
      </c>
      <c r="C6" s="7"/>
      <c r="D6" s="7"/>
      <c r="E6" s="7"/>
      <c r="F6" s="7"/>
      <c r="G6" s="7"/>
      <c r="H6" s="7"/>
      <c r="I6" s="8"/>
      <c r="J6" s="8"/>
      <c r="K6" s="8"/>
      <c r="L6" s="8"/>
    </row>
    <row r="7" spans="1:12" x14ac:dyDescent="0.3">
      <c r="A7" s="6" t="s">
        <v>557</v>
      </c>
      <c r="B7" s="6" t="s">
        <v>550</v>
      </c>
      <c r="C7" s="7"/>
      <c r="D7" s="7"/>
      <c r="E7" s="7"/>
      <c r="F7" s="7"/>
      <c r="G7" s="7"/>
      <c r="H7" s="7"/>
      <c r="I7" s="8"/>
      <c r="J7" s="8"/>
      <c r="K7" s="8"/>
      <c r="L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Wikidata_upec_chemical_20</vt:lpstr>
      <vt:lpstr>Wikidata_upec_civil_20</vt:lpstr>
      <vt:lpstr>Wikidata_upec_civil_20_part2</vt:lpstr>
      <vt:lpstr>Sheet1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2025-11-05T18:49:31Z</dcterms:modified>
</cp:coreProperties>
</file>