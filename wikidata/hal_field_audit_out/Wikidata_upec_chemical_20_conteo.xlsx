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hal_field_audit_out\"/>
    </mc:Choice>
  </mc:AlternateContent>
  <xr:revisionPtr revIDLastSave="0" documentId="13_ncr:1_{2768EDA1-7B13-467F-9E61-30C7C9EDD6B6}" xr6:coauthVersionLast="47" xr6:coauthVersionMax="47" xr10:uidLastSave="{00000000-0000-0000-0000-000000000000}"/>
  <bookViews>
    <workbookView xWindow="-108" yWindow="-108" windowWidth="23256" windowHeight="12456" activeTab="4" xr2:uid="{7CE82651-D189-4583-9CC8-EB750387BE3D}"/>
  </bookViews>
  <sheets>
    <sheet name="Wikidata_upec_chemical_20" sheetId="1" r:id="rId1"/>
    <sheet name="Wikidata_upec_civil_20" sheetId="4" r:id="rId2"/>
    <sheet name="Wikidata_upec_civil_20_part2" sheetId="5" r:id="rId3"/>
    <sheet name="Sheet1" sheetId="2" r:id="rId4"/>
    <sheet name="Summary" sheetId="3" r:id="rId5"/>
  </sheets>
  <definedNames>
    <definedName name="_xlnm._FilterDatabase" localSheetId="4" hidden="1">Summary!$A$1:$L$1</definedName>
    <definedName name="_xlnm._FilterDatabase" localSheetId="0" hidden="1">Wikidata_upec_chemical_20!$A$1:$Q$371</definedName>
    <definedName name="_xlnm._FilterDatabase" localSheetId="1" hidden="1">Wikidata_upec_civil_20!$T$1:$T$389</definedName>
    <definedName name="_xlnm._FilterDatabase" localSheetId="2" hidden="1">Wikidata_upec_civil_20_part2!$A$1:$AF$764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4" i="3"/>
  <c r="F4" i="3"/>
  <c r="G4" i="3"/>
  <c r="H4" i="3"/>
  <c r="I4" i="3"/>
  <c r="J4" i="3"/>
  <c r="K4" i="3"/>
  <c r="L4" i="3"/>
  <c r="C4" i="3"/>
  <c r="AF12" i="5"/>
  <c r="AE12" i="5"/>
  <c r="AD12" i="5"/>
  <c r="AC12" i="5"/>
  <c r="AB12" i="5" a="1"/>
  <c r="AB12" i="5" s="1"/>
  <c r="AA12" i="5" a="1"/>
  <c r="AA12" i="5" s="1"/>
  <c r="Y12" i="5" a="1"/>
  <c r="Y12" i="5" s="1"/>
  <c r="Z12" i="5" a="1"/>
  <c r="Z12" i="5" s="1"/>
  <c r="Y7" i="4" a="1"/>
  <c r="Y7" i="4" s="1"/>
  <c r="E3" i="3" s="1"/>
  <c r="W12" i="5" a="1"/>
  <c r="W12" i="5" s="1"/>
  <c r="X12" i="5" a="1"/>
  <c r="X12" i="5" s="1"/>
  <c r="Y2" i="5" a="1"/>
  <c r="Y2" i="5" s="1"/>
  <c r="R2" i="5"/>
  <c r="S2" i="5"/>
  <c r="U2" i="5" a="1"/>
  <c r="V10" i="5" s="1"/>
  <c r="Y3" i="5" a="1"/>
  <c r="Y3" i="5" s="1"/>
  <c r="Y4" i="5" a="1"/>
  <c r="Y4" i="5" s="1"/>
  <c r="Y5" i="5" a="1"/>
  <c r="Y5" i="5" s="1"/>
  <c r="Y6" i="5" a="1"/>
  <c r="Y6" i="5" s="1"/>
  <c r="Y7" i="5"/>
  <c r="Y8" i="5"/>
  <c r="R72" i="5"/>
  <c r="S72" i="5"/>
  <c r="R75" i="5"/>
  <c r="S75" i="5"/>
  <c r="R130" i="5"/>
  <c r="S130" i="5"/>
  <c r="R151" i="5"/>
  <c r="S151" i="5"/>
  <c r="R163" i="5"/>
  <c r="S163" i="5"/>
  <c r="R182" i="5"/>
  <c r="S182" i="5"/>
  <c r="AA7" i="4" a="1"/>
  <c r="AA7" i="4" s="1"/>
  <c r="D3" i="3"/>
  <c r="F3" i="3"/>
  <c r="H3" i="3"/>
  <c r="L3" i="3"/>
  <c r="C3" i="3"/>
  <c r="S389" i="4"/>
  <c r="T389" i="4" s="1"/>
  <c r="S388" i="4"/>
  <c r="T388" i="4" s="1"/>
  <c r="S387" i="4"/>
  <c r="T387" i="4" s="1"/>
  <c r="S386" i="4"/>
  <c r="T386" i="4" s="1"/>
  <c r="S385" i="4"/>
  <c r="T385" i="4" s="1"/>
  <c r="S384" i="4"/>
  <c r="T384" i="4" s="1"/>
  <c r="T383" i="4"/>
  <c r="S383" i="4"/>
  <c r="T382" i="4"/>
  <c r="S382" i="4"/>
  <c r="T381" i="4"/>
  <c r="S381" i="4"/>
  <c r="T380" i="4"/>
  <c r="S380" i="4"/>
  <c r="T379" i="4"/>
  <c r="S379" i="4"/>
  <c r="T378" i="4"/>
  <c r="S378" i="4"/>
  <c r="T377" i="4"/>
  <c r="S377" i="4"/>
  <c r="T376" i="4"/>
  <c r="S376" i="4"/>
  <c r="T375" i="4"/>
  <c r="S375" i="4"/>
  <c r="T374" i="4"/>
  <c r="S374" i="4"/>
  <c r="T373" i="4"/>
  <c r="S373" i="4"/>
  <c r="T372" i="4"/>
  <c r="S372" i="4"/>
  <c r="T371" i="4"/>
  <c r="S371" i="4"/>
  <c r="T370" i="4"/>
  <c r="S370" i="4"/>
  <c r="T369" i="4"/>
  <c r="S369" i="4"/>
  <c r="T368" i="4"/>
  <c r="S368" i="4"/>
  <c r="T367" i="4"/>
  <c r="S367" i="4"/>
  <c r="T366" i="4"/>
  <c r="S366" i="4"/>
  <c r="T365" i="4"/>
  <c r="S365" i="4"/>
  <c r="T364" i="4"/>
  <c r="S364" i="4"/>
  <c r="T363" i="4"/>
  <c r="S363" i="4"/>
  <c r="T362" i="4"/>
  <c r="S362" i="4"/>
  <c r="T361" i="4"/>
  <c r="S361" i="4"/>
  <c r="T360" i="4"/>
  <c r="S360" i="4"/>
  <c r="T359" i="4"/>
  <c r="S359" i="4"/>
  <c r="T358" i="4"/>
  <c r="S358" i="4"/>
  <c r="T357" i="4"/>
  <c r="S357" i="4"/>
  <c r="T356" i="4"/>
  <c r="S356" i="4"/>
  <c r="T355" i="4"/>
  <c r="S355" i="4"/>
  <c r="T354" i="4"/>
  <c r="S354" i="4"/>
  <c r="T353" i="4"/>
  <c r="S353" i="4"/>
  <c r="T352" i="4"/>
  <c r="S352" i="4"/>
  <c r="T351" i="4"/>
  <c r="S351" i="4"/>
  <c r="T350" i="4"/>
  <c r="S350" i="4"/>
  <c r="T349" i="4"/>
  <c r="S349" i="4"/>
  <c r="T348" i="4"/>
  <c r="S348" i="4"/>
  <c r="T347" i="4"/>
  <c r="S347" i="4"/>
  <c r="T346" i="4"/>
  <c r="S346" i="4"/>
  <c r="T345" i="4"/>
  <c r="S345" i="4"/>
  <c r="T344" i="4"/>
  <c r="S344" i="4"/>
  <c r="T343" i="4"/>
  <c r="S343" i="4"/>
  <c r="T342" i="4"/>
  <c r="S342" i="4"/>
  <c r="T341" i="4"/>
  <c r="S341" i="4"/>
  <c r="T340" i="4"/>
  <c r="S340" i="4"/>
  <c r="T339" i="4"/>
  <c r="S339" i="4"/>
  <c r="T338" i="4"/>
  <c r="S338" i="4"/>
  <c r="T337" i="4"/>
  <c r="S337" i="4"/>
  <c r="T336" i="4"/>
  <c r="S336" i="4"/>
  <c r="T335" i="4"/>
  <c r="S335" i="4"/>
  <c r="T334" i="4"/>
  <c r="S334" i="4"/>
  <c r="T333" i="4"/>
  <c r="S333" i="4"/>
  <c r="T332" i="4"/>
  <c r="S332" i="4"/>
  <c r="T331" i="4"/>
  <c r="S331" i="4"/>
  <c r="T330" i="4"/>
  <c r="S330" i="4"/>
  <c r="T329" i="4"/>
  <c r="S329" i="4"/>
  <c r="T328" i="4"/>
  <c r="S328" i="4"/>
  <c r="T327" i="4"/>
  <c r="S327" i="4"/>
  <c r="T326" i="4"/>
  <c r="S326" i="4"/>
  <c r="T325" i="4"/>
  <c r="S325" i="4"/>
  <c r="T324" i="4"/>
  <c r="S324" i="4"/>
  <c r="T323" i="4"/>
  <c r="S323" i="4"/>
  <c r="T322" i="4"/>
  <c r="S322" i="4"/>
  <c r="T321" i="4"/>
  <c r="S321" i="4"/>
  <c r="T320" i="4"/>
  <c r="S320" i="4"/>
  <c r="T319" i="4"/>
  <c r="S319" i="4"/>
  <c r="T318" i="4"/>
  <c r="S318" i="4"/>
  <c r="T317" i="4"/>
  <c r="S317" i="4"/>
  <c r="T316" i="4"/>
  <c r="S316" i="4"/>
  <c r="T315" i="4"/>
  <c r="S315" i="4"/>
  <c r="T314" i="4"/>
  <c r="S314" i="4"/>
  <c r="T313" i="4"/>
  <c r="S313" i="4"/>
  <c r="T312" i="4"/>
  <c r="S312" i="4"/>
  <c r="T311" i="4"/>
  <c r="S311" i="4"/>
  <c r="T310" i="4"/>
  <c r="S310" i="4"/>
  <c r="T309" i="4"/>
  <c r="S309" i="4"/>
  <c r="T308" i="4"/>
  <c r="S308" i="4"/>
  <c r="T307" i="4"/>
  <c r="S307" i="4"/>
  <c r="T306" i="4"/>
  <c r="S306" i="4"/>
  <c r="T305" i="4"/>
  <c r="S305" i="4"/>
  <c r="T304" i="4"/>
  <c r="S304" i="4"/>
  <c r="T303" i="4"/>
  <c r="S303" i="4"/>
  <c r="T302" i="4"/>
  <c r="S302" i="4"/>
  <c r="T301" i="4"/>
  <c r="S301" i="4"/>
  <c r="T300" i="4"/>
  <c r="S300" i="4"/>
  <c r="T299" i="4"/>
  <c r="S299" i="4"/>
  <c r="T298" i="4"/>
  <c r="S298" i="4"/>
  <c r="T297" i="4"/>
  <c r="S297" i="4"/>
  <c r="T296" i="4"/>
  <c r="S296" i="4"/>
  <c r="T295" i="4"/>
  <c r="S295" i="4"/>
  <c r="T294" i="4"/>
  <c r="S294" i="4"/>
  <c r="T293" i="4"/>
  <c r="S293" i="4"/>
  <c r="T292" i="4"/>
  <c r="S292" i="4"/>
  <c r="T291" i="4"/>
  <c r="S291" i="4"/>
  <c r="T290" i="4"/>
  <c r="S290" i="4"/>
  <c r="T289" i="4"/>
  <c r="S289" i="4"/>
  <c r="T288" i="4"/>
  <c r="S288" i="4"/>
  <c r="T287" i="4"/>
  <c r="S287" i="4"/>
  <c r="T286" i="4"/>
  <c r="S286" i="4"/>
  <c r="T285" i="4"/>
  <c r="S285" i="4"/>
  <c r="T284" i="4"/>
  <c r="S284" i="4"/>
  <c r="T283" i="4"/>
  <c r="S283" i="4"/>
  <c r="T282" i="4"/>
  <c r="S282" i="4"/>
  <c r="T281" i="4"/>
  <c r="S281" i="4"/>
  <c r="T280" i="4"/>
  <c r="S280" i="4"/>
  <c r="T279" i="4"/>
  <c r="S279" i="4"/>
  <c r="T278" i="4"/>
  <c r="S278" i="4"/>
  <c r="T277" i="4"/>
  <c r="S277" i="4"/>
  <c r="T276" i="4"/>
  <c r="S276" i="4"/>
  <c r="T275" i="4"/>
  <c r="S275" i="4"/>
  <c r="T274" i="4"/>
  <c r="S274" i="4"/>
  <c r="T273" i="4"/>
  <c r="S273" i="4"/>
  <c r="T272" i="4"/>
  <c r="S272" i="4"/>
  <c r="T271" i="4"/>
  <c r="S271" i="4"/>
  <c r="T270" i="4"/>
  <c r="S270" i="4"/>
  <c r="T269" i="4"/>
  <c r="S269" i="4"/>
  <c r="T268" i="4"/>
  <c r="S268" i="4"/>
  <c r="T267" i="4"/>
  <c r="S267" i="4"/>
  <c r="T266" i="4"/>
  <c r="S266" i="4"/>
  <c r="T265" i="4"/>
  <c r="S265" i="4"/>
  <c r="T264" i="4"/>
  <c r="S264" i="4"/>
  <c r="T263" i="4"/>
  <c r="S263" i="4"/>
  <c r="T262" i="4"/>
  <c r="S262" i="4"/>
  <c r="T261" i="4"/>
  <c r="S261" i="4"/>
  <c r="T260" i="4"/>
  <c r="S260" i="4"/>
  <c r="T259" i="4"/>
  <c r="S259" i="4"/>
  <c r="T258" i="4"/>
  <c r="S258" i="4"/>
  <c r="T257" i="4"/>
  <c r="S257" i="4"/>
  <c r="T256" i="4"/>
  <c r="S256" i="4"/>
  <c r="T255" i="4"/>
  <c r="S255" i="4"/>
  <c r="T254" i="4"/>
  <c r="S254" i="4"/>
  <c r="T253" i="4"/>
  <c r="S253" i="4"/>
  <c r="T252" i="4"/>
  <c r="S252" i="4"/>
  <c r="T251" i="4"/>
  <c r="S251" i="4"/>
  <c r="T250" i="4"/>
  <c r="S250" i="4"/>
  <c r="T249" i="4"/>
  <c r="S249" i="4"/>
  <c r="T248" i="4"/>
  <c r="S248" i="4"/>
  <c r="T247" i="4"/>
  <c r="S247" i="4"/>
  <c r="T246" i="4"/>
  <c r="S246" i="4"/>
  <c r="T245" i="4"/>
  <c r="S245" i="4"/>
  <c r="T244" i="4"/>
  <c r="S244" i="4"/>
  <c r="T243" i="4"/>
  <c r="S243" i="4"/>
  <c r="T242" i="4"/>
  <c r="S242" i="4"/>
  <c r="T241" i="4"/>
  <c r="S241" i="4"/>
  <c r="T240" i="4"/>
  <c r="S240" i="4"/>
  <c r="T239" i="4"/>
  <c r="S239" i="4"/>
  <c r="T238" i="4"/>
  <c r="S238" i="4"/>
  <c r="T237" i="4"/>
  <c r="S237" i="4"/>
  <c r="T236" i="4"/>
  <c r="S236" i="4"/>
  <c r="T235" i="4"/>
  <c r="S235" i="4"/>
  <c r="T234" i="4"/>
  <c r="S234" i="4"/>
  <c r="T233" i="4"/>
  <c r="S233" i="4"/>
  <c r="T232" i="4"/>
  <c r="S232" i="4"/>
  <c r="T231" i="4"/>
  <c r="S231" i="4"/>
  <c r="T230" i="4"/>
  <c r="S230" i="4"/>
  <c r="T229" i="4"/>
  <c r="S229" i="4"/>
  <c r="T228" i="4"/>
  <c r="S228" i="4"/>
  <c r="T227" i="4"/>
  <c r="S227" i="4"/>
  <c r="T226" i="4"/>
  <c r="S226" i="4"/>
  <c r="T225" i="4"/>
  <c r="S225" i="4"/>
  <c r="T224" i="4"/>
  <c r="S224" i="4"/>
  <c r="T223" i="4"/>
  <c r="S223" i="4"/>
  <c r="T222" i="4"/>
  <c r="S222" i="4"/>
  <c r="T221" i="4"/>
  <c r="S221" i="4"/>
  <c r="T220" i="4"/>
  <c r="S220" i="4"/>
  <c r="T219" i="4"/>
  <c r="S219" i="4"/>
  <c r="T218" i="4"/>
  <c r="S218" i="4"/>
  <c r="T217" i="4"/>
  <c r="S217" i="4"/>
  <c r="T216" i="4"/>
  <c r="S216" i="4"/>
  <c r="T215" i="4"/>
  <c r="S215" i="4"/>
  <c r="T214" i="4"/>
  <c r="S214" i="4"/>
  <c r="T213" i="4"/>
  <c r="S213" i="4"/>
  <c r="T212" i="4"/>
  <c r="S212" i="4"/>
  <c r="T211" i="4"/>
  <c r="S211" i="4"/>
  <c r="T210" i="4"/>
  <c r="S210" i="4"/>
  <c r="T209" i="4"/>
  <c r="S209" i="4"/>
  <c r="T208" i="4"/>
  <c r="S208" i="4"/>
  <c r="T207" i="4"/>
  <c r="S207" i="4"/>
  <c r="T206" i="4"/>
  <c r="S206" i="4"/>
  <c r="T205" i="4"/>
  <c r="S205" i="4"/>
  <c r="T204" i="4"/>
  <c r="S204" i="4"/>
  <c r="T203" i="4"/>
  <c r="S203" i="4"/>
  <c r="T202" i="4"/>
  <c r="S202" i="4"/>
  <c r="T201" i="4"/>
  <c r="S201" i="4"/>
  <c r="T200" i="4"/>
  <c r="S200" i="4"/>
  <c r="T199" i="4"/>
  <c r="S199" i="4"/>
  <c r="T198" i="4"/>
  <c r="S198" i="4"/>
  <c r="T197" i="4"/>
  <c r="S197" i="4"/>
  <c r="T196" i="4"/>
  <c r="S196" i="4"/>
  <c r="T195" i="4"/>
  <c r="S195" i="4"/>
  <c r="T194" i="4"/>
  <c r="S194" i="4"/>
  <c r="T193" i="4"/>
  <c r="S193" i="4"/>
  <c r="T192" i="4"/>
  <c r="S192" i="4"/>
  <c r="T191" i="4"/>
  <c r="S191" i="4"/>
  <c r="T190" i="4"/>
  <c r="S190" i="4"/>
  <c r="T189" i="4"/>
  <c r="S189" i="4"/>
  <c r="T188" i="4"/>
  <c r="S188" i="4"/>
  <c r="T187" i="4"/>
  <c r="S187" i="4"/>
  <c r="T186" i="4"/>
  <c r="S186" i="4"/>
  <c r="T185" i="4"/>
  <c r="S185" i="4"/>
  <c r="T184" i="4"/>
  <c r="S184" i="4"/>
  <c r="T183" i="4"/>
  <c r="S183" i="4"/>
  <c r="T182" i="4"/>
  <c r="S182" i="4"/>
  <c r="T181" i="4"/>
  <c r="S181" i="4"/>
  <c r="T180" i="4"/>
  <c r="S180" i="4"/>
  <c r="T179" i="4"/>
  <c r="S179" i="4"/>
  <c r="T178" i="4"/>
  <c r="S178" i="4"/>
  <c r="T177" i="4"/>
  <c r="S177" i="4"/>
  <c r="T176" i="4"/>
  <c r="S176" i="4"/>
  <c r="T175" i="4"/>
  <c r="S175" i="4"/>
  <c r="T174" i="4"/>
  <c r="S174" i="4"/>
  <c r="T173" i="4"/>
  <c r="S173" i="4"/>
  <c r="T172" i="4"/>
  <c r="S172" i="4"/>
  <c r="T171" i="4"/>
  <c r="S171" i="4"/>
  <c r="T170" i="4"/>
  <c r="S170" i="4"/>
  <c r="T169" i="4"/>
  <c r="S169" i="4"/>
  <c r="T168" i="4"/>
  <c r="S168" i="4"/>
  <c r="T167" i="4"/>
  <c r="S167" i="4"/>
  <c r="T166" i="4"/>
  <c r="S166" i="4"/>
  <c r="T165" i="4"/>
  <c r="S165" i="4"/>
  <c r="T164" i="4"/>
  <c r="S164" i="4"/>
  <c r="T163" i="4"/>
  <c r="S163" i="4"/>
  <c r="T162" i="4"/>
  <c r="S162" i="4"/>
  <c r="T161" i="4"/>
  <c r="S161" i="4"/>
  <c r="T160" i="4"/>
  <c r="S160" i="4"/>
  <c r="T159" i="4"/>
  <c r="S159" i="4"/>
  <c r="T158" i="4"/>
  <c r="S158" i="4"/>
  <c r="T157" i="4"/>
  <c r="S157" i="4"/>
  <c r="T156" i="4"/>
  <c r="S156" i="4"/>
  <c r="T155" i="4"/>
  <c r="S155" i="4"/>
  <c r="T154" i="4"/>
  <c r="S154" i="4"/>
  <c r="T153" i="4"/>
  <c r="S153" i="4"/>
  <c r="T152" i="4"/>
  <c r="S152" i="4"/>
  <c r="T151" i="4"/>
  <c r="S151" i="4"/>
  <c r="T150" i="4"/>
  <c r="S150" i="4"/>
  <c r="T149" i="4"/>
  <c r="S149" i="4"/>
  <c r="T148" i="4"/>
  <c r="S148" i="4"/>
  <c r="T147" i="4"/>
  <c r="S147" i="4"/>
  <c r="T146" i="4"/>
  <c r="S146" i="4"/>
  <c r="T145" i="4"/>
  <c r="S145" i="4"/>
  <c r="T144" i="4"/>
  <c r="S144" i="4"/>
  <c r="T143" i="4"/>
  <c r="S143" i="4"/>
  <c r="T142" i="4"/>
  <c r="S142" i="4"/>
  <c r="T141" i="4"/>
  <c r="S141" i="4"/>
  <c r="T140" i="4"/>
  <c r="S140" i="4"/>
  <c r="T139" i="4"/>
  <c r="S139" i="4"/>
  <c r="T138" i="4"/>
  <c r="S138" i="4"/>
  <c r="T137" i="4"/>
  <c r="S137" i="4"/>
  <c r="T136" i="4"/>
  <c r="S136" i="4"/>
  <c r="T135" i="4"/>
  <c r="S135" i="4"/>
  <c r="T134" i="4"/>
  <c r="S134" i="4"/>
  <c r="T133" i="4"/>
  <c r="S133" i="4"/>
  <c r="T132" i="4"/>
  <c r="S132" i="4"/>
  <c r="T131" i="4"/>
  <c r="S131" i="4"/>
  <c r="T130" i="4"/>
  <c r="S130" i="4"/>
  <c r="T129" i="4"/>
  <c r="S129" i="4"/>
  <c r="T128" i="4"/>
  <c r="S128" i="4"/>
  <c r="T127" i="4"/>
  <c r="S127" i="4"/>
  <c r="T126" i="4"/>
  <c r="S126" i="4"/>
  <c r="T125" i="4"/>
  <c r="S125" i="4"/>
  <c r="T124" i="4"/>
  <c r="S124" i="4"/>
  <c r="T123" i="4"/>
  <c r="S123" i="4"/>
  <c r="T122" i="4"/>
  <c r="S122" i="4"/>
  <c r="T121" i="4"/>
  <c r="S121" i="4"/>
  <c r="T120" i="4"/>
  <c r="S120" i="4"/>
  <c r="T119" i="4"/>
  <c r="S119" i="4"/>
  <c r="T118" i="4"/>
  <c r="S118" i="4"/>
  <c r="T117" i="4"/>
  <c r="S117" i="4"/>
  <c r="T116" i="4"/>
  <c r="S116" i="4"/>
  <c r="T115" i="4"/>
  <c r="S115" i="4"/>
  <c r="T114" i="4"/>
  <c r="S114" i="4"/>
  <c r="T113" i="4"/>
  <c r="S113" i="4"/>
  <c r="T112" i="4"/>
  <c r="S112" i="4"/>
  <c r="T111" i="4"/>
  <c r="S111" i="4"/>
  <c r="T110" i="4"/>
  <c r="S110" i="4"/>
  <c r="T109" i="4"/>
  <c r="S109" i="4"/>
  <c r="T108" i="4"/>
  <c r="S108" i="4"/>
  <c r="T107" i="4"/>
  <c r="S107" i="4"/>
  <c r="T106" i="4"/>
  <c r="S106" i="4"/>
  <c r="T105" i="4"/>
  <c r="S105" i="4"/>
  <c r="T104" i="4"/>
  <c r="S104" i="4"/>
  <c r="T103" i="4"/>
  <c r="S103" i="4"/>
  <c r="T102" i="4"/>
  <c r="S102" i="4"/>
  <c r="T101" i="4"/>
  <c r="S101" i="4"/>
  <c r="T100" i="4"/>
  <c r="S100" i="4"/>
  <c r="T99" i="4"/>
  <c r="S99" i="4"/>
  <c r="T98" i="4"/>
  <c r="S98" i="4"/>
  <c r="T97" i="4"/>
  <c r="S97" i="4"/>
  <c r="T96" i="4"/>
  <c r="S96" i="4"/>
  <c r="T95" i="4"/>
  <c r="S95" i="4"/>
  <c r="T94" i="4"/>
  <c r="S94" i="4"/>
  <c r="T93" i="4"/>
  <c r="S93" i="4"/>
  <c r="T92" i="4"/>
  <c r="S92" i="4"/>
  <c r="T91" i="4"/>
  <c r="S91" i="4"/>
  <c r="T90" i="4"/>
  <c r="S90" i="4"/>
  <c r="T89" i="4"/>
  <c r="S89" i="4"/>
  <c r="T88" i="4"/>
  <c r="S88" i="4"/>
  <c r="T87" i="4"/>
  <c r="S87" i="4"/>
  <c r="T86" i="4"/>
  <c r="S86" i="4"/>
  <c r="T85" i="4"/>
  <c r="S85" i="4"/>
  <c r="T84" i="4"/>
  <c r="S84" i="4"/>
  <c r="T83" i="4"/>
  <c r="S83" i="4"/>
  <c r="T82" i="4"/>
  <c r="S82" i="4"/>
  <c r="T81" i="4"/>
  <c r="S81" i="4"/>
  <c r="T80" i="4"/>
  <c r="S80" i="4"/>
  <c r="T79" i="4"/>
  <c r="S79" i="4"/>
  <c r="T78" i="4"/>
  <c r="S78" i="4"/>
  <c r="T77" i="4"/>
  <c r="S77" i="4"/>
  <c r="T76" i="4"/>
  <c r="S76" i="4"/>
  <c r="T75" i="4"/>
  <c r="S75" i="4"/>
  <c r="T74" i="4"/>
  <c r="S74" i="4"/>
  <c r="T73" i="4"/>
  <c r="S73" i="4"/>
  <c r="T72" i="4"/>
  <c r="S72" i="4"/>
  <c r="T71" i="4"/>
  <c r="S71" i="4"/>
  <c r="T70" i="4"/>
  <c r="S70" i="4"/>
  <c r="T69" i="4"/>
  <c r="S69" i="4"/>
  <c r="T68" i="4"/>
  <c r="S68" i="4"/>
  <c r="T67" i="4"/>
  <c r="S67" i="4"/>
  <c r="T66" i="4"/>
  <c r="S66" i="4"/>
  <c r="T65" i="4"/>
  <c r="S65" i="4"/>
  <c r="T64" i="4"/>
  <c r="S64" i="4"/>
  <c r="T63" i="4"/>
  <c r="S63" i="4"/>
  <c r="T62" i="4"/>
  <c r="S62" i="4"/>
  <c r="T61" i="4"/>
  <c r="S61" i="4"/>
  <c r="T60" i="4"/>
  <c r="S60" i="4"/>
  <c r="T59" i="4"/>
  <c r="S59" i="4"/>
  <c r="T58" i="4"/>
  <c r="S58" i="4"/>
  <c r="T57" i="4"/>
  <c r="S57" i="4"/>
  <c r="T56" i="4"/>
  <c r="S56" i="4"/>
  <c r="T55" i="4"/>
  <c r="S55" i="4"/>
  <c r="T54" i="4"/>
  <c r="S54" i="4"/>
  <c r="T53" i="4"/>
  <c r="S53" i="4"/>
  <c r="T52" i="4"/>
  <c r="S52" i="4"/>
  <c r="T51" i="4"/>
  <c r="S51" i="4"/>
  <c r="T50" i="4"/>
  <c r="S50" i="4"/>
  <c r="T49" i="4"/>
  <c r="S49" i="4"/>
  <c r="T48" i="4"/>
  <c r="S48" i="4"/>
  <c r="T47" i="4"/>
  <c r="S47" i="4"/>
  <c r="T46" i="4"/>
  <c r="S46" i="4"/>
  <c r="T45" i="4"/>
  <c r="S45" i="4"/>
  <c r="T44" i="4"/>
  <c r="S44" i="4"/>
  <c r="T43" i="4"/>
  <c r="S43" i="4"/>
  <c r="T42" i="4"/>
  <c r="S42" i="4"/>
  <c r="T41" i="4"/>
  <c r="S41" i="4"/>
  <c r="T40" i="4"/>
  <c r="S40" i="4"/>
  <c r="T39" i="4"/>
  <c r="S39" i="4"/>
  <c r="T38" i="4"/>
  <c r="S38" i="4"/>
  <c r="T37" i="4"/>
  <c r="S37" i="4"/>
  <c r="T36" i="4"/>
  <c r="S36" i="4"/>
  <c r="T35" i="4"/>
  <c r="S35" i="4"/>
  <c r="T34" i="4"/>
  <c r="S34" i="4"/>
  <c r="T33" i="4"/>
  <c r="S33" i="4"/>
  <c r="T32" i="4"/>
  <c r="S32" i="4"/>
  <c r="T31" i="4"/>
  <c r="S31" i="4"/>
  <c r="T30" i="4"/>
  <c r="S30" i="4"/>
  <c r="T29" i="4"/>
  <c r="S29" i="4"/>
  <c r="T28" i="4"/>
  <c r="S28" i="4"/>
  <c r="T27" i="4"/>
  <c r="S27" i="4"/>
  <c r="T26" i="4"/>
  <c r="S26" i="4"/>
  <c r="T25" i="4"/>
  <c r="S25" i="4"/>
  <c r="T24" i="4"/>
  <c r="S24" i="4"/>
  <c r="T23" i="4"/>
  <c r="S23" i="4"/>
  <c r="T22" i="4"/>
  <c r="S22" i="4"/>
  <c r="T21" i="4"/>
  <c r="S21" i="4"/>
  <c r="T20" i="4"/>
  <c r="S20" i="4"/>
  <c r="T19" i="4"/>
  <c r="S19" i="4"/>
  <c r="T18" i="4"/>
  <c r="S18" i="4"/>
  <c r="T17" i="4"/>
  <c r="S17" i="4"/>
  <c r="T16" i="4"/>
  <c r="S16" i="4"/>
  <c r="T15" i="4"/>
  <c r="S15" i="4"/>
  <c r="T14" i="4"/>
  <c r="S14" i="4"/>
  <c r="T13" i="4"/>
  <c r="S13" i="4"/>
  <c r="T12" i="4"/>
  <c r="S12" i="4"/>
  <c r="T11" i="4"/>
  <c r="S11" i="4"/>
  <c r="T10" i="4"/>
  <c r="S10" i="4"/>
  <c r="T9" i="4"/>
  <c r="S9" i="4"/>
  <c r="T8" i="4"/>
  <c r="S8" i="4"/>
  <c r="AB7" i="4" a="1"/>
  <c r="AB7" i="4" s="1"/>
  <c r="AF7" i="4" s="1"/>
  <c r="X7" i="4" a="1"/>
  <c r="X7" i="4" s="1"/>
  <c r="T7" i="4"/>
  <c r="S7" i="4"/>
  <c r="S6" i="4"/>
  <c r="T6" i="4" s="1"/>
  <c r="S5" i="4"/>
  <c r="T5" i="4" s="1"/>
  <c r="S4" i="4"/>
  <c r="T4" i="4" s="1"/>
  <c r="S3" i="4"/>
  <c r="T3" i="4" s="1"/>
  <c r="S2" i="4"/>
  <c r="T2" i="4" s="1"/>
  <c r="B1" i="2" a="1"/>
  <c r="B1" i="2" s="1"/>
  <c r="A1" i="2" a="1"/>
  <c r="A1" i="2" s="1"/>
  <c r="V45" i="5" l="1"/>
  <c r="V33" i="5"/>
  <c r="V21" i="5"/>
  <c r="V9" i="5"/>
  <c r="V4" i="5"/>
  <c r="V43" i="5"/>
  <c r="V31" i="5"/>
  <c r="V19" i="5"/>
  <c r="V8" i="5"/>
  <c r="V42" i="5"/>
  <c r="V30" i="5"/>
  <c r="V18" i="5"/>
  <c r="V41" i="5"/>
  <c r="V29" i="5"/>
  <c r="V17" i="5"/>
  <c r="V7" i="5"/>
  <c r="V3" i="5"/>
  <c r="V40" i="5"/>
  <c r="V28" i="5"/>
  <c r="V16" i="5"/>
  <c r="V38" i="5"/>
  <c r="V26" i="5"/>
  <c r="V14" i="5"/>
  <c r="V6" i="5"/>
  <c r="V44" i="5"/>
  <c r="V32" i="5"/>
  <c r="V20" i="5"/>
  <c r="V39" i="5"/>
  <c r="V27" i="5"/>
  <c r="V15" i="5"/>
  <c r="V49" i="5"/>
  <c r="V37" i="5"/>
  <c r="V25" i="5"/>
  <c r="V13" i="5"/>
  <c r="U2" i="5"/>
  <c r="V2" i="5" s="1"/>
  <c r="V48" i="5"/>
  <c r="V36" i="5"/>
  <c r="V24" i="5"/>
  <c r="V12" i="5"/>
  <c r="V47" i="5"/>
  <c r="V35" i="5"/>
  <c r="V11" i="5"/>
  <c r="V5" i="5"/>
  <c r="V23" i="5"/>
  <c r="V46" i="5"/>
  <c r="V34" i="5"/>
  <c r="V22" i="5"/>
  <c r="AE7" i="4"/>
  <c r="K3" i="3" s="1"/>
  <c r="G3" i="3"/>
  <c r="Z7" i="4" a="1"/>
  <c r="Z7" i="4" s="1"/>
  <c r="AC7" i="4"/>
  <c r="I3" i="3" s="1"/>
  <c r="H1" i="2"/>
  <c r="C2" i="3" s="1"/>
  <c r="C87" i="2"/>
  <c r="C51" i="2"/>
  <c r="C34" i="2"/>
  <c r="D94" i="2"/>
  <c r="D75" i="2"/>
  <c r="D58" i="2"/>
  <c r="D36" i="2"/>
  <c r="D15" i="2"/>
  <c r="E93" i="2"/>
  <c r="E71" i="2"/>
  <c r="E49" i="2"/>
  <c r="E28" i="2"/>
  <c r="E10" i="2"/>
  <c r="C85" i="2"/>
  <c r="C69" i="2"/>
  <c r="C49" i="2"/>
  <c r="C33" i="2"/>
  <c r="C13" i="2"/>
  <c r="D93" i="2"/>
  <c r="D73" i="2"/>
  <c r="D57" i="2"/>
  <c r="D35" i="2"/>
  <c r="D13" i="2"/>
  <c r="E88" i="2"/>
  <c r="E70" i="2"/>
  <c r="E48" i="2"/>
  <c r="E27" i="2"/>
  <c r="E9" i="2"/>
  <c r="C70" i="2"/>
  <c r="C15" i="2"/>
  <c r="C84" i="2"/>
  <c r="C68" i="2"/>
  <c r="C48" i="2"/>
  <c r="C32" i="2"/>
  <c r="C12" i="2"/>
  <c r="D92" i="2"/>
  <c r="D72" i="2"/>
  <c r="D52" i="2"/>
  <c r="D34" i="2"/>
  <c r="D12" i="2"/>
  <c r="E87" i="2"/>
  <c r="E69" i="2"/>
  <c r="E47" i="2"/>
  <c r="E25" i="2"/>
  <c r="E4" i="2"/>
  <c r="E3" i="2"/>
  <c r="H2" i="2"/>
  <c r="D2" i="3" s="1"/>
  <c r="C83" i="2"/>
  <c r="C64" i="2"/>
  <c r="C47" i="2"/>
  <c r="C28" i="2"/>
  <c r="C11" i="2"/>
  <c r="D88" i="2"/>
  <c r="D71" i="2"/>
  <c r="D51" i="2"/>
  <c r="D33" i="2"/>
  <c r="D11" i="2"/>
  <c r="E85" i="2"/>
  <c r="E64" i="2"/>
  <c r="E46" i="2"/>
  <c r="E24" i="2"/>
  <c r="C82" i="2"/>
  <c r="C46" i="2"/>
  <c r="C10" i="2"/>
  <c r="D28" i="2"/>
  <c r="E84" i="2"/>
  <c r="E23" i="2"/>
  <c r="C81" i="2"/>
  <c r="C45" i="2"/>
  <c r="C9" i="2"/>
  <c r="D69" i="2"/>
  <c r="D48" i="2"/>
  <c r="D9" i="2"/>
  <c r="E61" i="2"/>
  <c r="E40" i="2"/>
  <c r="C96" i="2"/>
  <c r="C60" i="2"/>
  <c r="C44" i="2"/>
  <c r="C24" i="2"/>
  <c r="D84" i="2"/>
  <c r="D47" i="2"/>
  <c r="D4" i="2"/>
  <c r="E60" i="2"/>
  <c r="E39" i="2"/>
  <c r="C95" i="2"/>
  <c r="C59" i="2"/>
  <c r="C4" i="2"/>
  <c r="D64" i="2"/>
  <c r="D3" i="2"/>
  <c r="E37" i="2"/>
  <c r="C94" i="2"/>
  <c r="C58" i="2"/>
  <c r="C39" i="2"/>
  <c r="C3" i="2"/>
  <c r="D63" i="2"/>
  <c r="D23" i="2"/>
  <c r="E97" i="2"/>
  <c r="E58" i="2"/>
  <c r="E15" i="2"/>
  <c r="C73" i="2"/>
  <c r="C57" i="2"/>
  <c r="C37" i="2"/>
  <c r="C21" i="2"/>
  <c r="D81" i="2"/>
  <c r="D61" i="2"/>
  <c r="D40" i="2"/>
  <c r="D22" i="2"/>
  <c r="E96" i="2"/>
  <c r="E75" i="2"/>
  <c r="E57" i="2"/>
  <c r="E35" i="2"/>
  <c r="E13" i="2"/>
  <c r="C92" i="2"/>
  <c r="C72" i="2"/>
  <c r="C56" i="2"/>
  <c r="C36" i="2"/>
  <c r="C20" i="2"/>
  <c r="D96" i="2"/>
  <c r="D80" i="2"/>
  <c r="D60" i="2"/>
  <c r="D39" i="2"/>
  <c r="D21" i="2"/>
  <c r="E95" i="2"/>
  <c r="E73" i="2"/>
  <c r="E52" i="2"/>
  <c r="E34" i="2"/>
  <c r="E12" i="2"/>
  <c r="C63" i="2"/>
  <c r="C27" i="2"/>
  <c r="D87" i="2"/>
  <c r="D70" i="2"/>
  <c r="D49" i="2"/>
  <c r="D10" i="2"/>
  <c r="E63" i="2"/>
  <c r="E45" i="2"/>
  <c r="C2" i="2"/>
  <c r="C61" i="2"/>
  <c r="C25" i="2"/>
  <c r="D85" i="2"/>
  <c r="D27" i="2"/>
  <c r="E83" i="2"/>
  <c r="E22" i="2"/>
  <c r="C80" i="2"/>
  <c r="C8" i="2"/>
  <c r="D68" i="2"/>
  <c r="D25" i="2"/>
  <c r="E82" i="2"/>
  <c r="E21" i="2"/>
  <c r="C76" i="2"/>
  <c r="C40" i="2"/>
  <c r="C23" i="2"/>
  <c r="D83" i="2"/>
  <c r="D46" i="2"/>
  <c r="D24" i="2"/>
  <c r="E81" i="2"/>
  <c r="E59" i="2"/>
  <c r="E16" i="2"/>
  <c r="C75" i="2"/>
  <c r="C22" i="2"/>
  <c r="D82" i="2"/>
  <c r="D45" i="2"/>
  <c r="E76" i="2"/>
  <c r="E36" i="2"/>
  <c r="C93" i="2"/>
  <c r="D97" i="2"/>
  <c r="C88" i="2"/>
  <c r="C71" i="2"/>
  <c r="C52" i="2"/>
  <c r="C35" i="2"/>
  <c r="C16" i="2"/>
  <c r="D95" i="2"/>
  <c r="D76" i="2"/>
  <c r="D59" i="2"/>
  <c r="D37" i="2"/>
  <c r="D16" i="2"/>
  <c r="E94" i="2"/>
  <c r="E72" i="2"/>
  <c r="E51" i="2"/>
  <c r="E33" i="2"/>
  <c r="E11" i="2"/>
  <c r="D56" i="2"/>
  <c r="D44" i="2"/>
  <c r="D32" i="2"/>
  <c r="D20" i="2"/>
  <c r="D8" i="2"/>
  <c r="E92" i="2"/>
  <c r="E80" i="2"/>
  <c r="E68" i="2"/>
  <c r="E56" i="2"/>
  <c r="E44" i="2"/>
  <c r="E32" i="2"/>
  <c r="E20" i="2"/>
  <c r="E8" i="2"/>
  <c r="C91" i="2"/>
  <c r="C79" i="2"/>
  <c r="C67" i="2"/>
  <c r="C55" i="2"/>
  <c r="C43" i="2"/>
  <c r="C31" i="2"/>
  <c r="C19" i="2"/>
  <c r="C7" i="2"/>
  <c r="D91" i="2"/>
  <c r="D79" i="2"/>
  <c r="D67" i="2"/>
  <c r="D55" i="2"/>
  <c r="D43" i="2"/>
  <c r="D31" i="2"/>
  <c r="D19" i="2"/>
  <c r="D7" i="2"/>
  <c r="E91" i="2"/>
  <c r="E79" i="2"/>
  <c r="E67" i="2"/>
  <c r="E55" i="2"/>
  <c r="E43" i="2"/>
  <c r="E31" i="2"/>
  <c r="E19" i="2"/>
  <c r="E7" i="2"/>
  <c r="C90" i="2"/>
  <c r="C78" i="2"/>
  <c r="C66" i="2"/>
  <c r="C54" i="2"/>
  <c r="C42" i="2"/>
  <c r="C30" i="2"/>
  <c r="C18" i="2"/>
  <c r="C6" i="2"/>
  <c r="D90" i="2"/>
  <c r="D78" i="2"/>
  <c r="D66" i="2"/>
  <c r="D54" i="2"/>
  <c r="D42" i="2"/>
  <c r="D30" i="2"/>
  <c r="D18" i="2"/>
  <c r="D6" i="2"/>
  <c r="E90" i="2"/>
  <c r="E78" i="2"/>
  <c r="E66" i="2"/>
  <c r="E54" i="2"/>
  <c r="E42" i="2"/>
  <c r="E30" i="2"/>
  <c r="E18" i="2"/>
  <c r="E6" i="2"/>
  <c r="C89" i="2"/>
  <c r="C77" i="2"/>
  <c r="C65" i="2"/>
  <c r="C53" i="2"/>
  <c r="C41" i="2"/>
  <c r="C29" i="2"/>
  <c r="C17" i="2"/>
  <c r="C5" i="2"/>
  <c r="D89" i="2"/>
  <c r="D77" i="2"/>
  <c r="D65" i="2"/>
  <c r="D53" i="2"/>
  <c r="D41" i="2"/>
  <c r="D29" i="2"/>
  <c r="D17" i="2"/>
  <c r="D5" i="2"/>
  <c r="E89" i="2"/>
  <c r="E77" i="2"/>
  <c r="E65" i="2"/>
  <c r="E53" i="2"/>
  <c r="E41" i="2"/>
  <c r="E29" i="2"/>
  <c r="E17" i="2"/>
  <c r="E5" i="2"/>
  <c r="C86" i="2"/>
  <c r="C74" i="2"/>
  <c r="C62" i="2"/>
  <c r="C50" i="2"/>
  <c r="C38" i="2"/>
  <c r="C26" i="2"/>
  <c r="C14" i="2"/>
  <c r="D2" i="2"/>
  <c r="D86" i="2"/>
  <c r="D74" i="2"/>
  <c r="D62" i="2"/>
  <c r="D50" i="2"/>
  <c r="D38" i="2"/>
  <c r="D26" i="2"/>
  <c r="D14" i="2"/>
  <c r="E2" i="2"/>
  <c r="E86" i="2"/>
  <c r="E74" i="2"/>
  <c r="E62" i="2"/>
  <c r="E50" i="2"/>
  <c r="E38" i="2"/>
  <c r="E26" i="2"/>
  <c r="E14" i="2"/>
  <c r="AD7" i="4" l="1"/>
  <c r="J3" i="3" s="1"/>
  <c r="H4" i="2"/>
  <c r="F2" i="3" s="1"/>
  <c r="J2" i="3" s="1"/>
  <c r="H3" i="2"/>
  <c r="E2" i="3" s="1"/>
  <c r="I2" i="3" s="1"/>
  <c r="H5" i="2"/>
  <c r="H6" i="2"/>
  <c r="I5" i="2" l="1"/>
  <c r="G2" i="3"/>
  <c r="K2" i="3" s="1"/>
  <c r="I6" i="2"/>
  <c r="H2" i="3"/>
  <c r="L2" i="3" s="1"/>
  <c r="I3" i="2"/>
  <c r="I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<sst xmlns="http://schemas.openxmlformats.org/spreadsheetml/2006/main" count="14482" uniqueCount="1826">
  <si>
    <t>docid</t>
  </si>
  <si>
    <t>title</t>
  </si>
  <si>
    <t>keyword</t>
  </si>
  <si>
    <t>wikidata_label</t>
  </si>
  <si>
    <t>wikidata_qid</t>
  </si>
  <si>
    <t>bnf_id</t>
  </si>
  <si>
    <t>p279_path</t>
  </si>
  <si>
    <t>retry_source</t>
  </si>
  <si>
    <t>match_stage</t>
  </si>
  <si>
    <t>is_disambiguation</t>
  </si>
  <si>
    <t>label_similarity</t>
  </si>
  <si>
    <t>match_score</t>
  </si>
  <si>
    <t>p31_types</t>
  </si>
  <si>
    <t>p31_label</t>
  </si>
  <si>
    <t>Harmonic mechanical excitations of steady convective instabilities: a means to get more uniform heat transfers in mixed convection flows?</t>
  </si>
  <si>
    <t>Mixed convection</t>
  </si>
  <si>
    <t>none</t>
  </si>
  <si>
    <t>no</t>
  </si>
  <si>
    <t>Poiseuille-Rayleigh-BÃ©nard flow</t>
  </si>
  <si>
    <t>Convective instability</t>
  </si>
  <si>
    <t>Q3268911</t>
  </si>
  <si>
    <t>instability &gt; risk source &gt; source &gt; entity</t>
  </si>
  <si>
    <t>context</t>
  </si>
  <si>
    <t>instability &gt; state &gt; phenomenon &gt; occurrent &gt; entity</t>
  </si>
  <si>
    <t>instability &gt; state &gt; phenomenon &gt; observable entity &gt; entity</t>
  </si>
  <si>
    <t>instability &gt; state &gt; property &gt; abstract entity &gt; entity</t>
  </si>
  <si>
    <t>instability &gt; risk source &gt; contributing factor &gt; condition &gt; state</t>
  </si>
  <si>
    <t>instability &gt; risk source &gt; contributing factor &gt; occurrent &gt; entity</t>
  </si>
  <si>
    <t>Rectangular channel</t>
  </si>
  <si>
    <t>Harmonic inlet excitation</t>
  </si>
  <si>
    <t>CVD</t>
  </si>
  <si>
    <t>3D numerical simulations</t>
  </si>
  <si>
    <t>Design of experiments</t>
  </si>
  <si>
    <t>Q18465858</t>
  </si>
  <si>
    <t>Identification of a new pseudo-binary hydroxide during calendar corrosion of (La, Mg)2Ni7-type hydrogen storage alloys for Nickel-Metal Hydride batteries</t>
  </si>
  <si>
    <t>Corrosion</t>
  </si>
  <si>
    <t>Q5173028</t>
  </si>
  <si>
    <t>Q169930</t>
  </si>
  <si>
    <t>extended play</t>
  </si>
  <si>
    <t>Ni-MH batteries</t>
  </si>
  <si>
    <t>Raman micro spectroscopy</t>
  </si>
  <si>
    <t>TEM</t>
  </si>
  <si>
    <t>Tem</t>
  </si>
  <si>
    <t>Q36531</t>
  </si>
  <si>
    <t>12167223r</t>
  </si>
  <si>
    <t>Gurunsi &gt; Gur &gt; Voltaâ€“Congo &gt; Atlanticâ€“Congo &gt; Nigerâ€“Congo</t>
  </si>
  <si>
    <t>exact_label</t>
  </si>
  <si>
    <t>Q1288568;Q34770</t>
  </si>
  <si>
    <t>modern language;language</t>
  </si>
  <si>
    <t>Gurunsi &gt; Gur &gt; Nigerâ€“Congo &gt; human language &gt; language</t>
  </si>
  <si>
    <t>Combination of techniques</t>
  </si>
  <si>
    <t>Ï€-Conjugated sulfonium-based photoacid generators: an integrated molecular approach for efficient one and two-photon polymerization</t>
  </si>
  <si>
    <t>Nsfc</t>
  </si>
  <si>
    <t>yes</t>
  </si>
  <si>
    <t>National natural science foundation of china</t>
  </si>
  <si>
    <t>National Natural Science Foundation of China</t>
  </si>
  <si>
    <t>Q4501917</t>
  </si>
  <si>
    <t>Q327333;Q45400320;Q5509032;Q98675100</t>
  </si>
  <si>
    <t>open-access publisher;government agency;funding body;vice-ministerial level institution</t>
  </si>
  <si>
    <t>Nucleophilic or Electrophilic Interactions of C2 with HX systems (X=F, Cl, Br)</t>
  </si>
  <si>
    <t>Potential curves</t>
  </si>
  <si>
    <t>Long range interactions</t>
  </si>
  <si>
    <t>Ab-initio calculations</t>
  </si>
  <si>
    <t>Hydrogen halides</t>
  </si>
  <si>
    <t>hydrogen halide</t>
  </si>
  <si>
    <t>Q1572088</t>
  </si>
  <si>
    <t>halide &gt; ionic compound &gt; chemical compound &gt; pure substance &gt; chemical substance</t>
  </si>
  <si>
    <t>Q47154513</t>
  </si>
  <si>
    <t>structural class of chemical entities</t>
  </si>
  <si>
    <t>halide &gt; halogen compound &gt; chemical compound &gt; pure substance &gt; chemical substance</t>
  </si>
  <si>
    <t>hydrogen compound &gt; chemical compound &gt; pure substance &gt; chemical substance &gt; chemical entity</t>
  </si>
  <si>
    <t>hydrogen compound &gt; chemical compound &gt; pure substance &gt; chemical substance &gt; substance</t>
  </si>
  <si>
    <t>mineral acid &gt; acid &gt; chemical compound &gt; pure substance &gt; chemical substance</t>
  </si>
  <si>
    <t>mineral acid &gt; inorganic compound &gt; chemical compound &gt; pure substance &gt; chemical substance</t>
  </si>
  <si>
    <t>mineral acid &gt; inorganic compound &gt; inorganic substance &gt; chemical substance &gt; chemical entity</t>
  </si>
  <si>
    <t>mineral acid &gt; inorganic compound &gt; inorganic substance &gt; chemical substance &gt; substance</t>
  </si>
  <si>
    <t>monoprotic acid &gt; acid &gt; chemical compound &gt; pure substance &gt; chemical substance</t>
  </si>
  <si>
    <t>In situ analysis of Titan's tholins by Laser 2 steps Desorption Ionisation</t>
  </si>
  <si>
    <t>5210 PLANETARY SCIENCES ASTROBIOLOGY Planetary atmospheres</t>
  </si>
  <si>
    <t>Clouds</t>
  </si>
  <si>
    <t>Q110548120</t>
  </si>
  <si>
    <t>Q11060274;Q18218093;Q838948</t>
  </si>
  <si>
    <t>print;etching print;work of art</t>
  </si>
  <si>
    <t>And hazes</t>
  </si>
  <si>
    <t>5405 PLANETARY SCIENCES SOLID SURFACE PLANETS Atmospheres</t>
  </si>
  <si>
    <t>0305 ATMOSPHERIC COMPOSITION AND STRUCTURE Aerosols and particles</t>
  </si>
  <si>
    <t>MCMC2 (version 1.1): A Monte Carlo code for multiply-charged clusters</t>
  </si>
  <si>
    <t>Parallel Charging</t>
  </si>
  <si>
    <t>Parallel Tempering</t>
  </si>
  <si>
    <t>parallel tempering</t>
  </si>
  <si>
    <t>Q7135015</t>
  </si>
  <si>
    <t>randomized algorithm &gt; algorithm &gt; procedure &gt; method &gt; means</t>
  </si>
  <si>
    <t>randomized algorithm &gt; algorithm &gt; work &gt; artificial object &gt; object</t>
  </si>
  <si>
    <t>randomized algorithm &gt; algorithm &gt; work &gt; cultural artifact &gt; artificial object</t>
  </si>
  <si>
    <t>randomized algorithm &gt; algorithm &gt; work &gt; cultural artifact &gt; cultural heritage</t>
  </si>
  <si>
    <t>Electrospray ionisation</t>
  </si>
  <si>
    <t>Charged droplets</t>
  </si>
  <si>
    <t>Charged clusters</t>
  </si>
  <si>
    <t>Coarse-grained models</t>
  </si>
  <si>
    <t>Coarse-grained model</t>
  </si>
  <si>
    <t>Q25305554</t>
  </si>
  <si>
    <t>mathematical model &gt; mathematical object &gt; abstract entity &gt; entity</t>
  </si>
  <si>
    <t>mathematical model &gt; conceptual model &gt; knowledge organization system &gt; conceptual system &gt; system</t>
  </si>
  <si>
    <t>mathematical model &gt; conceptual model &gt; knowledge organization system &gt; conceptual system &gt; artificial object</t>
  </si>
  <si>
    <t>mathematical model &gt; conceptual model &gt; knowledge organization system &gt; conceptual system &gt; abstract entity</t>
  </si>
  <si>
    <t>mathematical model &gt; conceptual model &gt; knowledge organization system &gt; conceptual system &gt; concept</t>
  </si>
  <si>
    <t>mathematical model &gt; conceptual model &gt; knowledge organization system &gt; model &gt; artificial object</t>
  </si>
  <si>
    <t>mathematical model &gt; conceptual model &gt; knowledge organization system &gt; model &gt; information</t>
  </si>
  <si>
    <t>mathematical model &gt; conceptual model &gt; knowledge organization system &gt; reference work &gt; tertiary source</t>
  </si>
  <si>
    <t>mathematical model &gt; conceptual model &gt; knowledge organization system &gt; reference work &gt; learning material</t>
  </si>
  <si>
    <t>mathematical model &gt; conceptual model &gt; knowledge organization system &gt; reference work &gt; creative work</t>
  </si>
  <si>
    <t>mathematical model &gt; conceptual model &gt; knowledge organization system &gt; reference work &gt; document</t>
  </si>
  <si>
    <t>mathematical model &gt; conceptual model &gt; knowledge organization system &gt; reference work &gt; written work</t>
  </si>
  <si>
    <t>mathematical model &gt; conceptual model &gt; knowledge organization system &gt; reference work &gt; publication</t>
  </si>
  <si>
    <t>mathematical model &gt; conceptual model &gt; knowledge organization system &gt; reference work &gt; project</t>
  </si>
  <si>
    <t>mathematical model &gt; intellectual work &gt; work &gt; artificial object &gt; object</t>
  </si>
  <si>
    <t>mathematical model &gt; intellectual work &gt; work &gt; cultural artifact &gt; artificial object</t>
  </si>
  <si>
    <t>mathematical model &gt; intellectual work &gt; work &gt; cultural artifact &gt; cultural heritage</t>
  </si>
  <si>
    <t>mathematical model &gt; intellectual work &gt; intellectual property &gt; property &gt; goods</t>
  </si>
  <si>
    <t>mathematical model &gt; intellectual work &gt; intellectual property &gt; intangible asset &gt; asset</t>
  </si>
  <si>
    <t>mathematical model &gt; intellectual work &gt; intellectual property &gt; intangible asset &gt; intangible property</t>
  </si>
  <si>
    <t>mathematical model &gt; intellectual work &gt; intellectual property &gt; exclusive right &gt; rights</t>
  </si>
  <si>
    <t>mathematical model &gt; intellectual work &gt; intellectual property &gt; erga omnes &gt; subjective right</t>
  </si>
  <si>
    <t>mathematical model &gt; model &gt; artificial object &gt; object &gt; entity</t>
  </si>
  <si>
    <t>mathematical model &gt; model &gt; information &gt; abstract entity &gt; entity</t>
  </si>
  <si>
    <t>mathematical model &gt; model &gt; information &gt; knowledge &gt; memory</t>
  </si>
  <si>
    <t>mathematical model &gt; scientific model &gt; conceptual model &gt; knowledge organization system &gt; conceptual system</t>
  </si>
  <si>
    <t>mathematical model &gt; scientific model &gt; conceptual model &gt; knowledge organization system &gt; model</t>
  </si>
  <si>
    <t>mathematical model &gt; scientific model &gt; conceptual model &gt; knowledge organization system &gt; reference work</t>
  </si>
  <si>
    <t>mathematical model &gt; mathematical object &gt; scientific object &gt; object &gt; entity</t>
  </si>
  <si>
    <t>Monte Carlo simulations</t>
  </si>
  <si>
    <t>Monte Carlo Simulation Studies</t>
  </si>
  <si>
    <t>Q57429452</t>
  </si>
  <si>
    <t>Q1980247</t>
  </si>
  <si>
    <t>chapter</t>
  </si>
  <si>
    <t>Are there Stable Excited Triplet States of NCS-/CNS- and NCO-/CNO-?</t>
  </si>
  <si>
    <t>Potential energy functions</t>
  </si>
  <si>
    <t>Excited states</t>
  </si>
  <si>
    <t>excited state</t>
  </si>
  <si>
    <t>Q215328</t>
  </si>
  <si>
    <t>Q669532</t>
  </si>
  <si>
    <t>energy level</t>
  </si>
  <si>
    <t>Molecular anions</t>
  </si>
  <si>
    <t>245 - A highly sensitive glucose electrode using glucose oxidase collagen film</t>
  </si>
  <si>
    <t>Glocose oxidase</t>
  </si>
  <si>
    <t>Amperometric biosensor</t>
  </si>
  <si>
    <t>Collagen</t>
  </si>
  <si>
    <t>collagen</t>
  </si>
  <si>
    <t>Q26868</t>
  </si>
  <si>
    <t>protein-containing complex &gt; cellular component &gt; component &gt; part &gt; entity</t>
  </si>
  <si>
    <t>Q5058355;Q78155096</t>
  </si>
  <si>
    <t>family of protein complexes;cellular component</t>
  </si>
  <si>
    <t>protein-containing complex &gt; cellular component &gt; component &gt; perceptible physical object &gt; physical object</t>
  </si>
  <si>
    <t>protein-containing complex &gt; cellular component &gt; component &gt; material entity &gt; independent continuant</t>
  </si>
  <si>
    <t>protein-containing complex &gt; cellular component &gt; cardinal cell part &gt; anatomical structure &gt; biological structure</t>
  </si>
  <si>
    <t>protein-containing complex &gt; cellular component &gt; cardinal cell part &gt; anatomical structure &gt; material anatomical entity</t>
  </si>
  <si>
    <t>protein-containing complex &gt; oligomer &gt; multimer &gt; chemical compound &gt; pure substance</t>
  </si>
  <si>
    <t>fibrous protein &gt; protein &gt; biopolymer &gt; polymer &gt; mixture</t>
  </si>
  <si>
    <t>fibrous protein &gt; protein &gt; biopolymer &gt; polymer &gt; material</t>
  </si>
  <si>
    <t>fibrous protein &gt; protein &gt; biopolymer &gt; biological macromolecule &gt; anatomical structure</t>
  </si>
  <si>
    <t>fibrous protein &gt; protein &gt; biopolymer &gt; biological macromolecule &gt; macromolecule</t>
  </si>
  <si>
    <t>fibrous protein &gt; protein &gt; biopolymer &gt; biological macromolecule &gt; biomolecule</t>
  </si>
  <si>
    <t>fibrous protein &gt; protein &gt; gene product &gt; organic compound &gt; carbon compound</t>
  </si>
  <si>
    <t>fibrous protein &gt; protein &gt; gene product &gt; molecule &gt; molecular entity</t>
  </si>
  <si>
    <t>fibrous protein &gt; protein &gt; polypeptide &gt; macromolecule &gt; molecule</t>
  </si>
  <si>
    <t>fibrous protein &gt; protein &gt; polypeptide &gt; peptide &gt; carboxamides</t>
  </si>
  <si>
    <t>fibrous protein &gt; protein &gt; polypeptide &gt; peptide &gt; organic compound</t>
  </si>
  <si>
    <t>fibrous protein &gt; protein &gt; biological macromolecule &gt; anatomical structure &gt; biological structure</t>
  </si>
  <si>
    <t>fibrous protein &gt; protein &gt; biological macromolecule &gt; anatomical structure &gt; material anatomical entity</t>
  </si>
  <si>
    <t>fibrous protein &gt; protein &gt; biological macromolecule &gt; macromolecule &gt; molecule</t>
  </si>
  <si>
    <t>fibrous protein &gt; protein &gt; biological macromolecule &gt; biomolecule &gt; chemical compound</t>
  </si>
  <si>
    <t>extracellular matrix proteins &gt; fibrous protein &gt; protein &gt; biopolymer &gt; polymer</t>
  </si>
  <si>
    <t>extracellular matrix proteins &gt; fibrous protein &gt; protein &gt; biopolymer &gt; biological macromolecule</t>
  </si>
  <si>
    <t>extracellular matrix proteins &gt; fibrous protein &gt; protein &gt; gene product &gt; organic compound</t>
  </si>
  <si>
    <t>extracellular matrix proteins &gt; fibrous protein &gt; protein &gt; gene product &gt; molecule</t>
  </si>
  <si>
    <t>extracellular matrix proteins &gt; fibrous protein &gt; protein &gt; polypeptide &gt; macromolecule</t>
  </si>
  <si>
    <t>extracellular matrix proteins &gt; fibrous protein &gt; protein &gt; polypeptide &gt; peptide</t>
  </si>
  <si>
    <t>extracellular matrix proteins &gt; fibrous protein &gt; protein &gt; biological macromolecule &gt; anatomical structure</t>
  </si>
  <si>
    <t>extracellular matrix proteins &gt; fibrous protein &gt; protein &gt; biological macromolecule &gt; macromolecule</t>
  </si>
  <si>
    <t>extracellular matrix proteins &gt; fibrous protein &gt; protein &gt; biological macromolecule &gt; biomolecule</t>
  </si>
  <si>
    <t>Biosensors</t>
  </si>
  <si>
    <t>Q27709294</t>
  </si>
  <si>
    <t>Q5633421</t>
  </si>
  <si>
    <t>scientific journal</t>
  </si>
  <si>
    <t>Electrochemical biosensors: Recommended definitions and classification (Technical Report)</t>
  </si>
  <si>
    <t>Electrochemical biosensor</t>
  </si>
  <si>
    <t>Classification</t>
  </si>
  <si>
    <t>classification</t>
  </si>
  <si>
    <t>Q5128386</t>
  </si>
  <si>
    <t>stylistic device &gt; rhetorical device &gt; technique &gt; method &gt; means</t>
  </si>
  <si>
    <t>stylistic device &gt; rhetorical device &gt; technique &gt; activity &gt; process</t>
  </si>
  <si>
    <t>Definition</t>
  </si>
  <si>
    <t>Q16247949</t>
  </si>
  <si>
    <t>Problems in Adapting a Glucose-Oxidase Electrochemical Sensor into an Implantable Glucose-Sensing Device</t>
  </si>
  <si>
    <t>Implantable sensor</t>
  </si>
  <si>
    <t>Q124665234</t>
  </si>
  <si>
    <t>Q43305660</t>
  </si>
  <si>
    <t>United States patent</t>
  </si>
  <si>
    <t>Glucose</t>
  </si>
  <si>
    <t>glucose</t>
  </si>
  <si>
    <t>Q37525</t>
  </si>
  <si>
    <t>aldohexose &gt; aldose &gt; monosaccharide &gt; carbohydrate &gt; polyol</t>
  </si>
  <si>
    <t>Q136192523;Q15711994</t>
  </si>
  <si>
    <t>group of isomeric entities;simple carbohydrates</t>
  </si>
  <si>
    <t>aldohexose &gt; aldose &gt; monosaccharide &gt; carbohydrate &gt; carbohydrate derivative</t>
  </si>
  <si>
    <t>aldohexose &gt; aldose &gt; aldehydes &gt; carbonyl compound &gt; organooxygen compound</t>
  </si>
  <si>
    <t>aldohexose &gt; aldose &gt; aldehydes &gt; carbonyl compound &gt; oxo compound</t>
  </si>
  <si>
    <t>aldohexose &gt; hexose &gt; monosaccharide &gt; carbohydrate &gt; polyol</t>
  </si>
  <si>
    <t>aldohexose &gt; hexose &gt; monosaccharide &gt; carbohydrate &gt; carbohydrate derivative</t>
  </si>
  <si>
    <t>Glucose oxidase</t>
  </si>
  <si>
    <t>Q61497978</t>
  </si>
  <si>
    <t>protein &gt; biopolymer &gt; polymer &gt; mixture &gt; chemical substance</t>
  </si>
  <si>
    <t>Q8054</t>
  </si>
  <si>
    <t>protein</t>
  </si>
  <si>
    <t>protein &gt; biopolymer &gt; polymer &gt; material &gt; substance</t>
  </si>
  <si>
    <t>protein &gt; biopolymer &gt; polymer &gt; material &gt; product</t>
  </si>
  <si>
    <t>protein &gt; biopolymer &gt; biological macromolecule &gt; anatomical structure &gt; biological structure</t>
  </si>
  <si>
    <t>protein &gt; biopolymer &gt; biological macromolecule &gt; anatomical structure &gt; material anatomical entity</t>
  </si>
  <si>
    <t>protein &gt; biopolymer &gt; biological macromolecule &gt; macromolecule &gt; molecule</t>
  </si>
  <si>
    <t>protein &gt; biopolymer &gt; biological macromolecule &gt; biomolecule &gt; chemical compound</t>
  </si>
  <si>
    <t>protein &gt; gene product &gt; organic compound &gt; carbon compound &gt; chemical compound</t>
  </si>
  <si>
    <t>protein &gt; gene product &gt; molecule &gt; molecular entity &gt; composite particle</t>
  </si>
  <si>
    <t>protein &gt; gene product &gt; molecule &gt; molecular entity &gt; chemical entity</t>
  </si>
  <si>
    <t>protein &gt; polypeptide &gt; macromolecule &gt; molecule &gt; molecular entity</t>
  </si>
  <si>
    <t>protein &gt; polypeptide &gt; peptide &gt; carboxamides &gt; amides</t>
  </si>
  <si>
    <t>protein &gt; polypeptide &gt; peptide &gt; carboxamides &gt; carbonyl compound</t>
  </si>
  <si>
    <t>protein &gt; polypeptide &gt; peptide &gt; organic compound &gt; carbon compound</t>
  </si>
  <si>
    <t>protein &gt; biological macromolecule &gt; anatomical structure &gt; biological structure &gt; structure</t>
  </si>
  <si>
    <t>protein &gt; biological macromolecule &gt; anatomical structure &gt; biological structure &gt; natural physical object</t>
  </si>
  <si>
    <t>protein &gt; biological macromolecule &gt; anatomical structure &gt; material anatomical entity &gt; material entity</t>
  </si>
  <si>
    <t>protein &gt; biological macromolecule &gt; anatomical structure &gt; material anatomical entity &gt; physical anatomical entity</t>
  </si>
  <si>
    <t>protein &gt; biological macromolecule &gt; macromolecule &gt; molecule &gt; molecular entity</t>
  </si>
  <si>
    <t>protein &gt; biological macromolecule &gt; biomolecule &gt; chemical compound &gt; pure substance</t>
  </si>
  <si>
    <t>A glucose electrode using high-stability glucose-oxidase collagen membranes</t>
  </si>
  <si>
    <t>From Alchemy to modern Chemistry: the concept of Chemical binding</t>
  </si>
  <si>
    <t>Chemistry history</t>
  </si>
  <si>
    <t>Chemical bond concepts</t>
  </si>
  <si>
    <t>Is C2 a nucleophilic or an electrophilic system?</t>
  </si>
  <si>
    <t>Relation between redox potential and oxygen levels in activated-sludge reactors</t>
  </si>
  <si>
    <t>Control</t>
  </si>
  <si>
    <t>Q3689255</t>
  </si>
  <si>
    <t>Q134556</t>
  </si>
  <si>
    <t>single</t>
  </si>
  <si>
    <t>Instrumentation</t>
  </si>
  <si>
    <t>Q28471383</t>
  </si>
  <si>
    <t>Q3305213</t>
  </si>
  <si>
    <t>painting</t>
  </si>
  <si>
    <t>Waste water treatment plant</t>
  </si>
  <si>
    <t>Waste Water Treatment Plant</t>
  </si>
  <si>
    <t>Q116719041</t>
  </si>
  <si>
    <t>Q1003207</t>
  </si>
  <si>
    <t>photovoltaic power station</t>
  </si>
  <si>
    <t>Oxygen</t>
  </si>
  <si>
    <t>Q15618</t>
  </si>
  <si>
    <t>Q11424</t>
  </si>
  <si>
    <t>film</t>
  </si>
  <si>
    <t>Activated sludge</t>
  </si>
  <si>
    <t>activated sludge</t>
  </si>
  <si>
    <t>Q815353</t>
  </si>
  <si>
    <t>processing sludge &gt; waste &gt; material &gt; substance &gt; ordinary matter</t>
  </si>
  <si>
    <t>processing sludge &gt; waste &gt; material &gt; product &gt; object</t>
  </si>
  <si>
    <t>processing sludge &gt; waste &gt; economic bad &gt; object &gt; entity</t>
  </si>
  <si>
    <t>processing sludge &gt; waste &gt; energy source &gt; source &gt; entity</t>
  </si>
  <si>
    <t>processing sludge &gt; waste &gt; energy source &gt; resource &gt; independent continuant</t>
  </si>
  <si>
    <t>processing sludge &gt; waste &gt; energy source &gt; resource &gt; source</t>
  </si>
  <si>
    <t>processing sludge &gt; waste &gt; energy source &gt; resource &gt; means</t>
  </si>
  <si>
    <t>processing sludge &gt; slurry &gt; fluid &gt; continuum &gt; physical substance</t>
  </si>
  <si>
    <t>processing sludge &gt; slurry &gt; fluid &gt; substance &gt; ordinary matter</t>
  </si>
  <si>
    <t>processing sludge &gt; slurry &gt; suspension &gt; dispersion &gt; state</t>
  </si>
  <si>
    <t>processing sludge &gt; slurry &gt; suspension &gt; dispersion &gt; heterogeneous mixture</t>
  </si>
  <si>
    <t>processing sludge &gt; dregs &gt; dirt &gt; matter &gt; physical substance</t>
  </si>
  <si>
    <t>processing sludge &gt; dregs &gt; waste &gt; material &gt; substance</t>
  </si>
  <si>
    <t>processing sludge &gt; dregs &gt; waste &gt; material &gt; product</t>
  </si>
  <si>
    <t>processing sludge &gt; dregs &gt; waste &gt; economic bad &gt; object</t>
  </si>
  <si>
    <t>processing sludge &gt; dregs &gt; waste &gt; energy source &gt; source</t>
  </si>
  <si>
    <t>processing sludge &gt; dregs &gt; waste &gt; energy source &gt; resource</t>
  </si>
  <si>
    <t>processing sludge &gt; dregs &gt; mud &gt; clastic sediment &gt; sediment</t>
  </si>
  <si>
    <t>processing sludge &gt; dregs &gt; mud &gt; clastic sediment &gt; clastic sedimentary material</t>
  </si>
  <si>
    <t>processing sludge &gt; dregs &gt; mud &gt; building material &gt; material</t>
  </si>
  <si>
    <t>processing sludge &gt; dregs &gt; mud &gt; building material &gt; hardware</t>
  </si>
  <si>
    <t>processing sludge &gt; dregs &gt; mud &gt; building material &gt; construction product</t>
  </si>
  <si>
    <t>processing sludge &gt; dregs &gt; mud &gt; mixture &gt; chemical substance</t>
  </si>
  <si>
    <t>processing sludge &gt; dregs &gt; sediment &gt; granular material &gt; material</t>
  </si>
  <si>
    <t>processing sludge &gt; dregs &gt; sediment &gt; granular material &gt; continuum</t>
  </si>
  <si>
    <t>mud &gt; clastic sediment &gt; sediment &gt; sedimentary material &gt; natural material</t>
  </si>
  <si>
    <t>mud &gt; clastic sediment &gt; sediment &gt; sediment &gt; granular material</t>
  </si>
  <si>
    <t>mud &gt; clastic sediment &gt; clastic sedimentary material &gt; sedimentary material &gt; natural material</t>
  </si>
  <si>
    <t>mud &gt; building material &gt; material &gt; substance &gt; ordinary matter</t>
  </si>
  <si>
    <t>mud &gt; building material &gt; material &gt; product &gt; object</t>
  </si>
  <si>
    <t>mud &gt; building material &gt; hardware &gt; component &gt; part</t>
  </si>
  <si>
    <t>mud &gt; building material &gt; hardware &gt; component &gt; perceptible physical object</t>
  </si>
  <si>
    <t>mud &gt; building material &gt; hardware &gt; component &gt; material entity</t>
  </si>
  <si>
    <t>mud &gt; building material &gt; hardware &gt; product &gt; object</t>
  </si>
  <si>
    <t>mud &gt; building material &gt; hardware &gt; hardware and hardware accessories &gt; product</t>
  </si>
  <si>
    <t>mud &gt; building material &gt; construction product &gt; product &gt; object</t>
  </si>
  <si>
    <t>mud &gt; mixture &gt; chemical substance &gt; chemical entity &gt; ordinary matter</t>
  </si>
  <si>
    <t>mud &gt; mixture &gt; chemical substance &gt; substance &gt; ordinary matter</t>
  </si>
  <si>
    <t>Redox potential</t>
  </si>
  <si>
    <t>redox potential</t>
  </si>
  <si>
    <t>Q1640043</t>
  </si>
  <si>
    <t>reduction potential &gt; bioelectric potential difference &gt; electric potential difference &gt; physical quantity &gt; physical property</t>
  </si>
  <si>
    <t>reduction potential &gt; bioelectric potential difference &gt; electric potential difference &gt; physical quantity &gt; individual quantity</t>
  </si>
  <si>
    <t>reduction potential &gt; bioelectric potential difference &gt; electric potential difference &gt; potential difference &gt; difference</t>
  </si>
  <si>
    <t>reduction potential &gt; bioelectric potential difference &gt; electric potential difference &gt; potential difference &gt; scalar quantity</t>
  </si>
  <si>
    <t>reduction potential &gt; bioelectric potential difference &gt; electric potential difference &gt; scalar quantity &gt; physical quantity</t>
  </si>
  <si>
    <t>reduction potential &gt; bioelectric potential difference &gt; electric potential difference &gt; scalar quantity &gt; scalar</t>
  </si>
  <si>
    <t>Influence of calcium on glucose biosensor response and on hydrogen peroxide detection</t>
  </si>
  <si>
    <t>Glucose sensor</t>
  </si>
  <si>
    <t>Q126364723</t>
  </si>
  <si>
    <t>Calcium</t>
  </si>
  <si>
    <t>Q3461363</t>
  </si>
  <si>
    <t>Q17343829;Q498162</t>
  </si>
  <si>
    <t>unincorporated community in the United States;census-designated place in the United States</t>
  </si>
  <si>
    <t>Hydrogen peroxide</t>
  </si>
  <si>
    <t>hydrogen peroxide</t>
  </si>
  <si>
    <t>Q171877</t>
  </si>
  <si>
    <t>biogenic acyclic peroxide &gt; fatty acyl &gt; biogenic lipid &gt; biological macromolecule &gt; anatomical structure</t>
  </si>
  <si>
    <t>Q113145171</t>
  </si>
  <si>
    <t>type of chemical entity</t>
  </si>
  <si>
    <t>biogenic acyclic peroxide &gt; fatty acyl &gt; biogenic lipid &gt; biological macromolecule &gt; macromolecule</t>
  </si>
  <si>
    <t>biogenic acyclic peroxide &gt; fatty acyl &gt; biogenic lipid &gt; biological macromolecule &gt; biomolecule</t>
  </si>
  <si>
    <t>biogenic acyclic peroxide &gt; fatty acyl &gt; biogenic lipid &gt; biomolecule &gt; chemical compound</t>
  </si>
  <si>
    <t>biogenic acyclic peroxide &gt; fatty acyl &gt; biogenic lipid &gt; lipid &gt; organic compound</t>
  </si>
  <si>
    <t>biogenic acyclic peroxide &gt; organic peroxide &gt; peroxide &gt; oxygen compound &gt; chemical compound</t>
  </si>
  <si>
    <t>biogenic acyclic peroxide &gt; organic peroxide &gt; peroxide &gt; oxygen compound &gt; oxygen molecular entity</t>
  </si>
  <si>
    <t>hydrogen chalcogenide &gt; chalcogenide &gt; chemical compound &gt; pure substance &gt; chemical substance</t>
  </si>
  <si>
    <t>hydrogen chalcogenide &gt; binary compound of hydrogen &gt; binary compound &gt; compound substance &gt; chemical substance</t>
  </si>
  <si>
    <t>hydrogen chalcogenide &gt; binary compound of hydrogen &gt; hydrogen compound &gt; chemical compound &gt; pure substance</t>
  </si>
  <si>
    <t>oxidizing agent &gt; electron acceptor &gt; substance &gt; ordinary matter &gt; baryonic matter</t>
  </si>
  <si>
    <t>oxidizing agent &gt; noxa &gt; substance &gt; ordinary matter &gt; baryonic matter</t>
  </si>
  <si>
    <t>oxidizing agent &gt; noxa &gt; disease causative agent &gt; risk source &gt; contributing factor</t>
  </si>
  <si>
    <t>oxidizing agent &gt; noxa &gt; disease causative agent &gt; risk source &gt; source</t>
  </si>
  <si>
    <t>oxidizing agent &gt; noxa &gt; disease causative agent &gt; agents (Medicine) &gt; etiology</t>
  </si>
  <si>
    <t>oxidizing agent &gt; comburent &gt; chemical substance &gt; chemical entity &gt; ordinary matter</t>
  </si>
  <si>
    <t>oxidizing agent &gt; comburent &gt; chemical substance &gt; substance &gt; ordinary matter</t>
  </si>
  <si>
    <t>Koutecky-Levich plots</t>
  </si>
  <si>
    <t>Platinum</t>
  </si>
  <si>
    <t>Q929074</t>
  </si>
  <si>
    <t>Q482994</t>
  </si>
  <si>
    <t>album</t>
  </si>
  <si>
    <t>Electrochemical biosensors: recommended definitions and classification</t>
  </si>
  <si>
    <t>Single use biosensor</t>
  </si>
  <si>
    <t>Calibration characteristics</t>
  </si>
  <si>
    <t>Performance criteria</t>
  </si>
  <si>
    <t>Performance Criteria</t>
  </si>
  <si>
    <t>Q134702323</t>
  </si>
  <si>
    <t>Q7725634</t>
  </si>
  <si>
    <t>literary work</t>
  </si>
  <si>
    <t>Analytes</t>
  </si>
  <si>
    <t>analyte</t>
  </si>
  <si>
    <t>Q2282401</t>
  </si>
  <si>
    <t>component &gt; part &gt; entity</t>
  </si>
  <si>
    <t>object of analysis &gt; object &gt; entity</t>
  </si>
  <si>
    <t>component &gt; perceptible physical object &gt; physical object &gt; material entity &gt; independent continuant</t>
  </si>
  <si>
    <t>component &gt; perceptible physical object &gt; physical object &gt; concrete object &gt; object</t>
  </si>
  <si>
    <t>component &gt; perceptible physical object &gt; physical object &gt; concrete object &gt; individual item</t>
  </si>
  <si>
    <t>component &gt; material entity &gt; independent continuant &gt; continuant &gt; entity</t>
  </si>
  <si>
    <t>chemical substance &gt; chemical entity &gt; ordinary matter &gt; baryonic matter &gt; common matter</t>
  </si>
  <si>
    <t>chemical substance &gt; substance &gt; ordinary matter &gt; baryonic matter &gt; common matter</t>
  </si>
  <si>
    <t>Critical budget of metal sources and pathways in the Seine River basin (1994â€“2003) for Cd, Cr, Cu, Hg, Ni, Pb and Zn</t>
  </si>
  <si>
    <t>Cr</t>
  </si>
  <si>
    <t>Cu</t>
  </si>
  <si>
    <t>Cd</t>
  </si>
  <si>
    <t>Zn</t>
  </si>
  <si>
    <t>Hg</t>
  </si>
  <si>
    <t>Pb</t>
  </si>
  <si>
    <t>Heavy metals</t>
  </si>
  <si>
    <t>Heavy Metal</t>
  </si>
  <si>
    <t>Q5695115</t>
  </si>
  <si>
    <t>Q15773317</t>
  </si>
  <si>
    <t>television character</t>
  </si>
  <si>
    <t>Budget</t>
  </si>
  <si>
    <t>budget</t>
  </si>
  <si>
    <t>Q41263</t>
  </si>
  <si>
    <t>financial plan &gt; plan &gt; plan &gt; sequence &gt; function</t>
  </si>
  <si>
    <t>Q1047113;Q2267705</t>
  </si>
  <si>
    <t>field of study;field of study</t>
  </si>
  <si>
    <t>financial plan &gt; plan &gt; plan &gt; sequence &gt; class</t>
  </si>
  <si>
    <t>Seine</t>
  </si>
  <si>
    <t>Q25344232</t>
  </si>
  <si>
    <t>Q132017</t>
  </si>
  <si>
    <t>river basin district</t>
  </si>
  <si>
    <t>River</t>
  </si>
  <si>
    <t>Q1189823</t>
  </si>
  <si>
    <t>Ni</t>
  </si>
  <si>
    <t>Q6854084</t>
  </si>
  <si>
    <t>Q101352;Q1093580</t>
  </si>
  <si>
    <t>Chinese family name;family name</t>
  </si>
  <si>
    <t>Trace metal determination in total atmospheric deposition in rural and urban areas</t>
  </si>
  <si>
    <t>Anthropogenic impacts</t>
  </si>
  <si>
    <t>Sampling procedures</t>
  </si>
  <si>
    <t>sampling procedure</t>
  </si>
  <si>
    <t>Q114658653</t>
  </si>
  <si>
    <t>Atmospheric fallout</t>
  </si>
  <si>
    <t>Trace elements</t>
  </si>
  <si>
    <t>trace element</t>
  </si>
  <si>
    <t>Q351792</t>
  </si>
  <si>
    <t>11975502k</t>
  </si>
  <si>
    <t>bioelement &gt; chemical element &gt; chemical substance &gt; chemical entity &gt; ordinary matter</t>
  </si>
  <si>
    <t>bioelement &gt; chemical element &gt; chemical substance &gt; substance &gt; ordinary matter</t>
  </si>
  <si>
    <t>micronutrient &gt; nutrient &gt; chemical substance &gt; chemical entity &gt; ordinary matter</t>
  </si>
  <si>
    <t>micronutrient &gt; nutrient &gt; chemical substance &gt; substance &gt; ordinary matter</t>
  </si>
  <si>
    <t>micronutrient &gt; growth substances &gt; physiological effect of drugs &gt; pharmacologic action &gt; chemical actions and uses</t>
  </si>
  <si>
    <t>micronutrient &gt; growth substances &gt; physiological effect of drugs &gt; pharmacologic action &gt; mode of action</t>
  </si>
  <si>
    <t>micronutrient &gt; growth substances &gt; mitogen &gt; chemical substance &gt; chemical entity</t>
  </si>
  <si>
    <t>micronutrient &gt; growth substances &gt; mitogen &gt; chemical substance &gt; substance</t>
  </si>
  <si>
    <t>chemical element &gt; chemical substance &gt; chemical entity &gt; ordinary matter &gt; baryonic matter</t>
  </si>
  <si>
    <t>chemical element &gt; chemical substance &gt; substance &gt; ordinary matter &gt; baryonic matter</t>
  </si>
  <si>
    <t>Ab initio investigations on the CaO&lt;sup&gt;2+&lt;/sup&gt; dication</t>
  </si>
  <si>
    <t>Vibronic states</t>
  </si>
  <si>
    <t>Spinâ€“orbit coupling</t>
  </si>
  <si>
    <t>MRCI+Q</t>
  </si>
  <si>
    <t>Stable dication</t>
  </si>
  <si>
    <t>CaO</t>
  </si>
  <si>
    <t>Cao</t>
  </si>
  <si>
    <t>Q710706</t>
  </si>
  <si>
    <t>Q101352;Q1093580;Q11420694</t>
  </si>
  <si>
    <t>royal surname;Chinese family name;family name</t>
  </si>
  <si>
    <t>Calcium monoxide</t>
  </si>
  <si>
    <t>Nanocomposites of Silica Reinforced Polypropylene: Correlation Between Morphology and Properties</t>
  </si>
  <si>
    <t>SILANE-GRAFTED POLYPROPYLENE</t>
  </si>
  <si>
    <t>GAS BARRIER PROPERTIES</t>
  </si>
  <si>
    <t>MECHANICAL-PROPERTIES</t>
  </si>
  <si>
    <t>CLAY NANOCOMPOSITES</t>
  </si>
  <si>
    <t>CARBON NANOTUBES</t>
  </si>
  <si>
    <t>carbon nanotube</t>
  </si>
  <si>
    <t>Q1778729</t>
  </si>
  <si>
    <t>nanotube &gt; nanoparticle &gt; nanomaterial &gt; material &gt; substance</t>
  </si>
  <si>
    <t>nanotube &gt; nanoparticle &gt; nanomaterial &gt; material &gt; product</t>
  </si>
  <si>
    <t>nanotube &gt; nanoparticle &gt; nanomaterial &gt; chemical substance &gt; chemical entity</t>
  </si>
  <si>
    <t>nanotube &gt; nanoparticle &gt; nanomaterial &gt; chemical substance &gt; substance</t>
  </si>
  <si>
    <t>nanotube &gt; nanoparticle &gt; particle &gt; physical object &gt; material entity</t>
  </si>
  <si>
    <t>nanotube &gt; nanoparticle &gt; particle &gt; physical object &gt; concrete object</t>
  </si>
  <si>
    <t>nanotube &gt; pipe &gt; tube &gt; physical object &gt; material entity</t>
  </si>
  <si>
    <t>nanotube &gt; pipe &gt; tube &gt; physical object &gt; concrete object</t>
  </si>
  <si>
    <t>nanotube &gt; pipe &gt; tube &gt; cylinder &gt; analytic manifold</t>
  </si>
  <si>
    <t>nanotube &gt; pipe &gt; tube &gt; cylinder &gt; cylinder</t>
  </si>
  <si>
    <t>nanotube &gt; pipe &gt; tube &gt; cylinder &gt; geometric primitive</t>
  </si>
  <si>
    <t>allotrope of carbon &gt; allotrope &gt; simple substance &gt; pure substance &gt; chemical substance</t>
  </si>
  <si>
    <t>allotrope of carbon &gt; carbon &gt; polyatomic nonmetal &gt; nonmetal &gt; chemical element</t>
  </si>
  <si>
    <t>allotrope of carbon &gt; carbon &gt; polyatomic nonmetal &gt; nonmetal &gt; main group</t>
  </si>
  <si>
    <t>allotrope of carbon &gt; carbon &gt; polyatomic nonmetal &gt; chemical element &gt; chemical substance</t>
  </si>
  <si>
    <t>allotrope of carbon &gt; carbon &gt; polyatomic nonmetal &gt; polyatomic compound &gt; chemical substance</t>
  </si>
  <si>
    <t>allotrope of carbon &gt; carbon &gt; nonmetal &gt; chemical element &gt; chemical substance</t>
  </si>
  <si>
    <t>allotrope of carbon &gt; carbon &gt; nonmetal &gt; main group &gt; chemical element</t>
  </si>
  <si>
    <t>POLYMER</t>
  </si>
  <si>
    <t>Polymer</t>
  </si>
  <si>
    <t>Q3395619</t>
  </si>
  <si>
    <t>Q41298;Q5633421</t>
  </si>
  <si>
    <t>magazine;scientific journal</t>
  </si>
  <si>
    <t>COMPOSITES</t>
  </si>
  <si>
    <t>composite</t>
  </si>
  <si>
    <t>Q66539734</t>
  </si>
  <si>
    <t>volume &gt; dimensional entity &gt; mathematical object &gt; abstract entity &gt; entity</t>
  </si>
  <si>
    <t>volume &gt; dimensional entity &gt; mathematical object &gt; scientific object &gt; object</t>
  </si>
  <si>
    <t>BLENDS</t>
  </si>
  <si>
    <t>blend</t>
  </si>
  <si>
    <t>Q12055133</t>
  </si>
  <si>
    <t>textile &gt; product &gt; object &gt; entity</t>
  </si>
  <si>
    <t>textile &gt; material &gt; substance &gt; ordinary matter &gt; baryonic matter</t>
  </si>
  <si>
    <t>textile &gt; material &gt; product &gt; object &gt; entity</t>
  </si>
  <si>
    <t>textile &gt; artificial physical object &gt; physical object &gt; material entity &gt; independent continuant</t>
  </si>
  <si>
    <t>textile &gt; artificial physical object &gt; physical object &gt; concrete object &gt; object</t>
  </si>
  <si>
    <t>textile &gt; artificial physical object &gt; physical object &gt; concrete object &gt; individual item</t>
  </si>
  <si>
    <t>textile &gt; artificial physical object &gt; artificial object &gt; object &gt; entity</t>
  </si>
  <si>
    <t>textile &gt; artificial physical object &gt; work &gt; artificial object &gt; object</t>
  </si>
  <si>
    <t>textile &gt; artificial physical object &gt; work &gt; cultural artifact &gt; artificial object</t>
  </si>
  <si>
    <t>textile &gt; artificial physical object &gt; work &gt; cultural artifact &gt; cultural heritage</t>
  </si>
  <si>
    <t>textile &gt; goods &gt; goods and services &gt; spatio-temporal entity &gt; object</t>
  </si>
  <si>
    <t>textile &gt; goods &gt; goods and services &gt; spatio-temporal entity &gt; entity</t>
  </si>
  <si>
    <t>textile &gt; goods &gt; goods and services &gt; product &gt; object</t>
  </si>
  <si>
    <t>NANOPARTICLES</t>
  </si>
  <si>
    <t>nanoparticle</t>
  </si>
  <si>
    <t>Q61231</t>
  </si>
  <si>
    <t>12293062x</t>
  </si>
  <si>
    <t>nanomaterial &gt; material &gt; substance &gt; ordinary matter &gt; baryonic matter</t>
  </si>
  <si>
    <t>nanomaterial &gt; material &gt; product &gt; object &gt; entity</t>
  </si>
  <si>
    <t>nanomaterial &gt; chemical substance &gt; chemical entity &gt; ordinary matter &gt; baryonic matter</t>
  </si>
  <si>
    <t>nanomaterial &gt; chemical substance &gt; substance &gt; ordinary matter &gt; baryonic matter</t>
  </si>
  <si>
    <t>particle &gt; physical object &gt; material entity &gt; independent continuant &gt; continuant</t>
  </si>
  <si>
    <t>particle &gt; physical object &gt; concrete object &gt; object &gt; entity</t>
  </si>
  <si>
    <t>particle &gt; physical object &gt; concrete object &gt; individual item &gt; entity</t>
  </si>
  <si>
    <t>CRYSTALLIZATION</t>
  </si>
  <si>
    <t>crystallization</t>
  </si>
  <si>
    <t>Q284256</t>
  </si>
  <si>
    <t>stochastic process &gt; mathematical object &gt; abstract entity &gt; entity</t>
  </si>
  <si>
    <t>self-assembly &gt; auto-organisation &gt; process &gt; occurrent &gt; entity</t>
  </si>
  <si>
    <t>self-assembly &gt; auto-organisation &gt; process &gt; sequence &gt; function</t>
  </si>
  <si>
    <t>self-assembly &gt; auto-organisation &gt; process &gt; sequence &gt; class</t>
  </si>
  <si>
    <t>self-assembly &gt; auto-organisation &gt; arranging &gt; activity &gt; process</t>
  </si>
  <si>
    <t>self-assembly &gt; auto-organisation &gt; complexity &gt; quality &gt; property</t>
  </si>
  <si>
    <t>thermodynamic process &gt; physical process &gt; physicochemical process &gt; process &gt; occurrent</t>
  </si>
  <si>
    <t>thermodynamic process &gt; physical process &gt; physicochemical process &gt; process &gt; sequence</t>
  </si>
  <si>
    <t>thermodynamic process &gt; physical process &gt; physical phenomenon &gt; phenomenon &gt; occurrent</t>
  </si>
  <si>
    <t>thermodynamic process &gt; physical process &gt; physical phenomenon &gt; phenomenon &gt; observable entity</t>
  </si>
  <si>
    <t>stochastic process &gt; mathematical object &gt; scientific object &gt; object &gt; entity</t>
  </si>
  <si>
    <t>stochastic process &gt; indexed family &gt; set &gt; class &gt; mathematical object</t>
  </si>
  <si>
    <t>stochastic process &gt; indexed family &gt; set &gt; class &gt; mathematical structure</t>
  </si>
  <si>
    <t>stochastic process &gt; indexed family &gt; set &gt; multiset &gt; mathematical object</t>
  </si>
  <si>
    <t>stochastic process &gt; indexed family &gt; set &gt; algebraic structure &gt; mathematical structure</t>
  </si>
  <si>
    <t>stochastic process &gt; indexed family &gt; set &gt; algebraic structure &gt; structure</t>
  </si>
  <si>
    <t>separation process &gt; method &gt; means &gt; contributing factor &gt; condition</t>
  </si>
  <si>
    <t>separation process &gt; method &gt; means &gt; contributing factor &gt; occurrent</t>
  </si>
  <si>
    <t>separation process &gt; material process &gt; planned process &gt; process &gt; occurrent</t>
  </si>
  <si>
    <t>separation process &gt; material process &gt; planned process &gt; process &gt; sequence</t>
  </si>
  <si>
    <t>separation process &gt; material process &gt; planned process &gt; intentional human activity &gt; human activity</t>
  </si>
  <si>
    <t>separation process &gt; divergence &gt; change &gt; occurrent &gt; entity</t>
  </si>
  <si>
    <t>separation process &gt; divergence &gt; increase &gt; change &gt; occurrent</t>
  </si>
  <si>
    <t>separation process &gt; divergence &gt; increase &gt; occurrence &gt; occurrent</t>
  </si>
  <si>
    <t>separation process &gt; divergence &gt; process &gt; occurrent &gt; entity</t>
  </si>
  <si>
    <t>separation process &gt; divergence &gt; process &gt; sequence &gt; function</t>
  </si>
  <si>
    <t>separation process &gt; divergence &gt; process &gt; sequence &gt; class</t>
  </si>
  <si>
    <t>separation process &gt; divergence &gt; auto-organisation &gt; process &gt; occurrent</t>
  </si>
  <si>
    <t>separation process &gt; divergence &gt; auto-organisation &gt; process &gt; sequence</t>
  </si>
  <si>
    <t>separation process &gt; divergence &gt; auto-organisation &gt; arranging &gt; activity</t>
  </si>
  <si>
    <t>separation process &gt; divergence &gt; auto-organisation &gt; complexity &gt; quality</t>
  </si>
  <si>
    <t>separation process &gt; divergence &gt; trend &gt; change &gt; occurrent</t>
  </si>
  <si>
    <t>separation process &gt; separation &gt; process &gt; occurrent &gt; entity</t>
  </si>
  <si>
    <t>separation process &gt; separation &gt; process &gt; sequence &gt; function</t>
  </si>
  <si>
    <t>separation process &gt; separation &gt; process &gt; sequence &gt; class</t>
  </si>
  <si>
    <t>Check</t>
  </si>
  <si>
    <t>ok</t>
  </si>
  <si>
    <t>Wrong</t>
  </si>
  <si>
    <t>No descrption defined</t>
  </si>
  <si>
    <t>Correct: Q2334061</t>
  </si>
  <si>
    <t>extended play by Front Line Assembly</t>
  </si>
  <si>
    <t>Correct: Q137056</t>
  </si>
  <si>
    <t>transmission electron microscopy</t>
  </si>
  <si>
    <t>Correct: Q110779037</t>
  </si>
  <si>
    <t>Chapter in a book</t>
  </si>
  <si>
    <t>journal</t>
  </si>
  <si>
    <t>2001 extended play by Jersey</t>
  </si>
  <si>
    <t>Correct: Q101072</t>
  </si>
  <si>
    <t>QID</t>
  </si>
  <si>
    <t>BNF_id</t>
  </si>
  <si>
    <t>Total</t>
  </si>
  <si>
    <t>BNF_ID</t>
  </si>
  <si>
    <t>Chemical Engineering</t>
  </si>
  <si>
    <t>Total articles</t>
  </si>
  <si>
    <t>Total keywords</t>
  </si>
  <si>
    <t>Correct Wikidata label</t>
  </si>
  <si>
    <t>% Correct Wikidata label</t>
  </si>
  <si>
    <t>Incorrect Wikidata label</t>
  </si>
  <si>
    <t>% Incorrect Wikidata label</t>
  </si>
  <si>
    <t># QID in Wikidata</t>
  </si>
  <si>
    <t># BNF_Id</t>
  </si>
  <si>
    <t>% # QID in Wikidata</t>
  </si>
  <si>
    <t>% # BNF_Id</t>
  </si>
  <si>
    <t>Civil Engineering</t>
  </si>
  <si>
    <t>Marketing</t>
  </si>
  <si>
    <t>Political Science</t>
  </si>
  <si>
    <t>Computer Science</t>
  </si>
  <si>
    <t>Civil Engineering 2 part</t>
  </si>
  <si>
    <t>Carmen</t>
  </si>
  <si>
    <t>Sallay</t>
  </si>
  <si>
    <t>Bernard</t>
  </si>
  <si>
    <t>Trizzia</t>
  </si>
  <si>
    <t>Diego</t>
  </si>
  <si>
    <t>King</t>
  </si>
  <si>
    <t>Field</t>
  </si>
  <si>
    <t>1st round</t>
  </si>
  <si>
    <t xml:space="preserve">Check </t>
  </si>
  <si>
    <t xml:space="preserve">clean </t>
  </si>
  <si>
    <t>Sclean</t>
  </si>
  <si>
    <t>Urban stormwater source control policies: why and how?</t>
  </si>
  <si>
    <t>Stormwater management</t>
  </si>
  <si>
    <t xml:space="preserve">csv empty, no info on wikidata </t>
  </si>
  <si>
    <t>Urban areas</t>
  </si>
  <si>
    <t>urban area</t>
  </si>
  <si>
    <t>Q702492</t>
  </si>
  <si>
    <t>human settlement &gt; populated place &gt; region &gt; geographical feature &gt; geographic entity</t>
  </si>
  <si>
    <t>human settlement &gt; populated place &gt; region &gt; geographical feature &gt; concrete object</t>
  </si>
  <si>
    <t>human settlement &gt; populated place &gt; region &gt; geographical feature &gt; physical location</t>
  </si>
  <si>
    <t>human settlement &gt; populated place &gt; artificial geographic entity &gt; geographic entity &gt; geolocatable entity</t>
  </si>
  <si>
    <t>human settlement &gt; populated place &gt; artificial geographic entity &gt; geographic entity &gt; region of space</t>
  </si>
  <si>
    <t>human settlement &gt; populated place &gt; artificial geographic entity &gt; artificial object &gt; object</t>
  </si>
  <si>
    <t>human settlement &gt; group of structures or buildings &gt; group of artificial physical objects &gt; group of physical objects &gt; group or class of physical objects</t>
  </si>
  <si>
    <t>human settlement &gt; group of structures or buildings &gt; group of artificial physical objects &gt; group of physical objects &gt; group</t>
  </si>
  <si>
    <t>human settlement &gt; group of structures or buildings &gt; group of geographic locations &gt; group &gt; set</t>
  </si>
  <si>
    <t>human settlement &gt; group of structures or buildings &gt; group of works &gt; group &gt; set</t>
  </si>
  <si>
    <t>human settlement &gt; group of structures or buildings &gt; group of works &gt; work &gt; artificial object</t>
  </si>
  <si>
    <t>human settlement &gt; group of structures or buildings &gt; group of works &gt; work &gt; cultural artifact</t>
  </si>
  <si>
    <t>human settlement &gt; group of structures or buildings &gt; architectural structure &gt; artificial physical structure &gt; physical structure</t>
  </si>
  <si>
    <t>human settlement &gt; group of structures or buildings &gt; architectural structure &gt; artificial physical structure &gt; artificial physical object</t>
  </si>
  <si>
    <t>human settlement &gt; group of structures or buildings &gt; architectural structure &gt; artificial physical structure &gt; technical system</t>
  </si>
  <si>
    <t>human settlement &gt; group of structures or buildings &gt; architectural structure &gt; fixed construction &gt; geographical feature</t>
  </si>
  <si>
    <t>human settlement &gt; group of structures or buildings &gt; architectural structure &gt; fixed construction &gt; artificial physical object</t>
  </si>
  <si>
    <t>human settlement &gt; group of structures or buildings &gt; architectural structure &gt; work &gt; artificial object</t>
  </si>
  <si>
    <t>human settlement &gt; group of structures or buildings &gt; architectural structure &gt; work &gt; cultural artifact</t>
  </si>
  <si>
    <t>human settlement &gt; group of structures or buildings &gt; architectural structure &gt; E25 Human-Made Feature &gt; artificial physical object</t>
  </si>
  <si>
    <t>Source control</t>
  </si>
  <si>
    <t>Policy-making</t>
  </si>
  <si>
    <t>Clarification about component mode synthesis methods for substructures with physical flexible interfaces</t>
  </si>
  <si>
    <t>Component mode synthesis</t>
  </si>
  <si>
    <t>Dynamic substructuring</t>
  </si>
  <si>
    <t>dynamic substructuring</t>
  </si>
  <si>
    <t>Q25112238</t>
  </si>
  <si>
    <t xml:space="preserve">found but no description was defined </t>
  </si>
  <si>
    <t>wrong</t>
  </si>
  <si>
    <t>Flexible interface</t>
  </si>
  <si>
    <t>Computational mechanics</t>
  </si>
  <si>
    <t>computational mechanics</t>
  </si>
  <si>
    <t>Q919765</t>
  </si>
  <si>
    <t>mechanics &gt; physics &gt; natural science &gt; science &gt; knowledge system</t>
  </si>
  <si>
    <t>mechanics &gt; physics &gt; natural science &gt; science &gt; knowledge</t>
  </si>
  <si>
    <t>mechanics &gt; physics &gt; natural science &gt; science &gt; outline of academic disciplines</t>
  </si>
  <si>
    <t>mechanics &gt; physics &gt; natural science &gt; science &gt; epistemology</t>
  </si>
  <si>
    <t>mechanics &gt; physics &gt; natural science &gt; science &gt; research</t>
  </si>
  <si>
    <t>mechanics &gt; physics &gt; natural science &gt; science &gt; logic</t>
  </si>
  <si>
    <t>mechanics &gt; physics &gt; natural science &gt; science &gt; intellectual activity</t>
  </si>
  <si>
    <t>mechanics &gt; physics &gt; physical sciences &gt; natural science &gt; science</t>
  </si>
  <si>
    <t>computational physics &gt; computational science &gt; applied mathematics &gt; mathematics &gt; natural science</t>
  </si>
  <si>
    <t>computational physics &gt; computational science &gt; computer science &gt; formal science &gt; exact science</t>
  </si>
  <si>
    <t>computational physics &gt; physics &gt; natural science &gt; science &gt; knowledge system</t>
  </si>
  <si>
    <t>computational physics &gt; physics &gt; natural science &gt; science &gt; knowledge</t>
  </si>
  <si>
    <t>computational physics &gt; physics &gt; natural science &gt; science &gt; outline of academic disciplines</t>
  </si>
  <si>
    <t>computational physics &gt; physics &gt; natural science &gt; science &gt; epistemology</t>
  </si>
  <si>
    <t>computational physics &gt; physics &gt; natural science &gt; science &gt; research</t>
  </si>
  <si>
    <t>computational physics &gt; physics &gt; natural science &gt; science &gt; logic</t>
  </si>
  <si>
    <t>computational physics &gt; physics &gt; natural science &gt; science &gt; intellectual activity</t>
  </si>
  <si>
    <t>computational physics &gt; physics &gt; physical sciences &gt; natural science &gt; science</t>
  </si>
  <si>
    <t>Reduced-order model for the dynamical analysis of complex structures with a high modal density</t>
  </si>
  <si>
    <t>Reduced-order model</t>
  </si>
  <si>
    <t>Structural dynamics</t>
  </si>
  <si>
    <t>structural dynamics</t>
  </si>
  <si>
    <t>Q811197</t>
  </si>
  <si>
    <t>structural analysis &gt; analysis &gt; inquiry &gt; seeking &gt; activity</t>
  </si>
  <si>
    <t>Q11862829</t>
  </si>
  <si>
    <t>academic discipline</t>
  </si>
  <si>
    <t>structural analysis &gt; analysis &gt; inquiry &gt; planned process &gt; process</t>
  </si>
  <si>
    <t>structural analysis &gt; analysis &gt; inquiry &gt; planned process &gt; intentional human activity</t>
  </si>
  <si>
    <t>structural analysis &gt; analysis &gt; scholarly method &gt; method &gt; means</t>
  </si>
  <si>
    <t>High modal density</t>
  </si>
  <si>
    <t>ROM</t>
  </si>
  <si>
    <t>Rom</t>
  </si>
  <si>
    <t>Q3440554</t>
  </si>
  <si>
    <t>Q830038</t>
  </si>
  <si>
    <t>Ferengi</t>
  </si>
  <si>
    <t xml:space="preserve">wrong </t>
  </si>
  <si>
    <t>Modelling the time fluctuation of indoor air formaldehyde concentrations: variability structure identification and forecasting using non linear models</t>
  </si>
  <si>
    <t>Formaldehyde</t>
  </si>
  <si>
    <t>Q14922294</t>
  </si>
  <si>
    <t>Clustering</t>
  </si>
  <si>
    <t>clustering</t>
  </si>
  <si>
    <t>Q5136710</t>
  </si>
  <si>
    <t>seen not related. description not defined</t>
  </si>
  <si>
    <t>Forecasting</t>
  </si>
  <si>
    <t>Q49297242</t>
  </si>
  <si>
    <t xml:space="preserve">painting </t>
  </si>
  <si>
    <t>SOTA</t>
  </si>
  <si>
    <t>Q11243978</t>
  </si>
  <si>
    <t>Q5</t>
  </si>
  <si>
    <t>human</t>
  </si>
  <si>
    <t>SETAR</t>
  </si>
  <si>
    <t>Q7456351</t>
  </si>
  <si>
    <t>Q4830453;Q6881511</t>
  </si>
  <si>
    <t>business;enterprise</t>
  </si>
  <si>
    <t xml:space="preserve">seen not related </t>
  </si>
  <si>
    <t>Analysis of dissociated dislocations in a deformed bicrystal close to the rhombohedral twin orientation in -alumina</t>
  </si>
  <si>
    <t>Grain boundary</t>
  </si>
  <si>
    <t>Q1605670</t>
  </si>
  <si>
    <t xml:space="preserve">seen no description defined </t>
  </si>
  <si>
    <t>Alumina</t>
  </si>
  <si>
    <t>Aluminaut</t>
  </si>
  <si>
    <t>Q447411</t>
  </si>
  <si>
    <t>Q11446;Q130326199</t>
  </si>
  <si>
    <t>ship;preserved watercraft</t>
  </si>
  <si>
    <t xml:space="preserve">seen but not related </t>
  </si>
  <si>
    <t>Bicrystal</t>
  </si>
  <si>
    <t>Plasticity</t>
  </si>
  <si>
    <t>plasticity</t>
  </si>
  <si>
    <t>Q1230210</t>
  </si>
  <si>
    <t>possibility &gt; quality &gt; property &gt; abstract entity &gt; entity</t>
  </si>
  <si>
    <t>seen and might be but could not verify the levels</t>
  </si>
  <si>
    <t>possibility &gt; state &gt; phenomenon &gt; occurrent &gt; entity</t>
  </si>
  <si>
    <t>possibility &gt; state &gt; phenomenon &gt; observable entity &gt; entity</t>
  </si>
  <si>
    <t>possibility &gt; state &gt; property &gt; abstract entity &gt; entity</t>
  </si>
  <si>
    <t>Dislocations</t>
  </si>
  <si>
    <t>Q110893377</t>
  </si>
  <si>
    <t>Q1656682;Q667276</t>
  </si>
  <si>
    <t>event;art exhibition</t>
  </si>
  <si>
    <t>Dissociation</t>
  </si>
  <si>
    <t>Q27813879</t>
  </si>
  <si>
    <t>Transmission electron microscopy</t>
  </si>
  <si>
    <t>Q110779037</t>
  </si>
  <si>
    <t>electron microscopy &gt; microscopy &gt; technique &gt; method &gt; means</t>
  </si>
  <si>
    <t>electron microscopy &gt; microscopy &gt; technique &gt; activity &gt; process</t>
  </si>
  <si>
    <t>electron microscopy &gt; microscopy &gt; analysis &gt; inquiry &gt; seeking</t>
  </si>
  <si>
    <t>electron microscopy &gt; microscopy &gt; analysis &gt; inquiry &gt; planned process</t>
  </si>
  <si>
    <t>electron microscopy &gt; microscopy &gt; analysis &gt; scholarly method &gt; method</t>
  </si>
  <si>
    <t>electron microscopy &gt; microscopy &gt; scientific technique &gt; technique &gt; method</t>
  </si>
  <si>
    <t>electron microscopy &gt; microscopy &gt; scientific technique &gt; technique &gt; activity</t>
  </si>
  <si>
    <t>A history of basin inversion, scarp retreat and shallow denudation: The Araripe basin as a keystone for understanding long-term landscape evolution in NE Brazil</t>
  </si>
  <si>
    <t>Palaeolandforms</t>
  </si>
  <si>
    <t>Topographic inversion</t>
  </si>
  <si>
    <t>Denudation history</t>
  </si>
  <si>
    <t>Soil distribution</t>
  </si>
  <si>
    <t>Scarp retreat</t>
  </si>
  <si>
    <t>scarp retreat</t>
  </si>
  <si>
    <t>Q7430497</t>
  </si>
  <si>
    <t>Q10928429</t>
  </si>
  <si>
    <t>geological process</t>
  </si>
  <si>
    <t>Late Cenozoic and present-day hillslope erosion dynamics in a passive margin context: stability or instability? Case studies in Northeast Brazil</t>
  </si>
  <si>
    <t>Tropical geomorphology</t>
  </si>
  <si>
    <t>Backwearing</t>
  </si>
  <si>
    <t>Hillslope landforms and processes</t>
  </si>
  <si>
    <t>Brazil</t>
  </si>
  <si>
    <t>Q155</t>
  </si>
  <si>
    <t>11868637v</t>
  </si>
  <si>
    <t>Q3624078;Q512187;Q6256;Q859563</t>
  </si>
  <si>
    <t>secular state;sovereign state;federal republic;country</t>
  </si>
  <si>
    <t>Morphological resistance</t>
  </si>
  <si>
    <t>Downwearing</t>
  </si>
  <si>
    <t>Mass wasting</t>
  </si>
  <si>
    <t>mass wasting</t>
  </si>
  <si>
    <t>Q1567542</t>
  </si>
  <si>
    <t>motion &gt; physical process &gt; physicochemical process &gt; process &gt; occurrent</t>
  </si>
  <si>
    <t>motion &gt; physical process &gt; physicochemical process &gt; process &gt; sequence</t>
  </si>
  <si>
    <t>motion &gt; physical process &gt; physical phenomenon &gt; phenomenon &gt; occurrent</t>
  </si>
  <si>
    <t>motion &gt; physical process &gt; physical phenomenon &gt; phenomenon &gt; observable entity</t>
  </si>
  <si>
    <t>motion &gt; change &gt; occurrent &gt; entity &gt; entity</t>
  </si>
  <si>
    <t>Landforms and neotectonics in the equatorial passive margin of Brazil</t>
  </si>
  <si>
    <t>Fault scarp</t>
  </si>
  <si>
    <t>fault scarp</t>
  </si>
  <si>
    <t>Q475080</t>
  </si>
  <si>
    <t>landform &gt; geomorphological unit &gt; natural geographic object &gt; geographical feature &gt; geographic entity</t>
  </si>
  <si>
    <t>landform &gt; geomorphological unit &gt; natural geographic object &gt; geographical feature &gt; concrete object</t>
  </si>
  <si>
    <t>landform &gt; geomorphological unit &gt; natural geographic object &gt; geographical feature &gt; physical location</t>
  </si>
  <si>
    <t>landform &gt; geomorphological unit &gt; natural geographic object &gt; natural physical object &gt; physical object</t>
  </si>
  <si>
    <t>landform &gt; geomorphological unit &gt; natural geographic object &gt; natural physical object &gt; natural object</t>
  </si>
  <si>
    <t>landform &gt; geomorphological unit &gt; natural geographic object &gt; natural geographic entity &gt; geographic entity</t>
  </si>
  <si>
    <t>landform &gt; geomorphological unit &gt; natural geographic object &gt; astronomical body part &gt; fiat object part</t>
  </si>
  <si>
    <t>landform &gt; geomorphological unit &gt; natural geographic object &gt; astronomical body part &gt; part</t>
  </si>
  <si>
    <t>landform &gt; geographical feature &gt; geographic entity &gt; geolocatable entity &gt; material entity</t>
  </si>
  <si>
    <t>landform &gt; geographical feature &gt; geographic entity &gt; geolocatable entity &gt; concrete object</t>
  </si>
  <si>
    <t>landform &gt; geographical feature &gt; geographic entity &gt; geolocatable entity &gt; occurrence</t>
  </si>
  <si>
    <t>landform &gt; geographical feature &gt; geographic entity &gt; region of space &gt; spacetime region</t>
  </si>
  <si>
    <t>landform &gt; geographical feature &gt; geographic entity &gt; region of space &gt; spatial object</t>
  </si>
  <si>
    <t>landform &gt; geographical feature &gt; geographic entity &gt; region of space &gt; spatial region</t>
  </si>
  <si>
    <t>landform &gt; geographical feature &gt; concrete object &gt; object &gt; entity</t>
  </si>
  <si>
    <t>landform &gt; geographical feature &gt; concrete object &gt; individual item &gt; entity</t>
  </si>
  <si>
    <t>landform &gt; geographical feature &gt; physical location &gt; property &gt; abstract entity</t>
  </si>
  <si>
    <t>landform &gt; geographic location &gt; geographic entity &gt; geolocatable entity &gt; material entity</t>
  </si>
  <si>
    <t>landform &gt; geographic location &gt; geographic entity &gt; geolocatable entity &gt; concrete object</t>
  </si>
  <si>
    <t>landform &gt; geographic location &gt; geographic entity &gt; geolocatable entity &gt; occurrence</t>
  </si>
  <si>
    <t>landform &gt; geographic location &gt; geographic entity &gt; region of space &gt; spacetime region</t>
  </si>
  <si>
    <t>landform &gt; geographic location &gt; geographic entity &gt; region of space &gt; spatial object</t>
  </si>
  <si>
    <t>landform &gt; geographic location &gt; geographic entity &gt; region of space &gt; spatial region</t>
  </si>
  <si>
    <t>landform &gt; geographic location &gt; physical location &gt; property &gt; abstract entity</t>
  </si>
  <si>
    <t>geologic feature &gt; quality &gt; property &gt; abstract entity &gt; entity</t>
  </si>
  <si>
    <t>Neotectonics</t>
  </si>
  <si>
    <t>neotectonics</t>
  </si>
  <si>
    <t>Q2497922</t>
  </si>
  <si>
    <t>tectonics &gt; dynamic geology &gt; physical geology &gt; geology &gt; natural science</t>
  </si>
  <si>
    <t>Q87058424</t>
  </si>
  <si>
    <t>branch of geology</t>
  </si>
  <si>
    <t>geology</t>
  </si>
  <si>
    <t>tectonics &gt; dynamic geology &gt; physical geology &gt; geology &gt; Earth science</t>
  </si>
  <si>
    <t>tectonics &gt; dynamic geology &gt; geophysics &gt; physics &gt; natural science</t>
  </si>
  <si>
    <t>tectonics &gt; dynamic geology &gt; geophysics &gt; physics &gt; physical sciences</t>
  </si>
  <si>
    <t>tectonics &gt; dynamic geology &gt; geophysics &gt; planetary science &gt; space sciences</t>
  </si>
  <si>
    <t>Passive margin</t>
  </si>
  <si>
    <t>passive margin</t>
  </si>
  <si>
    <t>Q1918464</t>
  </si>
  <si>
    <t>zone &gt; part &gt; entity</t>
  </si>
  <si>
    <t>geology/geography</t>
  </si>
  <si>
    <t>zone &gt; geographic location &gt; geographic entity &gt; geolocatable entity &gt; material entity</t>
  </si>
  <si>
    <t>zone &gt; geographic location &gt; geographic entity &gt; geolocatable entity &gt; concrete object</t>
  </si>
  <si>
    <t>zone &gt; geographic location &gt; geographic entity &gt; geolocatable entity &gt; occurrence</t>
  </si>
  <si>
    <t>zone &gt; geographic location &gt; geographic entity &gt; region of space &gt; spacetime region</t>
  </si>
  <si>
    <t>zone &gt; geographic location &gt; geographic entity &gt; region of space &gt; spatial object</t>
  </si>
  <si>
    <t>zone &gt; geographic location &gt; geographic entity &gt; region of space &gt; spatial region</t>
  </si>
  <si>
    <t>zone &gt; geographic location &gt; physical location &gt; property &gt; abstract entity</t>
  </si>
  <si>
    <t>Seismicity</t>
  </si>
  <si>
    <t>seismicity</t>
  </si>
  <si>
    <t>Q382539</t>
  </si>
  <si>
    <t>physical property &gt; physico-chemical property &gt; property &gt; abstract entity &gt; entity</t>
  </si>
  <si>
    <t>Q1209971</t>
  </si>
  <si>
    <t>Alea</t>
  </si>
  <si>
    <t>Differential erosion</t>
  </si>
  <si>
    <t>Basin inversion, scarp retreat and soil distribution in the Araripe basin (northeast Brazil): implications for denudation history</t>
  </si>
  <si>
    <t>Relief inversion</t>
  </si>
  <si>
    <t>not seen</t>
  </si>
  <si>
    <t>repated keyword</t>
  </si>
  <si>
    <t>High- and low-frequency morphodynamic events and natural risks in mountain catchments of the semi-arid Brazilian â€œNordesteâ€: Crato (CearÃ¡)</t>
  </si>
  <si>
    <t>Northeast Brazil</t>
  </si>
  <si>
    <t>Natural hazards</t>
  </si>
  <si>
    <t>Natural Hazards</t>
  </si>
  <si>
    <t>Q15764487</t>
  </si>
  <si>
    <t>seen not related-journal</t>
  </si>
  <si>
    <t>Mass movements</t>
  </si>
  <si>
    <t>mass movement</t>
  </si>
  <si>
    <t>Q6784067</t>
  </si>
  <si>
    <t>organization &gt; corporate body &gt; object &gt; entity</t>
  </si>
  <si>
    <t>Q49773;Q7278</t>
  </si>
  <si>
    <t>political party;social movement</t>
  </si>
  <si>
    <t>seen not related-type of orgnaization</t>
  </si>
  <si>
    <t>organization &gt; person or organization &gt; being &gt; independent continuant &gt; continuant</t>
  </si>
  <si>
    <t>organization &gt; person or organization &gt; being &gt; subject &gt; independent continuant</t>
  </si>
  <si>
    <t>organization &gt; corporate body &gt; collective agent &gt; being &gt; independent continuant</t>
  </si>
  <si>
    <t>organization &gt; corporate body &gt; collective agent &gt; being &gt; subject</t>
  </si>
  <si>
    <t>organization &gt; corporate body &gt; being &gt; independent continuant &gt; continuant</t>
  </si>
  <si>
    <t>organization &gt; corporate body &gt; being &gt; subject &gt; independent continuant</t>
  </si>
  <si>
    <t>organization &gt; social system &gt; system &gt; collective entity &gt; entity</t>
  </si>
  <si>
    <t>organization &gt; social system &gt; system &gt; abstract entity &gt; entity</t>
  </si>
  <si>
    <t>organization &gt; social system &gt; system &gt; object &gt; entity</t>
  </si>
  <si>
    <t>organization &gt; complex system &gt; system &gt; collective entity &gt; entity</t>
  </si>
  <si>
    <t>organization &gt; complex system &gt; system &gt; abstract entity &gt; entity</t>
  </si>
  <si>
    <t>organization &gt; complex system &gt; system &gt; object &gt; entity</t>
  </si>
  <si>
    <t>organization &gt; group of humans &gt; group or class of humans &gt; group or class of people &gt; group or class of living things</t>
  </si>
  <si>
    <t>organization &gt; group of humans &gt; group or class of humans &gt; group or class of people &gt; group or class of beings</t>
  </si>
  <si>
    <t>organization &gt; group of humans &gt; group of persons &gt; group of living things &gt; group of physical objects</t>
  </si>
  <si>
    <t>organization &gt; group of humans &gt; group of persons &gt; group of living things &gt; group or class of living things</t>
  </si>
  <si>
    <t>organization &gt; group of humans &gt; group of persons &gt; group of beings &gt; group</t>
  </si>
  <si>
    <t>organization &gt; group of humans &gt; group of persons &gt; group of beings &gt; group or class of beings</t>
  </si>
  <si>
    <t>organization &gt; group of humans &gt; group of persons &gt; group or class of people &gt; group or class of living things</t>
  </si>
  <si>
    <t>organization &gt; group of humans &gt; group of persons &gt; group or class of people &gt; group or class of beings</t>
  </si>
  <si>
    <t>Floods</t>
  </si>
  <si>
    <t>Q14874597</t>
  </si>
  <si>
    <t>Q486972</t>
  </si>
  <si>
    <t>human settlement</t>
  </si>
  <si>
    <t>seen not related- human settlement</t>
  </si>
  <si>
    <t>Hillslope dynamics</t>
  </si>
  <si>
    <t>The Chapada do Araripe (Northeast Brazil): shallow basin inversion, implications for regional uplift and denudation history</t>
  </si>
  <si>
    <t>Tectonics</t>
  </si>
  <si>
    <t>tectonics</t>
  </si>
  <si>
    <t>Q193343</t>
  </si>
  <si>
    <t>geological process &gt; natural process &gt; process &gt; occurrent &gt; entity</t>
  </si>
  <si>
    <t xml:space="preserve">geology </t>
  </si>
  <si>
    <t>geological process &gt; natural process &gt; process &gt; sequence &gt; function</t>
  </si>
  <si>
    <t>geological process &gt; natural process &gt; process &gt; sequence &gt; class</t>
  </si>
  <si>
    <t>geological process &gt; natural process &gt; natural phenomenon &gt; phenomenon &gt; occurrent</t>
  </si>
  <si>
    <t>geological process &gt; natural process &gt; natural phenomenon &gt; phenomenon &gt; observable entity</t>
  </si>
  <si>
    <t>geological process &gt; natural process &gt; natural phenomenon &gt; occurrence &gt; occurrent</t>
  </si>
  <si>
    <t>geological process &gt; physical phenomenon &gt; phenomenon &gt; occurrent &gt; entity</t>
  </si>
  <si>
    <t>geological process &gt; physical phenomenon &gt; phenomenon &gt; observable entity &gt; entity</t>
  </si>
  <si>
    <t>geological process &gt; chemical process &gt; physicochemical process &gt; process &gt; occurrent</t>
  </si>
  <si>
    <t>geological process &gt; chemical process &gt; physicochemical process &gt; process &gt; sequence</t>
  </si>
  <si>
    <t>geological process &gt; chemical process &gt; physical process &gt; physicochemical process &gt; process</t>
  </si>
  <si>
    <t>geological process &gt; chemical process &gt; physical process &gt; physical phenomenon &gt; phenomenon</t>
  </si>
  <si>
    <t>Denudation depths</t>
  </si>
  <si>
    <t>Laterites</t>
  </si>
  <si>
    <t>laterite</t>
  </si>
  <si>
    <t>Q622845</t>
  </si>
  <si>
    <t>11952304k</t>
  </si>
  <si>
    <t>regolith &gt; rock &gt; natural material &gt; material &gt; substance</t>
  </si>
  <si>
    <t>regolith &gt; rock &gt; natural material &gt; material &gt; product</t>
  </si>
  <si>
    <t>regolith &gt; rock &gt; natural material &gt; natural physical object &gt; physical object</t>
  </si>
  <si>
    <t>regolith &gt; rock &gt; natural material &gt; natural physical object &gt; natural object</t>
  </si>
  <si>
    <t>Morphology of scarps and piedmonts on the equatorial passive margin of northeast Brazil: Neogene to present evolution and its factors</t>
  </si>
  <si>
    <t>Marginal scarp</t>
  </si>
  <si>
    <t>GIS and morphostructural mapping: a contribution to the morphotectonic study of the BaturitÃ© massif, Northeastern Brazil</t>
  </si>
  <si>
    <t>GIS</t>
  </si>
  <si>
    <t>gis</t>
  </si>
  <si>
    <t>SRTM DEM</t>
  </si>
  <si>
    <t>Structural geomorphology</t>
  </si>
  <si>
    <t>Morphotectonic studies</t>
  </si>
  <si>
    <t>Reconstructing the morphotectonic evolution of passive margins: a morphogenetic study of the northern Brazilian â€œNordesteâ€</t>
  </si>
  <si>
    <t>Denudation rates</t>
  </si>
  <si>
    <t>not found</t>
  </si>
  <si>
    <t>empty</t>
  </si>
  <si>
    <t>Morphostratigraphy</t>
  </si>
  <si>
    <t>Paleolandforms</t>
  </si>
  <si>
    <t>nf</t>
  </si>
  <si>
    <t>match</t>
  </si>
  <si>
    <t>Toxic metals in urban runoff: physico-chemical mobility assessment using speciation schemes</t>
  </si>
  <si>
    <t>Impact</t>
  </si>
  <si>
    <t>Q18251549</t>
  </si>
  <si>
    <t>protein-coding gene &gt; gene &gt; nucleic acid sequence &gt; primary structure &gt; biological sequence</t>
  </si>
  <si>
    <t>Q7187</t>
  </si>
  <si>
    <t>gene</t>
  </si>
  <si>
    <t>mistach</t>
  </si>
  <si>
    <t>protein-coding gene &gt; gene &gt; biological region &gt; zone &gt; part</t>
  </si>
  <si>
    <t>protein-coding gene &gt; gene &gt; biological region &gt; zone &gt; geographic location</t>
  </si>
  <si>
    <t>protein-coding gene &gt; gene &gt; biomolecular structure &gt; macromolecular conformation &gt; structure</t>
  </si>
  <si>
    <t>protein-coding gene &gt; gene &gt; biomolecular structure &gt; physical structure &gt; physical system</t>
  </si>
  <si>
    <t>protein-coding gene &gt; gene &gt; biomolecular structure &gt; physical structure &gt; structure</t>
  </si>
  <si>
    <t>protein-coding gene &gt; gene &gt; biomolecular structure &gt; biological structure &gt; structure</t>
  </si>
  <si>
    <t>protein-coding gene &gt; gene &gt; biomolecular structure &gt; biological structure &gt; natural physical object</t>
  </si>
  <si>
    <t>heavy metal</t>
  </si>
  <si>
    <t>Q38848</t>
  </si>
  <si>
    <t>metal music &gt; rock music &gt; popular music &gt; music &gt; sound</t>
  </si>
  <si>
    <t>Q14946528;Q188451</t>
  </si>
  <si>
    <t>conflation;music genre</t>
  </si>
  <si>
    <t xml:space="preserve">mistach </t>
  </si>
  <si>
    <t>metal music &gt; rock music &gt; popular music &gt; music &gt; type of work of art</t>
  </si>
  <si>
    <t>Pollution</t>
  </si>
  <si>
    <t>Q125500447</t>
  </si>
  <si>
    <t>Q21191270</t>
  </si>
  <si>
    <t>television series episode</t>
  </si>
  <si>
    <t>Storm sewer overflow</t>
  </si>
  <si>
    <t>Combined sewer overflow</t>
  </si>
  <si>
    <t>combined sewer overflow</t>
  </si>
  <si>
    <t>Q1938730</t>
  </si>
  <si>
    <t>architectural structure &gt; artificial physical structure &gt; physical structure &gt; physical system &gt; system</t>
  </si>
  <si>
    <t>architectural structure &gt; artificial physical structure &gt; physical structure &gt; physical system &gt; concrete object</t>
  </si>
  <si>
    <t>architectural structure &gt; artificial physical structure &gt; physical structure &gt; physical system &gt; scientific object</t>
  </si>
  <si>
    <t>architectural structure &gt; artificial physical structure &gt; physical structure &gt; structure &gt; collective entity</t>
  </si>
  <si>
    <t>architectural structure &gt; artificial physical structure &gt; physical structure &gt; structure &gt; order</t>
  </si>
  <si>
    <t>architectural structure &gt; artificial physical structure &gt; physical structure &gt; structure &gt; geographic entity</t>
  </si>
  <si>
    <t>architectural structure &gt; artificial physical structure &gt; artificial physical object &gt; physical object &gt; material entity</t>
  </si>
  <si>
    <t>architectural structure &gt; artificial physical structure &gt; artificial physical object &gt; physical object &gt; concrete object</t>
  </si>
  <si>
    <t>architectural structure &gt; artificial physical structure &gt; artificial physical object &gt; artificial object &gt; object</t>
  </si>
  <si>
    <t>architectural structure &gt; artificial physical structure &gt; artificial physical object &gt; work &gt; artificial object</t>
  </si>
  <si>
    <t>architectural structure &gt; artificial physical structure &gt; artificial physical object &gt; work &gt; cultural artifact</t>
  </si>
  <si>
    <t>architectural structure &gt; artificial physical structure &gt; technical system &gt; product &gt; object</t>
  </si>
  <si>
    <t>architectural structure &gt; artificial physical structure &gt; technical system &gt; system &gt; collective entity</t>
  </si>
  <si>
    <t>architectural structure &gt; artificial physical structure &gt; technical system &gt; system &gt; abstract entity</t>
  </si>
  <si>
    <t>architectural structure &gt; artificial physical structure &gt; technical system &gt; system &gt; object</t>
  </si>
  <si>
    <t>architectural structure &gt; artificial physical structure &gt; technical system &gt; artificial object &gt; object</t>
  </si>
  <si>
    <t>architectural structure &gt; fixed construction &gt; geographical feature &gt; geographic entity &gt; geolocatable entity</t>
  </si>
  <si>
    <t>architectural structure &gt; fixed construction &gt; geographical feature &gt; geographic entity &gt; region of space</t>
  </si>
  <si>
    <t>architectural structure &gt; fixed construction &gt; geographical feature &gt; concrete object &gt; object</t>
  </si>
  <si>
    <t>architectural structure &gt; fixed construction &gt; geographical feature &gt; concrete object &gt; individual item</t>
  </si>
  <si>
    <t>architectural structure &gt; fixed construction &gt; geographical feature &gt; physical location &gt; property</t>
  </si>
  <si>
    <t>architectural structure &gt; fixed construction &gt; artificial physical object &gt; physical object &gt; material entity</t>
  </si>
  <si>
    <t>architectural structure &gt; fixed construction &gt; artificial physical object &gt; physical object &gt; concrete object</t>
  </si>
  <si>
    <t>architectural structure &gt; fixed construction &gt; artificial physical object &gt; artificial object &gt; object</t>
  </si>
  <si>
    <t>architectural structure &gt; fixed construction &gt; artificial physical object &gt; work &gt; artificial object</t>
  </si>
  <si>
    <t>architectural structure &gt; fixed construction &gt; artificial physical object &gt; work &gt; cultural artifact</t>
  </si>
  <si>
    <t>architectural structure &gt; work &gt; artificial object &gt; object &gt; entity</t>
  </si>
  <si>
    <t>architectural structure &gt; work &gt; cultural artifact &gt; artificial object &gt; object</t>
  </si>
  <si>
    <t>architectural structure &gt; work &gt; cultural artifact &gt; cultural heritage &gt; heritage</t>
  </si>
  <si>
    <t>architectural structure &gt; E25 Human-Made Feature &gt; artificial physical object &gt; physical object &gt; material entity</t>
  </si>
  <si>
    <t>architectural structure &gt; E25 Human-Made Feature &gt; artificial physical object &gt; physical object &gt; concrete object</t>
  </si>
  <si>
    <t>architectural structure &gt; E25 Human-Made Feature &gt; artificial physical object &gt; artificial object &gt; object</t>
  </si>
  <si>
    <t>architectural structure &gt; E25 Human-Made Feature &gt; artificial physical object &gt; work &gt; artificial object</t>
  </si>
  <si>
    <t>architectural structure &gt; E25 Human-Made Feature &gt; artificial physical object &gt; work &gt; cultural artifact</t>
  </si>
  <si>
    <t>sewer overflow &gt; overflow &gt; occurrence &gt; occurrent &gt; entity</t>
  </si>
  <si>
    <t>Detention pond</t>
  </si>
  <si>
    <t>Sediment</t>
  </si>
  <si>
    <t>Q22250634</t>
  </si>
  <si>
    <t>Q838948;Q93184</t>
  </si>
  <si>
    <t>work of art;drawing</t>
  </si>
  <si>
    <t>Speciation</t>
  </si>
  <si>
    <t>speciation</t>
  </si>
  <si>
    <t>Q39350</t>
  </si>
  <si>
    <t>evolutionary process &gt; biological process &gt; biological phenomenon &gt; natural phenomenon &gt; phenomenon</t>
  </si>
  <si>
    <t>biology</t>
  </si>
  <si>
    <t>evolutionary process &gt; biological process &gt; biological phenomenon &gt; natural phenomenon &gt; occurrence</t>
  </si>
  <si>
    <t>evolutionary process &gt; biological process &gt; biological phenomenon &gt; physical phenomenon &gt; phenomenon</t>
  </si>
  <si>
    <t>evolutionary process &gt; biological process &gt; physical process &gt; physicochemical process &gt; process</t>
  </si>
  <si>
    <t>evolutionary process &gt; biological process &gt; physical process &gt; physical phenomenon &gt; phenomenon</t>
  </si>
  <si>
    <t>Cicero as User and Critic of Traditional Rhetorical Patterns: Structural Authority from De inuentione to De oratore</t>
  </si>
  <si>
    <t>Rhetoric</t>
  </si>
  <si>
    <t>rhetoric</t>
  </si>
  <si>
    <t>Q81009</t>
  </si>
  <si>
    <t>method &gt; means &gt; contributing factor &gt; condition &gt; state</t>
  </si>
  <si>
    <t>Q1047113;Q11862829;Q4671286</t>
  </si>
  <si>
    <t>field of study;academic discipline;academic major</t>
  </si>
  <si>
    <t>method &gt; means &gt; contributing factor &gt; occurrent &gt; entity</t>
  </si>
  <si>
    <t>Oratory</t>
  </si>
  <si>
    <t>oratory</t>
  </si>
  <si>
    <t>Q107268129</t>
  </si>
  <si>
    <t>11937328c</t>
  </si>
  <si>
    <t>rhetoric &gt; method &gt; means &gt; contributing factor &gt; condition</t>
  </si>
  <si>
    <t>Q1047113;Q11862829;Q2267705</t>
  </si>
  <si>
    <t>field of study;academic discipline;field of study</t>
  </si>
  <si>
    <t>rhetoric &gt; method &gt; means &gt; contributing factor &gt; occurrent</t>
  </si>
  <si>
    <t>oration &gt; creative work &gt; intellectual work &gt; work &gt; artificial object</t>
  </si>
  <si>
    <t>oration &gt; creative work &gt; intellectual work &gt; work &gt; cultural artifact</t>
  </si>
  <si>
    <t>oration &gt; creative work &gt; intellectual work &gt; intellectual property &gt; property</t>
  </si>
  <si>
    <t>oration &gt; creative work &gt; intellectual work &gt; intellectual property &gt; intangible asset</t>
  </si>
  <si>
    <t>oration &gt; creative work &gt; intellectual work &gt; intellectual property &gt; exclusive right</t>
  </si>
  <si>
    <t>oration &gt; creative work &gt; intellectual work &gt; intellectual property &gt; erga omnes</t>
  </si>
  <si>
    <t>oration &gt; creative work &gt; work &gt; artificial object &gt; object</t>
  </si>
  <si>
    <t>oration &gt; creative work &gt; work &gt; cultural artifact &gt; artificial object</t>
  </si>
  <si>
    <t>oration &gt; creative work &gt; work &gt; cultural artifact &gt; cultural heritage</t>
  </si>
  <si>
    <t>oration &gt; event &gt; occurrence &gt; occurrent &gt; entity</t>
  </si>
  <si>
    <t>oration &gt; event &gt; service &gt; goods and services &gt; spatio-temporal entity</t>
  </si>
  <si>
    <t>oration &gt; event &gt; service &gt; goods and services &gt; product</t>
  </si>
  <si>
    <t>oration &gt; event &gt; service &gt; product &gt; object</t>
  </si>
  <si>
    <t>oration &gt; event &gt; service &gt; economic activity &gt; intentional human activity</t>
  </si>
  <si>
    <t>oration &gt; event &gt; service &gt; economic activity &gt; transfer</t>
  </si>
  <si>
    <t>oration &gt; oral media &gt; communications media &gt; means &gt; contributing factor</t>
  </si>
  <si>
    <t>oration &gt; oral media &gt; communications media &gt; data carrier &gt; manifestation</t>
  </si>
  <si>
    <t>Correlation between the nanocrystalline Sm(Fe,Mo)12 and its out of equilibrium phase Sm(Fe,Mo)10</t>
  </si>
  <si>
    <t>A Rare-earth intermetallics</t>
  </si>
  <si>
    <t>B Magnetic property</t>
  </si>
  <si>
    <t>C Mechanical alloying and milling</t>
  </si>
  <si>
    <t>F Diffrac-tion</t>
  </si>
  <si>
    <t>Electron microscopy transmission</t>
  </si>
  <si>
    <t>G Magnetic application</t>
  </si>
  <si>
    <t>An incrementalâ€“iterative method for modeling damage evolution in voxel-based microstructure models</t>
  </si>
  <si>
    <t>Incrementalâ€“iterative scheme Â· Lippmannâ€“Schwinger equation Â· Tensile damage Â· Heterogeneous materials Â· Tomographic microstructures</t>
  </si>
  <si>
    <t>State dependence and labour market transitions in the European Union</t>
  </si>
  <si>
    <t>Labour market mobility</t>
  </si>
  <si>
    <t>State dependence</t>
  </si>
  <si>
    <t>Unobserved heterogeneity</t>
  </si>
  <si>
    <t>Unobserved heterogeneity in duration models</t>
  </si>
  <si>
    <t>Q25304402</t>
  </si>
  <si>
    <t>European Union</t>
  </si>
  <si>
    <t>Q458</t>
  </si>
  <si>
    <t>12350708p</t>
  </si>
  <si>
    <t>Q120121699;Q1335818;Q170156;Q4120211</t>
  </si>
  <si>
    <t>political economic union;regional organization;confederation;supranational union</t>
  </si>
  <si>
    <t>Inequalities</t>
  </si>
  <si>
    <t>Inequality</t>
  </si>
  <si>
    <t>Q119694413</t>
  </si>
  <si>
    <t>Institutions</t>
  </si>
  <si>
    <t>Q27711101</t>
  </si>
  <si>
    <t xml:space="preserve">jounal </t>
  </si>
  <si>
    <t>Age and dynamics of blockstreams in the eastern Velay highlands, Massif central, France: preliminary findings.</t>
  </si>
  <si>
    <t>French Massif central</t>
  </si>
  <si>
    <t>Eastern Velay</t>
  </si>
  <si>
    <t>Glacial and Late Glacial periods</t>
  </si>
  <si>
    <t>Periglacial geomorphology and process</t>
  </si>
  <si>
    <t>Rock glacier</t>
  </si>
  <si>
    <t>rock glacier</t>
  </si>
  <si>
    <t>Q884736</t>
  </si>
  <si>
    <t>13507719g</t>
  </si>
  <si>
    <t>glacier &gt; ice cover &gt; body of water &gt; region &gt; geographical feature</t>
  </si>
  <si>
    <t>glacier &gt; ice cover &gt; body of water &gt; physico-geographical object &gt; geographical feature</t>
  </si>
  <si>
    <t>glacier &gt; ice cover &gt; body of water &gt; physico-geographical object &gt; physical object</t>
  </si>
  <si>
    <t>glacier &gt; ice cover &gt; body of water &gt; habitat &gt; region</t>
  </si>
  <si>
    <t>glacier &gt; ice cover &gt; body of water &gt; habitat &gt; natural environment</t>
  </si>
  <si>
    <t>glacier &gt; ice cover &gt; glacial landform &gt; landform &gt; geomorphological unit</t>
  </si>
  <si>
    <t>glacier &gt; ice cover &gt; glacial landform &gt; landform &gt; geographical feature</t>
  </si>
  <si>
    <t>glacier &gt; ice cover &gt; glacial landform &gt; landform &gt; geographic location</t>
  </si>
  <si>
    <t>glacier &gt; perennial ice or snowâ€covered land &gt; landform &gt; geomorphological unit &gt; natural geographic object</t>
  </si>
  <si>
    <t>glacier &gt; perennial ice or snowâ€covered land &gt; landform &gt; geographical feature &gt; geographic entity</t>
  </si>
  <si>
    <t>glacier &gt; perennial ice or snowâ€covered land &gt; landform &gt; geographical feature &gt; concrete object</t>
  </si>
  <si>
    <t>glacier &gt; perennial ice or snowâ€covered land &gt; landform &gt; geographical feature &gt; physical location</t>
  </si>
  <si>
    <t>glacier &gt; perennial ice or snowâ€covered land &gt; landform &gt; geographic location &gt; geographic entity</t>
  </si>
  <si>
    <t>glacier &gt; perennial ice or snowâ€covered land &gt; landform &gt; geographic location &gt; physical location</t>
  </si>
  <si>
    <t>frozen ground &gt; soil &gt; granular material &gt; material &gt; substance</t>
  </si>
  <si>
    <t>frozen ground &gt; soil &gt; granular material &gt; material &gt; product</t>
  </si>
  <si>
    <t>frozen ground &gt; soil &gt; granular material &gt; continuum &gt; physical substance</t>
  </si>
  <si>
    <t>frozen ground &gt; soil &gt; heterogeneous mixture &gt; mixture &gt; chemical substance</t>
  </si>
  <si>
    <t>frozen ground &gt; soil &gt; natural system &gt; system &gt; collective entity</t>
  </si>
  <si>
    <t>frozen ground &gt; soil &gt; natural system &gt; system &gt; abstract entity</t>
  </si>
  <si>
    <t>frozen ground &gt; soil &gt; natural system &gt; system &gt; object</t>
  </si>
  <si>
    <t>frozen ground &gt; soil &gt; natural system &gt; natural object &gt; object</t>
  </si>
  <si>
    <t>frozen ground &gt; soil &gt; organic matter &gt; substance &gt; ordinary matter</t>
  </si>
  <si>
    <t>frozen ground &gt; soil &gt; building material &gt; material &gt; substance</t>
  </si>
  <si>
    <t>frozen ground &gt; soil &gt; building material &gt; material &gt; product</t>
  </si>
  <si>
    <t>frozen ground &gt; soil &gt; building material &gt; hardware &gt; component</t>
  </si>
  <si>
    <t>frozen ground &gt; soil &gt; building material &gt; hardware &gt; product</t>
  </si>
  <si>
    <t>frozen ground &gt; soil &gt; building material &gt; hardware &gt; hardware and hardware accessories</t>
  </si>
  <si>
    <t>frozen ground &gt; soil &gt; building material &gt; construction product &gt; product</t>
  </si>
  <si>
    <t>Blockstream</t>
  </si>
  <si>
    <t>Q24909896</t>
  </si>
  <si>
    <t>Q167037</t>
  </si>
  <si>
    <t>corporation</t>
  </si>
  <si>
    <t>technology</t>
  </si>
  <si>
    <t>Massif central franÃ§ais</t>
  </si>
  <si>
    <t>Velay oriental</t>
  </si>
  <si>
    <t>PlÃ©istocÃ¨ne supÃ©rieur et Tardiglaciaire</t>
  </si>
  <si>
    <t>GÃ©omorphologie et processus pÃ©riglaciaires</t>
  </si>
  <si>
    <t>Glacier rocheux</t>
  </si>
  <si>
    <t>RiviÃ¨re de pierres</t>
  </si>
  <si>
    <t>RiviÃ¨re de pierre</t>
  </si>
  <si>
    <t>Q113579337</t>
  </si>
  <si>
    <t>Q55488</t>
  </si>
  <si>
    <t>railway station</t>
  </si>
  <si>
    <t>Optimisation de forage</t>
  </si>
  <si>
    <t>Modeling and uncertainty quantification in the nonlinear stochastic dynamics of horizontal drillstrings</t>
  </si>
  <si>
    <t>Quantification des incertitudes</t>
  </si>
  <si>
    <t>ModÃ©lisation stochastique</t>
  </si>
  <si>
    <t>area of mathematics</t>
  </si>
  <si>
    <t>Q1936384</t>
  </si>
  <si>
    <t>dynamical system &gt; conceptual system &gt; concept &gt; aptitude &gt; quality</t>
  </si>
  <si>
    <t>Q1985198</t>
  </si>
  <si>
    <t>nonlinear dynamics</t>
  </si>
  <si>
    <t>Dynamique non linÃ©aire</t>
  </si>
  <si>
    <t>dynamical system &gt; conceptual system &gt; concept &gt; mental representation &gt; representation</t>
  </si>
  <si>
    <t>dynamical system &gt; conceptual system &gt; concept &gt; semantic unit &gt; constituent</t>
  </si>
  <si>
    <t>dynamical system &gt; conceptual system &gt; concept &gt; abstract entity &gt; entity</t>
  </si>
  <si>
    <t>dynamical system &gt; conceptual system &gt; artificial object &gt; object &gt; entity</t>
  </si>
  <si>
    <t>dynamical system &gt; conceptual system &gt; system &gt; object &gt; entity</t>
  </si>
  <si>
    <t>dynamical system &gt; conceptual system &gt; system &gt; abstract entity &gt; entity</t>
  </si>
  <si>
    <t>dynamical system &gt; conceptual system &gt; system &gt; collective entity &gt; entity</t>
  </si>
  <si>
    <t>dynamical system &gt; mathematical model &gt; mathematical object &gt; scientific object &gt; object</t>
  </si>
  <si>
    <t>dynamical system &gt; mathematical model &gt; mathematical object &gt; abstract entity &gt; entity</t>
  </si>
  <si>
    <t>dynamical system &gt; mathematical model &gt; scientific model &gt; conceptual model &gt; knowledge organization system</t>
  </si>
  <si>
    <t>dynamical system &gt; mathematical model &gt; model &gt; information &gt; knowledge</t>
  </si>
  <si>
    <t>dynamical system &gt; mathematical model &gt; model &gt; information &gt; abstract entity</t>
  </si>
  <si>
    <t>dynamical system &gt; mathematical model &gt; model &gt; artificial object &gt; object</t>
  </si>
  <si>
    <t>dynamical system &gt; mathematical model &gt; intellectual work &gt; intellectual property &gt; erga omnes</t>
  </si>
  <si>
    <t>dynamical system &gt; mathematical model &gt; intellectual work &gt; intellectual property &gt; exclusive right</t>
  </si>
  <si>
    <t>dynamical system &gt; mathematical model &gt; intellectual work &gt; intellectual property &gt; intangible asset</t>
  </si>
  <si>
    <t>dynamical system &gt; mathematical model &gt; intellectual work &gt; intellectual property &gt; property</t>
  </si>
  <si>
    <t>dynamical system &gt; mathematical model &gt; intellectual work &gt; work &gt; cultural artifact</t>
  </si>
  <si>
    <t>dynamical system &gt; mathematical model &gt; intellectual work &gt; work &gt; artificial object</t>
  </si>
  <si>
    <t>dynamical system &gt; mathematical model &gt; conceptual model &gt; knowledge organization system &gt; reference work</t>
  </si>
  <si>
    <t>dynamical system &gt; mathematical model &gt; conceptual model &gt; knowledge organization system &gt; model</t>
  </si>
  <si>
    <t>dynamical system &gt; mathematical model &gt; conceptual model &gt; knowledge organization system &gt; conceptual system</t>
  </si>
  <si>
    <t>dynamics &gt; mechanics &gt; physics &gt; physical sciences &gt; natural science</t>
  </si>
  <si>
    <t>dynamics &gt; mechanics &gt; physics &gt; natural science &gt; science</t>
  </si>
  <si>
    <t>dynamical system &gt; conceptual system &gt; abstract entity &gt; entity</t>
  </si>
  <si>
    <t>Dynamique des tubes de forage</t>
  </si>
  <si>
    <t>Drilling optimization</t>
  </si>
  <si>
    <t>uncertainty analysis &gt; risk analysis &gt; analysis &gt; scholarly method &gt; method</t>
  </si>
  <si>
    <t>Q7882499</t>
  </si>
  <si>
    <t>uncertainty quantification</t>
  </si>
  <si>
    <t>Uncertainty quantification</t>
  </si>
  <si>
    <t>uncertainty analysis &gt; risk analysis &gt; analysis &gt; inquiry &gt; planned process</t>
  </si>
  <si>
    <t>uncertainty analysis &gt; risk analysis &gt; analysis &gt; inquiry &gt; seeking</t>
  </si>
  <si>
    <t>uncertainty analysis &gt; risk analysis &gt; decision analysis &gt; analysis &gt; scholarly method</t>
  </si>
  <si>
    <t>uncertainty analysis &gt; risk analysis &gt; decision analysis &gt; analysis &gt; inquiry</t>
  </si>
  <si>
    <t>uncertainty analysis &gt; analysis &gt; scholarly method &gt; method &gt; means</t>
  </si>
  <si>
    <t>uncertainty analysis &gt; analysis &gt; inquiry &gt; planned process &gt; intentional human activity</t>
  </si>
  <si>
    <t>uncertainty analysis &gt; analysis &gt; inquiry &gt; planned process &gt; process</t>
  </si>
  <si>
    <t>uncertainty analysis &gt; analysis &gt; inquiry &gt; seeking &gt; activity</t>
  </si>
  <si>
    <t>Stochastic modeling</t>
  </si>
  <si>
    <t>Q7049459</t>
  </si>
  <si>
    <t>Nonlinear Dynamics</t>
  </si>
  <si>
    <t>Nonlinear dynamics</t>
  </si>
  <si>
    <t>Drillstring dynamics</t>
  </si>
  <si>
    <t>Teenage Mutant Ninja Turtles character;animated television character</t>
  </si>
  <si>
    <t>Q123126876;Q73502689</t>
  </si>
  <si>
    <t>Q80420024</t>
  </si>
  <si>
    <t>Tsunami</t>
  </si>
  <si>
    <t>The 1979 nice airport tsunami: mapping of the flood in Antibes</t>
  </si>
  <si>
    <t>Nice airport</t>
  </si>
  <si>
    <t>car carrier</t>
  </si>
  <si>
    <t>Q356847</t>
  </si>
  <si>
    <t>Q83650360</t>
  </si>
  <si>
    <t>Mediterranean Sea</t>
  </si>
  <si>
    <t>art exhibition;event</t>
  </si>
  <si>
    <t>Q110893486</t>
  </si>
  <si>
    <t>Mapping</t>
  </si>
  <si>
    <t>field of study;branch of geology;academic discipline;field of study</t>
  </si>
  <si>
    <t>Q1047113;Q11862829;Q2267705;Q87058424</t>
  </si>
  <si>
    <t>geology &gt; Earth science &gt; earth and planetary science &gt; physical sciences &gt; natural science</t>
  </si>
  <si>
    <t>11932063v</t>
  </si>
  <si>
    <t>Q179509</t>
  </si>
  <si>
    <t>hydrogeology</t>
  </si>
  <si>
    <t>Hydrogeology</t>
  </si>
  <si>
    <t>geology &gt; natural science &gt; science &gt; intellectual activity &gt; mental activity</t>
  </si>
  <si>
    <t>geology &gt; natural science &gt; science &gt; intellectual activity &gt; intentional human activity</t>
  </si>
  <si>
    <t>geology &gt; natural science &gt; science &gt; logic &gt; scientific study</t>
  </si>
  <si>
    <t>geology &gt; natural science &gt; science &gt; research &gt; education and research</t>
  </si>
  <si>
    <t>geology &gt; natural science &gt; science &gt; research &gt; process</t>
  </si>
  <si>
    <t>geology &gt; natural science &gt; science &gt; research &gt; activity</t>
  </si>
  <si>
    <t>geology &gt; natural science &gt; science &gt; research &gt; inquiry</t>
  </si>
  <si>
    <t>geology &gt; natural science &gt; science &gt; epistemology &gt; philosophy</t>
  </si>
  <si>
    <t>geology &gt; natural science &gt; science &gt; epistemology &gt; theoretical philosophy</t>
  </si>
  <si>
    <t>geology &gt; natural science &gt; science &gt; knowledge &gt; memory</t>
  </si>
  <si>
    <t>geology &gt; natural science &gt; science &gt; knowledge system &gt; conceptual system</t>
  </si>
  <si>
    <t>hydrology &gt; science &gt; intellectual activity &gt; mental activity &gt; human activity</t>
  </si>
  <si>
    <t>hydrology &gt; science &gt; intellectual activity &gt; intentional human activity &gt; human activity</t>
  </si>
  <si>
    <t>hydrology &gt; science &gt; logic &gt; scientific study &gt; science project</t>
  </si>
  <si>
    <t>hydrology &gt; science &gt; research &gt; education and research &gt; economic activity</t>
  </si>
  <si>
    <t>hydrology &gt; science &gt; research &gt; process &gt; sequence</t>
  </si>
  <si>
    <t>hydrology &gt; science &gt; research &gt; process &gt; occurrent</t>
  </si>
  <si>
    <t>hydrology &gt; science &gt; research &gt; activity &gt; process</t>
  </si>
  <si>
    <t>hydrology &gt; science &gt; research &gt; inquiry &gt; planned process</t>
  </si>
  <si>
    <t>hydrology &gt; science &gt; research &gt; inquiry &gt; seeking</t>
  </si>
  <si>
    <t>hydrology &gt; science &gt; epistemology &gt; philosophy &gt; knowledge system</t>
  </si>
  <si>
    <t>hydrology &gt; science &gt; epistemology &gt; theoretical philosophy &gt; philosophy</t>
  </si>
  <si>
    <t>hydrology &gt; science &gt; knowledge &gt; memory &gt; content</t>
  </si>
  <si>
    <t>hydrology &gt; science &gt; knowledge &gt; memory &gt; information</t>
  </si>
  <si>
    <t>hydrology &gt; science &gt; knowledge system &gt; conceptual system &gt; concept</t>
  </si>
  <si>
    <t>hydrology &gt; science &gt; knowledge system &gt; conceptual system &gt; abstract entity</t>
  </si>
  <si>
    <t>hydrology &gt; science &gt; knowledge system &gt; conceptual system &gt; artificial object</t>
  </si>
  <si>
    <t>hydrology &gt; science &gt; knowledge system &gt; conceptual system &gt; system</t>
  </si>
  <si>
    <t>geology &gt; natural science &gt; science &gt; outline of academic disciplines</t>
  </si>
  <si>
    <t>hydrology &gt; science &gt; outline of academic disciplines</t>
  </si>
  <si>
    <t>Q96328626</t>
  </si>
  <si>
    <t>Geotechnical Engineering</t>
  </si>
  <si>
    <t>Geophysics/Geodesy</t>
  </si>
  <si>
    <t>Geo-database</t>
  </si>
  <si>
    <t>management &gt; control &gt; control &gt; aptitude &gt; quality</t>
  </si>
  <si>
    <t>Q135424760</t>
  </si>
  <si>
    <t>environmental management</t>
  </si>
  <si>
    <t>Environmental Management</t>
  </si>
  <si>
    <t>management &gt; control &gt; control &gt; activity &gt; process</t>
  </si>
  <si>
    <t>management &gt; control &gt; aptitude &gt; quality &gt; property</t>
  </si>
  <si>
    <t>management &gt; control &gt; activity &gt; process &gt; sequence</t>
  </si>
  <si>
    <t>management &gt; control &gt; activity &gt; process &gt; occurrent</t>
  </si>
  <si>
    <t>management &gt; coordination &gt; activity &gt; process &gt; sequence</t>
  </si>
  <si>
    <t>management &gt; coordination &gt; activity &gt; process &gt; occurrent</t>
  </si>
  <si>
    <t>field of study;branch of engineering;field of work;academic discipline;academic major;field of study</t>
  </si>
  <si>
    <t>Q1047113;Q11862829;Q12015335;Q2267705;Q4671286;Q627436</t>
  </si>
  <si>
    <t>civil and environmental engineering &gt; engineering &gt; applied science &gt; science &gt; intellectual activity</t>
  </si>
  <si>
    <t>11936922q</t>
  </si>
  <si>
    <t>Q77590</t>
  </si>
  <si>
    <t>civil engineering</t>
  </si>
  <si>
    <t>civil and environmental engineering &gt; engineering &gt; applied science &gt; science &gt; logic</t>
  </si>
  <si>
    <t>civil and environmental engineering &gt; engineering &gt; applied science &gt; science &gt; research</t>
  </si>
  <si>
    <t>civil and environmental engineering &gt; engineering &gt; applied science &gt; science &gt; epistemology</t>
  </si>
  <si>
    <t>civil and environmental engineering &gt; engineering &gt; applied science &gt; science &gt; outline of academic disciplines</t>
  </si>
  <si>
    <t>civil and environmental engineering &gt; engineering &gt; applied science &gt; science &gt; knowledge</t>
  </si>
  <si>
    <t>civil and environmental engineering &gt; engineering &gt; applied science &gt; science &gt; knowledge system</t>
  </si>
  <si>
    <t>engineering &gt; applied science &gt; science &gt; intellectual activity &gt; mental activity</t>
  </si>
  <si>
    <t>engineering &gt; applied science &gt; science &gt; intellectual activity &gt; intentional human activity</t>
  </si>
  <si>
    <t>engineering &gt; applied science &gt; science &gt; logic &gt; scientific study</t>
  </si>
  <si>
    <t>engineering &gt; applied science &gt; science &gt; research &gt; education and research</t>
  </si>
  <si>
    <t>engineering &gt; applied science &gt; science &gt; research &gt; process</t>
  </si>
  <si>
    <t>engineering &gt; applied science &gt; science &gt; research &gt; activity</t>
  </si>
  <si>
    <t>engineering &gt; applied science &gt; science &gt; research &gt; inquiry</t>
  </si>
  <si>
    <t>engineering &gt; applied science &gt; science &gt; epistemology &gt; philosophy</t>
  </si>
  <si>
    <t>engineering &gt; applied science &gt; science &gt; epistemology &gt; theoretical philosophy</t>
  </si>
  <si>
    <t>engineering &gt; applied science &gt; science &gt; knowledge &gt; memory</t>
  </si>
  <si>
    <t>engineering &gt; applied science &gt; science &gt; knowledge system &gt; conceptual system</t>
  </si>
  <si>
    <t>engineering &gt; applied science &gt; science &gt; outline of academic disciplines</t>
  </si>
  <si>
    <t>commune of France;city</t>
  </si>
  <si>
    <t>Q484170;Q515</t>
  </si>
  <si>
    <t>11960811z</t>
  </si>
  <si>
    <t>Q126898</t>
  </si>
  <si>
    <t>Antibes</t>
  </si>
  <si>
    <t>Q2733678</t>
  </si>
  <si>
    <t>Winter maintenance</t>
  </si>
  <si>
    <t>Infrared thermography applied to surface temperature survey of enhanced pavement sample addressing self-de-icing functionality</t>
  </si>
  <si>
    <t>Phase change materials</t>
  </si>
  <si>
    <t>Porous asphalt concrete</t>
  </si>
  <si>
    <t>thermal analysis &gt; analysis &gt; scholarly method &gt; method &gt; means</t>
  </si>
  <si>
    <t>Q108054004</t>
  </si>
  <si>
    <t>infrared thermography</t>
  </si>
  <si>
    <t>Infrared Thermography</t>
  </si>
  <si>
    <t>thermal analysis &gt; analysis &gt; inquiry &gt; planned process &gt; intentional human activity</t>
  </si>
  <si>
    <t>thermal analysis &gt; analysis &gt; inquiry &gt; planned process &gt; process</t>
  </si>
  <si>
    <t>thermal analysis &gt; analysis &gt; inquiry &gt; seeking &gt; activity</t>
  </si>
  <si>
    <t>Numerical Homogenization</t>
  </si>
  <si>
    <t>Stochastic modeling of mesoscopic elasticity random field</t>
  </si>
  <si>
    <t>MaxEnt principle</t>
  </si>
  <si>
    <t>Probabilistic model</t>
  </si>
  <si>
    <t>Highly heterogenous materials</t>
  </si>
  <si>
    <t>A phase-field method for computational modeling of interfacial damage interacting with crack propagation in realistic microstructures obtained by microtomography</t>
  </si>
  <si>
    <t>Q1640482</t>
  </si>
  <si>
    <t>Phase field models</t>
  </si>
  <si>
    <t>Phase field</t>
  </si>
  <si>
    <t>creative work</t>
  </si>
  <si>
    <t>Q17537576</t>
  </si>
  <si>
    <t>Q106996383</t>
  </si>
  <si>
    <t>Cracks</t>
  </si>
  <si>
    <t>Interfacial damage</t>
  </si>
  <si>
    <t>Voxel-based models</t>
  </si>
  <si>
    <t>Microcracking</t>
  </si>
  <si>
    <t>version, edition or translation</t>
  </si>
  <si>
    <t>Q3331189</t>
  </si>
  <si>
    <t>Q122529709</t>
  </si>
  <si>
    <t>Functional analysis</t>
  </si>
  <si>
    <t>Genetic and functional analyses demonstrate a role for abnormal glycinergic signaling in autism</t>
  </si>
  <si>
    <t>Morris water maze</t>
  </si>
  <si>
    <t>Novel object recognition</t>
  </si>
  <si>
    <t>Q15765923</t>
  </si>
  <si>
    <t>Learning and Memory</t>
  </si>
  <si>
    <t>Learning and memory</t>
  </si>
  <si>
    <t>class of anatomical entity;brain region</t>
  </si>
  <si>
    <t>Q112826905;Q1620186</t>
  </si>
  <si>
    <t>particular anatomical entity &gt; anatomical structure &gt; material anatomical entity &gt; physical anatomical entity &gt; concrete object</t>
  </si>
  <si>
    <t>Q18680</t>
  </si>
  <si>
    <t>prefrontal cortex</t>
  </si>
  <si>
    <t>Prefrontal cortex</t>
  </si>
  <si>
    <t>particular anatomical entity &gt; anatomical structure &gt; material anatomical entity &gt; physical anatomical entity &gt; anatomical entity</t>
  </si>
  <si>
    <t>particular anatomical entity &gt; anatomical structure &gt; material anatomical entity &gt; material entity &gt; independent continuant</t>
  </si>
  <si>
    <t>particular anatomical entity &gt; anatomical structure &gt; biological structure &gt; natural physical object &gt; natural object</t>
  </si>
  <si>
    <t>particular anatomical entity &gt; anatomical structure &gt; biological structure &gt; natural physical object &gt; physical object</t>
  </si>
  <si>
    <t>particular anatomical entity &gt; anatomical structure &gt; biological structure &gt; structure &gt; geographic entity</t>
  </si>
  <si>
    <t>particular anatomical entity &gt; anatomical structure &gt; biological structure &gt; structure &gt; order</t>
  </si>
  <si>
    <t>particular anatomical entity &gt; anatomical structure &gt; biological structure &gt; structure &gt; collective entity</t>
  </si>
  <si>
    <t>region of cerebral cortex &gt; region of organ component &gt; organ part &gt; multicellular structure &gt; group of cells</t>
  </si>
  <si>
    <t>region of cerebral cortex &gt; region of organ component &gt; organ part &gt; multicellular structure &gt; anatomical structure</t>
  </si>
  <si>
    <t>region of cerebral cortex &gt; region of organ component &gt; organ part &gt; anatomical structure &gt; material anatomical entity</t>
  </si>
  <si>
    <t>region of cerebral cortex &gt; region of organ component &gt; organ part &gt; anatomical structure &gt; biological structure</t>
  </si>
  <si>
    <t>particular anatomical entity &gt; concrete object &gt; individual item &gt; entity</t>
  </si>
  <si>
    <t>particular anatomical entity &gt; concrete object &gt; object &gt; entity</t>
  </si>
  <si>
    <t>Î‘2 subunit</t>
  </si>
  <si>
    <t>group or class of transmembrane transport proteins</t>
  </si>
  <si>
    <t>Q67101749</t>
  </si>
  <si>
    <t>cysteine loop ligand-gated ion channel receptor &gt; neurotransmitter receptor &gt; biological macromolecule &gt; biomolecule &gt; chemical compound</t>
  </si>
  <si>
    <t>Q426887</t>
  </si>
  <si>
    <t>glycine receptor</t>
  </si>
  <si>
    <t>Glycine receptor</t>
  </si>
  <si>
    <t>cysteine loop ligand-gated ion channel receptor &gt; neurotransmitter receptor &gt; biological macromolecule &gt; macromolecule &gt; molecule</t>
  </si>
  <si>
    <t>cysteine loop ligand-gated ion channel receptor &gt; neurotransmitter receptor &gt; biological macromolecule &gt; anatomical structure &gt; material anatomical entity</t>
  </si>
  <si>
    <t>cysteine loop ligand-gated ion channel receptor &gt; neurotransmitter receptor &gt; biological macromolecule &gt; anatomical structure &gt; biological structure</t>
  </si>
  <si>
    <t>cysteine loop ligand-gated ion channel receptor &gt; neurotransmitter receptor &gt; signaling receptor &gt; protein &gt; biological macromolecule</t>
  </si>
  <si>
    <t>cysteine loop ligand-gated ion channel receptor &gt; neurotransmitter receptor &gt; signaling receptor &gt; protein &gt; polypeptide</t>
  </si>
  <si>
    <t>cysteine loop ligand-gated ion channel receptor &gt; neurotransmitter receptor &gt; signaling receptor &gt; protein &gt; gene product</t>
  </si>
  <si>
    <t>cysteine loop ligand-gated ion channel receptor &gt; neurotransmitter receptor &gt; signaling receptor &gt; protein &gt; biopolymer</t>
  </si>
  <si>
    <t>cysteine loop ligand-gated ion channel receptor &gt; neurotransmitter receptor &gt; cell surface receptor &gt; signaling receptor &gt; protein</t>
  </si>
  <si>
    <t>cysteine loop ligand-gated ion channel receptor &gt; neurotransmitter receptor &gt; cell surface receptor &gt; integral membrane protein &gt; membrane protein</t>
  </si>
  <si>
    <t>cysteine loop ligand-gated ion channel receptor &gt; alpha-type channel &gt; porin &gt; transmembrane transport proteins &gt; transport protein</t>
  </si>
  <si>
    <t>cysteine loop ligand-gated ion channel receptor &gt; alpha-type channel &gt; porin &gt; transmembrane transport proteins &gt; transmembrane protein</t>
  </si>
  <si>
    <t>cysteine loop ligand-gated ion channel receptor &gt; ligand-gated ion channel &gt; alpha-type channel &gt; porin &gt; transmembrane transport proteins</t>
  </si>
  <si>
    <t>cysteine loop ligand-gated ion channel receptor &gt; ligand-gated ion channel &gt; ion channel complex &gt; transmembrane transporter complex &gt; transmembrane transport proteins</t>
  </si>
  <si>
    <t>cysteine loop ligand-gated ion channel receptor &gt; ligand-gated ion channel &gt; ion channel complex &gt; transmembrane transporter complex &gt; membrane protein complex</t>
  </si>
  <si>
    <t>cysteine loop ligand-gated ion channel receptor &gt; ligand-gated ion channel &gt; ion channel complex &gt; transmembrane transporter complex &gt; transporter complex</t>
  </si>
  <si>
    <t>cysteine loop ligand-gated ion channel receptor &gt; ligand-gated ion channel &gt; ion channel complex &gt; ion transmembrane transporter &gt; transmembrane transport proteins</t>
  </si>
  <si>
    <t>cysteine loop ligand-gated ion channel receptor &gt; ligand-gated ion channel &gt; ion channel complex &gt; porin &gt; transmembrane transport proteins</t>
  </si>
  <si>
    <t>voltage-gated chloride channel, subgroup</t>
  </si>
  <si>
    <t>genetic operator &gt; software &gt; product &gt; object &gt; entity</t>
  </si>
  <si>
    <t>Q610425</t>
  </si>
  <si>
    <t>mutation</t>
  </si>
  <si>
    <t>Mutation</t>
  </si>
  <si>
    <t>genetic operator &gt; software &gt; means &gt; contributing factor &gt; occurrent</t>
  </si>
  <si>
    <t>genetic operator &gt; software &gt; means &gt; contributing factor &gt; condition</t>
  </si>
  <si>
    <t>genetic operator &gt; software &gt; written work &gt; work &gt; cultural artifact</t>
  </si>
  <si>
    <t>genetic operator &gt; software &gt; written work &gt; work &gt; artificial object</t>
  </si>
  <si>
    <t>genetic operator &gt; software &gt; written work &gt; intellectual work &gt; intellectual property</t>
  </si>
  <si>
    <t>genetic operator &gt; software &gt; written work &gt; intellectual work &gt; work</t>
  </si>
  <si>
    <t>genetic operator &gt; software &gt; creative work &gt; work &gt; cultural artifact</t>
  </si>
  <si>
    <t>genetic operator &gt; software &gt; creative work &gt; work &gt; artificial object</t>
  </si>
  <si>
    <t>genetic operator &gt; software &gt; creative work &gt; intellectual work &gt; intellectual property</t>
  </si>
  <si>
    <t>genetic operator &gt; software &gt; creative work &gt; intellectual work &gt; work</t>
  </si>
  <si>
    <t>house</t>
  </si>
  <si>
    <t>Q3947</t>
  </si>
  <si>
    <t>Q20828326</t>
  </si>
  <si>
    <t>De Novo</t>
  </si>
  <si>
    <t>De novo</t>
  </si>
  <si>
    <t>cellular component</t>
  </si>
  <si>
    <t>Q5058355</t>
  </si>
  <si>
    <t>sex chromosome &gt; heterosome &gt; homologous chromosome &gt; homology &gt; similarity</t>
  </si>
  <si>
    <t>Q61333</t>
  </si>
  <si>
    <t>X chromosome</t>
  </si>
  <si>
    <t>sex chromosome &gt; heterosome &gt; homologous chromosome &gt; homology &gt; property</t>
  </si>
  <si>
    <t>sex chromosome &gt; heterosome &gt; homologous chromosome &gt; chromosome &gt; intracellular non-membrane-bounded organelle</t>
  </si>
  <si>
    <t>sex chromosome &gt; chromosome &gt; intracellular non-membrane-bounded organelle &gt; non-membrane-bounded organelle &gt; organelle</t>
  </si>
  <si>
    <t>sex chromosome &gt; chromosome &gt; intracellular non-membrane-bounded organelle &gt; intracellular organelle &gt; organelle</t>
  </si>
  <si>
    <t>miniaturized device &gt; machine &gt; appliance &gt; physical tool &gt; tool</t>
  </si>
  <si>
    <t>Q1931516</t>
  </si>
  <si>
    <t>microarray</t>
  </si>
  <si>
    <t>Microarray</t>
  </si>
  <si>
    <t>miniaturized device &gt; machine &gt; appliance &gt; physical tool &gt; artificial physical object</t>
  </si>
  <si>
    <t>miniaturized device &gt; machine &gt; appliance &gt; physical tool &gt; equipment</t>
  </si>
  <si>
    <t>miniaturized device &gt; machine &gt; converter &gt; entity</t>
  </si>
  <si>
    <t>psychological experiment</t>
  </si>
  <si>
    <t>Q2116008</t>
  </si>
  <si>
    <t>Q7370237</t>
  </si>
  <si>
    <t>rotarod performance test</t>
  </si>
  <si>
    <t>Rotarod</t>
  </si>
  <si>
    <t>Locomotor activity</t>
  </si>
  <si>
    <t>type of interaction</t>
  </si>
  <si>
    <t>Q123345464</t>
  </si>
  <si>
    <t>social behavior &gt; biological process involved in intraspecies interaction between organisms &gt; biological process &gt; physical process &gt; physical phenomenon</t>
  </si>
  <si>
    <t>11937929c</t>
  </si>
  <si>
    <t>Q609298</t>
  </si>
  <si>
    <t>social interaction</t>
  </si>
  <si>
    <t>Social interaction</t>
  </si>
  <si>
    <t>social behavior &gt; biological process involved in intraspecies interaction between organisms &gt; biological process &gt; physical process &gt; physicochemical process</t>
  </si>
  <si>
    <t>social behavior &gt; biological process involved in intraspecies interaction between organisms &gt; biological process &gt; biological phenomenon &gt; physical phenomenon</t>
  </si>
  <si>
    <t>social behavior &gt; biological process involved in intraspecies interaction between organisms &gt; biological process &gt; biological phenomenon &gt; natural phenomenon</t>
  </si>
  <si>
    <t>social behavior &gt; biological process involved in intraspecies interaction between organisms &gt; multi-organism process &gt; biological process &gt; physical process</t>
  </si>
  <si>
    <t>social behavior &gt; biological process involved in intraspecies interaction between organisms &gt; multi-organism process &gt; biological process &gt; biological phenomenon</t>
  </si>
  <si>
    <t>social behavior &gt; animal behavior &gt; multicellular organismal process &gt; biological process &gt; physical process</t>
  </si>
  <si>
    <t>social behavior &gt; animal behavior &gt; multicellular organismal process &gt; biological process &gt; biological phenomenon</t>
  </si>
  <si>
    <t>social behavior &gt; animal behavior &gt; behavior &gt; pattern &gt; regularity</t>
  </si>
  <si>
    <t>interaction &gt; relation &gt; property &gt; abstract entity &gt; entity</t>
  </si>
  <si>
    <t>interaction &gt; effect &gt; action &gt; occurrence &gt; occurrent</t>
  </si>
  <si>
    <t>social phenomenon &gt; phenomenon &gt; occurrent &gt; entity &gt; entity</t>
  </si>
  <si>
    <t>social phenomenon &gt; phenomenon &gt; observable entity &gt; entity</t>
  </si>
  <si>
    <t>Repetitive behaviors</t>
  </si>
  <si>
    <t>neurodevelopmental disorder;disability</t>
  </si>
  <si>
    <t>Q12131;Q3450985</t>
  </si>
  <si>
    <t>neurodiversity &gt; intraspecific variation &gt; genetic diversity &gt; biodiversity &gt; diversity</t>
  </si>
  <si>
    <t>16627519x</t>
  </si>
  <si>
    <t>Q1436063</t>
  </si>
  <si>
    <t>autism spectrum disorder</t>
  </si>
  <si>
    <t>Autism spectrum disorder</t>
  </si>
  <si>
    <t>neurodiversity &gt; intraspecific variation &gt; genetic diversity &gt; biodiversity &gt; biology</t>
  </si>
  <si>
    <t>pervasive developmental disorder &gt; disease &gt; manner of death &gt; type &gt; class</t>
  </si>
  <si>
    <t>pervasive developmental disorder &gt; disease &gt; biological process &gt; physical process &gt; physical phenomenon</t>
  </si>
  <si>
    <t>pervasive developmental disorder &gt; disease &gt; biological process &gt; physical process &gt; physicochemical process</t>
  </si>
  <si>
    <t>pervasive developmental disorder &gt; disease &gt; biological process &gt; biological phenomenon &gt; physical phenomenon</t>
  </si>
  <si>
    <t>pervasive developmental disorder &gt; disease &gt; biological process &gt; biological phenomenon &gt; natural phenomenon</t>
  </si>
  <si>
    <t>pervasive developmental disorder &gt; disease &gt; health problem &gt; anomaly &gt; phenomenon</t>
  </si>
  <si>
    <t>pervasive developmental disorder &gt; disease &gt; health problem &gt; health risk &gt; hazard</t>
  </si>
  <si>
    <t>pervasive developmental disorder &gt; disease &gt; health problem &gt; health risk &gt; operational risk</t>
  </si>
  <si>
    <t>pervasive developmental disorder &gt; disease &gt; health problem &gt; health risk &gt; personal risk</t>
  </si>
  <si>
    <t>pervasive developmental disorder &gt; disease &gt; health problem &gt; medical finding &gt; finding</t>
  </si>
  <si>
    <t>pervasive developmental disorder &gt; disease &gt; health problem &gt; problem &gt; situation</t>
  </si>
  <si>
    <t>pervasive developmental disorder &gt; disease &gt; health problem &gt; physiological condition &gt; condition</t>
  </si>
  <si>
    <t>pervasive developmental disorder &gt; disease &gt; health problem &gt; physiological condition &gt; state</t>
  </si>
  <si>
    <t>pervasive developmental disorder &gt; developmental disorder &gt; disease &gt; manner of death &gt; type</t>
  </si>
  <si>
    <t>pervasive developmental disorder &gt; developmental disorder &gt; disease &gt; biological process &gt; physical process</t>
  </si>
  <si>
    <t>pervasive developmental disorder &gt; developmental disorder &gt; disease &gt; biological process &gt; biological phenomenon</t>
  </si>
  <si>
    <t>pervasive developmental disorder &gt; developmental disorder &gt; disease &gt; health problem &gt; anomaly</t>
  </si>
  <si>
    <t>pervasive developmental disorder &gt; developmental disorder &gt; disease &gt; health problem &gt; health risk</t>
  </si>
  <si>
    <t>pervasive developmental disorder &gt; developmental disorder &gt; disease &gt; health problem &gt; medical finding</t>
  </si>
  <si>
    <t>pervasive developmental disorder &gt; developmental disorder &gt; disease &gt; health problem &gt; problem</t>
  </si>
  <si>
    <t>pervasive developmental disorder &gt; developmental disorder &gt; disease &gt; health problem &gt; physiological condition</t>
  </si>
  <si>
    <t>pervasive developmental disorder &gt; developmental disorder &gt; developmental disability &gt; disability &gt; property</t>
  </si>
  <si>
    <t>pervasive developmental disorder &gt; developmental disorder &gt; developmental disability &gt; neurological disorder &gt; disease</t>
  </si>
  <si>
    <t>pervasive developmental disorder &gt; developmental disorder &gt; developmental disability &gt; neurological disorder &gt; disease of anatomical entity</t>
  </si>
  <si>
    <t>pervasive developmental disorder &gt; developmental disorder &gt; mental disorder &gt; disease &gt; manner of death</t>
  </si>
  <si>
    <t>pervasive developmental disorder &gt; developmental disorder &gt; mental disorder &gt; disease &gt; biological process</t>
  </si>
  <si>
    <t>pervasive developmental disorder &gt; developmental disorder &gt; mental disorder &gt; disease &gt; health problem</t>
  </si>
  <si>
    <t>Q18026157</t>
  </si>
  <si>
    <t>GLRA2</t>
  </si>
  <si>
    <t>Glycinergic signaling</t>
  </si>
  <si>
    <t>genetic variant &gt; taxon &gt; group or class of living things &gt; group or class of physical objects &gt; collective entity</t>
  </si>
  <si>
    <t>Q18393518</t>
  </si>
  <si>
    <t>rare variant</t>
  </si>
  <si>
    <t>Rare variants</t>
  </si>
  <si>
    <t>musical group</t>
  </si>
  <si>
    <t>Q215380</t>
  </si>
  <si>
    <t>Q10467859</t>
  </si>
  <si>
    <t>Deletion</t>
  </si>
  <si>
    <t>class of disease</t>
  </si>
  <si>
    <t>Q112193867</t>
  </si>
  <si>
    <t>disease &gt; manner of death &gt; type &gt; class &gt; class</t>
  </si>
  <si>
    <t>11977150t</t>
  </si>
  <si>
    <t>Q183560</t>
  </si>
  <si>
    <t>intellectual disability</t>
  </si>
  <si>
    <t>Intellectual disability</t>
  </si>
  <si>
    <t>disease &gt; biological process &gt; physical process &gt; physical phenomenon &gt; phenomenon</t>
  </si>
  <si>
    <t>disease &gt; biological process &gt; physical process &gt; physicochemical process &gt; process</t>
  </si>
  <si>
    <t>disease &gt; biological process &gt; biological phenomenon &gt; physical phenomenon &gt; phenomenon</t>
  </si>
  <si>
    <t>disease &gt; biological process &gt; biological phenomenon &gt; natural phenomenon &gt; occurrence</t>
  </si>
  <si>
    <t>disease &gt; biological process &gt; biological phenomenon &gt; natural phenomenon &gt; phenomenon</t>
  </si>
  <si>
    <t>disease &gt; health problem &gt; anomaly &gt; phenomenon &gt; observable entity</t>
  </si>
  <si>
    <t>disease &gt; health problem &gt; anomaly &gt; phenomenon &gt; occurrent</t>
  </si>
  <si>
    <t>disease &gt; health problem &gt; health risk &gt; hazard &gt; situation</t>
  </si>
  <si>
    <t>disease &gt; health problem &gt; health risk &gt; hazard &gt; risk source</t>
  </si>
  <si>
    <t>disease &gt; health problem &gt; health risk &gt; operational risk &gt; internal risk</t>
  </si>
  <si>
    <t>disease &gt; health problem &gt; health risk &gt; personal risk &gt; risk</t>
  </si>
  <si>
    <t>disease &gt; health problem &gt; medical finding &gt; finding &gt; intellectual work</t>
  </si>
  <si>
    <t>disease &gt; health problem &gt; medical finding &gt; finding &gt; information</t>
  </si>
  <si>
    <t>disease &gt; health problem &gt; medical finding &gt; finding &gt; result</t>
  </si>
  <si>
    <t>disease &gt; health problem &gt; problem &gt; situation &gt; condition</t>
  </si>
  <si>
    <t>disease &gt; health problem &gt; physiological condition &gt; condition &gt; state</t>
  </si>
  <si>
    <t>disease &gt; health problem &gt; physiological condition &gt; state &gt; property</t>
  </si>
  <si>
    <t>disease &gt; health problem &gt; physiological condition &gt; state &gt; phenomenon</t>
  </si>
  <si>
    <t>cognitive deficit &gt; cognitive disorder &gt; organic brain syndrome &gt; physical disorder &gt; disease</t>
  </si>
  <si>
    <t>cognitive deficit &gt; cognitive disorder &gt; organic brain syndrome &gt; organic or symptomatic mental disorder &gt; mental disorder</t>
  </si>
  <si>
    <t>cognitive deficit &gt; cognitive disorder &gt; organic brain syndrome &gt; somatic disease &gt; disease</t>
  </si>
  <si>
    <t>cognitive deficit &gt; cognitive disorder &gt; mental disorder &gt; disease &gt; manner of death</t>
  </si>
  <si>
    <t>cognitive deficit &gt; cognitive disorder &gt; mental disorder &gt; disease &gt; biological process</t>
  </si>
  <si>
    <t>cognitive deficit &gt; cognitive disorder &gt; mental disorder &gt; disease &gt; health problem</t>
  </si>
  <si>
    <t>specific developmental disorder &gt; disease &gt; manner of death &gt; type &gt; class</t>
  </si>
  <si>
    <t>specific developmental disorder &gt; disease &gt; biological process &gt; physical process &gt; physical phenomenon</t>
  </si>
  <si>
    <t>specific developmental disorder &gt; disease &gt; biological process &gt; physical process &gt; physicochemical process</t>
  </si>
  <si>
    <t>specific developmental disorder &gt; disease &gt; biological process &gt; biological phenomenon &gt; physical phenomenon</t>
  </si>
  <si>
    <t>specific developmental disorder &gt; disease &gt; biological process &gt; biological phenomenon &gt; natural phenomenon</t>
  </si>
  <si>
    <t>specific developmental disorder &gt; disease &gt; health problem &gt; anomaly &gt; phenomenon</t>
  </si>
  <si>
    <t>specific developmental disorder &gt; disease &gt; health problem &gt; health risk &gt; hazard</t>
  </si>
  <si>
    <t>specific developmental disorder &gt; disease &gt; health problem &gt; health risk &gt; operational risk</t>
  </si>
  <si>
    <t>specific developmental disorder &gt; disease &gt; health problem &gt; health risk &gt; personal risk</t>
  </si>
  <si>
    <t>specific developmental disorder &gt; disease &gt; health problem &gt; medical finding &gt; finding</t>
  </si>
  <si>
    <t>specific developmental disorder &gt; disease &gt; health problem &gt; problem &gt; situation</t>
  </si>
  <si>
    <t>specific developmental disorder &gt; disease &gt; health problem &gt; physiological condition &gt; condition</t>
  </si>
  <si>
    <t>specific developmental disorder &gt; disease &gt; health problem &gt; physiological condition &gt; state</t>
  </si>
  <si>
    <t>specific developmental disorder &gt; mental disorder &gt; disease &gt; manner of death &gt; type</t>
  </si>
  <si>
    <t>specific developmental disorder &gt; mental disorder &gt; disease &gt; biological process &gt; physical process</t>
  </si>
  <si>
    <t>specific developmental disorder &gt; mental disorder &gt; disease &gt; biological process &gt; biological phenomenon</t>
  </si>
  <si>
    <t>specific developmental disorder &gt; mental disorder &gt; disease &gt; health problem &gt; anomaly</t>
  </si>
  <si>
    <t>specific developmental disorder &gt; mental disorder &gt; disease &gt; health problem &gt; health risk</t>
  </si>
  <si>
    <t>specific developmental disorder &gt; mental disorder &gt; disease &gt; health problem &gt; medical finding</t>
  </si>
  <si>
    <t>specific developmental disorder &gt; mental disorder &gt; disease &gt; health problem &gt; problem</t>
  </si>
  <si>
    <t>specific developmental disorder &gt; mental disorder &gt; disease &gt; health problem &gt; physiological condition</t>
  </si>
  <si>
    <t>specific developmental disorder &gt; developmental disorder &gt; disease &gt; manner of death &gt; type</t>
  </si>
  <si>
    <t>specific developmental disorder &gt; developmental disorder &gt; disease &gt; biological process &gt; physical process</t>
  </si>
  <si>
    <t>specific developmental disorder &gt; developmental disorder &gt; disease &gt; biological process &gt; biological phenomenon</t>
  </si>
  <si>
    <t>specific developmental disorder &gt; developmental disorder &gt; disease &gt; health problem &gt; anomaly</t>
  </si>
  <si>
    <t>specific developmental disorder &gt; developmental disorder &gt; disease &gt; health problem &gt; health risk</t>
  </si>
  <si>
    <t>specific developmental disorder &gt; developmental disorder &gt; disease &gt; health problem &gt; medical finding</t>
  </si>
  <si>
    <t>specific developmental disorder &gt; developmental disorder &gt; disease &gt; health problem &gt; problem</t>
  </si>
  <si>
    <t>specific developmental disorder &gt; developmental disorder &gt; disease &gt; health problem &gt; physiological condition</t>
  </si>
  <si>
    <t>specific developmental disorder &gt; developmental disorder &gt; developmental disability &gt; disability &gt; property</t>
  </si>
  <si>
    <t>specific developmental disorder &gt; developmental disorder &gt; developmental disability &gt; neurological disorder &gt; disease</t>
  </si>
  <si>
    <t>specific developmental disorder &gt; developmental disorder &gt; developmental disability &gt; neurological disorder &gt; disease of anatomical entity</t>
  </si>
  <si>
    <t>specific developmental disorder &gt; developmental disorder &gt; mental disorder &gt; disease &gt; manner of death</t>
  </si>
  <si>
    <t>specific developmental disorder &gt; developmental disorder &gt; mental disorder &gt; disease &gt; biological process</t>
  </si>
  <si>
    <t>specific developmental disorder &gt; developmental disorder &gt; mental disorder &gt; disease &gt; health problem</t>
  </si>
  <si>
    <t>specific developmental disorder &gt; neurological disorder &gt; disease &gt; manner of death &gt; type</t>
  </si>
  <si>
    <t>specific developmental disorder &gt; neurological disorder &gt; disease &gt; biological process &gt; physical process</t>
  </si>
  <si>
    <t>specific developmental disorder &gt; neurological disorder &gt; disease &gt; biological process &gt; biological phenomenon</t>
  </si>
  <si>
    <t>specific developmental disorder &gt; neurological disorder &gt; disease &gt; health problem &gt; anomaly</t>
  </si>
  <si>
    <t>specific developmental disorder &gt; neurological disorder &gt; disease &gt; health problem &gt; health risk</t>
  </si>
  <si>
    <t>specific developmental disorder &gt; neurological disorder &gt; disease &gt; health problem &gt; medical finding</t>
  </si>
  <si>
    <t>specific developmental disorder &gt; neurological disorder &gt; disease &gt; health problem &gt; problem</t>
  </si>
  <si>
    <t>specific developmental disorder &gt; neurological disorder &gt; disease &gt; health problem &gt; physiological condition</t>
  </si>
  <si>
    <t>specific developmental disorder &gt; neurological disorder &gt; disease of anatomical entity &gt; disease &gt; manner of death</t>
  </si>
  <si>
    <t>specific developmental disorder &gt; neurological disorder &gt; disease of anatomical entity &gt; disease &gt; biological process</t>
  </si>
  <si>
    <t>specific developmental disorder &gt; neurological disorder &gt; disease of anatomical entity &gt; disease &gt; health problem</t>
  </si>
  <si>
    <t>disability &gt; property &gt; abstract entity &gt; entity</t>
  </si>
  <si>
    <t>cell type</t>
  </si>
  <si>
    <t>Q189118</t>
  </si>
  <si>
    <t>multipolar neuron &gt; neuron &gt; neural cell &gt; animal cell &gt; eukaryotic cell</t>
  </si>
  <si>
    <t>Q1500732</t>
  </si>
  <si>
    <t>interneuron</t>
  </si>
  <si>
    <t>Interneuron</t>
  </si>
  <si>
    <t>multipolar neuron &gt; neuron &gt; neural cell &gt; somatic cell &gt; diploid nucleated cell</t>
  </si>
  <si>
    <t>multipolar neuron &gt; neuron &gt; neural cell &gt; somatic cell &gt; diploid cell</t>
  </si>
  <si>
    <t>multipolar neuron &gt; neuron &gt; biological component &gt; natural physical object &gt; natural object</t>
  </si>
  <si>
    <t>multipolar neuron &gt; neuron &gt; biological component &gt; natural physical object &gt; physical object</t>
  </si>
  <si>
    <t>multipolar neuron &gt; neuron &gt; biological component &gt; component &gt; material entity</t>
  </si>
  <si>
    <t>multipolar neuron &gt; neuron &gt; biological component &gt; component &gt; perceptible physical object</t>
  </si>
  <si>
    <t>multipolar neuron &gt; neuron &gt; biological component &gt; component &gt; part</t>
  </si>
  <si>
    <t>neuron &gt; neural cell &gt; animal cell &gt; eukaryotic cell &gt; native cell</t>
  </si>
  <si>
    <t>neuron &gt; neural cell &gt; animal cell &gt; eukaryotic cell &gt; cell</t>
  </si>
  <si>
    <t>neuron &gt; neural cell &gt; somatic cell &gt; diploid nucleated cell &gt; nucleated cell</t>
  </si>
  <si>
    <t>neuron &gt; neural cell &gt; somatic cell &gt; diploid cell &gt; cell</t>
  </si>
  <si>
    <t>neuron &gt; biological component &gt; natural physical object &gt; natural object &gt; object</t>
  </si>
  <si>
    <t>neuron &gt; biological component &gt; natural physical object &gt; physical object &gt; concrete object</t>
  </si>
  <si>
    <t>neuron &gt; biological component &gt; natural physical object &gt; physical object &gt; material entity</t>
  </si>
  <si>
    <t>neuron &gt; biological component &gt; component &gt; material entity &gt; independent continuant</t>
  </si>
  <si>
    <t>neuron &gt; biological component &gt; component &gt; perceptible physical object &gt; physical object</t>
  </si>
  <si>
    <t>neuron &gt; biological component &gt; component &gt; part &gt; entity</t>
  </si>
  <si>
    <t>Excitatory-inhibitory imbalance</t>
  </si>
  <si>
    <t>developmental language disorder &gt; language disorder &gt; communication disorder &gt; specific developmental disorder &gt; disease</t>
  </si>
  <si>
    <t>Q997841</t>
  </si>
  <si>
    <t>language delay</t>
  </si>
  <si>
    <t>Language delay</t>
  </si>
  <si>
    <t>developmental language disorder &gt; language disorder &gt; communication disorder &gt; specific developmental disorder &gt; mental disorder</t>
  </si>
  <si>
    <t>developmental language disorder &gt; language disorder &gt; communication disorder &gt; specific developmental disorder &gt; developmental disorder</t>
  </si>
  <si>
    <t>developmental language disorder &gt; language disorder &gt; communication disorder &gt; specific developmental disorder &gt; neurological disorder</t>
  </si>
  <si>
    <t>delayed milestone &gt; lack of expected normal physiological development in childhood &gt; nutrition, metabolism, and development symptom &gt; symptom &gt; clinical finding</t>
  </si>
  <si>
    <t>delayed milestone &gt; lack of expected normal physiological development in childhood &gt; nutrition, metabolism, and development symptom &gt; symptom &gt; symptom or sign</t>
  </si>
  <si>
    <t>delayed milestone &gt; lack of expected normal physiological development in childhood &gt; nutrition, metabolism, and development symptom &gt; symptom &gt; physiological condition</t>
  </si>
  <si>
    <t>delayed milestone &gt; developmental disability &gt; disability &gt; property &gt; abstract entity</t>
  </si>
  <si>
    <t>delayed milestone &gt; developmental disability &gt; neurological disorder &gt; disease &gt; manner of death</t>
  </si>
  <si>
    <t>delayed milestone &gt; developmental disability &gt; neurological disorder &gt; disease &gt; biological process</t>
  </si>
  <si>
    <t>delayed milestone &gt; developmental disability &gt; neurological disorder &gt; disease &gt; health problem</t>
  </si>
  <si>
    <t>delayed milestone &gt; developmental disability &gt; neurological disorder &gt; disease of anatomical entity &gt; disease</t>
  </si>
  <si>
    <t>neuroplasticity &gt; biological process &gt; physical process &gt; physical phenomenon &gt; phenomenon</t>
  </si>
  <si>
    <t>Q1551556</t>
  </si>
  <si>
    <t>synaptic plasticity</t>
  </si>
  <si>
    <t>Synaptic plasticity</t>
  </si>
  <si>
    <t>neuroplasticity &gt; biological process &gt; physical process &gt; physicochemical process &gt; process</t>
  </si>
  <si>
    <t>neuroplasticity &gt; biological process &gt; biological phenomenon &gt; physical phenomenon &gt; phenomenon</t>
  </si>
  <si>
    <t>neuroplasticity &gt; biological process &gt; biological phenomenon &gt; natural phenomenon &gt; occurrence</t>
  </si>
  <si>
    <t>neuroplasticity &gt; biological process &gt; biological phenomenon &gt; natural phenomenon &gt; phenomenon</t>
  </si>
  <si>
    <t>biological pathway;chemical synaptic transmission</t>
  </si>
  <si>
    <t>Q14330653;Q4915012</t>
  </si>
  <si>
    <t>Q100235740</t>
  </si>
  <si>
    <t>Long-term potentiation</t>
  </si>
  <si>
    <t>Long term potentiation</t>
  </si>
  <si>
    <t>Mutation screening</t>
  </si>
  <si>
    <t>Q96730505</t>
  </si>
  <si>
    <t>Sequencing</t>
  </si>
  <si>
    <t>Knock-out mice</t>
  </si>
  <si>
    <t>Rescue analyses</t>
  </si>
  <si>
    <t>Axon branching</t>
  </si>
  <si>
    <t>Q8068299</t>
  </si>
  <si>
    <t>Zebrafish</t>
  </si>
  <si>
    <t>Loss of function</t>
  </si>
  <si>
    <t>metabolism &gt; biological process &gt; physical process &gt; physical phenomenon &gt; phenomenon</t>
  </si>
  <si>
    <t>Q864854</t>
  </si>
  <si>
    <t>biotinylation</t>
  </si>
  <si>
    <t>Biotinylation</t>
  </si>
  <si>
    <t>metabolism &gt; biological process &gt; physical process &gt; physicochemical process &gt; process</t>
  </si>
  <si>
    <t>metabolism &gt; biological process &gt; biological phenomenon &gt; physical phenomenon &gt; phenomenon</t>
  </si>
  <si>
    <t>metabolism &gt; biological process &gt; biological phenomenon &gt; natural phenomenon &gt; occurrence</t>
  </si>
  <si>
    <t>metabolism &gt; biological process &gt; biological phenomenon &gt; natural phenomenon &gt; phenomenon</t>
  </si>
  <si>
    <t>molecular probe techniques &gt; biomedical investigative technique &gt; biomedical analytical technique &gt; analytical chemical technique &gt; measurement</t>
  </si>
  <si>
    <t>molecular probe techniques &gt; biomedical investigative technique &gt; biomedical analytical technique &gt; analytical chemical technique &gt; publication</t>
  </si>
  <si>
    <t>molecular probe techniques &gt; biomedical investigative technique &gt; biomedical analytical technique &gt; analytical chemical technique &gt; lab technique</t>
  </si>
  <si>
    <t>molecular probe techniques &gt; biomedical investigative technique &gt; biomedical analytical technique &gt; analytical chemical technique &gt; measurement method</t>
  </si>
  <si>
    <t>molecular probe techniques &gt; biomedical investigative technique &gt; biomedical analytical technique &gt; biochemistry method &gt; method</t>
  </si>
  <si>
    <t>molecular probe techniques &gt; biomedical investigative technique &gt; biomedical analytical technique &gt; biochemistry method &gt; lab technique</t>
  </si>
  <si>
    <t>chemical reaction &gt; chemical process &gt; physical process &gt; physical phenomenon &gt; phenomenon</t>
  </si>
  <si>
    <t>chemical reaction &gt; chemical process &gt; physical process &gt; physicochemical process &gt; process</t>
  </si>
  <si>
    <t>chemical reaction &gt; chemical process &gt; physicochemical process &gt; process &gt; sequence</t>
  </si>
  <si>
    <t>chemical reaction &gt; chemical process &gt; physicochemical process &gt; process &gt; occurrent</t>
  </si>
  <si>
    <t>medical test type</t>
  </si>
  <si>
    <t>Q55215251</t>
  </si>
  <si>
    <t>biological sample staining method &gt; Q96797202 &gt; sample preparation &gt; lab technique &gt; process</t>
  </si>
  <si>
    <t>Q899285</t>
  </si>
  <si>
    <t>immunohistochemistry</t>
  </si>
  <si>
    <t>Immunohistochemistry</t>
  </si>
  <si>
    <t>biological sample staining method &gt; Q96797202 &gt; sample preparation &gt; lab technique &gt; scientific technique</t>
  </si>
  <si>
    <t>biological sample staining method &gt; Q96797202 &gt; sample preparation &gt; process &gt; activity</t>
  </si>
  <si>
    <t>biological sample staining method &gt; Q96797202 &gt; sample preparation &gt; process &gt; process</t>
  </si>
  <si>
    <t>biological sample staining method &gt; staining &gt; material process &gt; planned process &gt; intentional human activity</t>
  </si>
  <si>
    <t>biological sample staining method &gt; staining &gt; material process &gt; planned process &gt; process</t>
  </si>
  <si>
    <t>biological sample staining method &gt; staining &gt; histological assay &gt; histological procedure &gt; laboratory diagnostics</t>
  </si>
  <si>
    <t>biological sample staining method &gt; staining &gt; histological assay &gt; assay &gt; analytical chemical technique</t>
  </si>
  <si>
    <t>biological sample staining method &gt; staining &gt; lab technique &gt; process &gt; sequence</t>
  </si>
  <si>
    <t>biological sample staining method &gt; staining &gt; lab technique &gt; process &gt; occurrent</t>
  </si>
  <si>
    <t>biological sample staining method &gt; staining &gt; lab technique &gt; scientific technique &gt; technique</t>
  </si>
  <si>
    <t>lab technique &gt; process &gt; sequence &gt; class &gt; class</t>
  </si>
  <si>
    <t>lab technique &gt; process &gt; sequence &gt; function &gt; generalized function</t>
  </si>
  <si>
    <t>lab technique &gt; process &gt; sequence &gt; function &gt; multivalued function</t>
  </si>
  <si>
    <t>lab technique &gt; process &gt; sequence &gt; function &gt; partial function</t>
  </si>
  <si>
    <t>lab technique &gt; process &gt; sequence &gt; function &gt; binary relation</t>
  </si>
  <si>
    <t>lab technique &gt; process &gt; occurrent &gt; entity &gt; entity</t>
  </si>
  <si>
    <t>lab technique &gt; scientific technique &gt; technique &gt; activity &gt; process</t>
  </si>
  <si>
    <t>lab technique &gt; scientific technique &gt; technique &gt; method &gt; means</t>
  </si>
  <si>
    <t>staining &gt; material process &gt; planned process &gt; intentional human activity &gt; human activity</t>
  </si>
  <si>
    <t>staining &gt; material process &gt; planned process &gt; process &gt; sequence</t>
  </si>
  <si>
    <t>staining &gt; material process &gt; planned process &gt; process &gt; occurrent</t>
  </si>
  <si>
    <t>staining &gt; histological assay &gt; histological procedure &gt; laboratory diagnostics &gt; analysis</t>
  </si>
  <si>
    <t>staining &gt; histological assay &gt; histological procedure &gt; laboratory diagnostics &gt; medical test</t>
  </si>
  <si>
    <t>staining &gt; histological assay &gt; assay &gt; analytical chemical technique &gt; measurement</t>
  </si>
  <si>
    <t>staining &gt; histological assay &gt; assay &gt; analytical chemical technique &gt; publication</t>
  </si>
  <si>
    <t>staining &gt; histological assay &gt; assay &gt; analytical chemical technique &gt; lab technique</t>
  </si>
  <si>
    <t>staining &gt; histological assay &gt; assay &gt; analytical chemical technique &gt; measurement method</t>
  </si>
  <si>
    <t>staining &gt; lab technique &gt; process &gt; sequence &gt; class</t>
  </si>
  <si>
    <t>staining &gt; lab technique &gt; process &gt; sequence &gt; function</t>
  </si>
  <si>
    <t>staining &gt; lab technique &gt; process &gt; occurrent &gt; entity</t>
  </si>
  <si>
    <t>staining &gt; lab technique &gt; scientific technique &gt; technique &gt; activity</t>
  </si>
  <si>
    <t>staining &gt; lab technique &gt; scientific technique &gt; technique &gt; method</t>
  </si>
  <si>
    <t>branch of biology</t>
  </si>
  <si>
    <t>Q28598684</t>
  </si>
  <si>
    <t>physiology &gt; biology &gt; natural science &gt; science &gt; intellectual activity</t>
  </si>
  <si>
    <t>11937369z</t>
  </si>
  <si>
    <t>Q1154774</t>
  </si>
  <si>
    <t>electrophysiology</t>
  </si>
  <si>
    <t>Electrophysiology</t>
  </si>
  <si>
    <t>physiology &gt; biology &gt; natural science &gt; science &gt; logic</t>
  </si>
  <si>
    <t>physiology &gt; biology &gt; natural science &gt; science &gt; research</t>
  </si>
  <si>
    <t>physiology &gt; biology &gt; natural science &gt; science &gt; epistemology</t>
  </si>
  <si>
    <t>physiology &gt; biology &gt; natural science &gt; science &gt; outline of academic disciplines</t>
  </si>
  <si>
    <t>physiology &gt; biology &gt; natural science &gt; science &gt; knowledge</t>
  </si>
  <si>
    <t>physiology &gt; biology &gt; natural science &gt; science &gt; knowledge system</t>
  </si>
  <si>
    <t>targeted mutagenesis &gt; techniques of genetic engineering &gt; molecular biology technique &gt; scientific technique &gt; technique</t>
  </si>
  <si>
    <t>Q2642668</t>
  </si>
  <si>
    <t>site-directed mutagenesis</t>
  </si>
  <si>
    <t>Site-directed mutagenesis</t>
  </si>
  <si>
    <t>targeted mutagenesis &gt; molecular biology technique &gt; scientific technique &gt; technique &gt; activity</t>
  </si>
  <si>
    <t>targeted mutagenesis &gt; molecular biology technique &gt; scientific technique &gt; technique &gt; method</t>
  </si>
  <si>
    <t>Whole-cell recording</t>
  </si>
  <si>
    <t>mathematical optimization &gt; optimization &gt; computational problem &gt; mathematical problem &gt; research question</t>
  </si>
  <si>
    <t>Q2160088</t>
  </si>
  <si>
    <t>robust optimization</t>
  </si>
  <si>
    <t>Robust optimization</t>
  </si>
  <si>
    <t>Computational modeling of the nonlinear stochastic dynamics of horizontal drillstrings</t>
  </si>
  <si>
    <t>mathematical optimization &gt; optimization &gt; computational problem &gt; mathematical problem &gt; question</t>
  </si>
  <si>
    <t>mathematical optimization &gt; optimization &gt; computational problem &gt; mathematical problem &gt; problem</t>
  </si>
  <si>
    <t>mathematical optimization &gt; optimization &gt; computational problem &gt; mathematical problem &gt; mathematical concept</t>
  </si>
  <si>
    <t>mathematical optimization &gt; optimization &gt; activity &gt; process &gt; sequence</t>
  </si>
  <si>
    <t>mathematical optimization &gt; optimization &gt; activity &gt; process &gt; occurrent</t>
  </si>
  <si>
    <t>Parametric probabilistic approach</t>
  </si>
  <si>
    <t>Horizontal drill-string</t>
  </si>
  <si>
    <t>Stochastic dynamics</t>
  </si>
  <si>
    <t>Solution of a robust optimization problem to maximize the rate of penetration of horizontal drillstrings using a nonlinear stochastic dynamic model</t>
  </si>
  <si>
    <t>Medium-frequency range</t>
  </si>
  <si>
    <t>Multilevel reduced-order computational model in structural dynamics for the low-and medium-frequency ranges</t>
  </si>
  <si>
    <t>range &gt; part &gt; entity</t>
  </si>
  <si>
    <t>Q2800657</t>
  </si>
  <si>
    <t>frequency range</t>
  </si>
  <si>
    <t>Frequency range</t>
  </si>
  <si>
    <t>Q1122506</t>
  </si>
  <si>
    <t>computational model</t>
  </si>
  <si>
    <t>Computational model</t>
  </si>
  <si>
    <t>Multilevel ROM</t>
  </si>
  <si>
    <t>Multilevel reduced-order model</t>
  </si>
  <si>
    <t>TURBINE GAZ</t>
  </si>
  <si>
    <t>Potential of Directionally Solidified Eutectic Ceramics for High Temperature Applications</t>
  </si>
  <si>
    <t>organization</t>
  </si>
  <si>
    <t>Q43229</t>
  </si>
  <si>
    <t>Q112178763</t>
  </si>
  <si>
    <t>Nouvelle Generation</t>
  </si>
  <si>
    <t>NOUVELLE GENERATION</t>
  </si>
  <si>
    <t>FOUR BRIDGMAN</t>
  </si>
  <si>
    <t>CERAMIQUE DSE</t>
  </si>
  <si>
    <t>branch of physics;academic discipline;branch of chemistry</t>
  </si>
  <si>
    <t>Q11790203;Q11862829;Q4162444</t>
  </si>
  <si>
    <t>materials science &gt; natural science &gt; science &gt; intellectual activity &gt; mental activity</t>
  </si>
  <si>
    <t>11958726f</t>
  </si>
  <si>
    <t>Q160398</t>
  </si>
  <si>
    <t>crystallography</t>
  </si>
  <si>
    <t>CRISTALLOGRAPHIE</t>
  </si>
  <si>
    <t>materials science &gt; natural science &gt; science &gt; intellectual activity &gt; intentional human activity</t>
  </si>
  <si>
    <t>materials science &gt; natural science &gt; science &gt; logic &gt; scientific study</t>
  </si>
  <si>
    <t>materials science &gt; natural science &gt; science &gt; research &gt; education and research</t>
  </si>
  <si>
    <t>materials science &gt; natural science &gt; science &gt; research &gt; process</t>
  </si>
  <si>
    <t>materials science &gt; natural science &gt; science &gt; research &gt; activity</t>
  </si>
  <si>
    <t>materials science &gt; natural science &gt; science &gt; research &gt; inquiry</t>
  </si>
  <si>
    <t>materials science &gt; natural science &gt; science &gt; epistemology &gt; philosophy</t>
  </si>
  <si>
    <t>materials science &gt; natural science &gt; science &gt; epistemology &gt; theoretical philosophy</t>
  </si>
  <si>
    <t>materials science &gt; natural science &gt; science &gt; knowledge &gt; memory</t>
  </si>
  <si>
    <t>materials science &gt; natural science &gt; science &gt; knowledge system &gt; conceptual system</t>
  </si>
  <si>
    <t>materials science &gt; interdisciplinary science &gt; science &gt; intellectual activity &gt; mental activity</t>
  </si>
  <si>
    <t>materials science &gt; interdisciplinary science &gt; science &gt; intellectual activity &gt; intentional human activity</t>
  </si>
  <si>
    <t>materials science &gt; interdisciplinary science &gt; science &gt; logic &gt; scientific study</t>
  </si>
  <si>
    <t>materials science &gt; interdisciplinary science &gt; science &gt; research &gt; education and research</t>
  </si>
  <si>
    <t>materials science &gt; interdisciplinary science &gt; science &gt; research &gt; process</t>
  </si>
  <si>
    <t>materials science &gt; interdisciplinary science &gt; science &gt; research &gt; activity</t>
  </si>
  <si>
    <t>materials science &gt; interdisciplinary science &gt; science &gt; research &gt; inquiry</t>
  </si>
  <si>
    <t>materials science &gt; interdisciplinary science &gt; science &gt; epistemology &gt; philosophy</t>
  </si>
  <si>
    <t>materials science &gt; interdisciplinary science &gt; science &gt; epistemology &gt; theoretical philosophy</t>
  </si>
  <si>
    <t>materials science &gt; interdisciplinary science &gt; science &gt; knowledge &gt; memory</t>
  </si>
  <si>
    <t>materials science &gt; interdisciplinary science &gt; science &gt; knowledge system &gt; conceptual system</t>
  </si>
  <si>
    <t>mineralogy &gt; geology &gt; Earth science &gt; earth and planetary science &gt; physical sciences</t>
  </si>
  <si>
    <t>mineralogy &gt; geology &gt; natural science &gt; science &gt; intellectual activity</t>
  </si>
  <si>
    <t>mineralogy &gt; geology &gt; natural science &gt; science &gt; logic</t>
  </si>
  <si>
    <t>mineralogy &gt; geology &gt; natural science &gt; science &gt; research</t>
  </si>
  <si>
    <t>mineralogy &gt; geology &gt; natural science &gt; science &gt; epistemology</t>
  </si>
  <si>
    <t>mineralogy &gt; geology &gt; natural science &gt; science &gt; outline of academic disciplines</t>
  </si>
  <si>
    <t>mineralogy &gt; geology &gt; natural science &gt; science &gt; knowledge</t>
  </si>
  <si>
    <t>mineralogy &gt; geology &gt; natural science &gt; science &gt; knowledge system</t>
  </si>
  <si>
    <t>analytical chemistry &gt; chemistry &gt; physical sciences &gt; natural science &gt; science</t>
  </si>
  <si>
    <t>materials science &gt; natural science &gt; science &gt; outline of academic disciplines</t>
  </si>
  <si>
    <t>materials science &gt; interdisciplinary science &gt; science &gt; outline of academic disciplines</t>
  </si>
  <si>
    <t>type of structure</t>
  </si>
  <si>
    <t>Q111972893</t>
  </si>
  <si>
    <t>physical structure &gt; structure &gt; geographic entity &gt; region of space &gt; spatial region</t>
  </si>
  <si>
    <t>Q1498213</t>
  </si>
  <si>
    <t>microstructure</t>
  </si>
  <si>
    <t>MICROSTRUCTURE</t>
  </si>
  <si>
    <t>physical structure &gt; structure &gt; geographic entity &gt; region of space &gt; spatial object</t>
  </si>
  <si>
    <t>physical structure &gt; structure &gt; geographic entity &gt; region of space &gt; spacetime region</t>
  </si>
  <si>
    <t>physical structure &gt; structure &gt; geographic entity &gt; geolocatable entity &gt; occurrence</t>
  </si>
  <si>
    <t>physical structure &gt; structure &gt; geographic entity &gt; geolocatable entity &gt; concrete object</t>
  </si>
  <si>
    <t>physical structure &gt; structure &gt; geographic entity &gt; geolocatable entity &gt; material entity</t>
  </si>
  <si>
    <t>physical structure &gt; structure &gt; order &gt; collective entity &gt; entity</t>
  </si>
  <si>
    <t>physical structure &gt; structure &gt; order &gt; state &gt; property</t>
  </si>
  <si>
    <t>physical structure &gt; structure &gt; order &gt; state &gt; phenomenon</t>
  </si>
  <si>
    <t>physical structure &gt; physical system &gt; scientific object &gt; object &gt; entity</t>
  </si>
  <si>
    <t>physical structure &gt; physical system &gt; concrete object &gt; individual item &gt; entity</t>
  </si>
  <si>
    <t>physical structure &gt; physical system &gt; concrete object &gt; object &gt; entity</t>
  </si>
  <si>
    <t>physical structure &gt; physical system &gt; system &gt; object &gt; entity</t>
  </si>
  <si>
    <t>physical structure &gt; physical system &gt; system &gt; abstract entity &gt; entity</t>
  </si>
  <si>
    <t>physical structure &gt; physical system &gt; system &gt; collective entity &gt; entity</t>
  </si>
  <si>
    <t>physical structure &gt; structure &gt; collective entity &gt; entity</t>
  </si>
  <si>
    <t>MONOCRISTALLIN</t>
  </si>
  <si>
    <t>COMPOSITE OXYDE CERAMIQUE</t>
  </si>
  <si>
    <t>RESISTANCE FLUAGE</t>
  </si>
  <si>
    <t>POINT FUSION</t>
  </si>
  <si>
    <t>HAUTE TEMPERATURE</t>
  </si>
  <si>
    <t>Low-frequency range</t>
  </si>
  <si>
    <t>A global/local probabilistic approach for reduced-order modeling adapted to the low- and mid-frequency structural dynamics</t>
  </si>
  <si>
    <t>Mid-frequency range</t>
  </si>
  <si>
    <t>YES</t>
  </si>
  <si>
    <t>Uncertain position</t>
  </si>
  <si>
    <t>Model updating in structural dynamics - Uncertainties on the position and orientation of sensors and actuators</t>
  </si>
  <si>
    <t>statistical inference &gt; inference &gt; process &gt; sequence &gt; class</t>
  </si>
  <si>
    <t>Q812535</t>
  </si>
  <si>
    <t>Bayesian inference</t>
  </si>
  <si>
    <t>statistical inference &gt; inference &gt; process &gt; sequence &gt; function</t>
  </si>
  <si>
    <t>statistical inference &gt; inference &gt; process &gt; occurrent &gt; entity</t>
  </si>
  <si>
    <t>statistical method &gt; data analysis &gt; analysis &gt; scholarly method &gt; method</t>
  </si>
  <si>
    <t>statistical method &gt; data analysis &gt; analysis &gt; inquiry &gt; planned process</t>
  </si>
  <si>
    <t>statistical method &gt; data analysis &gt; analysis &gt; inquiry &gt; seeking</t>
  </si>
  <si>
    <t>statistical method &gt; method &gt; means &gt; contributing factor &gt; occurrent</t>
  </si>
  <si>
    <t>statistical method &gt; method &gt; means &gt; contributing factor &gt; condition</t>
  </si>
  <si>
    <t>Model updating</t>
  </si>
  <si>
    <t>Optimal sensor placement</t>
  </si>
  <si>
    <t>Robust optimization of horizontal drillstring rate of penetration through a nonlinear stochastic dynamic model</t>
  </si>
  <si>
    <t>Horizontal drillstring</t>
  </si>
  <si>
    <t>Nonlinear homogenization</t>
  </si>
  <si>
    <t>Computational homogenization of nonlinear elastic materials using neural networks</t>
  </si>
  <si>
    <t>Computational homogenization</t>
  </si>
  <si>
    <t>High-dimensional approximation</t>
  </si>
  <si>
    <t>network &gt; graph &gt; relational structure &gt; structure &gt; possibly infinitary structure</t>
  </si>
  <si>
    <t>Q12811862</t>
  </si>
  <si>
    <t>neural network</t>
  </si>
  <si>
    <t>Neural Networks</t>
  </si>
  <si>
    <t>network &gt; graph &gt; hypergraph &gt; possibly infinitary structure &gt; mathematical structure</t>
  </si>
  <si>
    <t>network &gt; graph &gt; hypergraph &gt; diagram &gt; structure</t>
  </si>
  <si>
    <t>network &gt; system &gt; object &gt; entity</t>
  </si>
  <si>
    <t>network &gt; system &gt; abstract entity &gt; entity</t>
  </si>
  <si>
    <t>network &gt; system &gt; collective entity &gt; entity</t>
  </si>
  <si>
    <t>Multiscale methods</t>
  </si>
  <si>
    <t>Geometrical nonlinearities</t>
  </si>
  <si>
    <t>Uncertainty quantification for an industrial mistuned bladed disk with geometrical nonlinearities</t>
  </si>
  <si>
    <t>Mistuned bladed disk</t>
  </si>
  <si>
    <t>Nonlinear structural dynamics</t>
  </si>
  <si>
    <t>Advanced Computational Vibroacoustics - Reduced-Order Models and Uncertainty Quantification</t>
  </si>
  <si>
    <t>Computational Vibroacoustics</t>
  </si>
  <si>
    <t>Uncertainty Quantification</t>
  </si>
  <si>
    <t xml:space="preserve">
</t>
  </si>
  <si>
    <t xml:space="preserve">mismatched (entity identified: Radiostation)
QID: vibration (Q3695508) </t>
  </si>
  <si>
    <t xml:space="preserve">NO </t>
  </si>
  <si>
    <t>radio station</t>
  </si>
  <si>
    <t>Q14350</t>
  </si>
  <si>
    <t>Q3556810</t>
  </si>
  <si>
    <t>Vibration</t>
  </si>
  <si>
    <t>disambiguation page (no description defined)</t>
  </si>
  <si>
    <t>Q7624999</t>
  </si>
  <si>
    <t>Structural acoustics</t>
  </si>
  <si>
    <t>Structural Acoustics</t>
  </si>
  <si>
    <t>acoustics &gt; physics &gt; physical sciences &gt; natural science &gt; science</t>
  </si>
  <si>
    <t>Q112618746</t>
  </si>
  <si>
    <t>vibroacoustics</t>
  </si>
  <si>
    <t>Vibroacoustic</t>
  </si>
  <si>
    <t>acoustics &gt; physics &gt; natural science &gt; science &gt; intellectual activity</t>
  </si>
  <si>
    <t>acoustics &gt; physics &gt; natural science &gt; science &gt; logic</t>
  </si>
  <si>
    <t>acoustics &gt; physics &gt; natural science &gt; science &gt; research</t>
  </si>
  <si>
    <t>acoustics &gt; physics &gt; natural science &gt; science &gt; epistemology</t>
  </si>
  <si>
    <t>acoustics &gt; physics &gt; natural science &gt; science &gt; outline of academic disciplines</t>
  </si>
  <si>
    <t>acoustics &gt; physics &gt; natural science &gt; science &gt; knowledge</t>
  </si>
  <si>
    <t>acoustics &gt; physics &gt; natural science &gt; science &gt; knowledge system</t>
  </si>
  <si>
    <t>Global reduced-order model adapted to the low- and medium-frequency analysis of complex dynamical structures</t>
  </si>
  <si>
    <t xml:space="preserve">YES </t>
  </si>
  <si>
    <t>Q25325283</t>
  </si>
  <si>
    <t>Global mode</t>
  </si>
  <si>
    <t>Global modes</t>
  </si>
  <si>
    <t>Experimental identification of a stochastic computational dynamical model using modal data measured for a family of built-up structures</t>
  </si>
  <si>
    <t>Experimental modal analysis</t>
  </si>
  <si>
    <t>Mode crossing</t>
  </si>
  <si>
    <t>Computational stochastic dynamics</t>
  </si>
  <si>
    <t>Model identification</t>
  </si>
  <si>
    <t>Generalized Bessel function</t>
  </si>
  <si>
    <t>Dunkl kernel associated with dihedral group</t>
  </si>
  <si>
    <t>Dihedral root systems</t>
  </si>
  <si>
    <t>Dunkl kernel</t>
  </si>
  <si>
    <t xml:space="preserve">same as row 35; translated in French? </t>
  </si>
  <si>
    <t>glacial period</t>
  </si>
  <si>
    <t>Q602963</t>
  </si>
  <si>
    <t>Q2741484</t>
  </si>
  <si>
    <t>Late Glacial Maximum</t>
  </si>
  <si>
    <t>Tardiglaciaire</t>
  </si>
  <si>
    <t>Les Â« riviÃ¨res de pierres Â» : une formation en marge des catÃ©gories classiques. Questions posÃ©es dans le cas du massif du MÃ©zenc (Velay oriental, Sud-Est du Massif central, France).</t>
  </si>
  <si>
    <t xml:space="preserve">same as row 37; translated in French? </t>
  </si>
  <si>
    <t xml:space="preserve">same as row 36; translated in French? </t>
  </si>
  <si>
    <t xml:space="preserve">same as row 4 to 32; translated in French? </t>
  </si>
  <si>
    <t>same as row 4 to 32</t>
  </si>
  <si>
    <t xml:space="preserve">same as row 4 to 32 </t>
  </si>
  <si>
    <t xml:space="preserve">mismatched on  the context </t>
  </si>
  <si>
    <t>NO</t>
  </si>
  <si>
    <t xml:space="preserve">Contains special character </t>
  </si>
  <si>
    <t>Morphologie et processus pÃ©riglaciaires</t>
  </si>
  <si>
    <t>keyword contains special character.
The QID identified has no label defined. 
Potential QIDs: massif du Mézenc (Q3297689), Mont Mézenc Sud (Q34878583), Mount Mézenc (Q1267547), and Mont Mézenc Nord (Q34878573)…
BnF IDs: massif du Mézenc (cb40616660p), Mont Mézenc and Nord(cb15199595z)</t>
  </si>
  <si>
    <t>Natura 2000 site</t>
  </si>
  <si>
    <t>Q15069452</t>
  </si>
  <si>
    <t>Q128548547</t>
  </si>
  <si>
    <t>Mezenc</t>
  </si>
  <si>
    <t>MÃ©zenc</t>
  </si>
  <si>
    <t>Late Glacial</t>
  </si>
  <si>
    <t>epoch;series</t>
  </si>
  <si>
    <t>Q312468;Q754897</t>
  </si>
  <si>
    <t>11945805t</t>
  </si>
  <si>
    <t>Q25546</t>
  </si>
  <si>
    <t>Pleistocene</t>
  </si>
  <si>
    <t>Periglacial morphology and process</t>
  </si>
  <si>
    <t xml:space="preserve">%BnF matched </t>
  </si>
  <si>
    <t>%QID matched</t>
  </si>
  <si>
    <t>%BnF ID (vs unique keywords)</t>
  </si>
  <si>
    <t>Unique BnF</t>
  </si>
  <si>
    <t>% QID (vs unique keywords)</t>
  </si>
  <si>
    <t>Unique QID</t>
  </si>
  <si>
    <t>Unique Keywords</t>
  </si>
  <si>
    <t># of KEYWORDS</t>
  </si>
  <si>
    <t xml:space="preserve">keywords </t>
  </si>
  <si>
    <t>% BnF matched</t>
  </si>
  <si>
    <t xml:space="preserve">% QID matched </t>
  </si>
  <si>
    <t xml:space="preserve">remarks </t>
  </si>
  <si>
    <t xml:space="preserve">bnf matched </t>
  </si>
  <si>
    <t xml:space="preserve">wikidata matched 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</si>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</sst>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02122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0" fontId="0" fillId="0" borderId="10" xfId="0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10" xfId="0" applyBorder="1"/>
    <xf numFmtId="0" fontId="16" fillId="0" borderId="0" xfId="0" applyFont="1"/>
    <xf numFmtId="0" fontId="14" fillId="33" borderId="0" xfId="0" applyFont="1" applyFill="1"/>
    <xf numFmtId="0" fontId="0" fillId="33" borderId="0" xfId="0" applyFill="1"/>
    <xf numFmtId="9" fontId="0" fillId="0" borderId="10" xfId="1" applyFont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0" fontId="0" fillId="0" borderId="0" xfId="0" applyNumberFormat="1" applyAlignment="1">
      <alignment horizontal="center" vertical="top"/>
    </xf>
    <xf numFmtId="0" fontId="0" fillId="38" borderId="0" xfId="0" applyFill="1" applyAlignment="1">
      <alignment wrapText="1"/>
    </xf>
    <xf numFmtId="0" fontId="0" fillId="38" borderId="0" xfId="0" applyFill="1"/>
    <xf numFmtId="0" fontId="0" fillId="0" borderId="0" xfId="0" applyAlignment="1">
      <alignment horizontal="center" vertical="top"/>
    </xf>
    <xf numFmtId="10" fontId="0" fillId="39" borderId="0" xfId="0" applyNumberFormat="1" applyFill="1"/>
    <xf numFmtId="0" fontId="0" fillId="39" borderId="0" xfId="0" applyFill="1"/>
    <xf numFmtId="10" fontId="0" fillId="0" borderId="0" xfId="0" applyNumberFormat="1" applyAlignment="1">
      <alignment horizontal="center" vertical="top"/>
    </xf>
    <xf numFmtId="0" fontId="0" fillId="4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F9E5-3600-44BA-AFA0-9406E99D1C18}">
  <sheetPr filterMode="1"/>
  <dimension ref="A1:Q371"/>
  <sheetViews>
    <sheetView topLeftCell="G1" workbookViewId="0">
      <selection activeCell="O316" sqref="O316"/>
    </sheetView>
  </sheetViews>
  <sheetFormatPr defaultRowHeight="14.4" x14ac:dyDescent="0.3"/>
  <cols>
    <col min="2" max="2" width="46.44140625" customWidth="1"/>
    <col min="3" max="3" width="33.6640625" customWidth="1"/>
    <col min="4" max="4" width="41.21875" bestFit="1" customWidth="1"/>
    <col min="6" max="6" width="17.77734375" customWidth="1"/>
    <col min="7" max="7" width="66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520</v>
      </c>
    </row>
    <row r="2" spans="1:17" hidden="1" x14ac:dyDescent="0.3">
      <c r="A2">
        <v>1006198</v>
      </c>
      <c r="B2" t="s">
        <v>14</v>
      </c>
      <c r="C2" t="s">
        <v>15</v>
      </c>
      <c r="H2" t="s">
        <v>16</v>
      </c>
      <c r="I2" t="s">
        <v>16</v>
      </c>
      <c r="J2" t="s">
        <v>17</v>
      </c>
      <c r="K2">
        <v>0</v>
      </c>
      <c r="L2">
        <v>0</v>
      </c>
      <c r="O2" t="s">
        <v>521</v>
      </c>
    </row>
    <row r="3" spans="1:17" hidden="1" x14ac:dyDescent="0.3">
      <c r="A3">
        <v>1006198</v>
      </c>
      <c r="B3" t="s">
        <v>14</v>
      </c>
      <c r="C3" t="s">
        <v>18</v>
      </c>
      <c r="H3" t="s">
        <v>16</v>
      </c>
      <c r="I3" t="s">
        <v>16</v>
      </c>
      <c r="J3" t="s">
        <v>17</v>
      </c>
      <c r="K3">
        <v>0</v>
      </c>
      <c r="L3">
        <v>0</v>
      </c>
      <c r="O3" t="s">
        <v>521</v>
      </c>
    </row>
    <row r="4" spans="1:17" hidden="1" x14ac:dyDescent="0.3">
      <c r="A4">
        <v>1006198</v>
      </c>
      <c r="B4" t="s">
        <v>14</v>
      </c>
      <c r="C4" t="s">
        <v>19</v>
      </c>
      <c r="D4" t="s">
        <v>19</v>
      </c>
      <c r="E4" t="s">
        <v>20</v>
      </c>
      <c r="G4" t="s">
        <v>21</v>
      </c>
      <c r="H4" t="s">
        <v>22</v>
      </c>
      <c r="I4" t="s">
        <v>22</v>
      </c>
      <c r="J4" t="s">
        <v>17</v>
      </c>
      <c r="K4">
        <v>100</v>
      </c>
      <c r="L4">
        <v>111</v>
      </c>
      <c r="O4" t="s">
        <v>521</v>
      </c>
    </row>
    <row r="5" spans="1:17" hidden="1" x14ac:dyDescent="0.3">
      <c r="A5">
        <v>1006198</v>
      </c>
      <c r="B5" t="s">
        <v>14</v>
      </c>
      <c r="C5" t="s">
        <v>19</v>
      </c>
      <c r="D5" t="s">
        <v>19</v>
      </c>
      <c r="E5" t="s">
        <v>20</v>
      </c>
      <c r="G5" t="s">
        <v>23</v>
      </c>
      <c r="H5" t="s">
        <v>22</v>
      </c>
      <c r="I5" t="s">
        <v>22</v>
      </c>
      <c r="J5" t="s">
        <v>17</v>
      </c>
      <c r="K5">
        <v>100</v>
      </c>
      <c r="L5">
        <v>111</v>
      </c>
      <c r="O5" t="s">
        <v>521</v>
      </c>
    </row>
    <row r="6" spans="1:17" hidden="1" x14ac:dyDescent="0.3">
      <c r="A6">
        <v>1006198</v>
      </c>
      <c r="B6" t="s">
        <v>14</v>
      </c>
      <c r="C6" t="s">
        <v>19</v>
      </c>
      <c r="D6" t="s">
        <v>19</v>
      </c>
      <c r="E6" t="s">
        <v>20</v>
      </c>
      <c r="G6" t="s">
        <v>24</v>
      </c>
      <c r="H6" t="s">
        <v>22</v>
      </c>
      <c r="I6" t="s">
        <v>22</v>
      </c>
      <c r="J6" t="s">
        <v>17</v>
      </c>
      <c r="K6">
        <v>100</v>
      </c>
      <c r="L6">
        <v>111</v>
      </c>
      <c r="O6" t="s">
        <v>521</v>
      </c>
    </row>
    <row r="7" spans="1:17" hidden="1" x14ac:dyDescent="0.3">
      <c r="A7">
        <v>1006198</v>
      </c>
      <c r="B7" t="s">
        <v>14</v>
      </c>
      <c r="C7" t="s">
        <v>19</v>
      </c>
      <c r="D7" t="s">
        <v>19</v>
      </c>
      <c r="E7" t="s">
        <v>20</v>
      </c>
      <c r="G7" t="s">
        <v>25</v>
      </c>
      <c r="H7" t="s">
        <v>22</v>
      </c>
      <c r="I7" t="s">
        <v>22</v>
      </c>
      <c r="J7" t="s">
        <v>17</v>
      </c>
      <c r="K7">
        <v>100</v>
      </c>
      <c r="L7">
        <v>111</v>
      </c>
      <c r="O7" t="s">
        <v>521</v>
      </c>
    </row>
    <row r="8" spans="1:17" hidden="1" x14ac:dyDescent="0.3">
      <c r="A8">
        <v>1006198</v>
      </c>
      <c r="B8" t="s">
        <v>14</v>
      </c>
      <c r="C8" t="s">
        <v>19</v>
      </c>
      <c r="D8" t="s">
        <v>19</v>
      </c>
      <c r="E8" t="s">
        <v>20</v>
      </c>
      <c r="G8" t="s">
        <v>26</v>
      </c>
      <c r="H8" t="s">
        <v>22</v>
      </c>
      <c r="I8" t="s">
        <v>22</v>
      </c>
      <c r="J8" t="s">
        <v>17</v>
      </c>
      <c r="K8">
        <v>100</v>
      </c>
      <c r="L8">
        <v>111</v>
      </c>
      <c r="O8" t="s">
        <v>521</v>
      </c>
    </row>
    <row r="9" spans="1:17" hidden="1" x14ac:dyDescent="0.3">
      <c r="A9">
        <v>1006198</v>
      </c>
      <c r="B9" t="s">
        <v>14</v>
      </c>
      <c r="C9" t="s">
        <v>19</v>
      </c>
      <c r="D9" t="s">
        <v>19</v>
      </c>
      <c r="E9" t="s">
        <v>20</v>
      </c>
      <c r="G9" t="s">
        <v>27</v>
      </c>
      <c r="H9" t="s">
        <v>22</v>
      </c>
      <c r="I9" t="s">
        <v>22</v>
      </c>
      <c r="J9" t="s">
        <v>17</v>
      </c>
      <c r="K9">
        <v>100</v>
      </c>
      <c r="L9">
        <v>111</v>
      </c>
      <c r="O9" t="s">
        <v>521</v>
      </c>
    </row>
    <row r="10" spans="1:17" hidden="1" x14ac:dyDescent="0.3">
      <c r="A10">
        <v>1006198</v>
      </c>
      <c r="B10" t="s">
        <v>14</v>
      </c>
      <c r="C10" t="s">
        <v>28</v>
      </c>
      <c r="H10" t="s">
        <v>16</v>
      </c>
      <c r="I10" t="s">
        <v>16</v>
      </c>
      <c r="J10" t="s">
        <v>17</v>
      </c>
      <c r="K10">
        <v>0</v>
      </c>
      <c r="L10">
        <v>0</v>
      </c>
      <c r="O10" t="s">
        <v>521</v>
      </c>
    </row>
    <row r="11" spans="1:17" hidden="1" x14ac:dyDescent="0.3">
      <c r="A11">
        <v>1006198</v>
      </c>
      <c r="B11" t="s">
        <v>14</v>
      </c>
      <c r="C11" t="s">
        <v>29</v>
      </c>
      <c r="H11" t="s">
        <v>16</v>
      </c>
      <c r="I11" t="s">
        <v>16</v>
      </c>
      <c r="J11" t="s">
        <v>17</v>
      </c>
      <c r="K11">
        <v>0</v>
      </c>
      <c r="L11">
        <v>0</v>
      </c>
      <c r="O11" t="s">
        <v>521</v>
      </c>
    </row>
    <row r="12" spans="1:17" hidden="1" x14ac:dyDescent="0.3">
      <c r="A12">
        <v>1006198</v>
      </c>
      <c r="B12" t="s">
        <v>14</v>
      </c>
      <c r="C12" t="s">
        <v>30</v>
      </c>
      <c r="H12" t="s">
        <v>16</v>
      </c>
      <c r="I12" t="s">
        <v>16</v>
      </c>
      <c r="J12" t="s">
        <v>17</v>
      </c>
      <c r="K12">
        <v>0</v>
      </c>
      <c r="L12">
        <v>0</v>
      </c>
      <c r="O12" t="s">
        <v>521</v>
      </c>
    </row>
    <row r="13" spans="1:17" hidden="1" x14ac:dyDescent="0.3">
      <c r="A13">
        <v>1006198</v>
      </c>
      <c r="B13" t="s">
        <v>14</v>
      </c>
      <c r="C13" t="s">
        <v>31</v>
      </c>
      <c r="H13" t="s">
        <v>16</v>
      </c>
      <c r="I13" t="s">
        <v>16</v>
      </c>
      <c r="J13" t="s">
        <v>17</v>
      </c>
      <c r="K13">
        <v>0</v>
      </c>
      <c r="L13">
        <v>0</v>
      </c>
      <c r="O13" t="s">
        <v>521</v>
      </c>
    </row>
    <row r="14" spans="1:17" hidden="1" x14ac:dyDescent="0.3">
      <c r="A14">
        <v>1006198</v>
      </c>
      <c r="B14" t="s">
        <v>14</v>
      </c>
      <c r="C14" t="s">
        <v>32</v>
      </c>
      <c r="D14" t="s">
        <v>32</v>
      </c>
      <c r="E14" t="s">
        <v>33</v>
      </c>
      <c r="H14" t="s">
        <v>22</v>
      </c>
      <c r="I14" t="s">
        <v>22</v>
      </c>
      <c r="J14" t="s">
        <v>17</v>
      </c>
      <c r="K14">
        <v>100</v>
      </c>
      <c r="L14">
        <v>113</v>
      </c>
      <c r="O14" s="25" t="s">
        <v>1825</v>
      </c>
      <c r="P14" t="s">
        <v>523</v>
      </c>
      <c r="Q14" t="s">
        <v>524</v>
      </c>
    </row>
    <row r="15" spans="1:17" hidden="1" x14ac:dyDescent="0.3">
      <c r="A15">
        <v>1025697</v>
      </c>
      <c r="B15" t="s">
        <v>34</v>
      </c>
      <c r="C15" t="s">
        <v>35</v>
      </c>
      <c r="D15" t="s">
        <v>35</v>
      </c>
      <c r="E15" t="s">
        <v>36</v>
      </c>
      <c r="H15" t="s">
        <v>22</v>
      </c>
      <c r="I15" t="s">
        <v>22</v>
      </c>
      <c r="J15" t="s">
        <v>17</v>
      </c>
      <c r="K15">
        <v>100</v>
      </c>
      <c r="L15">
        <v>112</v>
      </c>
      <c r="M15" t="s">
        <v>37</v>
      </c>
      <c r="N15" t="s">
        <v>38</v>
      </c>
      <c r="O15" t="s">
        <v>522</v>
      </c>
      <c r="P15" s="1" t="s">
        <v>525</v>
      </c>
      <c r="Q15" t="s">
        <v>526</v>
      </c>
    </row>
    <row r="16" spans="1:17" hidden="1" x14ac:dyDescent="0.3">
      <c r="A16">
        <v>1025697</v>
      </c>
      <c r="B16" t="s">
        <v>34</v>
      </c>
      <c r="C16" t="s">
        <v>39</v>
      </c>
      <c r="H16" t="s">
        <v>16</v>
      </c>
      <c r="I16" t="s">
        <v>16</v>
      </c>
      <c r="J16" t="s">
        <v>17</v>
      </c>
      <c r="K16">
        <v>0</v>
      </c>
      <c r="L16">
        <v>0</v>
      </c>
      <c r="O16" t="s">
        <v>521</v>
      </c>
    </row>
    <row r="17" spans="1:17" hidden="1" x14ac:dyDescent="0.3">
      <c r="A17">
        <v>1025697</v>
      </c>
      <c r="B17" t="s">
        <v>34</v>
      </c>
      <c r="C17" t="s">
        <v>40</v>
      </c>
      <c r="H17" t="s">
        <v>16</v>
      </c>
      <c r="I17" t="s">
        <v>16</v>
      </c>
      <c r="J17" t="s">
        <v>17</v>
      </c>
      <c r="K17">
        <v>0</v>
      </c>
      <c r="L17">
        <v>0</v>
      </c>
      <c r="O17" t="s">
        <v>521</v>
      </c>
    </row>
    <row r="18" spans="1:17" hidden="1" x14ac:dyDescent="0.3">
      <c r="A18">
        <v>1025697</v>
      </c>
      <c r="B18" t="s">
        <v>34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46</v>
      </c>
      <c r="J18" t="s">
        <v>17</v>
      </c>
      <c r="K18">
        <v>100</v>
      </c>
      <c r="L18">
        <v>50</v>
      </c>
      <c r="M18" t="s">
        <v>47</v>
      </c>
      <c r="N18" t="s">
        <v>48</v>
      </c>
      <c r="O18" s="25" t="s">
        <v>1825</v>
      </c>
      <c r="P18" t="s">
        <v>527</v>
      </c>
      <c r="Q18" t="s">
        <v>528</v>
      </c>
    </row>
    <row r="19" spans="1:17" hidden="1" x14ac:dyDescent="0.3">
      <c r="A19">
        <v>1025697</v>
      </c>
      <c r="B19" t="s">
        <v>34</v>
      </c>
      <c r="C19" t="s">
        <v>41</v>
      </c>
      <c r="D19" t="s">
        <v>42</v>
      </c>
      <c r="E19" t="s">
        <v>43</v>
      </c>
      <c r="F19" t="s">
        <v>44</v>
      </c>
      <c r="G19" t="s">
        <v>49</v>
      </c>
      <c r="H19" t="s">
        <v>46</v>
      </c>
      <c r="I19" t="s">
        <v>46</v>
      </c>
      <c r="J19" t="s">
        <v>17</v>
      </c>
      <c r="K19">
        <v>100</v>
      </c>
      <c r="L19">
        <v>50</v>
      </c>
      <c r="M19" t="s">
        <v>47</v>
      </c>
      <c r="N19" t="s">
        <v>48</v>
      </c>
      <c r="O19" t="s">
        <v>522</v>
      </c>
    </row>
    <row r="20" spans="1:17" hidden="1" x14ac:dyDescent="0.3">
      <c r="A20">
        <v>1025697</v>
      </c>
      <c r="B20" t="s">
        <v>34</v>
      </c>
      <c r="C20" t="s">
        <v>50</v>
      </c>
      <c r="H20" t="s">
        <v>16</v>
      </c>
      <c r="I20" t="s">
        <v>16</v>
      </c>
      <c r="J20" t="s">
        <v>17</v>
      </c>
      <c r="K20">
        <v>0</v>
      </c>
      <c r="L20">
        <v>0</v>
      </c>
      <c r="O20" t="s">
        <v>521</v>
      </c>
    </row>
    <row r="21" spans="1:17" hidden="1" x14ac:dyDescent="0.3">
      <c r="A21">
        <v>1060481</v>
      </c>
      <c r="B21" t="s">
        <v>51</v>
      </c>
      <c r="C21">
        <v>20902069</v>
      </c>
      <c r="H21" t="s">
        <v>16</v>
      </c>
      <c r="I21" t="s">
        <v>16</v>
      </c>
      <c r="J21" t="s">
        <v>17</v>
      </c>
      <c r="K21">
        <v>0</v>
      </c>
      <c r="L21">
        <v>0</v>
      </c>
      <c r="O21" t="s">
        <v>521</v>
      </c>
    </row>
    <row r="22" spans="1:17" hidden="1" x14ac:dyDescent="0.3">
      <c r="A22">
        <v>1060481</v>
      </c>
      <c r="B22" t="s">
        <v>51</v>
      </c>
      <c r="C22" t="s">
        <v>52</v>
      </c>
      <c r="H22" t="s">
        <v>16</v>
      </c>
      <c r="I22" t="s">
        <v>16</v>
      </c>
      <c r="J22" t="s">
        <v>53</v>
      </c>
      <c r="K22">
        <v>0</v>
      </c>
      <c r="L22">
        <v>0</v>
      </c>
      <c r="O22" t="s">
        <v>521</v>
      </c>
    </row>
    <row r="23" spans="1:17" hidden="1" x14ac:dyDescent="0.3">
      <c r="A23">
        <v>1060481</v>
      </c>
      <c r="B23" t="s">
        <v>51</v>
      </c>
      <c r="C23" t="s">
        <v>54</v>
      </c>
      <c r="D23" t="s">
        <v>55</v>
      </c>
      <c r="E23" t="s">
        <v>56</v>
      </c>
      <c r="H23" t="s">
        <v>46</v>
      </c>
      <c r="I23" t="s">
        <v>46</v>
      </c>
      <c r="J23" t="s">
        <v>17</v>
      </c>
      <c r="K23">
        <v>100</v>
      </c>
      <c r="L23">
        <v>50</v>
      </c>
      <c r="M23" t="s">
        <v>57</v>
      </c>
      <c r="N23" t="s">
        <v>58</v>
      </c>
      <c r="O23" t="s">
        <v>521</v>
      </c>
    </row>
    <row r="24" spans="1:17" hidden="1" x14ac:dyDescent="0.3">
      <c r="A24">
        <v>1060481</v>
      </c>
      <c r="B24" t="s">
        <v>51</v>
      </c>
      <c r="C24">
        <v>21074094</v>
      </c>
      <c r="H24" t="s">
        <v>16</v>
      </c>
      <c r="I24" t="s">
        <v>16</v>
      </c>
      <c r="J24" t="s">
        <v>17</v>
      </c>
      <c r="K24">
        <v>0</v>
      </c>
      <c r="L24">
        <v>0</v>
      </c>
      <c r="O24" t="s">
        <v>521</v>
      </c>
    </row>
    <row r="25" spans="1:17" hidden="1" x14ac:dyDescent="0.3">
      <c r="A25">
        <v>1060481</v>
      </c>
      <c r="B25" t="s">
        <v>51</v>
      </c>
      <c r="C25">
        <v>51173134</v>
      </c>
      <c r="H25" t="s">
        <v>16</v>
      </c>
      <c r="I25" t="s">
        <v>16</v>
      </c>
      <c r="J25" t="s">
        <v>17</v>
      </c>
      <c r="K25">
        <v>0</v>
      </c>
      <c r="L25">
        <v>0</v>
      </c>
      <c r="O25" t="s">
        <v>521</v>
      </c>
    </row>
    <row r="26" spans="1:17" hidden="1" x14ac:dyDescent="0.3">
      <c r="A26">
        <v>1064801</v>
      </c>
      <c r="B26" t="s">
        <v>59</v>
      </c>
      <c r="C26" t="s">
        <v>60</v>
      </c>
      <c r="H26" t="s">
        <v>16</v>
      </c>
      <c r="I26" t="s">
        <v>16</v>
      </c>
      <c r="J26" t="s">
        <v>17</v>
      </c>
      <c r="K26">
        <v>0</v>
      </c>
      <c r="L26">
        <v>0</v>
      </c>
      <c r="O26" t="s">
        <v>521</v>
      </c>
    </row>
    <row r="27" spans="1:17" hidden="1" x14ac:dyDescent="0.3">
      <c r="A27">
        <v>1064801</v>
      </c>
      <c r="B27" t="s">
        <v>59</v>
      </c>
      <c r="C27" t="s">
        <v>61</v>
      </c>
      <c r="H27" t="s">
        <v>16</v>
      </c>
      <c r="I27" t="s">
        <v>16</v>
      </c>
      <c r="J27" t="s">
        <v>17</v>
      </c>
      <c r="K27">
        <v>0</v>
      </c>
      <c r="L27">
        <v>0</v>
      </c>
      <c r="O27" t="s">
        <v>521</v>
      </c>
    </row>
    <row r="28" spans="1:17" hidden="1" x14ac:dyDescent="0.3">
      <c r="A28">
        <v>1064801</v>
      </c>
      <c r="B28" t="s">
        <v>59</v>
      </c>
      <c r="C28" t="s">
        <v>62</v>
      </c>
      <c r="H28" t="s">
        <v>16</v>
      </c>
      <c r="I28" t="s">
        <v>16</v>
      </c>
      <c r="J28" t="s">
        <v>17</v>
      </c>
      <c r="K28">
        <v>0</v>
      </c>
      <c r="L28">
        <v>0</v>
      </c>
      <c r="O28" t="s">
        <v>521</v>
      </c>
    </row>
    <row r="29" spans="1:17" hidden="1" x14ac:dyDescent="0.3">
      <c r="A29">
        <v>1064801</v>
      </c>
      <c r="B29" t="s">
        <v>59</v>
      </c>
      <c r="C29" t="s">
        <v>63</v>
      </c>
      <c r="D29" t="s">
        <v>64</v>
      </c>
      <c r="E29" t="s">
        <v>65</v>
      </c>
      <c r="G29" t="s">
        <v>66</v>
      </c>
      <c r="H29" t="s">
        <v>46</v>
      </c>
      <c r="I29" t="s">
        <v>46</v>
      </c>
      <c r="J29" t="s">
        <v>17</v>
      </c>
      <c r="K29">
        <v>100</v>
      </c>
      <c r="L29">
        <v>50</v>
      </c>
      <c r="M29" t="s">
        <v>67</v>
      </c>
      <c r="N29" t="s">
        <v>68</v>
      </c>
      <c r="O29" t="s">
        <v>521</v>
      </c>
    </row>
    <row r="30" spans="1:17" hidden="1" x14ac:dyDescent="0.3">
      <c r="A30">
        <v>1064801</v>
      </c>
      <c r="B30" t="s">
        <v>59</v>
      </c>
      <c r="C30" t="s">
        <v>63</v>
      </c>
      <c r="D30" t="s">
        <v>64</v>
      </c>
      <c r="E30" t="s">
        <v>65</v>
      </c>
      <c r="G30" t="s">
        <v>69</v>
      </c>
      <c r="H30" t="s">
        <v>46</v>
      </c>
      <c r="I30" t="s">
        <v>46</v>
      </c>
      <c r="J30" t="s">
        <v>17</v>
      </c>
      <c r="K30">
        <v>100</v>
      </c>
      <c r="L30">
        <v>50</v>
      </c>
      <c r="M30" t="s">
        <v>67</v>
      </c>
      <c r="N30" t="s">
        <v>68</v>
      </c>
      <c r="O30" t="s">
        <v>521</v>
      </c>
    </row>
    <row r="31" spans="1:17" hidden="1" x14ac:dyDescent="0.3">
      <c r="A31">
        <v>1064801</v>
      </c>
      <c r="B31" t="s">
        <v>59</v>
      </c>
      <c r="C31" t="s">
        <v>63</v>
      </c>
      <c r="D31" t="s">
        <v>64</v>
      </c>
      <c r="E31" t="s">
        <v>65</v>
      </c>
      <c r="G31" t="s">
        <v>70</v>
      </c>
      <c r="H31" t="s">
        <v>46</v>
      </c>
      <c r="I31" t="s">
        <v>46</v>
      </c>
      <c r="J31" t="s">
        <v>17</v>
      </c>
      <c r="K31">
        <v>100</v>
      </c>
      <c r="L31">
        <v>50</v>
      </c>
      <c r="M31" t="s">
        <v>67</v>
      </c>
      <c r="N31" t="s">
        <v>68</v>
      </c>
      <c r="O31" t="s">
        <v>521</v>
      </c>
    </row>
    <row r="32" spans="1:17" hidden="1" x14ac:dyDescent="0.3">
      <c r="A32">
        <v>1064801</v>
      </c>
      <c r="B32" t="s">
        <v>59</v>
      </c>
      <c r="C32" t="s">
        <v>63</v>
      </c>
      <c r="D32" t="s">
        <v>64</v>
      </c>
      <c r="E32" t="s">
        <v>65</v>
      </c>
      <c r="G32" t="s">
        <v>71</v>
      </c>
      <c r="H32" t="s">
        <v>46</v>
      </c>
      <c r="I32" t="s">
        <v>46</v>
      </c>
      <c r="J32" t="s">
        <v>17</v>
      </c>
      <c r="K32">
        <v>100</v>
      </c>
      <c r="L32">
        <v>50</v>
      </c>
      <c r="M32" t="s">
        <v>67</v>
      </c>
      <c r="N32" t="s">
        <v>68</v>
      </c>
      <c r="O32" t="s">
        <v>521</v>
      </c>
    </row>
    <row r="33" spans="1:15" hidden="1" x14ac:dyDescent="0.3">
      <c r="A33">
        <v>1064801</v>
      </c>
      <c r="B33" t="s">
        <v>59</v>
      </c>
      <c r="C33" t="s">
        <v>63</v>
      </c>
      <c r="D33" t="s">
        <v>64</v>
      </c>
      <c r="E33" t="s">
        <v>65</v>
      </c>
      <c r="G33" t="s">
        <v>72</v>
      </c>
      <c r="H33" t="s">
        <v>46</v>
      </c>
      <c r="I33" t="s">
        <v>46</v>
      </c>
      <c r="J33" t="s">
        <v>17</v>
      </c>
      <c r="K33">
        <v>100</v>
      </c>
      <c r="L33">
        <v>50</v>
      </c>
      <c r="M33" t="s">
        <v>67</v>
      </c>
      <c r="N33" t="s">
        <v>68</v>
      </c>
      <c r="O33" t="s">
        <v>521</v>
      </c>
    </row>
    <row r="34" spans="1:15" hidden="1" x14ac:dyDescent="0.3">
      <c r="A34">
        <v>1064801</v>
      </c>
      <c r="B34" t="s">
        <v>59</v>
      </c>
      <c r="C34" t="s">
        <v>63</v>
      </c>
      <c r="D34" t="s">
        <v>64</v>
      </c>
      <c r="E34" t="s">
        <v>65</v>
      </c>
      <c r="G34" t="s">
        <v>73</v>
      </c>
      <c r="H34" t="s">
        <v>46</v>
      </c>
      <c r="I34" t="s">
        <v>46</v>
      </c>
      <c r="J34" t="s">
        <v>17</v>
      </c>
      <c r="K34">
        <v>100</v>
      </c>
      <c r="L34">
        <v>50</v>
      </c>
      <c r="M34" t="s">
        <v>67</v>
      </c>
      <c r="N34" t="s">
        <v>68</v>
      </c>
      <c r="O34" t="s">
        <v>521</v>
      </c>
    </row>
    <row r="35" spans="1:15" hidden="1" x14ac:dyDescent="0.3">
      <c r="A35">
        <v>1064801</v>
      </c>
      <c r="B35" t="s">
        <v>59</v>
      </c>
      <c r="C35" t="s">
        <v>63</v>
      </c>
      <c r="D35" t="s">
        <v>64</v>
      </c>
      <c r="E35" t="s">
        <v>65</v>
      </c>
      <c r="G35" t="s">
        <v>74</v>
      </c>
      <c r="H35" t="s">
        <v>46</v>
      </c>
      <c r="I35" t="s">
        <v>46</v>
      </c>
      <c r="J35" t="s">
        <v>17</v>
      </c>
      <c r="K35">
        <v>100</v>
      </c>
      <c r="L35">
        <v>50</v>
      </c>
      <c r="M35" t="s">
        <v>67</v>
      </c>
      <c r="N35" t="s">
        <v>68</v>
      </c>
      <c r="O35" t="s">
        <v>521</v>
      </c>
    </row>
    <row r="36" spans="1:15" hidden="1" x14ac:dyDescent="0.3">
      <c r="A36">
        <v>1064801</v>
      </c>
      <c r="B36" t="s">
        <v>59</v>
      </c>
      <c r="C36" t="s">
        <v>63</v>
      </c>
      <c r="D36" t="s">
        <v>64</v>
      </c>
      <c r="E36" t="s">
        <v>65</v>
      </c>
      <c r="G36" t="s">
        <v>75</v>
      </c>
      <c r="H36" t="s">
        <v>46</v>
      </c>
      <c r="I36" t="s">
        <v>46</v>
      </c>
      <c r="J36" t="s">
        <v>17</v>
      </c>
      <c r="K36">
        <v>100</v>
      </c>
      <c r="L36">
        <v>50</v>
      </c>
      <c r="M36" t="s">
        <v>67</v>
      </c>
      <c r="N36" t="s">
        <v>68</v>
      </c>
      <c r="O36" t="s">
        <v>521</v>
      </c>
    </row>
    <row r="37" spans="1:15" hidden="1" x14ac:dyDescent="0.3">
      <c r="A37">
        <v>1064801</v>
      </c>
      <c r="B37" t="s">
        <v>59</v>
      </c>
      <c r="C37" t="s">
        <v>63</v>
      </c>
      <c r="D37" t="s">
        <v>64</v>
      </c>
      <c r="E37" t="s">
        <v>65</v>
      </c>
      <c r="G37" t="s">
        <v>76</v>
      </c>
      <c r="H37" t="s">
        <v>46</v>
      </c>
      <c r="I37" t="s">
        <v>46</v>
      </c>
      <c r="J37" t="s">
        <v>17</v>
      </c>
      <c r="K37">
        <v>100</v>
      </c>
      <c r="L37">
        <v>50</v>
      </c>
      <c r="M37" t="s">
        <v>67</v>
      </c>
      <c r="N37" t="s">
        <v>68</v>
      </c>
      <c r="O37" t="s">
        <v>521</v>
      </c>
    </row>
    <row r="38" spans="1:15" hidden="1" x14ac:dyDescent="0.3">
      <c r="A38">
        <v>1067996</v>
      </c>
      <c r="B38" t="s">
        <v>77</v>
      </c>
      <c r="C38" t="s">
        <v>78</v>
      </c>
      <c r="H38" t="s">
        <v>16</v>
      </c>
      <c r="I38" t="s">
        <v>16</v>
      </c>
      <c r="J38" t="s">
        <v>17</v>
      </c>
      <c r="K38">
        <v>0</v>
      </c>
      <c r="L38">
        <v>0</v>
      </c>
      <c r="O38" t="s">
        <v>521</v>
      </c>
    </row>
    <row r="39" spans="1:15" hidden="1" x14ac:dyDescent="0.3">
      <c r="A39">
        <v>1067996</v>
      </c>
      <c r="B39" t="s">
        <v>77</v>
      </c>
      <c r="C39" t="s">
        <v>79</v>
      </c>
      <c r="D39" t="s">
        <v>79</v>
      </c>
      <c r="E39" t="s">
        <v>80</v>
      </c>
      <c r="H39" t="s">
        <v>22</v>
      </c>
      <c r="I39" t="s">
        <v>22</v>
      </c>
      <c r="J39" t="s">
        <v>17</v>
      </c>
      <c r="K39">
        <v>100</v>
      </c>
      <c r="L39">
        <v>114</v>
      </c>
      <c r="M39" t="s">
        <v>81</v>
      </c>
      <c r="N39" t="s">
        <v>82</v>
      </c>
      <c r="O39" t="s">
        <v>522</v>
      </c>
    </row>
    <row r="40" spans="1:15" hidden="1" x14ac:dyDescent="0.3">
      <c r="A40">
        <v>1067996</v>
      </c>
      <c r="B40" t="s">
        <v>77</v>
      </c>
      <c r="C40" t="s">
        <v>83</v>
      </c>
      <c r="H40" t="s">
        <v>16</v>
      </c>
      <c r="I40" t="s">
        <v>16</v>
      </c>
      <c r="J40" t="s">
        <v>17</v>
      </c>
      <c r="K40">
        <v>0</v>
      </c>
      <c r="L40">
        <v>0</v>
      </c>
      <c r="O40" t="s">
        <v>521</v>
      </c>
    </row>
    <row r="41" spans="1:15" hidden="1" x14ac:dyDescent="0.3">
      <c r="A41">
        <v>1067996</v>
      </c>
      <c r="B41" t="s">
        <v>77</v>
      </c>
      <c r="C41" t="s">
        <v>84</v>
      </c>
      <c r="H41" t="s">
        <v>16</v>
      </c>
      <c r="I41" t="s">
        <v>16</v>
      </c>
      <c r="J41" t="s">
        <v>17</v>
      </c>
      <c r="K41">
        <v>0</v>
      </c>
      <c r="L41">
        <v>0</v>
      </c>
      <c r="O41" t="s">
        <v>521</v>
      </c>
    </row>
    <row r="42" spans="1:15" x14ac:dyDescent="0.3">
      <c r="A42">
        <v>1067996</v>
      </c>
      <c r="B42" t="s">
        <v>77</v>
      </c>
      <c r="C42" t="s">
        <v>85</v>
      </c>
      <c r="H42" t="s">
        <v>16</v>
      </c>
      <c r="I42" t="s">
        <v>16</v>
      </c>
      <c r="J42" t="s">
        <v>17</v>
      </c>
      <c r="K42">
        <v>0</v>
      </c>
      <c r="L42">
        <v>0</v>
      </c>
      <c r="O42" t="s">
        <v>521</v>
      </c>
    </row>
    <row r="43" spans="1:15" hidden="1" x14ac:dyDescent="0.3">
      <c r="A43">
        <v>1078652</v>
      </c>
      <c r="B43" t="s">
        <v>86</v>
      </c>
      <c r="C43" t="s">
        <v>87</v>
      </c>
      <c r="H43" t="s">
        <v>16</v>
      </c>
      <c r="I43" t="s">
        <v>16</v>
      </c>
      <c r="J43" t="s">
        <v>17</v>
      </c>
      <c r="K43">
        <v>0</v>
      </c>
      <c r="L43">
        <v>0</v>
      </c>
      <c r="O43" t="s">
        <v>521</v>
      </c>
    </row>
    <row r="44" spans="1:15" hidden="1" x14ac:dyDescent="0.3">
      <c r="A44">
        <v>1078652</v>
      </c>
      <c r="B44" t="s">
        <v>86</v>
      </c>
      <c r="C44" t="s">
        <v>88</v>
      </c>
      <c r="D44" t="s">
        <v>89</v>
      </c>
      <c r="E44" t="s">
        <v>90</v>
      </c>
      <c r="G44" t="s">
        <v>91</v>
      </c>
      <c r="H44" t="s">
        <v>22</v>
      </c>
      <c r="I44" t="s">
        <v>22</v>
      </c>
      <c r="J44" t="s">
        <v>17</v>
      </c>
      <c r="K44">
        <v>88.9</v>
      </c>
      <c r="L44">
        <v>106.3</v>
      </c>
      <c r="O44" t="s">
        <v>521</v>
      </c>
    </row>
    <row r="45" spans="1:15" hidden="1" x14ac:dyDescent="0.3">
      <c r="A45">
        <v>1078652</v>
      </c>
      <c r="B45" t="s">
        <v>86</v>
      </c>
      <c r="C45" t="s">
        <v>88</v>
      </c>
      <c r="D45" t="s">
        <v>89</v>
      </c>
      <c r="E45" t="s">
        <v>90</v>
      </c>
      <c r="G45" t="s">
        <v>92</v>
      </c>
      <c r="H45" t="s">
        <v>22</v>
      </c>
      <c r="I45" t="s">
        <v>22</v>
      </c>
      <c r="J45" t="s">
        <v>17</v>
      </c>
      <c r="K45">
        <v>88.9</v>
      </c>
      <c r="L45">
        <v>106.3</v>
      </c>
      <c r="O45" t="s">
        <v>521</v>
      </c>
    </row>
    <row r="46" spans="1:15" hidden="1" x14ac:dyDescent="0.3">
      <c r="A46">
        <v>1078652</v>
      </c>
      <c r="B46" t="s">
        <v>86</v>
      </c>
      <c r="C46" t="s">
        <v>88</v>
      </c>
      <c r="D46" t="s">
        <v>89</v>
      </c>
      <c r="E46" t="s">
        <v>90</v>
      </c>
      <c r="G46" t="s">
        <v>93</v>
      </c>
      <c r="H46" t="s">
        <v>22</v>
      </c>
      <c r="I46" t="s">
        <v>22</v>
      </c>
      <c r="J46" t="s">
        <v>17</v>
      </c>
      <c r="K46">
        <v>88.9</v>
      </c>
      <c r="L46">
        <v>106.3</v>
      </c>
      <c r="O46" t="s">
        <v>521</v>
      </c>
    </row>
    <row r="47" spans="1:15" hidden="1" x14ac:dyDescent="0.3">
      <c r="A47">
        <v>1078652</v>
      </c>
      <c r="B47" t="s">
        <v>86</v>
      </c>
      <c r="C47" t="s">
        <v>88</v>
      </c>
      <c r="D47" t="s">
        <v>89</v>
      </c>
      <c r="E47" t="s">
        <v>90</v>
      </c>
      <c r="G47" t="s">
        <v>94</v>
      </c>
      <c r="H47" t="s">
        <v>22</v>
      </c>
      <c r="I47" t="s">
        <v>22</v>
      </c>
      <c r="J47" t="s">
        <v>17</v>
      </c>
      <c r="K47">
        <v>88.9</v>
      </c>
      <c r="L47">
        <v>106.3</v>
      </c>
      <c r="O47" t="s">
        <v>521</v>
      </c>
    </row>
    <row r="48" spans="1:15" hidden="1" x14ac:dyDescent="0.3">
      <c r="A48">
        <v>1078652</v>
      </c>
      <c r="B48" t="s">
        <v>86</v>
      </c>
      <c r="C48" t="s">
        <v>95</v>
      </c>
      <c r="H48" t="s">
        <v>16</v>
      </c>
      <c r="I48" t="s">
        <v>16</v>
      </c>
      <c r="J48" t="s">
        <v>17</v>
      </c>
      <c r="K48">
        <v>0</v>
      </c>
      <c r="L48">
        <v>0</v>
      </c>
      <c r="O48" t="s">
        <v>521</v>
      </c>
    </row>
    <row r="49" spans="1:15" hidden="1" x14ac:dyDescent="0.3">
      <c r="A49">
        <v>1078652</v>
      </c>
      <c r="B49" t="s">
        <v>86</v>
      </c>
      <c r="C49" t="s">
        <v>96</v>
      </c>
      <c r="H49" t="s">
        <v>16</v>
      </c>
      <c r="I49" t="s">
        <v>16</v>
      </c>
      <c r="J49" t="s">
        <v>17</v>
      </c>
      <c r="K49">
        <v>0</v>
      </c>
      <c r="L49">
        <v>0</v>
      </c>
      <c r="O49" t="s">
        <v>521</v>
      </c>
    </row>
    <row r="50" spans="1:15" hidden="1" x14ac:dyDescent="0.3">
      <c r="A50">
        <v>1078652</v>
      </c>
      <c r="B50" t="s">
        <v>86</v>
      </c>
      <c r="C50" t="s">
        <v>97</v>
      </c>
      <c r="H50" t="s">
        <v>16</v>
      </c>
      <c r="I50" t="s">
        <v>16</v>
      </c>
      <c r="J50" t="s">
        <v>17</v>
      </c>
      <c r="K50">
        <v>0</v>
      </c>
      <c r="L50">
        <v>0</v>
      </c>
      <c r="O50" t="s">
        <v>521</v>
      </c>
    </row>
    <row r="51" spans="1:15" hidden="1" x14ac:dyDescent="0.3">
      <c r="A51">
        <v>1078652</v>
      </c>
      <c r="B51" t="s">
        <v>86</v>
      </c>
      <c r="C51" t="s">
        <v>98</v>
      </c>
      <c r="D51" t="s">
        <v>99</v>
      </c>
      <c r="E51" t="s">
        <v>100</v>
      </c>
      <c r="G51" t="s">
        <v>101</v>
      </c>
      <c r="H51" t="s">
        <v>22</v>
      </c>
      <c r="I51" t="s">
        <v>22</v>
      </c>
      <c r="J51" t="s">
        <v>17</v>
      </c>
      <c r="K51">
        <v>97.6</v>
      </c>
      <c r="L51">
        <v>109.5</v>
      </c>
      <c r="O51" t="s">
        <v>521</v>
      </c>
    </row>
    <row r="52" spans="1:15" hidden="1" x14ac:dyDescent="0.3">
      <c r="A52">
        <v>1078652</v>
      </c>
      <c r="B52" t="s">
        <v>86</v>
      </c>
      <c r="C52" t="s">
        <v>98</v>
      </c>
      <c r="D52" t="s">
        <v>99</v>
      </c>
      <c r="E52" t="s">
        <v>100</v>
      </c>
      <c r="G52" t="s">
        <v>102</v>
      </c>
      <c r="H52" t="s">
        <v>22</v>
      </c>
      <c r="I52" t="s">
        <v>22</v>
      </c>
      <c r="J52" t="s">
        <v>17</v>
      </c>
      <c r="K52">
        <v>97.6</v>
      </c>
      <c r="L52">
        <v>109.5</v>
      </c>
      <c r="O52" t="s">
        <v>521</v>
      </c>
    </row>
    <row r="53" spans="1:15" hidden="1" x14ac:dyDescent="0.3">
      <c r="A53">
        <v>1078652</v>
      </c>
      <c r="B53" t="s">
        <v>86</v>
      </c>
      <c r="C53" t="s">
        <v>98</v>
      </c>
      <c r="D53" t="s">
        <v>99</v>
      </c>
      <c r="E53" t="s">
        <v>100</v>
      </c>
      <c r="G53" t="s">
        <v>103</v>
      </c>
      <c r="H53" t="s">
        <v>22</v>
      </c>
      <c r="I53" t="s">
        <v>22</v>
      </c>
      <c r="J53" t="s">
        <v>17</v>
      </c>
      <c r="K53">
        <v>97.6</v>
      </c>
      <c r="L53">
        <v>109.5</v>
      </c>
      <c r="O53" t="s">
        <v>521</v>
      </c>
    </row>
    <row r="54" spans="1:15" hidden="1" x14ac:dyDescent="0.3">
      <c r="A54">
        <v>1078652</v>
      </c>
      <c r="B54" t="s">
        <v>86</v>
      </c>
      <c r="C54" t="s">
        <v>98</v>
      </c>
      <c r="D54" t="s">
        <v>99</v>
      </c>
      <c r="E54" t="s">
        <v>100</v>
      </c>
      <c r="G54" t="s">
        <v>104</v>
      </c>
      <c r="H54" t="s">
        <v>22</v>
      </c>
      <c r="I54" t="s">
        <v>22</v>
      </c>
      <c r="J54" t="s">
        <v>17</v>
      </c>
      <c r="K54">
        <v>97.6</v>
      </c>
      <c r="L54">
        <v>109.5</v>
      </c>
      <c r="O54" t="s">
        <v>521</v>
      </c>
    </row>
    <row r="55" spans="1:15" hidden="1" x14ac:dyDescent="0.3">
      <c r="A55">
        <v>1078652</v>
      </c>
      <c r="B55" t="s">
        <v>86</v>
      </c>
      <c r="C55" t="s">
        <v>98</v>
      </c>
      <c r="D55" t="s">
        <v>99</v>
      </c>
      <c r="E55" t="s">
        <v>100</v>
      </c>
      <c r="G55" t="s">
        <v>105</v>
      </c>
      <c r="H55" t="s">
        <v>22</v>
      </c>
      <c r="I55" t="s">
        <v>22</v>
      </c>
      <c r="J55" t="s">
        <v>17</v>
      </c>
      <c r="K55">
        <v>97.6</v>
      </c>
      <c r="L55">
        <v>109.5</v>
      </c>
      <c r="O55" t="s">
        <v>521</v>
      </c>
    </row>
    <row r="56" spans="1:15" hidden="1" x14ac:dyDescent="0.3">
      <c r="A56">
        <v>1078652</v>
      </c>
      <c r="B56" t="s">
        <v>86</v>
      </c>
      <c r="C56" t="s">
        <v>98</v>
      </c>
      <c r="D56" t="s">
        <v>99</v>
      </c>
      <c r="E56" t="s">
        <v>100</v>
      </c>
      <c r="G56" t="s">
        <v>106</v>
      </c>
      <c r="H56" t="s">
        <v>22</v>
      </c>
      <c r="I56" t="s">
        <v>22</v>
      </c>
      <c r="J56" t="s">
        <v>17</v>
      </c>
      <c r="K56">
        <v>97.6</v>
      </c>
      <c r="L56">
        <v>109.5</v>
      </c>
      <c r="O56" t="s">
        <v>521</v>
      </c>
    </row>
    <row r="57" spans="1:15" hidden="1" x14ac:dyDescent="0.3">
      <c r="A57">
        <v>1078652</v>
      </c>
      <c r="B57" t="s">
        <v>86</v>
      </c>
      <c r="C57" t="s">
        <v>98</v>
      </c>
      <c r="D57" t="s">
        <v>99</v>
      </c>
      <c r="E57" t="s">
        <v>100</v>
      </c>
      <c r="G57" t="s">
        <v>107</v>
      </c>
      <c r="H57" t="s">
        <v>22</v>
      </c>
      <c r="I57" t="s">
        <v>22</v>
      </c>
      <c r="J57" t="s">
        <v>17</v>
      </c>
      <c r="K57">
        <v>97.6</v>
      </c>
      <c r="L57">
        <v>109.5</v>
      </c>
      <c r="O57" t="s">
        <v>521</v>
      </c>
    </row>
    <row r="58" spans="1:15" hidden="1" x14ac:dyDescent="0.3">
      <c r="A58">
        <v>1078652</v>
      </c>
      <c r="B58" t="s">
        <v>86</v>
      </c>
      <c r="C58" t="s">
        <v>98</v>
      </c>
      <c r="D58" t="s">
        <v>99</v>
      </c>
      <c r="E58" t="s">
        <v>100</v>
      </c>
      <c r="G58" t="s">
        <v>108</v>
      </c>
      <c r="H58" t="s">
        <v>22</v>
      </c>
      <c r="I58" t="s">
        <v>22</v>
      </c>
      <c r="J58" t="s">
        <v>17</v>
      </c>
      <c r="K58">
        <v>97.6</v>
      </c>
      <c r="L58">
        <v>109.5</v>
      </c>
      <c r="O58" t="s">
        <v>521</v>
      </c>
    </row>
    <row r="59" spans="1:15" hidden="1" x14ac:dyDescent="0.3">
      <c r="A59">
        <v>1078652</v>
      </c>
      <c r="B59" t="s">
        <v>86</v>
      </c>
      <c r="C59" t="s">
        <v>98</v>
      </c>
      <c r="D59" t="s">
        <v>99</v>
      </c>
      <c r="E59" t="s">
        <v>100</v>
      </c>
      <c r="G59" t="s">
        <v>109</v>
      </c>
      <c r="H59" t="s">
        <v>22</v>
      </c>
      <c r="I59" t="s">
        <v>22</v>
      </c>
      <c r="J59" t="s">
        <v>17</v>
      </c>
      <c r="K59">
        <v>97.6</v>
      </c>
      <c r="L59">
        <v>109.5</v>
      </c>
      <c r="O59" t="s">
        <v>521</v>
      </c>
    </row>
    <row r="60" spans="1:15" hidden="1" x14ac:dyDescent="0.3">
      <c r="A60">
        <v>1078652</v>
      </c>
      <c r="B60" t="s">
        <v>86</v>
      </c>
      <c r="C60" t="s">
        <v>98</v>
      </c>
      <c r="D60" t="s">
        <v>99</v>
      </c>
      <c r="E60" t="s">
        <v>100</v>
      </c>
      <c r="G60" t="s">
        <v>110</v>
      </c>
      <c r="H60" t="s">
        <v>22</v>
      </c>
      <c r="I60" t="s">
        <v>22</v>
      </c>
      <c r="J60" t="s">
        <v>17</v>
      </c>
      <c r="K60">
        <v>97.6</v>
      </c>
      <c r="L60">
        <v>109.5</v>
      </c>
      <c r="O60" t="s">
        <v>521</v>
      </c>
    </row>
    <row r="61" spans="1:15" hidden="1" x14ac:dyDescent="0.3">
      <c r="A61">
        <v>1078652</v>
      </c>
      <c r="B61" t="s">
        <v>86</v>
      </c>
      <c r="C61" t="s">
        <v>98</v>
      </c>
      <c r="D61" t="s">
        <v>99</v>
      </c>
      <c r="E61" t="s">
        <v>100</v>
      </c>
      <c r="G61" t="s">
        <v>111</v>
      </c>
      <c r="H61" t="s">
        <v>22</v>
      </c>
      <c r="I61" t="s">
        <v>22</v>
      </c>
      <c r="J61" t="s">
        <v>17</v>
      </c>
      <c r="K61">
        <v>97.6</v>
      </c>
      <c r="L61">
        <v>109.5</v>
      </c>
      <c r="O61" t="s">
        <v>521</v>
      </c>
    </row>
    <row r="62" spans="1:15" hidden="1" x14ac:dyDescent="0.3">
      <c r="A62">
        <v>1078652</v>
      </c>
      <c r="B62" t="s">
        <v>86</v>
      </c>
      <c r="C62" t="s">
        <v>98</v>
      </c>
      <c r="D62" t="s">
        <v>99</v>
      </c>
      <c r="E62" t="s">
        <v>100</v>
      </c>
      <c r="G62" t="s">
        <v>112</v>
      </c>
      <c r="H62" t="s">
        <v>22</v>
      </c>
      <c r="I62" t="s">
        <v>22</v>
      </c>
      <c r="J62" t="s">
        <v>17</v>
      </c>
      <c r="K62">
        <v>97.6</v>
      </c>
      <c r="L62">
        <v>109.5</v>
      </c>
      <c r="O62" t="s">
        <v>521</v>
      </c>
    </row>
    <row r="63" spans="1:15" hidden="1" x14ac:dyDescent="0.3">
      <c r="A63">
        <v>1078652</v>
      </c>
      <c r="B63" t="s">
        <v>86</v>
      </c>
      <c r="C63" t="s">
        <v>98</v>
      </c>
      <c r="D63" t="s">
        <v>99</v>
      </c>
      <c r="E63" t="s">
        <v>100</v>
      </c>
      <c r="G63" t="s">
        <v>113</v>
      </c>
      <c r="H63" t="s">
        <v>22</v>
      </c>
      <c r="I63" t="s">
        <v>22</v>
      </c>
      <c r="J63" t="s">
        <v>17</v>
      </c>
      <c r="K63">
        <v>97.6</v>
      </c>
      <c r="L63">
        <v>109.5</v>
      </c>
      <c r="O63" t="s">
        <v>521</v>
      </c>
    </row>
    <row r="64" spans="1:15" hidden="1" x14ac:dyDescent="0.3">
      <c r="A64">
        <v>1078652</v>
      </c>
      <c r="B64" t="s">
        <v>86</v>
      </c>
      <c r="C64" t="s">
        <v>98</v>
      </c>
      <c r="D64" t="s">
        <v>99</v>
      </c>
      <c r="E64" t="s">
        <v>100</v>
      </c>
      <c r="G64" t="s">
        <v>114</v>
      </c>
      <c r="H64" t="s">
        <v>22</v>
      </c>
      <c r="I64" t="s">
        <v>22</v>
      </c>
      <c r="J64" t="s">
        <v>17</v>
      </c>
      <c r="K64">
        <v>97.6</v>
      </c>
      <c r="L64">
        <v>109.5</v>
      </c>
      <c r="O64" t="s">
        <v>521</v>
      </c>
    </row>
    <row r="65" spans="1:16" hidden="1" x14ac:dyDescent="0.3">
      <c r="A65">
        <v>1078652</v>
      </c>
      <c r="B65" t="s">
        <v>86</v>
      </c>
      <c r="C65" t="s">
        <v>98</v>
      </c>
      <c r="D65" t="s">
        <v>99</v>
      </c>
      <c r="E65" t="s">
        <v>100</v>
      </c>
      <c r="G65" t="s">
        <v>115</v>
      </c>
      <c r="H65" t="s">
        <v>22</v>
      </c>
      <c r="I65" t="s">
        <v>22</v>
      </c>
      <c r="J65" t="s">
        <v>17</v>
      </c>
      <c r="K65">
        <v>97.6</v>
      </c>
      <c r="L65">
        <v>109.5</v>
      </c>
      <c r="O65" t="s">
        <v>521</v>
      </c>
    </row>
    <row r="66" spans="1:16" hidden="1" x14ac:dyDescent="0.3">
      <c r="A66">
        <v>1078652</v>
      </c>
      <c r="B66" t="s">
        <v>86</v>
      </c>
      <c r="C66" t="s">
        <v>98</v>
      </c>
      <c r="D66" t="s">
        <v>99</v>
      </c>
      <c r="E66" t="s">
        <v>100</v>
      </c>
      <c r="G66" t="s">
        <v>116</v>
      </c>
      <c r="H66" t="s">
        <v>22</v>
      </c>
      <c r="I66" t="s">
        <v>22</v>
      </c>
      <c r="J66" t="s">
        <v>17</v>
      </c>
      <c r="K66">
        <v>97.6</v>
      </c>
      <c r="L66">
        <v>109.5</v>
      </c>
      <c r="O66" t="s">
        <v>521</v>
      </c>
    </row>
    <row r="67" spans="1:16" hidden="1" x14ac:dyDescent="0.3">
      <c r="A67">
        <v>1078652</v>
      </c>
      <c r="B67" t="s">
        <v>86</v>
      </c>
      <c r="C67" t="s">
        <v>98</v>
      </c>
      <c r="D67" t="s">
        <v>99</v>
      </c>
      <c r="E67" t="s">
        <v>100</v>
      </c>
      <c r="G67" t="s">
        <v>117</v>
      </c>
      <c r="H67" t="s">
        <v>22</v>
      </c>
      <c r="I67" t="s">
        <v>22</v>
      </c>
      <c r="J67" t="s">
        <v>17</v>
      </c>
      <c r="K67">
        <v>97.6</v>
      </c>
      <c r="L67">
        <v>109.5</v>
      </c>
      <c r="O67" t="s">
        <v>521</v>
      </c>
    </row>
    <row r="68" spans="1:16" hidden="1" x14ac:dyDescent="0.3">
      <c r="A68">
        <v>1078652</v>
      </c>
      <c r="B68" t="s">
        <v>86</v>
      </c>
      <c r="C68" t="s">
        <v>98</v>
      </c>
      <c r="D68" t="s">
        <v>99</v>
      </c>
      <c r="E68" t="s">
        <v>100</v>
      </c>
      <c r="G68" t="s">
        <v>118</v>
      </c>
      <c r="H68" t="s">
        <v>22</v>
      </c>
      <c r="I68" t="s">
        <v>22</v>
      </c>
      <c r="J68" t="s">
        <v>17</v>
      </c>
      <c r="K68">
        <v>97.6</v>
      </c>
      <c r="L68">
        <v>109.5</v>
      </c>
      <c r="O68" t="s">
        <v>521</v>
      </c>
    </row>
    <row r="69" spans="1:16" hidden="1" x14ac:dyDescent="0.3">
      <c r="A69">
        <v>1078652</v>
      </c>
      <c r="B69" t="s">
        <v>86</v>
      </c>
      <c r="C69" t="s">
        <v>98</v>
      </c>
      <c r="D69" t="s">
        <v>99</v>
      </c>
      <c r="E69" t="s">
        <v>100</v>
      </c>
      <c r="G69" t="s">
        <v>119</v>
      </c>
      <c r="H69" t="s">
        <v>22</v>
      </c>
      <c r="I69" t="s">
        <v>22</v>
      </c>
      <c r="J69" t="s">
        <v>17</v>
      </c>
      <c r="K69">
        <v>97.6</v>
      </c>
      <c r="L69">
        <v>109.5</v>
      </c>
      <c r="O69" t="s">
        <v>521</v>
      </c>
    </row>
    <row r="70" spans="1:16" hidden="1" x14ac:dyDescent="0.3">
      <c r="A70">
        <v>1078652</v>
      </c>
      <c r="B70" t="s">
        <v>86</v>
      </c>
      <c r="C70" t="s">
        <v>98</v>
      </c>
      <c r="D70" t="s">
        <v>99</v>
      </c>
      <c r="E70" t="s">
        <v>100</v>
      </c>
      <c r="G70" t="s">
        <v>120</v>
      </c>
      <c r="H70" t="s">
        <v>22</v>
      </c>
      <c r="I70" t="s">
        <v>22</v>
      </c>
      <c r="J70" t="s">
        <v>17</v>
      </c>
      <c r="K70">
        <v>97.6</v>
      </c>
      <c r="L70">
        <v>109.5</v>
      </c>
      <c r="O70" t="s">
        <v>521</v>
      </c>
    </row>
    <row r="71" spans="1:16" hidden="1" x14ac:dyDescent="0.3">
      <c r="A71">
        <v>1078652</v>
      </c>
      <c r="B71" t="s">
        <v>86</v>
      </c>
      <c r="C71" t="s">
        <v>98</v>
      </c>
      <c r="D71" t="s">
        <v>99</v>
      </c>
      <c r="E71" t="s">
        <v>100</v>
      </c>
      <c r="G71" t="s">
        <v>121</v>
      </c>
      <c r="H71" t="s">
        <v>22</v>
      </c>
      <c r="I71" t="s">
        <v>22</v>
      </c>
      <c r="J71" t="s">
        <v>17</v>
      </c>
      <c r="K71">
        <v>97.6</v>
      </c>
      <c r="L71">
        <v>109.5</v>
      </c>
      <c r="O71" t="s">
        <v>521</v>
      </c>
    </row>
    <row r="72" spans="1:16" hidden="1" x14ac:dyDescent="0.3">
      <c r="A72">
        <v>1078652</v>
      </c>
      <c r="B72" t="s">
        <v>86</v>
      </c>
      <c r="C72" t="s">
        <v>98</v>
      </c>
      <c r="D72" t="s">
        <v>99</v>
      </c>
      <c r="E72" t="s">
        <v>100</v>
      </c>
      <c r="G72" t="s">
        <v>122</v>
      </c>
      <c r="H72" t="s">
        <v>22</v>
      </c>
      <c r="I72" t="s">
        <v>22</v>
      </c>
      <c r="J72" t="s">
        <v>17</v>
      </c>
      <c r="K72">
        <v>97.6</v>
      </c>
      <c r="L72">
        <v>109.5</v>
      </c>
      <c r="O72" t="s">
        <v>521</v>
      </c>
    </row>
    <row r="73" spans="1:16" hidden="1" x14ac:dyDescent="0.3">
      <c r="A73">
        <v>1078652</v>
      </c>
      <c r="B73" t="s">
        <v>86</v>
      </c>
      <c r="C73" t="s">
        <v>98</v>
      </c>
      <c r="D73" t="s">
        <v>99</v>
      </c>
      <c r="E73" t="s">
        <v>100</v>
      </c>
      <c r="G73" t="s">
        <v>123</v>
      </c>
      <c r="H73" t="s">
        <v>22</v>
      </c>
      <c r="I73" t="s">
        <v>22</v>
      </c>
      <c r="J73" t="s">
        <v>17</v>
      </c>
      <c r="K73">
        <v>97.6</v>
      </c>
      <c r="L73">
        <v>109.5</v>
      </c>
      <c r="O73" t="s">
        <v>521</v>
      </c>
    </row>
    <row r="74" spans="1:16" hidden="1" x14ac:dyDescent="0.3">
      <c r="A74">
        <v>1078652</v>
      </c>
      <c r="B74" t="s">
        <v>86</v>
      </c>
      <c r="C74" t="s">
        <v>98</v>
      </c>
      <c r="D74" t="s">
        <v>99</v>
      </c>
      <c r="E74" t="s">
        <v>100</v>
      </c>
      <c r="G74" t="s">
        <v>124</v>
      </c>
      <c r="H74" t="s">
        <v>22</v>
      </c>
      <c r="I74" t="s">
        <v>22</v>
      </c>
      <c r="J74" t="s">
        <v>17</v>
      </c>
      <c r="K74">
        <v>97.6</v>
      </c>
      <c r="L74">
        <v>109.5</v>
      </c>
      <c r="O74" t="s">
        <v>521</v>
      </c>
    </row>
    <row r="75" spans="1:16" hidden="1" x14ac:dyDescent="0.3">
      <c r="A75">
        <v>1078652</v>
      </c>
      <c r="B75" t="s">
        <v>86</v>
      </c>
      <c r="C75" t="s">
        <v>98</v>
      </c>
      <c r="D75" t="s">
        <v>99</v>
      </c>
      <c r="E75" t="s">
        <v>100</v>
      </c>
      <c r="G75" t="s">
        <v>125</v>
      </c>
      <c r="H75" t="s">
        <v>22</v>
      </c>
      <c r="I75" t="s">
        <v>22</v>
      </c>
      <c r="J75" t="s">
        <v>17</v>
      </c>
      <c r="K75">
        <v>97.6</v>
      </c>
      <c r="L75">
        <v>109.5</v>
      </c>
      <c r="O75" t="s">
        <v>521</v>
      </c>
    </row>
    <row r="76" spans="1:16" hidden="1" x14ac:dyDescent="0.3">
      <c r="A76">
        <v>1078652</v>
      </c>
      <c r="B76" t="s">
        <v>86</v>
      </c>
      <c r="C76" t="s">
        <v>98</v>
      </c>
      <c r="D76" t="s">
        <v>99</v>
      </c>
      <c r="E76" t="s">
        <v>100</v>
      </c>
      <c r="G76" t="s">
        <v>126</v>
      </c>
      <c r="H76" t="s">
        <v>22</v>
      </c>
      <c r="I76" t="s">
        <v>22</v>
      </c>
      <c r="J76" t="s">
        <v>17</v>
      </c>
      <c r="K76">
        <v>97.6</v>
      </c>
      <c r="L76">
        <v>109.5</v>
      </c>
      <c r="O76" t="s">
        <v>521</v>
      </c>
    </row>
    <row r="77" spans="1:16" hidden="1" x14ac:dyDescent="0.3">
      <c r="A77">
        <v>1078652</v>
      </c>
      <c r="B77" t="s">
        <v>86</v>
      </c>
      <c r="C77" t="s">
        <v>98</v>
      </c>
      <c r="D77" t="s">
        <v>99</v>
      </c>
      <c r="E77" t="s">
        <v>100</v>
      </c>
      <c r="G77" t="s">
        <v>127</v>
      </c>
      <c r="H77" t="s">
        <v>22</v>
      </c>
      <c r="I77" t="s">
        <v>22</v>
      </c>
      <c r="J77" t="s">
        <v>17</v>
      </c>
      <c r="K77">
        <v>97.6</v>
      </c>
      <c r="L77">
        <v>109.5</v>
      </c>
      <c r="O77" t="s">
        <v>521</v>
      </c>
    </row>
    <row r="78" spans="1:16" hidden="1" x14ac:dyDescent="0.3">
      <c r="A78">
        <v>1078652</v>
      </c>
      <c r="B78" t="s">
        <v>86</v>
      </c>
      <c r="C78" t="s">
        <v>98</v>
      </c>
      <c r="D78" t="s">
        <v>99</v>
      </c>
      <c r="E78" t="s">
        <v>100</v>
      </c>
      <c r="G78" t="s">
        <v>128</v>
      </c>
      <c r="H78" t="s">
        <v>22</v>
      </c>
      <c r="I78" t="s">
        <v>22</v>
      </c>
      <c r="J78" t="s">
        <v>17</v>
      </c>
      <c r="K78">
        <v>97.6</v>
      </c>
      <c r="L78">
        <v>109.5</v>
      </c>
      <c r="O78" t="s">
        <v>521</v>
      </c>
    </row>
    <row r="79" spans="1:16" hidden="1" x14ac:dyDescent="0.3">
      <c r="A79">
        <v>1078652</v>
      </c>
      <c r="B79" t="s">
        <v>86</v>
      </c>
      <c r="C79" t="s">
        <v>98</v>
      </c>
      <c r="D79" t="s">
        <v>99</v>
      </c>
      <c r="E79" t="s">
        <v>100</v>
      </c>
      <c r="G79" t="s">
        <v>129</v>
      </c>
      <c r="H79" t="s">
        <v>22</v>
      </c>
      <c r="I79" t="s">
        <v>22</v>
      </c>
      <c r="J79" t="s">
        <v>17</v>
      </c>
      <c r="K79">
        <v>97.6</v>
      </c>
      <c r="L79">
        <v>109.5</v>
      </c>
      <c r="O79" t="s">
        <v>521</v>
      </c>
    </row>
    <row r="80" spans="1:16" hidden="1" x14ac:dyDescent="0.3">
      <c r="A80">
        <v>1078652</v>
      </c>
      <c r="B80" t="s">
        <v>86</v>
      </c>
      <c r="C80" t="s">
        <v>130</v>
      </c>
      <c r="D80" t="s">
        <v>131</v>
      </c>
      <c r="E80" t="s">
        <v>132</v>
      </c>
      <c r="H80" t="s">
        <v>22</v>
      </c>
      <c r="I80" t="s">
        <v>22</v>
      </c>
      <c r="J80" t="s">
        <v>17</v>
      </c>
      <c r="K80">
        <v>83</v>
      </c>
      <c r="L80">
        <v>52.8</v>
      </c>
      <c r="M80" t="s">
        <v>133</v>
      </c>
      <c r="N80" t="s">
        <v>134</v>
      </c>
      <c r="O80" t="s">
        <v>522</v>
      </c>
      <c r="P80" t="s">
        <v>529</v>
      </c>
    </row>
    <row r="81" spans="1:15" hidden="1" x14ac:dyDescent="0.3">
      <c r="A81">
        <v>1078896</v>
      </c>
      <c r="B81" t="s">
        <v>135</v>
      </c>
      <c r="C81" t="s">
        <v>136</v>
      </c>
      <c r="H81" t="s">
        <v>16</v>
      </c>
      <c r="I81" t="s">
        <v>16</v>
      </c>
      <c r="J81" t="s">
        <v>17</v>
      </c>
      <c r="K81">
        <v>0</v>
      </c>
      <c r="L81">
        <v>0</v>
      </c>
      <c r="O81" t="s">
        <v>521</v>
      </c>
    </row>
    <row r="82" spans="1:15" hidden="1" x14ac:dyDescent="0.3">
      <c r="A82">
        <v>1078896</v>
      </c>
      <c r="B82" t="s">
        <v>135</v>
      </c>
      <c r="C82" t="s">
        <v>137</v>
      </c>
      <c r="D82" t="s">
        <v>138</v>
      </c>
      <c r="E82" t="s">
        <v>139</v>
      </c>
      <c r="H82" t="s">
        <v>22</v>
      </c>
      <c r="I82" t="s">
        <v>22</v>
      </c>
      <c r="J82" t="s">
        <v>17</v>
      </c>
      <c r="K82">
        <v>88.9</v>
      </c>
      <c r="L82">
        <v>110.3</v>
      </c>
      <c r="M82" t="s">
        <v>140</v>
      </c>
      <c r="N82" t="s">
        <v>141</v>
      </c>
      <c r="O82" t="s">
        <v>521</v>
      </c>
    </row>
    <row r="83" spans="1:15" hidden="1" x14ac:dyDescent="0.3">
      <c r="A83">
        <v>1078896</v>
      </c>
      <c r="B83" t="s">
        <v>135</v>
      </c>
      <c r="C83" t="s">
        <v>142</v>
      </c>
      <c r="H83" t="s">
        <v>16</v>
      </c>
      <c r="I83" t="s">
        <v>16</v>
      </c>
      <c r="J83" t="s">
        <v>17</v>
      </c>
      <c r="K83">
        <v>0</v>
      </c>
      <c r="L83">
        <v>0</v>
      </c>
      <c r="O83" t="s">
        <v>521</v>
      </c>
    </row>
    <row r="84" spans="1:15" hidden="1" x14ac:dyDescent="0.3">
      <c r="A84">
        <v>1083001</v>
      </c>
      <c r="B84" t="s">
        <v>143</v>
      </c>
      <c r="C84" t="s">
        <v>144</v>
      </c>
      <c r="H84" t="s">
        <v>16</v>
      </c>
      <c r="I84" t="s">
        <v>16</v>
      </c>
      <c r="J84" t="s">
        <v>17</v>
      </c>
      <c r="K84">
        <v>0</v>
      </c>
      <c r="L84">
        <v>0</v>
      </c>
      <c r="O84" t="s">
        <v>521</v>
      </c>
    </row>
    <row r="85" spans="1:15" hidden="1" x14ac:dyDescent="0.3">
      <c r="A85">
        <v>1083001</v>
      </c>
      <c r="B85" t="s">
        <v>143</v>
      </c>
      <c r="C85" t="s">
        <v>145</v>
      </c>
      <c r="H85" t="s">
        <v>16</v>
      </c>
      <c r="I85" t="s">
        <v>16</v>
      </c>
      <c r="J85" t="s">
        <v>17</v>
      </c>
      <c r="K85">
        <v>0</v>
      </c>
      <c r="L85">
        <v>0</v>
      </c>
      <c r="O85" t="s">
        <v>521</v>
      </c>
    </row>
    <row r="86" spans="1:15" hidden="1" x14ac:dyDescent="0.3">
      <c r="A86">
        <v>1083001</v>
      </c>
      <c r="B86" t="s">
        <v>143</v>
      </c>
      <c r="C86" t="s">
        <v>146</v>
      </c>
      <c r="D86" t="s">
        <v>147</v>
      </c>
      <c r="E86" t="s">
        <v>148</v>
      </c>
      <c r="G86" t="s">
        <v>149</v>
      </c>
      <c r="H86" t="s">
        <v>22</v>
      </c>
      <c r="I86" t="s">
        <v>22</v>
      </c>
      <c r="J86" t="s">
        <v>17</v>
      </c>
      <c r="K86">
        <v>87.5</v>
      </c>
      <c r="L86">
        <v>106.5</v>
      </c>
      <c r="M86" t="s">
        <v>150</v>
      </c>
      <c r="N86" t="s">
        <v>151</v>
      </c>
      <c r="O86" t="s">
        <v>521</v>
      </c>
    </row>
    <row r="87" spans="1:15" hidden="1" x14ac:dyDescent="0.3">
      <c r="A87">
        <v>1083001</v>
      </c>
      <c r="B87" t="s">
        <v>143</v>
      </c>
      <c r="C87" t="s">
        <v>146</v>
      </c>
      <c r="D87" t="s">
        <v>147</v>
      </c>
      <c r="E87" t="s">
        <v>148</v>
      </c>
      <c r="G87" t="s">
        <v>152</v>
      </c>
      <c r="H87" t="s">
        <v>22</v>
      </c>
      <c r="I87" t="s">
        <v>22</v>
      </c>
      <c r="J87" t="s">
        <v>17</v>
      </c>
      <c r="K87">
        <v>87.5</v>
      </c>
      <c r="L87">
        <v>106.5</v>
      </c>
      <c r="M87" t="s">
        <v>150</v>
      </c>
      <c r="N87" t="s">
        <v>151</v>
      </c>
      <c r="O87" t="s">
        <v>521</v>
      </c>
    </row>
    <row r="88" spans="1:15" hidden="1" x14ac:dyDescent="0.3">
      <c r="A88">
        <v>1083001</v>
      </c>
      <c r="B88" t="s">
        <v>143</v>
      </c>
      <c r="C88" t="s">
        <v>146</v>
      </c>
      <c r="D88" t="s">
        <v>147</v>
      </c>
      <c r="E88" t="s">
        <v>148</v>
      </c>
      <c r="G88" t="s">
        <v>153</v>
      </c>
      <c r="H88" t="s">
        <v>22</v>
      </c>
      <c r="I88" t="s">
        <v>22</v>
      </c>
      <c r="J88" t="s">
        <v>17</v>
      </c>
      <c r="K88">
        <v>87.5</v>
      </c>
      <c r="L88">
        <v>106.5</v>
      </c>
      <c r="M88" t="s">
        <v>150</v>
      </c>
      <c r="N88" t="s">
        <v>151</v>
      </c>
      <c r="O88" t="s">
        <v>521</v>
      </c>
    </row>
    <row r="89" spans="1:15" hidden="1" x14ac:dyDescent="0.3">
      <c r="A89">
        <v>1083001</v>
      </c>
      <c r="B89" t="s">
        <v>143</v>
      </c>
      <c r="C89" t="s">
        <v>146</v>
      </c>
      <c r="D89" t="s">
        <v>147</v>
      </c>
      <c r="E89" t="s">
        <v>148</v>
      </c>
      <c r="G89" t="s">
        <v>154</v>
      </c>
      <c r="H89" t="s">
        <v>22</v>
      </c>
      <c r="I89" t="s">
        <v>22</v>
      </c>
      <c r="J89" t="s">
        <v>17</v>
      </c>
      <c r="K89">
        <v>87.5</v>
      </c>
      <c r="L89">
        <v>106.5</v>
      </c>
      <c r="M89" t="s">
        <v>150</v>
      </c>
      <c r="N89" t="s">
        <v>151</v>
      </c>
      <c r="O89" t="s">
        <v>521</v>
      </c>
    </row>
    <row r="90" spans="1:15" hidden="1" x14ac:dyDescent="0.3">
      <c r="A90">
        <v>1083001</v>
      </c>
      <c r="B90" t="s">
        <v>143</v>
      </c>
      <c r="C90" t="s">
        <v>146</v>
      </c>
      <c r="D90" t="s">
        <v>147</v>
      </c>
      <c r="E90" t="s">
        <v>148</v>
      </c>
      <c r="G90" t="s">
        <v>155</v>
      </c>
      <c r="H90" t="s">
        <v>22</v>
      </c>
      <c r="I90" t="s">
        <v>22</v>
      </c>
      <c r="J90" t="s">
        <v>17</v>
      </c>
      <c r="K90">
        <v>87.5</v>
      </c>
      <c r="L90">
        <v>106.5</v>
      </c>
      <c r="M90" t="s">
        <v>150</v>
      </c>
      <c r="N90" t="s">
        <v>151</v>
      </c>
      <c r="O90" t="s">
        <v>521</v>
      </c>
    </row>
    <row r="91" spans="1:15" hidden="1" x14ac:dyDescent="0.3">
      <c r="A91">
        <v>1083001</v>
      </c>
      <c r="B91" t="s">
        <v>143</v>
      </c>
      <c r="C91" t="s">
        <v>146</v>
      </c>
      <c r="D91" t="s">
        <v>147</v>
      </c>
      <c r="E91" t="s">
        <v>148</v>
      </c>
      <c r="G91" t="s">
        <v>156</v>
      </c>
      <c r="H91" t="s">
        <v>22</v>
      </c>
      <c r="I91" t="s">
        <v>22</v>
      </c>
      <c r="J91" t="s">
        <v>17</v>
      </c>
      <c r="K91">
        <v>87.5</v>
      </c>
      <c r="L91">
        <v>106.5</v>
      </c>
      <c r="M91" t="s">
        <v>150</v>
      </c>
      <c r="N91" t="s">
        <v>151</v>
      </c>
      <c r="O91" t="s">
        <v>521</v>
      </c>
    </row>
    <row r="92" spans="1:15" hidden="1" x14ac:dyDescent="0.3">
      <c r="A92">
        <v>1083001</v>
      </c>
      <c r="B92" t="s">
        <v>143</v>
      </c>
      <c r="C92" t="s">
        <v>146</v>
      </c>
      <c r="D92" t="s">
        <v>147</v>
      </c>
      <c r="E92" t="s">
        <v>148</v>
      </c>
      <c r="G92" t="s">
        <v>157</v>
      </c>
      <c r="H92" t="s">
        <v>22</v>
      </c>
      <c r="I92" t="s">
        <v>22</v>
      </c>
      <c r="J92" t="s">
        <v>17</v>
      </c>
      <c r="K92">
        <v>87.5</v>
      </c>
      <c r="L92">
        <v>106.5</v>
      </c>
      <c r="M92" t="s">
        <v>150</v>
      </c>
      <c r="N92" t="s">
        <v>151</v>
      </c>
      <c r="O92" t="s">
        <v>521</v>
      </c>
    </row>
    <row r="93" spans="1:15" hidden="1" x14ac:dyDescent="0.3">
      <c r="A93">
        <v>1083001</v>
      </c>
      <c r="B93" t="s">
        <v>143</v>
      </c>
      <c r="C93" t="s">
        <v>146</v>
      </c>
      <c r="D93" t="s">
        <v>147</v>
      </c>
      <c r="E93" t="s">
        <v>148</v>
      </c>
      <c r="G93" t="s">
        <v>158</v>
      </c>
      <c r="H93" t="s">
        <v>22</v>
      </c>
      <c r="I93" t="s">
        <v>22</v>
      </c>
      <c r="J93" t="s">
        <v>17</v>
      </c>
      <c r="K93">
        <v>87.5</v>
      </c>
      <c r="L93">
        <v>106.5</v>
      </c>
      <c r="M93" t="s">
        <v>150</v>
      </c>
      <c r="N93" t="s">
        <v>151</v>
      </c>
      <c r="O93" t="s">
        <v>521</v>
      </c>
    </row>
    <row r="94" spans="1:15" hidden="1" x14ac:dyDescent="0.3">
      <c r="A94">
        <v>1083001</v>
      </c>
      <c r="B94" t="s">
        <v>143</v>
      </c>
      <c r="C94" t="s">
        <v>146</v>
      </c>
      <c r="D94" t="s">
        <v>147</v>
      </c>
      <c r="E94" t="s">
        <v>148</v>
      </c>
      <c r="G94" t="s">
        <v>159</v>
      </c>
      <c r="H94" t="s">
        <v>22</v>
      </c>
      <c r="I94" t="s">
        <v>22</v>
      </c>
      <c r="J94" t="s">
        <v>17</v>
      </c>
      <c r="K94">
        <v>87.5</v>
      </c>
      <c r="L94">
        <v>106.5</v>
      </c>
      <c r="M94" t="s">
        <v>150</v>
      </c>
      <c r="N94" t="s">
        <v>151</v>
      </c>
      <c r="O94" t="s">
        <v>521</v>
      </c>
    </row>
    <row r="95" spans="1:15" hidden="1" x14ac:dyDescent="0.3">
      <c r="A95">
        <v>1083001</v>
      </c>
      <c r="B95" t="s">
        <v>143</v>
      </c>
      <c r="C95" t="s">
        <v>146</v>
      </c>
      <c r="D95" t="s">
        <v>147</v>
      </c>
      <c r="E95" t="s">
        <v>148</v>
      </c>
      <c r="G95" t="s">
        <v>160</v>
      </c>
      <c r="H95" t="s">
        <v>22</v>
      </c>
      <c r="I95" t="s">
        <v>22</v>
      </c>
      <c r="J95" t="s">
        <v>17</v>
      </c>
      <c r="K95">
        <v>87.5</v>
      </c>
      <c r="L95">
        <v>106.5</v>
      </c>
      <c r="M95" t="s">
        <v>150</v>
      </c>
      <c r="N95" t="s">
        <v>151</v>
      </c>
      <c r="O95" t="s">
        <v>521</v>
      </c>
    </row>
    <row r="96" spans="1:15" hidden="1" x14ac:dyDescent="0.3">
      <c r="A96">
        <v>1083001</v>
      </c>
      <c r="B96" t="s">
        <v>143</v>
      </c>
      <c r="C96" t="s">
        <v>146</v>
      </c>
      <c r="D96" t="s">
        <v>147</v>
      </c>
      <c r="E96" t="s">
        <v>148</v>
      </c>
      <c r="G96" t="s">
        <v>161</v>
      </c>
      <c r="H96" t="s">
        <v>22</v>
      </c>
      <c r="I96" t="s">
        <v>22</v>
      </c>
      <c r="J96" t="s">
        <v>17</v>
      </c>
      <c r="K96">
        <v>87.5</v>
      </c>
      <c r="L96">
        <v>106.5</v>
      </c>
      <c r="M96" t="s">
        <v>150</v>
      </c>
      <c r="N96" t="s">
        <v>151</v>
      </c>
      <c r="O96" t="s">
        <v>521</v>
      </c>
    </row>
    <row r="97" spans="1:15" hidden="1" x14ac:dyDescent="0.3">
      <c r="A97">
        <v>1083001</v>
      </c>
      <c r="B97" t="s">
        <v>143</v>
      </c>
      <c r="C97" t="s">
        <v>146</v>
      </c>
      <c r="D97" t="s">
        <v>147</v>
      </c>
      <c r="E97" t="s">
        <v>148</v>
      </c>
      <c r="G97" t="s">
        <v>162</v>
      </c>
      <c r="H97" t="s">
        <v>22</v>
      </c>
      <c r="I97" t="s">
        <v>22</v>
      </c>
      <c r="J97" t="s">
        <v>17</v>
      </c>
      <c r="K97">
        <v>87.5</v>
      </c>
      <c r="L97">
        <v>106.5</v>
      </c>
      <c r="M97" t="s">
        <v>150</v>
      </c>
      <c r="N97" t="s">
        <v>151</v>
      </c>
      <c r="O97" t="s">
        <v>521</v>
      </c>
    </row>
    <row r="98" spans="1:15" hidden="1" x14ac:dyDescent="0.3">
      <c r="A98">
        <v>1083001</v>
      </c>
      <c r="B98" t="s">
        <v>143</v>
      </c>
      <c r="C98" t="s">
        <v>146</v>
      </c>
      <c r="D98" t="s">
        <v>147</v>
      </c>
      <c r="E98" t="s">
        <v>148</v>
      </c>
      <c r="G98" t="s">
        <v>163</v>
      </c>
      <c r="H98" t="s">
        <v>22</v>
      </c>
      <c r="I98" t="s">
        <v>22</v>
      </c>
      <c r="J98" t="s">
        <v>17</v>
      </c>
      <c r="K98">
        <v>87.5</v>
      </c>
      <c r="L98">
        <v>106.5</v>
      </c>
      <c r="M98" t="s">
        <v>150</v>
      </c>
      <c r="N98" t="s">
        <v>151</v>
      </c>
      <c r="O98" t="s">
        <v>521</v>
      </c>
    </row>
    <row r="99" spans="1:15" hidden="1" x14ac:dyDescent="0.3">
      <c r="A99">
        <v>1083001</v>
      </c>
      <c r="B99" t="s">
        <v>143</v>
      </c>
      <c r="C99" t="s">
        <v>146</v>
      </c>
      <c r="D99" t="s">
        <v>147</v>
      </c>
      <c r="E99" t="s">
        <v>148</v>
      </c>
      <c r="G99" t="s">
        <v>164</v>
      </c>
      <c r="H99" t="s">
        <v>22</v>
      </c>
      <c r="I99" t="s">
        <v>22</v>
      </c>
      <c r="J99" t="s">
        <v>17</v>
      </c>
      <c r="K99">
        <v>87.5</v>
      </c>
      <c r="L99">
        <v>106.5</v>
      </c>
      <c r="M99" t="s">
        <v>150</v>
      </c>
      <c r="N99" t="s">
        <v>151</v>
      </c>
      <c r="O99" t="s">
        <v>521</v>
      </c>
    </row>
    <row r="100" spans="1:15" hidden="1" x14ac:dyDescent="0.3">
      <c r="A100">
        <v>1083001</v>
      </c>
      <c r="B100" t="s">
        <v>143</v>
      </c>
      <c r="C100" t="s">
        <v>146</v>
      </c>
      <c r="D100" t="s">
        <v>147</v>
      </c>
      <c r="E100" t="s">
        <v>148</v>
      </c>
      <c r="G100" t="s">
        <v>165</v>
      </c>
      <c r="H100" t="s">
        <v>22</v>
      </c>
      <c r="I100" t="s">
        <v>22</v>
      </c>
      <c r="J100" t="s">
        <v>17</v>
      </c>
      <c r="K100">
        <v>87.5</v>
      </c>
      <c r="L100">
        <v>106.5</v>
      </c>
      <c r="M100" t="s">
        <v>150</v>
      </c>
      <c r="N100" t="s">
        <v>151</v>
      </c>
      <c r="O100" t="s">
        <v>521</v>
      </c>
    </row>
    <row r="101" spans="1:15" hidden="1" x14ac:dyDescent="0.3">
      <c r="A101">
        <v>1083001</v>
      </c>
      <c r="B101" t="s">
        <v>143</v>
      </c>
      <c r="C101" t="s">
        <v>146</v>
      </c>
      <c r="D101" t="s">
        <v>147</v>
      </c>
      <c r="E101" t="s">
        <v>148</v>
      </c>
      <c r="G101" t="s">
        <v>166</v>
      </c>
      <c r="H101" t="s">
        <v>22</v>
      </c>
      <c r="I101" t="s">
        <v>22</v>
      </c>
      <c r="J101" t="s">
        <v>17</v>
      </c>
      <c r="K101">
        <v>87.5</v>
      </c>
      <c r="L101">
        <v>106.5</v>
      </c>
      <c r="M101" t="s">
        <v>150</v>
      </c>
      <c r="N101" t="s">
        <v>151</v>
      </c>
      <c r="O101" t="s">
        <v>521</v>
      </c>
    </row>
    <row r="102" spans="1:15" hidden="1" x14ac:dyDescent="0.3">
      <c r="A102">
        <v>1083001</v>
      </c>
      <c r="B102" t="s">
        <v>143</v>
      </c>
      <c r="C102" t="s">
        <v>146</v>
      </c>
      <c r="D102" t="s">
        <v>147</v>
      </c>
      <c r="E102" t="s">
        <v>148</v>
      </c>
      <c r="G102" t="s">
        <v>167</v>
      </c>
      <c r="H102" t="s">
        <v>22</v>
      </c>
      <c r="I102" t="s">
        <v>22</v>
      </c>
      <c r="J102" t="s">
        <v>17</v>
      </c>
      <c r="K102">
        <v>87.5</v>
      </c>
      <c r="L102">
        <v>106.5</v>
      </c>
      <c r="M102" t="s">
        <v>150</v>
      </c>
      <c r="N102" t="s">
        <v>151</v>
      </c>
      <c r="O102" t="s">
        <v>521</v>
      </c>
    </row>
    <row r="103" spans="1:15" hidden="1" x14ac:dyDescent="0.3">
      <c r="A103">
        <v>1083001</v>
      </c>
      <c r="B103" t="s">
        <v>143</v>
      </c>
      <c r="C103" t="s">
        <v>146</v>
      </c>
      <c r="D103" t="s">
        <v>147</v>
      </c>
      <c r="E103" t="s">
        <v>148</v>
      </c>
      <c r="G103" t="s">
        <v>168</v>
      </c>
      <c r="H103" t="s">
        <v>22</v>
      </c>
      <c r="I103" t="s">
        <v>22</v>
      </c>
      <c r="J103" t="s">
        <v>17</v>
      </c>
      <c r="K103">
        <v>87.5</v>
      </c>
      <c r="L103">
        <v>106.5</v>
      </c>
      <c r="M103" t="s">
        <v>150</v>
      </c>
      <c r="N103" t="s">
        <v>151</v>
      </c>
      <c r="O103" t="s">
        <v>521</v>
      </c>
    </row>
    <row r="104" spans="1:15" hidden="1" x14ac:dyDescent="0.3">
      <c r="A104">
        <v>1083001</v>
      </c>
      <c r="B104" t="s">
        <v>143</v>
      </c>
      <c r="C104" t="s">
        <v>146</v>
      </c>
      <c r="D104" t="s">
        <v>147</v>
      </c>
      <c r="E104" t="s">
        <v>148</v>
      </c>
      <c r="G104" t="s">
        <v>169</v>
      </c>
      <c r="H104" t="s">
        <v>22</v>
      </c>
      <c r="I104" t="s">
        <v>22</v>
      </c>
      <c r="J104" t="s">
        <v>17</v>
      </c>
      <c r="K104">
        <v>87.5</v>
      </c>
      <c r="L104">
        <v>106.5</v>
      </c>
      <c r="M104" t="s">
        <v>150</v>
      </c>
      <c r="N104" t="s">
        <v>151</v>
      </c>
      <c r="O104" t="s">
        <v>521</v>
      </c>
    </row>
    <row r="105" spans="1:15" hidden="1" x14ac:dyDescent="0.3">
      <c r="A105">
        <v>1083001</v>
      </c>
      <c r="B105" t="s">
        <v>143</v>
      </c>
      <c r="C105" t="s">
        <v>146</v>
      </c>
      <c r="D105" t="s">
        <v>147</v>
      </c>
      <c r="E105" t="s">
        <v>148</v>
      </c>
      <c r="G105" t="s">
        <v>170</v>
      </c>
      <c r="H105" t="s">
        <v>22</v>
      </c>
      <c r="I105" t="s">
        <v>22</v>
      </c>
      <c r="J105" t="s">
        <v>17</v>
      </c>
      <c r="K105">
        <v>87.5</v>
      </c>
      <c r="L105">
        <v>106.5</v>
      </c>
      <c r="M105" t="s">
        <v>150</v>
      </c>
      <c r="N105" t="s">
        <v>151</v>
      </c>
      <c r="O105" t="s">
        <v>521</v>
      </c>
    </row>
    <row r="106" spans="1:15" hidden="1" x14ac:dyDescent="0.3">
      <c r="A106">
        <v>1083001</v>
      </c>
      <c r="B106" t="s">
        <v>143</v>
      </c>
      <c r="C106" t="s">
        <v>146</v>
      </c>
      <c r="D106" t="s">
        <v>147</v>
      </c>
      <c r="E106" t="s">
        <v>148</v>
      </c>
      <c r="G106" t="s">
        <v>171</v>
      </c>
      <c r="H106" t="s">
        <v>22</v>
      </c>
      <c r="I106" t="s">
        <v>22</v>
      </c>
      <c r="J106" t="s">
        <v>17</v>
      </c>
      <c r="K106">
        <v>87.5</v>
      </c>
      <c r="L106">
        <v>106.5</v>
      </c>
      <c r="M106" t="s">
        <v>150</v>
      </c>
      <c r="N106" t="s">
        <v>151</v>
      </c>
      <c r="O106" t="s">
        <v>521</v>
      </c>
    </row>
    <row r="107" spans="1:15" hidden="1" x14ac:dyDescent="0.3">
      <c r="A107">
        <v>1083001</v>
      </c>
      <c r="B107" t="s">
        <v>143</v>
      </c>
      <c r="C107" t="s">
        <v>146</v>
      </c>
      <c r="D107" t="s">
        <v>147</v>
      </c>
      <c r="E107" t="s">
        <v>148</v>
      </c>
      <c r="G107" t="s">
        <v>172</v>
      </c>
      <c r="H107" t="s">
        <v>22</v>
      </c>
      <c r="I107" t="s">
        <v>22</v>
      </c>
      <c r="J107" t="s">
        <v>17</v>
      </c>
      <c r="K107">
        <v>87.5</v>
      </c>
      <c r="L107">
        <v>106.5</v>
      </c>
      <c r="M107" t="s">
        <v>150</v>
      </c>
      <c r="N107" t="s">
        <v>151</v>
      </c>
      <c r="O107" t="s">
        <v>521</v>
      </c>
    </row>
    <row r="108" spans="1:15" hidden="1" x14ac:dyDescent="0.3">
      <c r="A108">
        <v>1083001</v>
      </c>
      <c r="B108" t="s">
        <v>143</v>
      </c>
      <c r="C108" t="s">
        <v>146</v>
      </c>
      <c r="D108" t="s">
        <v>147</v>
      </c>
      <c r="E108" t="s">
        <v>148</v>
      </c>
      <c r="G108" t="s">
        <v>173</v>
      </c>
      <c r="H108" t="s">
        <v>22</v>
      </c>
      <c r="I108" t="s">
        <v>22</v>
      </c>
      <c r="J108" t="s">
        <v>17</v>
      </c>
      <c r="K108">
        <v>87.5</v>
      </c>
      <c r="L108">
        <v>106.5</v>
      </c>
      <c r="M108" t="s">
        <v>150</v>
      </c>
      <c r="N108" t="s">
        <v>151</v>
      </c>
      <c r="O108" t="s">
        <v>521</v>
      </c>
    </row>
    <row r="109" spans="1:15" hidden="1" x14ac:dyDescent="0.3">
      <c r="A109">
        <v>1083001</v>
      </c>
      <c r="B109" t="s">
        <v>143</v>
      </c>
      <c r="C109" t="s">
        <v>146</v>
      </c>
      <c r="D109" t="s">
        <v>147</v>
      </c>
      <c r="E109" t="s">
        <v>148</v>
      </c>
      <c r="G109" t="s">
        <v>174</v>
      </c>
      <c r="H109" t="s">
        <v>22</v>
      </c>
      <c r="I109" t="s">
        <v>22</v>
      </c>
      <c r="J109" t="s">
        <v>17</v>
      </c>
      <c r="K109">
        <v>87.5</v>
      </c>
      <c r="L109">
        <v>106.5</v>
      </c>
      <c r="M109" t="s">
        <v>150</v>
      </c>
      <c r="N109" t="s">
        <v>151</v>
      </c>
      <c r="O109" t="s">
        <v>521</v>
      </c>
    </row>
    <row r="110" spans="1:15" hidden="1" x14ac:dyDescent="0.3">
      <c r="A110">
        <v>1083001</v>
      </c>
      <c r="B110" t="s">
        <v>143</v>
      </c>
      <c r="C110" t="s">
        <v>146</v>
      </c>
      <c r="D110" t="s">
        <v>147</v>
      </c>
      <c r="E110" t="s">
        <v>148</v>
      </c>
      <c r="G110" t="s">
        <v>175</v>
      </c>
      <c r="H110" t="s">
        <v>22</v>
      </c>
      <c r="I110" t="s">
        <v>22</v>
      </c>
      <c r="J110" t="s">
        <v>17</v>
      </c>
      <c r="K110">
        <v>87.5</v>
      </c>
      <c r="L110">
        <v>106.5</v>
      </c>
      <c r="M110" t="s">
        <v>150</v>
      </c>
      <c r="N110" t="s">
        <v>151</v>
      </c>
      <c r="O110" t="s">
        <v>521</v>
      </c>
    </row>
    <row r="111" spans="1:15" hidden="1" x14ac:dyDescent="0.3">
      <c r="A111">
        <v>1083001</v>
      </c>
      <c r="B111" t="s">
        <v>143</v>
      </c>
      <c r="C111" t="s">
        <v>146</v>
      </c>
      <c r="D111" t="s">
        <v>147</v>
      </c>
      <c r="E111" t="s">
        <v>148</v>
      </c>
      <c r="G111" t="s">
        <v>176</v>
      </c>
      <c r="H111" t="s">
        <v>22</v>
      </c>
      <c r="I111" t="s">
        <v>22</v>
      </c>
      <c r="J111" t="s">
        <v>17</v>
      </c>
      <c r="K111">
        <v>87.5</v>
      </c>
      <c r="L111">
        <v>106.5</v>
      </c>
      <c r="M111" t="s">
        <v>150</v>
      </c>
      <c r="N111" t="s">
        <v>151</v>
      </c>
      <c r="O111" t="s">
        <v>521</v>
      </c>
    </row>
    <row r="112" spans="1:15" hidden="1" x14ac:dyDescent="0.3">
      <c r="A112">
        <v>1083001</v>
      </c>
      <c r="B112" t="s">
        <v>143</v>
      </c>
      <c r="C112" t="s">
        <v>146</v>
      </c>
      <c r="D112" t="s">
        <v>147</v>
      </c>
      <c r="E112" t="s">
        <v>148</v>
      </c>
      <c r="G112" t="s">
        <v>177</v>
      </c>
      <c r="H112" t="s">
        <v>22</v>
      </c>
      <c r="I112" t="s">
        <v>22</v>
      </c>
      <c r="J112" t="s">
        <v>17</v>
      </c>
      <c r="K112">
        <v>87.5</v>
      </c>
      <c r="L112">
        <v>106.5</v>
      </c>
      <c r="M112" t="s">
        <v>150</v>
      </c>
      <c r="N112" t="s">
        <v>151</v>
      </c>
      <c r="O112" t="s">
        <v>521</v>
      </c>
    </row>
    <row r="113" spans="1:17" hidden="1" x14ac:dyDescent="0.3">
      <c r="A113">
        <v>1083001</v>
      </c>
      <c r="B113" t="s">
        <v>143</v>
      </c>
      <c r="C113" t="s">
        <v>146</v>
      </c>
      <c r="D113" t="s">
        <v>147</v>
      </c>
      <c r="E113" t="s">
        <v>148</v>
      </c>
      <c r="G113" t="s">
        <v>178</v>
      </c>
      <c r="H113" t="s">
        <v>22</v>
      </c>
      <c r="I113" t="s">
        <v>22</v>
      </c>
      <c r="J113" t="s">
        <v>17</v>
      </c>
      <c r="K113">
        <v>87.5</v>
      </c>
      <c r="L113">
        <v>106.5</v>
      </c>
      <c r="M113" t="s">
        <v>150</v>
      </c>
      <c r="N113" t="s">
        <v>151</v>
      </c>
      <c r="O113" t="s">
        <v>521</v>
      </c>
    </row>
    <row r="114" spans="1:17" hidden="1" x14ac:dyDescent="0.3">
      <c r="A114">
        <v>1083001</v>
      </c>
      <c r="B114" t="s">
        <v>143</v>
      </c>
      <c r="C114" t="s">
        <v>146</v>
      </c>
      <c r="D114" t="s">
        <v>147</v>
      </c>
      <c r="E114" t="s">
        <v>148</v>
      </c>
      <c r="G114" t="s">
        <v>179</v>
      </c>
      <c r="H114" t="s">
        <v>22</v>
      </c>
      <c r="I114" t="s">
        <v>22</v>
      </c>
      <c r="J114" t="s">
        <v>17</v>
      </c>
      <c r="K114">
        <v>87.5</v>
      </c>
      <c r="L114">
        <v>106.5</v>
      </c>
      <c r="M114" t="s">
        <v>150</v>
      </c>
      <c r="N114" t="s">
        <v>151</v>
      </c>
      <c r="O114" t="s">
        <v>521</v>
      </c>
    </row>
    <row r="115" spans="1:17" hidden="1" x14ac:dyDescent="0.3">
      <c r="A115">
        <v>1083001</v>
      </c>
      <c r="B115" t="s">
        <v>143</v>
      </c>
      <c r="C115" t="s">
        <v>180</v>
      </c>
      <c r="D115" t="s">
        <v>180</v>
      </c>
      <c r="E115" t="s">
        <v>181</v>
      </c>
      <c r="H115" t="s">
        <v>22</v>
      </c>
      <c r="I115" t="s">
        <v>22</v>
      </c>
      <c r="J115" t="s">
        <v>17</v>
      </c>
      <c r="K115">
        <v>100</v>
      </c>
      <c r="L115">
        <v>110</v>
      </c>
      <c r="M115" t="s">
        <v>182</v>
      </c>
      <c r="N115" t="s">
        <v>183</v>
      </c>
      <c r="O115" t="s">
        <v>522</v>
      </c>
      <c r="P115" t="s">
        <v>530</v>
      </c>
    </row>
    <row r="116" spans="1:17" hidden="1" x14ac:dyDescent="0.3">
      <c r="A116">
        <v>1083004</v>
      </c>
      <c r="B116" t="s">
        <v>184</v>
      </c>
      <c r="C116" t="s">
        <v>185</v>
      </c>
      <c r="H116" t="s">
        <v>16</v>
      </c>
      <c r="I116" t="s">
        <v>16</v>
      </c>
      <c r="J116" t="s">
        <v>17</v>
      </c>
      <c r="K116">
        <v>0</v>
      </c>
      <c r="L116">
        <v>0</v>
      </c>
      <c r="O116" t="s">
        <v>521</v>
      </c>
    </row>
    <row r="117" spans="1:17" hidden="1" x14ac:dyDescent="0.3">
      <c r="A117">
        <v>1083004</v>
      </c>
      <c r="B117" t="s">
        <v>184</v>
      </c>
      <c r="C117" t="s">
        <v>186</v>
      </c>
      <c r="D117" t="s">
        <v>187</v>
      </c>
      <c r="E117" t="s">
        <v>188</v>
      </c>
      <c r="G117" t="s">
        <v>189</v>
      </c>
      <c r="H117" t="s">
        <v>22</v>
      </c>
      <c r="I117" t="s">
        <v>22</v>
      </c>
      <c r="J117" t="s">
        <v>17</v>
      </c>
      <c r="K117">
        <v>92.9</v>
      </c>
      <c r="L117">
        <v>109.7</v>
      </c>
      <c r="O117" t="s">
        <v>521</v>
      </c>
    </row>
    <row r="118" spans="1:17" hidden="1" x14ac:dyDescent="0.3">
      <c r="A118">
        <v>1083004</v>
      </c>
      <c r="B118" t="s">
        <v>184</v>
      </c>
      <c r="C118" t="s">
        <v>186</v>
      </c>
      <c r="D118" t="s">
        <v>187</v>
      </c>
      <c r="E118" t="s">
        <v>188</v>
      </c>
      <c r="G118" t="s">
        <v>190</v>
      </c>
      <c r="H118" t="s">
        <v>22</v>
      </c>
      <c r="I118" t="s">
        <v>22</v>
      </c>
      <c r="J118" t="s">
        <v>17</v>
      </c>
      <c r="K118">
        <v>92.9</v>
      </c>
      <c r="L118">
        <v>109.7</v>
      </c>
      <c r="O118" t="s">
        <v>521</v>
      </c>
    </row>
    <row r="119" spans="1:17" hidden="1" x14ac:dyDescent="0.3">
      <c r="A119">
        <v>1083004</v>
      </c>
      <c r="B119" t="s">
        <v>184</v>
      </c>
      <c r="C119" t="s">
        <v>191</v>
      </c>
      <c r="D119" t="s">
        <v>191</v>
      </c>
      <c r="E119" t="s">
        <v>192</v>
      </c>
      <c r="H119" t="s">
        <v>22</v>
      </c>
      <c r="I119" t="s">
        <v>22</v>
      </c>
      <c r="J119" t="s">
        <v>17</v>
      </c>
      <c r="K119">
        <v>100</v>
      </c>
      <c r="L119">
        <v>113</v>
      </c>
      <c r="M119" t="s">
        <v>37</v>
      </c>
      <c r="N119" t="s">
        <v>38</v>
      </c>
      <c r="O119" t="s">
        <v>522</v>
      </c>
      <c r="P119" s="1" t="s">
        <v>531</v>
      </c>
      <c r="Q119" t="s">
        <v>532</v>
      </c>
    </row>
    <row r="120" spans="1:17" hidden="1" x14ac:dyDescent="0.3">
      <c r="A120">
        <v>1083007</v>
      </c>
      <c r="B120" t="s">
        <v>193</v>
      </c>
      <c r="C120" t="s">
        <v>185</v>
      </c>
      <c r="H120" t="s">
        <v>16</v>
      </c>
      <c r="I120" t="s">
        <v>16</v>
      </c>
      <c r="J120" t="s">
        <v>17</v>
      </c>
      <c r="K120">
        <v>0</v>
      </c>
      <c r="L120">
        <v>0</v>
      </c>
      <c r="O120" t="s">
        <v>521</v>
      </c>
    </row>
    <row r="121" spans="1:17" hidden="1" x14ac:dyDescent="0.3">
      <c r="A121">
        <v>1083007</v>
      </c>
      <c r="B121" t="s">
        <v>193</v>
      </c>
      <c r="C121" t="s">
        <v>194</v>
      </c>
      <c r="D121" t="s">
        <v>194</v>
      </c>
      <c r="E121" t="s">
        <v>195</v>
      </c>
      <c r="H121" t="s">
        <v>22</v>
      </c>
      <c r="I121" t="s">
        <v>22</v>
      </c>
      <c r="J121" t="s">
        <v>17</v>
      </c>
      <c r="K121">
        <v>100</v>
      </c>
      <c r="L121">
        <v>112</v>
      </c>
      <c r="M121" t="s">
        <v>196</v>
      </c>
      <c r="N121" t="s">
        <v>197</v>
      </c>
      <c r="O121" t="s">
        <v>522</v>
      </c>
      <c r="P121" t="s">
        <v>197</v>
      </c>
    </row>
    <row r="122" spans="1:17" hidden="1" x14ac:dyDescent="0.3">
      <c r="A122">
        <v>1083007</v>
      </c>
      <c r="B122" t="s">
        <v>193</v>
      </c>
      <c r="C122" t="s">
        <v>198</v>
      </c>
      <c r="D122" t="s">
        <v>199</v>
      </c>
      <c r="E122" t="s">
        <v>200</v>
      </c>
      <c r="G122" t="s">
        <v>201</v>
      </c>
      <c r="H122" t="s">
        <v>22</v>
      </c>
      <c r="I122" t="s">
        <v>22</v>
      </c>
      <c r="J122" t="s">
        <v>17</v>
      </c>
      <c r="K122">
        <v>85.7</v>
      </c>
      <c r="L122">
        <v>103.4</v>
      </c>
      <c r="M122" t="s">
        <v>202</v>
      </c>
      <c r="N122" t="s">
        <v>203</v>
      </c>
      <c r="O122" t="s">
        <v>521</v>
      </c>
    </row>
    <row r="123" spans="1:17" hidden="1" x14ac:dyDescent="0.3">
      <c r="A123">
        <v>1083007</v>
      </c>
      <c r="B123" t="s">
        <v>193</v>
      </c>
      <c r="C123" t="s">
        <v>198</v>
      </c>
      <c r="D123" t="s">
        <v>199</v>
      </c>
      <c r="E123" t="s">
        <v>200</v>
      </c>
      <c r="G123" t="s">
        <v>204</v>
      </c>
      <c r="H123" t="s">
        <v>22</v>
      </c>
      <c r="I123" t="s">
        <v>22</v>
      </c>
      <c r="J123" t="s">
        <v>17</v>
      </c>
      <c r="K123">
        <v>85.7</v>
      </c>
      <c r="L123">
        <v>103.4</v>
      </c>
      <c r="M123" t="s">
        <v>202</v>
      </c>
      <c r="N123" t="s">
        <v>203</v>
      </c>
      <c r="O123" t="s">
        <v>521</v>
      </c>
    </row>
    <row r="124" spans="1:17" hidden="1" x14ac:dyDescent="0.3">
      <c r="A124">
        <v>1083007</v>
      </c>
      <c r="B124" t="s">
        <v>193</v>
      </c>
      <c r="C124" t="s">
        <v>198</v>
      </c>
      <c r="D124" t="s">
        <v>199</v>
      </c>
      <c r="E124" t="s">
        <v>200</v>
      </c>
      <c r="G124" t="s">
        <v>205</v>
      </c>
      <c r="H124" t="s">
        <v>22</v>
      </c>
      <c r="I124" t="s">
        <v>22</v>
      </c>
      <c r="J124" t="s">
        <v>17</v>
      </c>
      <c r="K124">
        <v>85.7</v>
      </c>
      <c r="L124">
        <v>103.4</v>
      </c>
      <c r="M124" t="s">
        <v>202</v>
      </c>
      <c r="N124" t="s">
        <v>203</v>
      </c>
      <c r="O124" t="s">
        <v>521</v>
      </c>
    </row>
    <row r="125" spans="1:17" hidden="1" x14ac:dyDescent="0.3">
      <c r="A125">
        <v>1083007</v>
      </c>
      <c r="B125" t="s">
        <v>193</v>
      </c>
      <c r="C125" t="s">
        <v>198</v>
      </c>
      <c r="D125" t="s">
        <v>199</v>
      </c>
      <c r="E125" t="s">
        <v>200</v>
      </c>
      <c r="G125" t="s">
        <v>206</v>
      </c>
      <c r="H125" t="s">
        <v>22</v>
      </c>
      <c r="I125" t="s">
        <v>22</v>
      </c>
      <c r="J125" t="s">
        <v>17</v>
      </c>
      <c r="K125">
        <v>85.7</v>
      </c>
      <c r="L125">
        <v>103.4</v>
      </c>
      <c r="M125" t="s">
        <v>202</v>
      </c>
      <c r="N125" t="s">
        <v>203</v>
      </c>
      <c r="O125" t="s">
        <v>521</v>
      </c>
    </row>
    <row r="126" spans="1:17" hidden="1" x14ac:dyDescent="0.3">
      <c r="A126">
        <v>1083007</v>
      </c>
      <c r="B126" t="s">
        <v>193</v>
      </c>
      <c r="C126" t="s">
        <v>198</v>
      </c>
      <c r="D126" t="s">
        <v>199</v>
      </c>
      <c r="E126" t="s">
        <v>200</v>
      </c>
      <c r="G126" t="s">
        <v>207</v>
      </c>
      <c r="H126" t="s">
        <v>22</v>
      </c>
      <c r="I126" t="s">
        <v>22</v>
      </c>
      <c r="J126" t="s">
        <v>17</v>
      </c>
      <c r="K126">
        <v>85.7</v>
      </c>
      <c r="L126">
        <v>103.4</v>
      </c>
      <c r="M126" t="s">
        <v>202</v>
      </c>
      <c r="N126" t="s">
        <v>203</v>
      </c>
      <c r="O126" t="s">
        <v>521</v>
      </c>
    </row>
    <row r="127" spans="1:17" hidden="1" x14ac:dyDescent="0.3">
      <c r="A127">
        <v>1083007</v>
      </c>
      <c r="B127" t="s">
        <v>193</v>
      </c>
      <c r="C127" t="s">
        <v>198</v>
      </c>
      <c r="D127" t="s">
        <v>199</v>
      </c>
      <c r="E127" t="s">
        <v>200</v>
      </c>
      <c r="G127" t="s">
        <v>208</v>
      </c>
      <c r="H127" t="s">
        <v>22</v>
      </c>
      <c r="I127" t="s">
        <v>22</v>
      </c>
      <c r="J127" t="s">
        <v>17</v>
      </c>
      <c r="K127">
        <v>85.7</v>
      </c>
      <c r="L127">
        <v>103.4</v>
      </c>
      <c r="M127" t="s">
        <v>202</v>
      </c>
      <c r="N127" t="s">
        <v>203</v>
      </c>
      <c r="O127" t="s">
        <v>521</v>
      </c>
    </row>
    <row r="128" spans="1:17" hidden="1" x14ac:dyDescent="0.3">
      <c r="A128">
        <v>1083007</v>
      </c>
      <c r="B128" t="s">
        <v>193</v>
      </c>
      <c r="C128" t="s">
        <v>209</v>
      </c>
      <c r="D128" t="s">
        <v>209</v>
      </c>
      <c r="E128" t="s">
        <v>210</v>
      </c>
      <c r="G128" t="s">
        <v>211</v>
      </c>
      <c r="H128" t="s">
        <v>22</v>
      </c>
      <c r="I128" t="s">
        <v>22</v>
      </c>
      <c r="J128" t="s">
        <v>17</v>
      </c>
      <c r="K128">
        <v>100</v>
      </c>
      <c r="L128">
        <v>111</v>
      </c>
      <c r="M128" t="s">
        <v>212</v>
      </c>
      <c r="N128" t="s">
        <v>213</v>
      </c>
      <c r="O128" t="s">
        <v>521</v>
      </c>
    </row>
    <row r="129" spans="1:15" hidden="1" x14ac:dyDescent="0.3">
      <c r="A129">
        <v>1083007</v>
      </c>
      <c r="B129" t="s">
        <v>193</v>
      </c>
      <c r="C129" t="s">
        <v>209</v>
      </c>
      <c r="D129" t="s">
        <v>209</v>
      </c>
      <c r="E129" t="s">
        <v>210</v>
      </c>
      <c r="G129" t="s">
        <v>214</v>
      </c>
      <c r="H129" t="s">
        <v>22</v>
      </c>
      <c r="I129" t="s">
        <v>22</v>
      </c>
      <c r="J129" t="s">
        <v>17</v>
      </c>
      <c r="K129">
        <v>100</v>
      </c>
      <c r="L129">
        <v>111</v>
      </c>
      <c r="M129" t="s">
        <v>212</v>
      </c>
      <c r="N129" t="s">
        <v>213</v>
      </c>
      <c r="O129" t="s">
        <v>521</v>
      </c>
    </row>
    <row r="130" spans="1:15" hidden="1" x14ac:dyDescent="0.3">
      <c r="A130">
        <v>1083007</v>
      </c>
      <c r="B130" t="s">
        <v>193</v>
      </c>
      <c r="C130" t="s">
        <v>209</v>
      </c>
      <c r="D130" t="s">
        <v>209</v>
      </c>
      <c r="E130" t="s">
        <v>210</v>
      </c>
      <c r="G130" t="s">
        <v>215</v>
      </c>
      <c r="H130" t="s">
        <v>22</v>
      </c>
      <c r="I130" t="s">
        <v>22</v>
      </c>
      <c r="J130" t="s">
        <v>17</v>
      </c>
      <c r="K130">
        <v>100</v>
      </c>
      <c r="L130">
        <v>111</v>
      </c>
      <c r="M130" t="s">
        <v>212</v>
      </c>
      <c r="N130" t="s">
        <v>213</v>
      </c>
      <c r="O130" t="s">
        <v>521</v>
      </c>
    </row>
    <row r="131" spans="1:15" hidden="1" x14ac:dyDescent="0.3">
      <c r="A131">
        <v>1083007</v>
      </c>
      <c r="B131" t="s">
        <v>193</v>
      </c>
      <c r="C131" t="s">
        <v>209</v>
      </c>
      <c r="D131" t="s">
        <v>209</v>
      </c>
      <c r="E131" t="s">
        <v>210</v>
      </c>
      <c r="G131" t="s">
        <v>216</v>
      </c>
      <c r="H131" t="s">
        <v>22</v>
      </c>
      <c r="I131" t="s">
        <v>22</v>
      </c>
      <c r="J131" t="s">
        <v>17</v>
      </c>
      <c r="K131">
        <v>100</v>
      </c>
      <c r="L131">
        <v>111</v>
      </c>
      <c r="M131" t="s">
        <v>212</v>
      </c>
      <c r="N131" t="s">
        <v>213</v>
      </c>
      <c r="O131" t="s">
        <v>521</v>
      </c>
    </row>
    <row r="132" spans="1:15" hidden="1" x14ac:dyDescent="0.3">
      <c r="A132">
        <v>1083007</v>
      </c>
      <c r="B132" t="s">
        <v>193</v>
      </c>
      <c r="C132" t="s">
        <v>209</v>
      </c>
      <c r="D132" t="s">
        <v>209</v>
      </c>
      <c r="E132" t="s">
        <v>210</v>
      </c>
      <c r="G132" t="s">
        <v>217</v>
      </c>
      <c r="H132" t="s">
        <v>22</v>
      </c>
      <c r="I132" t="s">
        <v>22</v>
      </c>
      <c r="J132" t="s">
        <v>17</v>
      </c>
      <c r="K132">
        <v>100</v>
      </c>
      <c r="L132">
        <v>111</v>
      </c>
      <c r="M132" t="s">
        <v>212</v>
      </c>
      <c r="N132" t="s">
        <v>213</v>
      </c>
      <c r="O132" t="s">
        <v>521</v>
      </c>
    </row>
    <row r="133" spans="1:15" hidden="1" x14ac:dyDescent="0.3">
      <c r="A133">
        <v>1083007</v>
      </c>
      <c r="B133" t="s">
        <v>193</v>
      </c>
      <c r="C133" t="s">
        <v>209</v>
      </c>
      <c r="D133" t="s">
        <v>209</v>
      </c>
      <c r="E133" t="s">
        <v>210</v>
      </c>
      <c r="G133" t="s">
        <v>218</v>
      </c>
      <c r="H133" t="s">
        <v>22</v>
      </c>
      <c r="I133" t="s">
        <v>22</v>
      </c>
      <c r="J133" t="s">
        <v>17</v>
      </c>
      <c r="K133">
        <v>100</v>
      </c>
      <c r="L133">
        <v>111</v>
      </c>
      <c r="M133" t="s">
        <v>212</v>
      </c>
      <c r="N133" t="s">
        <v>213</v>
      </c>
      <c r="O133" t="s">
        <v>521</v>
      </c>
    </row>
    <row r="134" spans="1:15" hidden="1" x14ac:dyDescent="0.3">
      <c r="A134">
        <v>1083007</v>
      </c>
      <c r="B134" t="s">
        <v>193</v>
      </c>
      <c r="C134" t="s">
        <v>209</v>
      </c>
      <c r="D134" t="s">
        <v>209</v>
      </c>
      <c r="E134" t="s">
        <v>210</v>
      </c>
      <c r="G134" t="s">
        <v>219</v>
      </c>
      <c r="H134" t="s">
        <v>22</v>
      </c>
      <c r="I134" t="s">
        <v>22</v>
      </c>
      <c r="J134" t="s">
        <v>17</v>
      </c>
      <c r="K134">
        <v>100</v>
      </c>
      <c r="L134">
        <v>111</v>
      </c>
      <c r="M134" t="s">
        <v>212</v>
      </c>
      <c r="N134" t="s">
        <v>213</v>
      </c>
      <c r="O134" t="s">
        <v>521</v>
      </c>
    </row>
    <row r="135" spans="1:15" hidden="1" x14ac:dyDescent="0.3">
      <c r="A135">
        <v>1083007</v>
      </c>
      <c r="B135" t="s">
        <v>193</v>
      </c>
      <c r="C135" t="s">
        <v>209</v>
      </c>
      <c r="D135" t="s">
        <v>209</v>
      </c>
      <c r="E135" t="s">
        <v>210</v>
      </c>
      <c r="G135" t="s">
        <v>220</v>
      </c>
      <c r="H135" t="s">
        <v>22</v>
      </c>
      <c r="I135" t="s">
        <v>22</v>
      </c>
      <c r="J135" t="s">
        <v>17</v>
      </c>
      <c r="K135">
        <v>100</v>
      </c>
      <c r="L135">
        <v>111</v>
      </c>
      <c r="M135" t="s">
        <v>212</v>
      </c>
      <c r="N135" t="s">
        <v>213</v>
      </c>
      <c r="O135" t="s">
        <v>521</v>
      </c>
    </row>
    <row r="136" spans="1:15" hidden="1" x14ac:dyDescent="0.3">
      <c r="A136">
        <v>1083007</v>
      </c>
      <c r="B136" t="s">
        <v>193</v>
      </c>
      <c r="C136" t="s">
        <v>209</v>
      </c>
      <c r="D136" t="s">
        <v>209</v>
      </c>
      <c r="E136" t="s">
        <v>210</v>
      </c>
      <c r="G136" t="s">
        <v>221</v>
      </c>
      <c r="H136" t="s">
        <v>22</v>
      </c>
      <c r="I136" t="s">
        <v>22</v>
      </c>
      <c r="J136" t="s">
        <v>17</v>
      </c>
      <c r="K136">
        <v>100</v>
      </c>
      <c r="L136">
        <v>111</v>
      </c>
      <c r="M136" t="s">
        <v>212</v>
      </c>
      <c r="N136" t="s">
        <v>213</v>
      </c>
      <c r="O136" t="s">
        <v>521</v>
      </c>
    </row>
    <row r="137" spans="1:15" hidden="1" x14ac:dyDescent="0.3">
      <c r="A137">
        <v>1083007</v>
      </c>
      <c r="B137" t="s">
        <v>193</v>
      </c>
      <c r="C137" t="s">
        <v>209</v>
      </c>
      <c r="D137" t="s">
        <v>209</v>
      </c>
      <c r="E137" t="s">
        <v>210</v>
      </c>
      <c r="G137" t="s">
        <v>222</v>
      </c>
      <c r="H137" t="s">
        <v>22</v>
      </c>
      <c r="I137" t="s">
        <v>22</v>
      </c>
      <c r="J137" t="s">
        <v>17</v>
      </c>
      <c r="K137">
        <v>100</v>
      </c>
      <c r="L137">
        <v>111</v>
      </c>
      <c r="M137" t="s">
        <v>212</v>
      </c>
      <c r="N137" t="s">
        <v>213</v>
      </c>
      <c r="O137" t="s">
        <v>521</v>
      </c>
    </row>
    <row r="138" spans="1:15" hidden="1" x14ac:dyDescent="0.3">
      <c r="A138">
        <v>1083007</v>
      </c>
      <c r="B138" t="s">
        <v>193</v>
      </c>
      <c r="C138" t="s">
        <v>209</v>
      </c>
      <c r="D138" t="s">
        <v>209</v>
      </c>
      <c r="E138" t="s">
        <v>210</v>
      </c>
      <c r="G138" t="s">
        <v>223</v>
      </c>
      <c r="H138" t="s">
        <v>22</v>
      </c>
      <c r="I138" t="s">
        <v>22</v>
      </c>
      <c r="J138" t="s">
        <v>17</v>
      </c>
      <c r="K138">
        <v>100</v>
      </c>
      <c r="L138">
        <v>111</v>
      </c>
      <c r="M138" t="s">
        <v>212</v>
      </c>
      <c r="N138" t="s">
        <v>213</v>
      </c>
      <c r="O138" t="s">
        <v>521</v>
      </c>
    </row>
    <row r="139" spans="1:15" hidden="1" x14ac:dyDescent="0.3">
      <c r="A139">
        <v>1083007</v>
      </c>
      <c r="B139" t="s">
        <v>193</v>
      </c>
      <c r="C139" t="s">
        <v>209</v>
      </c>
      <c r="D139" t="s">
        <v>209</v>
      </c>
      <c r="E139" t="s">
        <v>210</v>
      </c>
      <c r="G139" t="s">
        <v>224</v>
      </c>
      <c r="H139" t="s">
        <v>22</v>
      </c>
      <c r="I139" t="s">
        <v>22</v>
      </c>
      <c r="J139" t="s">
        <v>17</v>
      </c>
      <c r="K139">
        <v>100</v>
      </c>
      <c r="L139">
        <v>111</v>
      </c>
      <c r="M139" t="s">
        <v>212</v>
      </c>
      <c r="N139" t="s">
        <v>213</v>
      </c>
      <c r="O139" t="s">
        <v>521</v>
      </c>
    </row>
    <row r="140" spans="1:15" hidden="1" x14ac:dyDescent="0.3">
      <c r="A140">
        <v>1083007</v>
      </c>
      <c r="B140" t="s">
        <v>193</v>
      </c>
      <c r="C140" t="s">
        <v>209</v>
      </c>
      <c r="D140" t="s">
        <v>209</v>
      </c>
      <c r="E140" t="s">
        <v>210</v>
      </c>
      <c r="G140" t="s">
        <v>225</v>
      </c>
      <c r="H140" t="s">
        <v>22</v>
      </c>
      <c r="I140" t="s">
        <v>22</v>
      </c>
      <c r="J140" t="s">
        <v>17</v>
      </c>
      <c r="K140">
        <v>100</v>
      </c>
      <c r="L140">
        <v>111</v>
      </c>
      <c r="M140" t="s">
        <v>212</v>
      </c>
      <c r="N140" t="s">
        <v>213</v>
      </c>
      <c r="O140" t="s">
        <v>521</v>
      </c>
    </row>
    <row r="141" spans="1:15" hidden="1" x14ac:dyDescent="0.3">
      <c r="A141">
        <v>1083007</v>
      </c>
      <c r="B141" t="s">
        <v>193</v>
      </c>
      <c r="C141" t="s">
        <v>209</v>
      </c>
      <c r="D141" t="s">
        <v>209</v>
      </c>
      <c r="E141" t="s">
        <v>210</v>
      </c>
      <c r="G141" t="s">
        <v>226</v>
      </c>
      <c r="H141" t="s">
        <v>22</v>
      </c>
      <c r="I141" t="s">
        <v>22</v>
      </c>
      <c r="J141" t="s">
        <v>17</v>
      </c>
      <c r="K141">
        <v>100</v>
      </c>
      <c r="L141">
        <v>111</v>
      </c>
      <c r="M141" t="s">
        <v>212</v>
      </c>
      <c r="N141" t="s">
        <v>213</v>
      </c>
      <c r="O141" t="s">
        <v>521</v>
      </c>
    </row>
    <row r="142" spans="1:15" hidden="1" x14ac:dyDescent="0.3">
      <c r="A142">
        <v>1083007</v>
      </c>
      <c r="B142" t="s">
        <v>193</v>
      </c>
      <c r="C142" t="s">
        <v>209</v>
      </c>
      <c r="D142" t="s">
        <v>209</v>
      </c>
      <c r="E142" t="s">
        <v>210</v>
      </c>
      <c r="G142" t="s">
        <v>227</v>
      </c>
      <c r="H142" t="s">
        <v>22</v>
      </c>
      <c r="I142" t="s">
        <v>22</v>
      </c>
      <c r="J142" t="s">
        <v>17</v>
      </c>
      <c r="K142">
        <v>100</v>
      </c>
      <c r="L142">
        <v>111</v>
      </c>
      <c r="M142" t="s">
        <v>212</v>
      </c>
      <c r="N142" t="s">
        <v>213</v>
      </c>
      <c r="O142" t="s">
        <v>521</v>
      </c>
    </row>
    <row r="143" spans="1:15" hidden="1" x14ac:dyDescent="0.3">
      <c r="A143">
        <v>1083007</v>
      </c>
      <c r="B143" t="s">
        <v>193</v>
      </c>
      <c r="C143" t="s">
        <v>209</v>
      </c>
      <c r="D143" t="s">
        <v>209</v>
      </c>
      <c r="E143" t="s">
        <v>210</v>
      </c>
      <c r="G143" t="s">
        <v>228</v>
      </c>
      <c r="H143" t="s">
        <v>22</v>
      </c>
      <c r="I143" t="s">
        <v>22</v>
      </c>
      <c r="J143" t="s">
        <v>17</v>
      </c>
      <c r="K143">
        <v>100</v>
      </c>
      <c r="L143">
        <v>111</v>
      </c>
      <c r="M143" t="s">
        <v>212</v>
      </c>
      <c r="N143" t="s">
        <v>213</v>
      </c>
      <c r="O143" t="s">
        <v>521</v>
      </c>
    </row>
    <row r="144" spans="1:15" hidden="1" x14ac:dyDescent="0.3">
      <c r="A144">
        <v>1083007</v>
      </c>
      <c r="B144" t="s">
        <v>193</v>
      </c>
      <c r="C144" t="s">
        <v>209</v>
      </c>
      <c r="D144" t="s">
        <v>209</v>
      </c>
      <c r="E144" t="s">
        <v>210</v>
      </c>
      <c r="G144" t="s">
        <v>229</v>
      </c>
      <c r="H144" t="s">
        <v>22</v>
      </c>
      <c r="I144" t="s">
        <v>22</v>
      </c>
      <c r="J144" t="s">
        <v>17</v>
      </c>
      <c r="K144">
        <v>100</v>
      </c>
      <c r="L144">
        <v>111</v>
      </c>
      <c r="M144" t="s">
        <v>212</v>
      </c>
      <c r="N144" t="s">
        <v>213</v>
      </c>
      <c r="O144" t="s">
        <v>521</v>
      </c>
    </row>
    <row r="145" spans="1:15" hidden="1" x14ac:dyDescent="0.3">
      <c r="A145">
        <v>1083007</v>
      </c>
      <c r="B145" t="s">
        <v>193</v>
      </c>
      <c r="C145" t="s">
        <v>209</v>
      </c>
      <c r="D145" t="s">
        <v>209</v>
      </c>
      <c r="E145" t="s">
        <v>210</v>
      </c>
      <c r="G145" t="s">
        <v>230</v>
      </c>
      <c r="H145" t="s">
        <v>22</v>
      </c>
      <c r="I145" t="s">
        <v>22</v>
      </c>
      <c r="J145" t="s">
        <v>17</v>
      </c>
      <c r="K145">
        <v>100</v>
      </c>
      <c r="L145">
        <v>111</v>
      </c>
      <c r="M145" t="s">
        <v>212</v>
      </c>
      <c r="N145" t="s">
        <v>213</v>
      </c>
      <c r="O145" t="s">
        <v>521</v>
      </c>
    </row>
    <row r="146" spans="1:15" hidden="1" x14ac:dyDescent="0.3">
      <c r="A146">
        <v>1083007</v>
      </c>
      <c r="B146" t="s">
        <v>193</v>
      </c>
      <c r="C146" t="s">
        <v>209</v>
      </c>
      <c r="D146" t="s">
        <v>209</v>
      </c>
      <c r="E146" t="s">
        <v>210</v>
      </c>
      <c r="G146" t="s">
        <v>231</v>
      </c>
      <c r="H146" t="s">
        <v>22</v>
      </c>
      <c r="I146" t="s">
        <v>22</v>
      </c>
      <c r="J146" t="s">
        <v>17</v>
      </c>
      <c r="K146">
        <v>100</v>
      </c>
      <c r="L146">
        <v>111</v>
      </c>
      <c r="M146" t="s">
        <v>212</v>
      </c>
      <c r="N146" t="s">
        <v>213</v>
      </c>
      <c r="O146" t="s">
        <v>521</v>
      </c>
    </row>
    <row r="147" spans="1:15" hidden="1" x14ac:dyDescent="0.3">
      <c r="A147">
        <v>1083007</v>
      </c>
      <c r="B147" t="s">
        <v>193</v>
      </c>
      <c r="C147" t="s">
        <v>209</v>
      </c>
      <c r="D147" t="s">
        <v>209</v>
      </c>
      <c r="E147" t="s">
        <v>210</v>
      </c>
      <c r="G147" t="s">
        <v>232</v>
      </c>
      <c r="H147" t="s">
        <v>22</v>
      </c>
      <c r="I147" t="s">
        <v>22</v>
      </c>
      <c r="J147" t="s">
        <v>17</v>
      </c>
      <c r="K147">
        <v>100</v>
      </c>
      <c r="L147">
        <v>111</v>
      </c>
      <c r="M147" t="s">
        <v>212</v>
      </c>
      <c r="N147" t="s">
        <v>213</v>
      </c>
      <c r="O147" t="s">
        <v>521</v>
      </c>
    </row>
    <row r="148" spans="1:15" hidden="1" x14ac:dyDescent="0.3">
      <c r="A148">
        <v>1083014</v>
      </c>
      <c r="B148" t="s">
        <v>233</v>
      </c>
      <c r="C148" t="s">
        <v>185</v>
      </c>
      <c r="H148" t="s">
        <v>16</v>
      </c>
      <c r="I148" t="s">
        <v>16</v>
      </c>
      <c r="J148" t="s">
        <v>17</v>
      </c>
      <c r="K148">
        <v>0</v>
      </c>
      <c r="L148">
        <v>0</v>
      </c>
      <c r="O148" t="s">
        <v>521</v>
      </c>
    </row>
    <row r="149" spans="1:15" hidden="1" x14ac:dyDescent="0.3">
      <c r="A149">
        <v>1083014</v>
      </c>
      <c r="B149" t="s">
        <v>233</v>
      </c>
      <c r="C149" t="s">
        <v>198</v>
      </c>
      <c r="D149" t="s">
        <v>199</v>
      </c>
      <c r="E149" t="s">
        <v>200</v>
      </c>
      <c r="G149" t="s">
        <v>201</v>
      </c>
      <c r="H149" t="s">
        <v>22</v>
      </c>
      <c r="I149" t="s">
        <v>22</v>
      </c>
      <c r="J149" t="s">
        <v>17</v>
      </c>
      <c r="K149">
        <v>85.7</v>
      </c>
      <c r="L149">
        <v>104.4</v>
      </c>
      <c r="M149" t="s">
        <v>202</v>
      </c>
      <c r="N149" t="s">
        <v>203</v>
      </c>
      <c r="O149" t="s">
        <v>521</v>
      </c>
    </row>
    <row r="150" spans="1:15" hidden="1" x14ac:dyDescent="0.3">
      <c r="A150">
        <v>1083014</v>
      </c>
      <c r="B150" t="s">
        <v>233</v>
      </c>
      <c r="C150" t="s">
        <v>198</v>
      </c>
      <c r="D150" t="s">
        <v>199</v>
      </c>
      <c r="E150" t="s">
        <v>200</v>
      </c>
      <c r="G150" t="s">
        <v>204</v>
      </c>
      <c r="H150" t="s">
        <v>22</v>
      </c>
      <c r="I150" t="s">
        <v>22</v>
      </c>
      <c r="J150" t="s">
        <v>17</v>
      </c>
      <c r="K150">
        <v>85.7</v>
      </c>
      <c r="L150">
        <v>104.4</v>
      </c>
      <c r="M150" t="s">
        <v>202</v>
      </c>
      <c r="N150" t="s">
        <v>203</v>
      </c>
      <c r="O150" t="s">
        <v>521</v>
      </c>
    </row>
    <row r="151" spans="1:15" hidden="1" x14ac:dyDescent="0.3">
      <c r="A151">
        <v>1083014</v>
      </c>
      <c r="B151" t="s">
        <v>233</v>
      </c>
      <c r="C151" t="s">
        <v>198</v>
      </c>
      <c r="D151" t="s">
        <v>199</v>
      </c>
      <c r="E151" t="s">
        <v>200</v>
      </c>
      <c r="G151" t="s">
        <v>205</v>
      </c>
      <c r="H151" t="s">
        <v>22</v>
      </c>
      <c r="I151" t="s">
        <v>22</v>
      </c>
      <c r="J151" t="s">
        <v>17</v>
      </c>
      <c r="K151">
        <v>85.7</v>
      </c>
      <c r="L151">
        <v>104.4</v>
      </c>
      <c r="M151" t="s">
        <v>202</v>
      </c>
      <c r="N151" t="s">
        <v>203</v>
      </c>
      <c r="O151" t="s">
        <v>521</v>
      </c>
    </row>
    <row r="152" spans="1:15" hidden="1" x14ac:dyDescent="0.3">
      <c r="A152">
        <v>1083014</v>
      </c>
      <c r="B152" t="s">
        <v>233</v>
      </c>
      <c r="C152" t="s">
        <v>198</v>
      </c>
      <c r="D152" t="s">
        <v>199</v>
      </c>
      <c r="E152" t="s">
        <v>200</v>
      </c>
      <c r="G152" t="s">
        <v>206</v>
      </c>
      <c r="H152" t="s">
        <v>22</v>
      </c>
      <c r="I152" t="s">
        <v>22</v>
      </c>
      <c r="J152" t="s">
        <v>17</v>
      </c>
      <c r="K152">
        <v>85.7</v>
      </c>
      <c r="L152">
        <v>104.4</v>
      </c>
      <c r="M152" t="s">
        <v>202</v>
      </c>
      <c r="N152" t="s">
        <v>203</v>
      </c>
      <c r="O152" t="s">
        <v>521</v>
      </c>
    </row>
    <row r="153" spans="1:15" hidden="1" x14ac:dyDescent="0.3">
      <c r="A153">
        <v>1083014</v>
      </c>
      <c r="B153" t="s">
        <v>233</v>
      </c>
      <c r="C153" t="s">
        <v>198</v>
      </c>
      <c r="D153" t="s">
        <v>199</v>
      </c>
      <c r="E153" t="s">
        <v>200</v>
      </c>
      <c r="G153" t="s">
        <v>207</v>
      </c>
      <c r="H153" t="s">
        <v>22</v>
      </c>
      <c r="I153" t="s">
        <v>22</v>
      </c>
      <c r="J153" t="s">
        <v>17</v>
      </c>
      <c r="K153">
        <v>85.7</v>
      </c>
      <c r="L153">
        <v>104.4</v>
      </c>
      <c r="M153" t="s">
        <v>202</v>
      </c>
      <c r="N153" t="s">
        <v>203</v>
      </c>
      <c r="O153" t="s">
        <v>521</v>
      </c>
    </row>
    <row r="154" spans="1:15" hidden="1" x14ac:dyDescent="0.3">
      <c r="A154">
        <v>1083014</v>
      </c>
      <c r="B154" t="s">
        <v>233</v>
      </c>
      <c r="C154" t="s">
        <v>198</v>
      </c>
      <c r="D154" t="s">
        <v>199</v>
      </c>
      <c r="E154" t="s">
        <v>200</v>
      </c>
      <c r="G154" t="s">
        <v>208</v>
      </c>
      <c r="H154" t="s">
        <v>22</v>
      </c>
      <c r="I154" t="s">
        <v>22</v>
      </c>
      <c r="J154" t="s">
        <v>17</v>
      </c>
      <c r="K154">
        <v>85.7</v>
      </c>
      <c r="L154">
        <v>104.4</v>
      </c>
      <c r="M154" t="s">
        <v>202</v>
      </c>
      <c r="N154" t="s">
        <v>203</v>
      </c>
      <c r="O154" t="s">
        <v>521</v>
      </c>
    </row>
    <row r="155" spans="1:15" hidden="1" x14ac:dyDescent="0.3">
      <c r="A155">
        <v>1083014</v>
      </c>
      <c r="B155" t="s">
        <v>233</v>
      </c>
      <c r="C155" t="s">
        <v>209</v>
      </c>
      <c r="D155" t="s">
        <v>209</v>
      </c>
      <c r="E155" t="s">
        <v>210</v>
      </c>
      <c r="G155" t="s">
        <v>211</v>
      </c>
      <c r="H155" t="s">
        <v>22</v>
      </c>
      <c r="I155" t="s">
        <v>22</v>
      </c>
      <c r="J155" t="s">
        <v>17</v>
      </c>
      <c r="K155">
        <v>100</v>
      </c>
      <c r="L155">
        <v>111</v>
      </c>
      <c r="M155" t="s">
        <v>212</v>
      </c>
      <c r="N155" t="s">
        <v>213</v>
      </c>
      <c r="O155" t="s">
        <v>521</v>
      </c>
    </row>
    <row r="156" spans="1:15" hidden="1" x14ac:dyDescent="0.3">
      <c r="A156">
        <v>1083014</v>
      </c>
      <c r="B156" t="s">
        <v>233</v>
      </c>
      <c r="C156" t="s">
        <v>209</v>
      </c>
      <c r="D156" t="s">
        <v>209</v>
      </c>
      <c r="E156" t="s">
        <v>210</v>
      </c>
      <c r="G156" t="s">
        <v>214</v>
      </c>
      <c r="H156" t="s">
        <v>22</v>
      </c>
      <c r="I156" t="s">
        <v>22</v>
      </c>
      <c r="J156" t="s">
        <v>17</v>
      </c>
      <c r="K156">
        <v>100</v>
      </c>
      <c r="L156">
        <v>111</v>
      </c>
      <c r="M156" t="s">
        <v>212</v>
      </c>
      <c r="N156" t="s">
        <v>213</v>
      </c>
      <c r="O156" t="s">
        <v>521</v>
      </c>
    </row>
    <row r="157" spans="1:15" hidden="1" x14ac:dyDescent="0.3">
      <c r="A157">
        <v>1083014</v>
      </c>
      <c r="B157" t="s">
        <v>233</v>
      </c>
      <c r="C157" t="s">
        <v>209</v>
      </c>
      <c r="D157" t="s">
        <v>209</v>
      </c>
      <c r="E157" t="s">
        <v>210</v>
      </c>
      <c r="G157" t="s">
        <v>215</v>
      </c>
      <c r="H157" t="s">
        <v>22</v>
      </c>
      <c r="I157" t="s">
        <v>22</v>
      </c>
      <c r="J157" t="s">
        <v>17</v>
      </c>
      <c r="K157">
        <v>100</v>
      </c>
      <c r="L157">
        <v>111</v>
      </c>
      <c r="M157" t="s">
        <v>212</v>
      </c>
      <c r="N157" t="s">
        <v>213</v>
      </c>
      <c r="O157" t="s">
        <v>521</v>
      </c>
    </row>
    <row r="158" spans="1:15" hidden="1" x14ac:dyDescent="0.3">
      <c r="A158">
        <v>1083014</v>
      </c>
      <c r="B158" t="s">
        <v>233</v>
      </c>
      <c r="C158" t="s">
        <v>209</v>
      </c>
      <c r="D158" t="s">
        <v>209</v>
      </c>
      <c r="E158" t="s">
        <v>210</v>
      </c>
      <c r="G158" t="s">
        <v>216</v>
      </c>
      <c r="H158" t="s">
        <v>22</v>
      </c>
      <c r="I158" t="s">
        <v>22</v>
      </c>
      <c r="J158" t="s">
        <v>17</v>
      </c>
      <c r="K158">
        <v>100</v>
      </c>
      <c r="L158">
        <v>111</v>
      </c>
      <c r="M158" t="s">
        <v>212</v>
      </c>
      <c r="N158" t="s">
        <v>213</v>
      </c>
      <c r="O158" t="s">
        <v>521</v>
      </c>
    </row>
    <row r="159" spans="1:15" hidden="1" x14ac:dyDescent="0.3">
      <c r="A159">
        <v>1083014</v>
      </c>
      <c r="B159" t="s">
        <v>233</v>
      </c>
      <c r="C159" t="s">
        <v>209</v>
      </c>
      <c r="D159" t="s">
        <v>209</v>
      </c>
      <c r="E159" t="s">
        <v>210</v>
      </c>
      <c r="G159" t="s">
        <v>217</v>
      </c>
      <c r="H159" t="s">
        <v>22</v>
      </c>
      <c r="I159" t="s">
        <v>22</v>
      </c>
      <c r="J159" t="s">
        <v>17</v>
      </c>
      <c r="K159">
        <v>100</v>
      </c>
      <c r="L159">
        <v>111</v>
      </c>
      <c r="M159" t="s">
        <v>212</v>
      </c>
      <c r="N159" t="s">
        <v>213</v>
      </c>
      <c r="O159" t="s">
        <v>521</v>
      </c>
    </row>
    <row r="160" spans="1:15" hidden="1" x14ac:dyDescent="0.3">
      <c r="A160">
        <v>1083014</v>
      </c>
      <c r="B160" t="s">
        <v>233</v>
      </c>
      <c r="C160" t="s">
        <v>209</v>
      </c>
      <c r="D160" t="s">
        <v>209</v>
      </c>
      <c r="E160" t="s">
        <v>210</v>
      </c>
      <c r="G160" t="s">
        <v>218</v>
      </c>
      <c r="H160" t="s">
        <v>22</v>
      </c>
      <c r="I160" t="s">
        <v>22</v>
      </c>
      <c r="J160" t="s">
        <v>17</v>
      </c>
      <c r="K160">
        <v>100</v>
      </c>
      <c r="L160">
        <v>111</v>
      </c>
      <c r="M160" t="s">
        <v>212</v>
      </c>
      <c r="N160" t="s">
        <v>213</v>
      </c>
      <c r="O160" t="s">
        <v>521</v>
      </c>
    </row>
    <row r="161" spans="1:15" hidden="1" x14ac:dyDescent="0.3">
      <c r="A161">
        <v>1083014</v>
      </c>
      <c r="B161" t="s">
        <v>233</v>
      </c>
      <c r="C161" t="s">
        <v>209</v>
      </c>
      <c r="D161" t="s">
        <v>209</v>
      </c>
      <c r="E161" t="s">
        <v>210</v>
      </c>
      <c r="G161" t="s">
        <v>219</v>
      </c>
      <c r="H161" t="s">
        <v>22</v>
      </c>
      <c r="I161" t="s">
        <v>22</v>
      </c>
      <c r="J161" t="s">
        <v>17</v>
      </c>
      <c r="K161">
        <v>100</v>
      </c>
      <c r="L161">
        <v>111</v>
      </c>
      <c r="M161" t="s">
        <v>212</v>
      </c>
      <c r="N161" t="s">
        <v>213</v>
      </c>
      <c r="O161" t="s">
        <v>521</v>
      </c>
    </row>
    <row r="162" spans="1:15" hidden="1" x14ac:dyDescent="0.3">
      <c r="A162">
        <v>1083014</v>
      </c>
      <c r="B162" t="s">
        <v>233</v>
      </c>
      <c r="C162" t="s">
        <v>209</v>
      </c>
      <c r="D162" t="s">
        <v>209</v>
      </c>
      <c r="E162" t="s">
        <v>210</v>
      </c>
      <c r="G162" t="s">
        <v>220</v>
      </c>
      <c r="H162" t="s">
        <v>22</v>
      </c>
      <c r="I162" t="s">
        <v>22</v>
      </c>
      <c r="J162" t="s">
        <v>17</v>
      </c>
      <c r="K162">
        <v>100</v>
      </c>
      <c r="L162">
        <v>111</v>
      </c>
      <c r="M162" t="s">
        <v>212</v>
      </c>
      <c r="N162" t="s">
        <v>213</v>
      </c>
      <c r="O162" t="s">
        <v>521</v>
      </c>
    </row>
    <row r="163" spans="1:15" hidden="1" x14ac:dyDescent="0.3">
      <c r="A163">
        <v>1083014</v>
      </c>
      <c r="B163" t="s">
        <v>233</v>
      </c>
      <c r="C163" t="s">
        <v>209</v>
      </c>
      <c r="D163" t="s">
        <v>209</v>
      </c>
      <c r="E163" t="s">
        <v>210</v>
      </c>
      <c r="G163" t="s">
        <v>221</v>
      </c>
      <c r="H163" t="s">
        <v>22</v>
      </c>
      <c r="I163" t="s">
        <v>22</v>
      </c>
      <c r="J163" t="s">
        <v>17</v>
      </c>
      <c r="K163">
        <v>100</v>
      </c>
      <c r="L163">
        <v>111</v>
      </c>
      <c r="M163" t="s">
        <v>212</v>
      </c>
      <c r="N163" t="s">
        <v>213</v>
      </c>
      <c r="O163" t="s">
        <v>521</v>
      </c>
    </row>
    <row r="164" spans="1:15" hidden="1" x14ac:dyDescent="0.3">
      <c r="A164">
        <v>1083014</v>
      </c>
      <c r="B164" t="s">
        <v>233</v>
      </c>
      <c r="C164" t="s">
        <v>209</v>
      </c>
      <c r="D164" t="s">
        <v>209</v>
      </c>
      <c r="E164" t="s">
        <v>210</v>
      </c>
      <c r="G164" t="s">
        <v>222</v>
      </c>
      <c r="H164" t="s">
        <v>22</v>
      </c>
      <c r="I164" t="s">
        <v>22</v>
      </c>
      <c r="J164" t="s">
        <v>17</v>
      </c>
      <c r="K164">
        <v>100</v>
      </c>
      <c r="L164">
        <v>111</v>
      </c>
      <c r="M164" t="s">
        <v>212</v>
      </c>
      <c r="N164" t="s">
        <v>213</v>
      </c>
      <c r="O164" t="s">
        <v>521</v>
      </c>
    </row>
    <row r="165" spans="1:15" hidden="1" x14ac:dyDescent="0.3">
      <c r="A165">
        <v>1083014</v>
      </c>
      <c r="B165" t="s">
        <v>233</v>
      </c>
      <c r="C165" t="s">
        <v>209</v>
      </c>
      <c r="D165" t="s">
        <v>209</v>
      </c>
      <c r="E165" t="s">
        <v>210</v>
      </c>
      <c r="G165" t="s">
        <v>223</v>
      </c>
      <c r="H165" t="s">
        <v>22</v>
      </c>
      <c r="I165" t="s">
        <v>22</v>
      </c>
      <c r="J165" t="s">
        <v>17</v>
      </c>
      <c r="K165">
        <v>100</v>
      </c>
      <c r="L165">
        <v>111</v>
      </c>
      <c r="M165" t="s">
        <v>212</v>
      </c>
      <c r="N165" t="s">
        <v>213</v>
      </c>
      <c r="O165" t="s">
        <v>521</v>
      </c>
    </row>
    <row r="166" spans="1:15" hidden="1" x14ac:dyDescent="0.3">
      <c r="A166">
        <v>1083014</v>
      </c>
      <c r="B166" t="s">
        <v>233</v>
      </c>
      <c r="C166" t="s">
        <v>209</v>
      </c>
      <c r="D166" t="s">
        <v>209</v>
      </c>
      <c r="E166" t="s">
        <v>210</v>
      </c>
      <c r="G166" t="s">
        <v>224</v>
      </c>
      <c r="H166" t="s">
        <v>22</v>
      </c>
      <c r="I166" t="s">
        <v>22</v>
      </c>
      <c r="J166" t="s">
        <v>17</v>
      </c>
      <c r="K166">
        <v>100</v>
      </c>
      <c r="L166">
        <v>111</v>
      </c>
      <c r="M166" t="s">
        <v>212</v>
      </c>
      <c r="N166" t="s">
        <v>213</v>
      </c>
      <c r="O166" t="s">
        <v>521</v>
      </c>
    </row>
    <row r="167" spans="1:15" hidden="1" x14ac:dyDescent="0.3">
      <c r="A167">
        <v>1083014</v>
      </c>
      <c r="B167" t="s">
        <v>233</v>
      </c>
      <c r="C167" t="s">
        <v>209</v>
      </c>
      <c r="D167" t="s">
        <v>209</v>
      </c>
      <c r="E167" t="s">
        <v>210</v>
      </c>
      <c r="G167" t="s">
        <v>225</v>
      </c>
      <c r="H167" t="s">
        <v>22</v>
      </c>
      <c r="I167" t="s">
        <v>22</v>
      </c>
      <c r="J167" t="s">
        <v>17</v>
      </c>
      <c r="K167">
        <v>100</v>
      </c>
      <c r="L167">
        <v>111</v>
      </c>
      <c r="M167" t="s">
        <v>212</v>
      </c>
      <c r="N167" t="s">
        <v>213</v>
      </c>
      <c r="O167" t="s">
        <v>521</v>
      </c>
    </row>
    <row r="168" spans="1:15" hidden="1" x14ac:dyDescent="0.3">
      <c r="A168">
        <v>1083014</v>
      </c>
      <c r="B168" t="s">
        <v>233</v>
      </c>
      <c r="C168" t="s">
        <v>209</v>
      </c>
      <c r="D168" t="s">
        <v>209</v>
      </c>
      <c r="E168" t="s">
        <v>210</v>
      </c>
      <c r="G168" t="s">
        <v>226</v>
      </c>
      <c r="H168" t="s">
        <v>22</v>
      </c>
      <c r="I168" t="s">
        <v>22</v>
      </c>
      <c r="J168" t="s">
        <v>17</v>
      </c>
      <c r="K168">
        <v>100</v>
      </c>
      <c r="L168">
        <v>111</v>
      </c>
      <c r="M168" t="s">
        <v>212</v>
      </c>
      <c r="N168" t="s">
        <v>213</v>
      </c>
      <c r="O168" t="s">
        <v>521</v>
      </c>
    </row>
    <row r="169" spans="1:15" hidden="1" x14ac:dyDescent="0.3">
      <c r="A169">
        <v>1083014</v>
      </c>
      <c r="B169" t="s">
        <v>233</v>
      </c>
      <c r="C169" t="s">
        <v>209</v>
      </c>
      <c r="D169" t="s">
        <v>209</v>
      </c>
      <c r="E169" t="s">
        <v>210</v>
      </c>
      <c r="G169" t="s">
        <v>227</v>
      </c>
      <c r="H169" t="s">
        <v>22</v>
      </c>
      <c r="I169" t="s">
        <v>22</v>
      </c>
      <c r="J169" t="s">
        <v>17</v>
      </c>
      <c r="K169">
        <v>100</v>
      </c>
      <c r="L169">
        <v>111</v>
      </c>
      <c r="M169" t="s">
        <v>212</v>
      </c>
      <c r="N169" t="s">
        <v>213</v>
      </c>
      <c r="O169" t="s">
        <v>521</v>
      </c>
    </row>
    <row r="170" spans="1:15" hidden="1" x14ac:dyDescent="0.3">
      <c r="A170">
        <v>1083014</v>
      </c>
      <c r="B170" t="s">
        <v>233</v>
      </c>
      <c r="C170" t="s">
        <v>209</v>
      </c>
      <c r="D170" t="s">
        <v>209</v>
      </c>
      <c r="E170" t="s">
        <v>210</v>
      </c>
      <c r="G170" t="s">
        <v>228</v>
      </c>
      <c r="H170" t="s">
        <v>22</v>
      </c>
      <c r="I170" t="s">
        <v>22</v>
      </c>
      <c r="J170" t="s">
        <v>17</v>
      </c>
      <c r="K170">
        <v>100</v>
      </c>
      <c r="L170">
        <v>111</v>
      </c>
      <c r="M170" t="s">
        <v>212</v>
      </c>
      <c r="N170" t="s">
        <v>213</v>
      </c>
      <c r="O170" t="s">
        <v>521</v>
      </c>
    </row>
    <row r="171" spans="1:15" hidden="1" x14ac:dyDescent="0.3">
      <c r="A171">
        <v>1083014</v>
      </c>
      <c r="B171" t="s">
        <v>233</v>
      </c>
      <c r="C171" t="s">
        <v>209</v>
      </c>
      <c r="D171" t="s">
        <v>209</v>
      </c>
      <c r="E171" t="s">
        <v>210</v>
      </c>
      <c r="G171" t="s">
        <v>229</v>
      </c>
      <c r="H171" t="s">
        <v>22</v>
      </c>
      <c r="I171" t="s">
        <v>22</v>
      </c>
      <c r="J171" t="s">
        <v>17</v>
      </c>
      <c r="K171">
        <v>100</v>
      </c>
      <c r="L171">
        <v>111</v>
      </c>
      <c r="M171" t="s">
        <v>212</v>
      </c>
      <c r="N171" t="s">
        <v>213</v>
      </c>
      <c r="O171" t="s">
        <v>521</v>
      </c>
    </row>
    <row r="172" spans="1:15" hidden="1" x14ac:dyDescent="0.3">
      <c r="A172">
        <v>1083014</v>
      </c>
      <c r="B172" t="s">
        <v>233</v>
      </c>
      <c r="C172" t="s">
        <v>209</v>
      </c>
      <c r="D172" t="s">
        <v>209</v>
      </c>
      <c r="E172" t="s">
        <v>210</v>
      </c>
      <c r="G172" t="s">
        <v>230</v>
      </c>
      <c r="H172" t="s">
        <v>22</v>
      </c>
      <c r="I172" t="s">
        <v>22</v>
      </c>
      <c r="J172" t="s">
        <v>17</v>
      </c>
      <c r="K172">
        <v>100</v>
      </c>
      <c r="L172">
        <v>111</v>
      </c>
      <c r="M172" t="s">
        <v>212</v>
      </c>
      <c r="N172" t="s">
        <v>213</v>
      </c>
      <c r="O172" t="s">
        <v>521</v>
      </c>
    </row>
    <row r="173" spans="1:15" hidden="1" x14ac:dyDescent="0.3">
      <c r="A173">
        <v>1083014</v>
      </c>
      <c r="B173" t="s">
        <v>233</v>
      </c>
      <c r="C173" t="s">
        <v>209</v>
      </c>
      <c r="D173" t="s">
        <v>209</v>
      </c>
      <c r="E173" t="s">
        <v>210</v>
      </c>
      <c r="G173" t="s">
        <v>231</v>
      </c>
      <c r="H173" t="s">
        <v>22</v>
      </c>
      <c r="I173" t="s">
        <v>22</v>
      </c>
      <c r="J173" t="s">
        <v>17</v>
      </c>
      <c r="K173">
        <v>100</v>
      </c>
      <c r="L173">
        <v>111</v>
      </c>
      <c r="M173" t="s">
        <v>212</v>
      </c>
      <c r="N173" t="s">
        <v>213</v>
      </c>
      <c r="O173" t="s">
        <v>521</v>
      </c>
    </row>
    <row r="174" spans="1:15" hidden="1" x14ac:dyDescent="0.3">
      <c r="A174">
        <v>1083014</v>
      </c>
      <c r="B174" t="s">
        <v>233</v>
      </c>
      <c r="C174" t="s">
        <v>209</v>
      </c>
      <c r="D174" t="s">
        <v>209</v>
      </c>
      <c r="E174" t="s">
        <v>210</v>
      </c>
      <c r="G174" t="s">
        <v>232</v>
      </c>
      <c r="H174" t="s">
        <v>22</v>
      </c>
      <c r="I174" t="s">
        <v>22</v>
      </c>
      <c r="J174" t="s">
        <v>17</v>
      </c>
      <c r="K174">
        <v>100</v>
      </c>
      <c r="L174">
        <v>111</v>
      </c>
      <c r="M174" t="s">
        <v>212</v>
      </c>
      <c r="N174" t="s">
        <v>213</v>
      </c>
      <c r="O174" t="s">
        <v>521</v>
      </c>
    </row>
    <row r="175" spans="1:15" hidden="1" x14ac:dyDescent="0.3">
      <c r="A175">
        <v>1083157</v>
      </c>
      <c r="B175" t="s">
        <v>234</v>
      </c>
      <c r="C175" t="s">
        <v>235</v>
      </c>
      <c r="H175" t="s">
        <v>16</v>
      </c>
      <c r="I175" t="s">
        <v>16</v>
      </c>
      <c r="J175" t="s">
        <v>17</v>
      </c>
      <c r="K175">
        <v>0</v>
      </c>
      <c r="L175">
        <v>0</v>
      </c>
      <c r="O175" t="s">
        <v>521</v>
      </c>
    </row>
    <row r="176" spans="1:15" hidden="1" x14ac:dyDescent="0.3">
      <c r="A176">
        <v>1083157</v>
      </c>
      <c r="B176" t="s">
        <v>234</v>
      </c>
      <c r="C176" t="s">
        <v>236</v>
      </c>
      <c r="H176" t="s">
        <v>16</v>
      </c>
      <c r="I176" t="s">
        <v>16</v>
      </c>
      <c r="J176" t="s">
        <v>17</v>
      </c>
      <c r="K176">
        <v>0</v>
      </c>
      <c r="L176">
        <v>0</v>
      </c>
      <c r="O176" t="s">
        <v>521</v>
      </c>
    </row>
    <row r="177" spans="1:15" hidden="1" x14ac:dyDescent="0.3">
      <c r="A177">
        <v>1083160</v>
      </c>
      <c r="B177" t="s">
        <v>237</v>
      </c>
      <c r="C177" t="s">
        <v>61</v>
      </c>
      <c r="H177" t="s">
        <v>16</v>
      </c>
      <c r="I177" t="s">
        <v>16</v>
      </c>
      <c r="J177" t="s">
        <v>17</v>
      </c>
      <c r="K177">
        <v>0</v>
      </c>
      <c r="L177">
        <v>0</v>
      </c>
      <c r="O177" t="s">
        <v>521</v>
      </c>
    </row>
    <row r="178" spans="1:15" hidden="1" x14ac:dyDescent="0.3">
      <c r="A178">
        <v>1083160</v>
      </c>
      <c r="B178" t="s">
        <v>237</v>
      </c>
      <c r="C178" t="s">
        <v>136</v>
      </c>
      <c r="H178" t="s">
        <v>16</v>
      </c>
      <c r="I178" t="s">
        <v>16</v>
      </c>
      <c r="J178" t="s">
        <v>17</v>
      </c>
      <c r="K178">
        <v>0</v>
      </c>
      <c r="L178">
        <v>0</v>
      </c>
      <c r="O178" t="s">
        <v>521</v>
      </c>
    </row>
    <row r="179" spans="1:15" hidden="1" x14ac:dyDescent="0.3">
      <c r="A179">
        <v>1084520</v>
      </c>
      <c r="B179" t="s">
        <v>238</v>
      </c>
      <c r="C179" t="s">
        <v>239</v>
      </c>
      <c r="D179" t="s">
        <v>239</v>
      </c>
      <c r="E179" t="s">
        <v>240</v>
      </c>
      <c r="H179" t="s">
        <v>22</v>
      </c>
      <c r="I179" t="s">
        <v>22</v>
      </c>
      <c r="J179" t="s">
        <v>17</v>
      </c>
      <c r="K179">
        <v>100</v>
      </c>
      <c r="L179">
        <v>112</v>
      </c>
      <c r="M179" t="s">
        <v>241</v>
      </c>
      <c r="N179" t="s">
        <v>242</v>
      </c>
      <c r="O179" t="s">
        <v>522</v>
      </c>
    </row>
    <row r="180" spans="1:15" hidden="1" x14ac:dyDescent="0.3">
      <c r="A180">
        <v>1084520</v>
      </c>
      <c r="B180" t="s">
        <v>238</v>
      </c>
      <c r="C180" t="s">
        <v>243</v>
      </c>
      <c r="D180" t="s">
        <v>243</v>
      </c>
      <c r="E180" t="s">
        <v>244</v>
      </c>
      <c r="H180" t="s">
        <v>22</v>
      </c>
      <c r="I180" t="s">
        <v>22</v>
      </c>
      <c r="J180" t="s">
        <v>17</v>
      </c>
      <c r="K180">
        <v>100</v>
      </c>
      <c r="L180">
        <v>111</v>
      </c>
      <c r="M180" t="s">
        <v>245</v>
      </c>
      <c r="N180" t="s">
        <v>246</v>
      </c>
      <c r="O180" t="s">
        <v>522</v>
      </c>
    </row>
    <row r="181" spans="1:15" hidden="1" x14ac:dyDescent="0.3">
      <c r="A181">
        <v>1084520</v>
      </c>
      <c r="B181" t="s">
        <v>238</v>
      </c>
      <c r="C181" t="s">
        <v>247</v>
      </c>
      <c r="D181" t="s">
        <v>248</v>
      </c>
      <c r="E181" t="s">
        <v>249</v>
      </c>
      <c r="H181" t="s">
        <v>46</v>
      </c>
      <c r="I181" t="s">
        <v>46</v>
      </c>
      <c r="J181" t="s">
        <v>17</v>
      </c>
      <c r="K181">
        <v>100</v>
      </c>
      <c r="L181">
        <v>50</v>
      </c>
      <c r="M181" t="s">
        <v>250</v>
      </c>
      <c r="N181" t="s">
        <v>251</v>
      </c>
      <c r="O181" t="s">
        <v>522</v>
      </c>
    </row>
    <row r="182" spans="1:15" hidden="1" x14ac:dyDescent="0.3">
      <c r="A182">
        <v>1084520</v>
      </c>
      <c r="B182" t="s">
        <v>238</v>
      </c>
      <c r="C182" t="s">
        <v>252</v>
      </c>
      <c r="D182" t="s">
        <v>252</v>
      </c>
      <c r="E182" t="s">
        <v>253</v>
      </c>
      <c r="H182" t="s">
        <v>22</v>
      </c>
      <c r="I182" t="s">
        <v>22</v>
      </c>
      <c r="J182" t="s">
        <v>17</v>
      </c>
      <c r="K182">
        <v>100</v>
      </c>
      <c r="L182">
        <v>112</v>
      </c>
      <c r="M182" t="s">
        <v>254</v>
      </c>
      <c r="N182" t="s">
        <v>255</v>
      </c>
      <c r="O182" t="s">
        <v>522</v>
      </c>
    </row>
    <row r="183" spans="1:15" hidden="1" x14ac:dyDescent="0.3">
      <c r="A183">
        <v>1084520</v>
      </c>
      <c r="B183" t="s">
        <v>238</v>
      </c>
      <c r="C183" t="s">
        <v>256</v>
      </c>
      <c r="D183" t="s">
        <v>257</v>
      </c>
      <c r="E183" t="s">
        <v>258</v>
      </c>
      <c r="G183" t="s">
        <v>259</v>
      </c>
      <c r="H183" t="s">
        <v>22</v>
      </c>
      <c r="I183" t="s">
        <v>22</v>
      </c>
      <c r="J183" t="s">
        <v>17</v>
      </c>
      <c r="K183">
        <v>93.8</v>
      </c>
      <c r="L183">
        <v>108.2</v>
      </c>
      <c r="O183" t="s">
        <v>521</v>
      </c>
    </row>
    <row r="184" spans="1:15" hidden="1" x14ac:dyDescent="0.3">
      <c r="A184">
        <v>1084520</v>
      </c>
      <c r="B184" t="s">
        <v>238</v>
      </c>
      <c r="C184" t="s">
        <v>256</v>
      </c>
      <c r="D184" t="s">
        <v>257</v>
      </c>
      <c r="E184" t="s">
        <v>258</v>
      </c>
      <c r="G184" t="s">
        <v>260</v>
      </c>
      <c r="H184" t="s">
        <v>22</v>
      </c>
      <c r="I184" t="s">
        <v>22</v>
      </c>
      <c r="J184" t="s">
        <v>17</v>
      </c>
      <c r="K184">
        <v>93.8</v>
      </c>
      <c r="L184">
        <v>108.2</v>
      </c>
      <c r="O184" t="s">
        <v>521</v>
      </c>
    </row>
    <row r="185" spans="1:15" hidden="1" x14ac:dyDescent="0.3">
      <c r="A185">
        <v>1084520</v>
      </c>
      <c r="B185" t="s">
        <v>238</v>
      </c>
      <c r="C185" t="s">
        <v>256</v>
      </c>
      <c r="D185" t="s">
        <v>257</v>
      </c>
      <c r="E185" t="s">
        <v>258</v>
      </c>
      <c r="G185" t="s">
        <v>261</v>
      </c>
      <c r="H185" t="s">
        <v>22</v>
      </c>
      <c r="I185" t="s">
        <v>22</v>
      </c>
      <c r="J185" t="s">
        <v>17</v>
      </c>
      <c r="K185">
        <v>93.8</v>
      </c>
      <c r="L185">
        <v>108.2</v>
      </c>
      <c r="O185" t="s">
        <v>521</v>
      </c>
    </row>
    <row r="186" spans="1:15" hidden="1" x14ac:dyDescent="0.3">
      <c r="A186">
        <v>1084520</v>
      </c>
      <c r="B186" t="s">
        <v>238</v>
      </c>
      <c r="C186" t="s">
        <v>256</v>
      </c>
      <c r="D186" t="s">
        <v>257</v>
      </c>
      <c r="E186" t="s">
        <v>258</v>
      </c>
      <c r="G186" t="s">
        <v>262</v>
      </c>
      <c r="H186" t="s">
        <v>22</v>
      </c>
      <c r="I186" t="s">
        <v>22</v>
      </c>
      <c r="J186" t="s">
        <v>17</v>
      </c>
      <c r="K186">
        <v>93.8</v>
      </c>
      <c r="L186">
        <v>108.2</v>
      </c>
      <c r="O186" t="s">
        <v>521</v>
      </c>
    </row>
    <row r="187" spans="1:15" hidden="1" x14ac:dyDescent="0.3">
      <c r="A187">
        <v>1084520</v>
      </c>
      <c r="B187" t="s">
        <v>238</v>
      </c>
      <c r="C187" t="s">
        <v>256</v>
      </c>
      <c r="D187" t="s">
        <v>257</v>
      </c>
      <c r="E187" t="s">
        <v>258</v>
      </c>
      <c r="G187" t="s">
        <v>263</v>
      </c>
      <c r="H187" t="s">
        <v>22</v>
      </c>
      <c r="I187" t="s">
        <v>22</v>
      </c>
      <c r="J187" t="s">
        <v>17</v>
      </c>
      <c r="K187">
        <v>93.8</v>
      </c>
      <c r="L187">
        <v>108.2</v>
      </c>
      <c r="O187" t="s">
        <v>521</v>
      </c>
    </row>
    <row r="188" spans="1:15" hidden="1" x14ac:dyDescent="0.3">
      <c r="A188">
        <v>1084520</v>
      </c>
      <c r="B188" t="s">
        <v>238</v>
      </c>
      <c r="C188" t="s">
        <v>256</v>
      </c>
      <c r="D188" t="s">
        <v>257</v>
      </c>
      <c r="E188" t="s">
        <v>258</v>
      </c>
      <c r="G188" t="s">
        <v>264</v>
      </c>
      <c r="H188" t="s">
        <v>22</v>
      </c>
      <c r="I188" t="s">
        <v>22</v>
      </c>
      <c r="J188" t="s">
        <v>17</v>
      </c>
      <c r="K188">
        <v>93.8</v>
      </c>
      <c r="L188">
        <v>108.2</v>
      </c>
      <c r="O188" t="s">
        <v>521</v>
      </c>
    </row>
    <row r="189" spans="1:15" hidden="1" x14ac:dyDescent="0.3">
      <c r="A189">
        <v>1084520</v>
      </c>
      <c r="B189" t="s">
        <v>238</v>
      </c>
      <c r="C189" t="s">
        <v>256</v>
      </c>
      <c r="D189" t="s">
        <v>257</v>
      </c>
      <c r="E189" t="s">
        <v>258</v>
      </c>
      <c r="G189" t="s">
        <v>265</v>
      </c>
      <c r="H189" t="s">
        <v>22</v>
      </c>
      <c r="I189" t="s">
        <v>22</v>
      </c>
      <c r="J189" t="s">
        <v>17</v>
      </c>
      <c r="K189">
        <v>93.8</v>
      </c>
      <c r="L189">
        <v>108.2</v>
      </c>
      <c r="O189" t="s">
        <v>521</v>
      </c>
    </row>
    <row r="190" spans="1:15" hidden="1" x14ac:dyDescent="0.3">
      <c r="A190">
        <v>1084520</v>
      </c>
      <c r="B190" t="s">
        <v>238</v>
      </c>
      <c r="C190" t="s">
        <v>256</v>
      </c>
      <c r="D190" t="s">
        <v>257</v>
      </c>
      <c r="E190" t="s">
        <v>258</v>
      </c>
      <c r="G190" t="s">
        <v>266</v>
      </c>
      <c r="H190" t="s">
        <v>22</v>
      </c>
      <c r="I190" t="s">
        <v>22</v>
      </c>
      <c r="J190" t="s">
        <v>17</v>
      </c>
      <c r="K190">
        <v>93.8</v>
      </c>
      <c r="L190">
        <v>108.2</v>
      </c>
      <c r="O190" t="s">
        <v>521</v>
      </c>
    </row>
    <row r="191" spans="1:15" hidden="1" x14ac:dyDescent="0.3">
      <c r="A191">
        <v>1084520</v>
      </c>
      <c r="B191" t="s">
        <v>238</v>
      </c>
      <c r="C191" t="s">
        <v>256</v>
      </c>
      <c r="D191" t="s">
        <v>257</v>
      </c>
      <c r="E191" t="s">
        <v>258</v>
      </c>
      <c r="G191" t="s">
        <v>267</v>
      </c>
      <c r="H191" t="s">
        <v>22</v>
      </c>
      <c r="I191" t="s">
        <v>22</v>
      </c>
      <c r="J191" t="s">
        <v>17</v>
      </c>
      <c r="K191">
        <v>93.8</v>
      </c>
      <c r="L191">
        <v>108.2</v>
      </c>
      <c r="O191" t="s">
        <v>521</v>
      </c>
    </row>
    <row r="192" spans="1:15" hidden="1" x14ac:dyDescent="0.3">
      <c r="A192">
        <v>1084520</v>
      </c>
      <c r="B192" t="s">
        <v>238</v>
      </c>
      <c r="C192" t="s">
        <v>256</v>
      </c>
      <c r="D192" t="s">
        <v>257</v>
      </c>
      <c r="E192" t="s">
        <v>258</v>
      </c>
      <c r="G192" t="s">
        <v>268</v>
      </c>
      <c r="H192" t="s">
        <v>22</v>
      </c>
      <c r="I192" t="s">
        <v>22</v>
      </c>
      <c r="J192" t="s">
        <v>17</v>
      </c>
      <c r="K192">
        <v>93.8</v>
      </c>
      <c r="L192">
        <v>108.2</v>
      </c>
      <c r="O192" t="s">
        <v>521</v>
      </c>
    </row>
    <row r="193" spans="1:15" hidden="1" x14ac:dyDescent="0.3">
      <c r="A193">
        <v>1084520</v>
      </c>
      <c r="B193" t="s">
        <v>238</v>
      </c>
      <c r="C193" t="s">
        <v>256</v>
      </c>
      <c r="D193" t="s">
        <v>257</v>
      </c>
      <c r="E193" t="s">
        <v>258</v>
      </c>
      <c r="G193" t="s">
        <v>269</v>
      </c>
      <c r="H193" t="s">
        <v>22</v>
      </c>
      <c r="I193" t="s">
        <v>22</v>
      </c>
      <c r="J193" t="s">
        <v>17</v>
      </c>
      <c r="K193">
        <v>93.8</v>
      </c>
      <c r="L193">
        <v>108.2</v>
      </c>
      <c r="O193" t="s">
        <v>521</v>
      </c>
    </row>
    <row r="194" spans="1:15" hidden="1" x14ac:dyDescent="0.3">
      <c r="A194">
        <v>1084520</v>
      </c>
      <c r="B194" t="s">
        <v>238</v>
      </c>
      <c r="C194" t="s">
        <v>256</v>
      </c>
      <c r="D194" t="s">
        <v>257</v>
      </c>
      <c r="E194" t="s">
        <v>258</v>
      </c>
      <c r="G194" t="s">
        <v>270</v>
      </c>
      <c r="H194" t="s">
        <v>22</v>
      </c>
      <c r="I194" t="s">
        <v>22</v>
      </c>
      <c r="J194" t="s">
        <v>17</v>
      </c>
      <c r="K194">
        <v>93.8</v>
      </c>
      <c r="L194">
        <v>108.2</v>
      </c>
      <c r="O194" t="s">
        <v>521</v>
      </c>
    </row>
    <row r="195" spans="1:15" hidden="1" x14ac:dyDescent="0.3">
      <c r="A195">
        <v>1084520</v>
      </c>
      <c r="B195" t="s">
        <v>238</v>
      </c>
      <c r="C195" t="s">
        <v>256</v>
      </c>
      <c r="D195" t="s">
        <v>257</v>
      </c>
      <c r="E195" t="s">
        <v>258</v>
      </c>
      <c r="G195" t="s">
        <v>271</v>
      </c>
      <c r="H195" t="s">
        <v>22</v>
      </c>
      <c r="I195" t="s">
        <v>22</v>
      </c>
      <c r="J195" t="s">
        <v>17</v>
      </c>
      <c r="K195">
        <v>93.8</v>
      </c>
      <c r="L195">
        <v>108.2</v>
      </c>
      <c r="O195" t="s">
        <v>521</v>
      </c>
    </row>
    <row r="196" spans="1:15" hidden="1" x14ac:dyDescent="0.3">
      <c r="A196">
        <v>1084520</v>
      </c>
      <c r="B196" t="s">
        <v>238</v>
      </c>
      <c r="C196" t="s">
        <v>256</v>
      </c>
      <c r="D196" t="s">
        <v>257</v>
      </c>
      <c r="E196" t="s">
        <v>258</v>
      </c>
      <c r="G196" t="s">
        <v>272</v>
      </c>
      <c r="H196" t="s">
        <v>22</v>
      </c>
      <c r="I196" t="s">
        <v>22</v>
      </c>
      <c r="J196" t="s">
        <v>17</v>
      </c>
      <c r="K196">
        <v>93.8</v>
      </c>
      <c r="L196">
        <v>108.2</v>
      </c>
      <c r="O196" t="s">
        <v>521</v>
      </c>
    </row>
    <row r="197" spans="1:15" hidden="1" x14ac:dyDescent="0.3">
      <c r="A197">
        <v>1084520</v>
      </c>
      <c r="B197" t="s">
        <v>238</v>
      </c>
      <c r="C197" t="s">
        <v>256</v>
      </c>
      <c r="D197" t="s">
        <v>257</v>
      </c>
      <c r="E197" t="s">
        <v>258</v>
      </c>
      <c r="G197" t="s">
        <v>273</v>
      </c>
      <c r="H197" t="s">
        <v>22</v>
      </c>
      <c r="I197" t="s">
        <v>22</v>
      </c>
      <c r="J197" t="s">
        <v>17</v>
      </c>
      <c r="K197">
        <v>93.8</v>
      </c>
      <c r="L197">
        <v>108.2</v>
      </c>
      <c r="O197" t="s">
        <v>521</v>
      </c>
    </row>
    <row r="198" spans="1:15" hidden="1" x14ac:dyDescent="0.3">
      <c r="A198">
        <v>1084520</v>
      </c>
      <c r="B198" t="s">
        <v>238</v>
      </c>
      <c r="C198" t="s">
        <v>256</v>
      </c>
      <c r="D198" t="s">
        <v>257</v>
      </c>
      <c r="E198" t="s">
        <v>258</v>
      </c>
      <c r="G198" t="s">
        <v>274</v>
      </c>
      <c r="H198" t="s">
        <v>22</v>
      </c>
      <c r="I198" t="s">
        <v>22</v>
      </c>
      <c r="J198" t="s">
        <v>17</v>
      </c>
      <c r="K198">
        <v>93.8</v>
      </c>
      <c r="L198">
        <v>108.2</v>
      </c>
      <c r="O198" t="s">
        <v>521</v>
      </c>
    </row>
    <row r="199" spans="1:15" hidden="1" x14ac:dyDescent="0.3">
      <c r="A199">
        <v>1084520</v>
      </c>
      <c r="B199" t="s">
        <v>238</v>
      </c>
      <c r="C199" t="s">
        <v>256</v>
      </c>
      <c r="D199" t="s">
        <v>257</v>
      </c>
      <c r="E199" t="s">
        <v>258</v>
      </c>
      <c r="G199" t="s">
        <v>275</v>
      </c>
      <c r="H199" t="s">
        <v>22</v>
      </c>
      <c r="I199" t="s">
        <v>22</v>
      </c>
      <c r="J199" t="s">
        <v>17</v>
      </c>
      <c r="K199">
        <v>93.8</v>
      </c>
      <c r="L199">
        <v>108.2</v>
      </c>
      <c r="O199" t="s">
        <v>521</v>
      </c>
    </row>
    <row r="200" spans="1:15" hidden="1" x14ac:dyDescent="0.3">
      <c r="A200">
        <v>1084520</v>
      </c>
      <c r="B200" t="s">
        <v>238</v>
      </c>
      <c r="C200" t="s">
        <v>256</v>
      </c>
      <c r="D200" t="s">
        <v>257</v>
      </c>
      <c r="E200" t="s">
        <v>258</v>
      </c>
      <c r="G200" t="s">
        <v>276</v>
      </c>
      <c r="H200" t="s">
        <v>22</v>
      </c>
      <c r="I200" t="s">
        <v>22</v>
      </c>
      <c r="J200" t="s">
        <v>17</v>
      </c>
      <c r="K200">
        <v>93.8</v>
      </c>
      <c r="L200">
        <v>108.2</v>
      </c>
      <c r="O200" t="s">
        <v>521</v>
      </c>
    </row>
    <row r="201" spans="1:15" hidden="1" x14ac:dyDescent="0.3">
      <c r="A201">
        <v>1084520</v>
      </c>
      <c r="B201" t="s">
        <v>238</v>
      </c>
      <c r="C201" t="s">
        <v>256</v>
      </c>
      <c r="D201" t="s">
        <v>257</v>
      </c>
      <c r="E201" t="s">
        <v>258</v>
      </c>
      <c r="G201" t="s">
        <v>277</v>
      </c>
      <c r="H201" t="s">
        <v>22</v>
      </c>
      <c r="I201" t="s">
        <v>22</v>
      </c>
      <c r="J201" t="s">
        <v>17</v>
      </c>
      <c r="K201">
        <v>93.8</v>
      </c>
      <c r="L201">
        <v>108.2</v>
      </c>
      <c r="O201" t="s">
        <v>521</v>
      </c>
    </row>
    <row r="202" spans="1:15" hidden="1" x14ac:dyDescent="0.3">
      <c r="A202">
        <v>1084520</v>
      </c>
      <c r="B202" t="s">
        <v>238</v>
      </c>
      <c r="C202" t="s">
        <v>256</v>
      </c>
      <c r="D202" t="s">
        <v>257</v>
      </c>
      <c r="E202" t="s">
        <v>258</v>
      </c>
      <c r="G202" t="s">
        <v>278</v>
      </c>
      <c r="H202" t="s">
        <v>22</v>
      </c>
      <c r="I202" t="s">
        <v>22</v>
      </c>
      <c r="J202" t="s">
        <v>17</v>
      </c>
      <c r="K202">
        <v>93.8</v>
      </c>
      <c r="L202">
        <v>108.2</v>
      </c>
      <c r="O202" t="s">
        <v>521</v>
      </c>
    </row>
    <row r="203" spans="1:15" hidden="1" x14ac:dyDescent="0.3">
      <c r="A203">
        <v>1084520</v>
      </c>
      <c r="B203" t="s">
        <v>238</v>
      </c>
      <c r="C203" t="s">
        <v>256</v>
      </c>
      <c r="D203" t="s">
        <v>257</v>
      </c>
      <c r="E203" t="s">
        <v>258</v>
      </c>
      <c r="G203" t="s">
        <v>279</v>
      </c>
      <c r="H203" t="s">
        <v>22</v>
      </c>
      <c r="I203" t="s">
        <v>22</v>
      </c>
      <c r="J203" t="s">
        <v>17</v>
      </c>
      <c r="K203">
        <v>93.8</v>
      </c>
      <c r="L203">
        <v>108.2</v>
      </c>
      <c r="O203" t="s">
        <v>521</v>
      </c>
    </row>
    <row r="204" spans="1:15" hidden="1" x14ac:dyDescent="0.3">
      <c r="A204">
        <v>1084520</v>
      </c>
      <c r="B204" t="s">
        <v>238</v>
      </c>
      <c r="C204" t="s">
        <v>256</v>
      </c>
      <c r="D204" t="s">
        <v>257</v>
      </c>
      <c r="E204" t="s">
        <v>258</v>
      </c>
      <c r="G204" t="s">
        <v>280</v>
      </c>
      <c r="H204" t="s">
        <v>22</v>
      </c>
      <c r="I204" t="s">
        <v>22</v>
      </c>
      <c r="J204" t="s">
        <v>17</v>
      </c>
      <c r="K204">
        <v>93.8</v>
      </c>
      <c r="L204">
        <v>108.2</v>
      </c>
      <c r="O204" t="s">
        <v>521</v>
      </c>
    </row>
    <row r="205" spans="1:15" hidden="1" x14ac:dyDescent="0.3">
      <c r="A205">
        <v>1084520</v>
      </c>
      <c r="B205" t="s">
        <v>238</v>
      </c>
      <c r="C205" t="s">
        <v>256</v>
      </c>
      <c r="D205" t="s">
        <v>257</v>
      </c>
      <c r="E205" t="s">
        <v>258</v>
      </c>
      <c r="G205" t="s">
        <v>281</v>
      </c>
      <c r="H205" t="s">
        <v>22</v>
      </c>
      <c r="I205" t="s">
        <v>22</v>
      </c>
      <c r="J205" t="s">
        <v>17</v>
      </c>
      <c r="K205">
        <v>93.8</v>
      </c>
      <c r="L205">
        <v>108.2</v>
      </c>
      <c r="O205" t="s">
        <v>521</v>
      </c>
    </row>
    <row r="206" spans="1:15" hidden="1" x14ac:dyDescent="0.3">
      <c r="A206">
        <v>1084520</v>
      </c>
      <c r="B206" t="s">
        <v>238</v>
      </c>
      <c r="C206" t="s">
        <v>256</v>
      </c>
      <c r="D206" t="s">
        <v>257</v>
      </c>
      <c r="E206" t="s">
        <v>258</v>
      </c>
      <c r="G206" t="s">
        <v>282</v>
      </c>
      <c r="H206" t="s">
        <v>22</v>
      </c>
      <c r="I206" t="s">
        <v>22</v>
      </c>
      <c r="J206" t="s">
        <v>17</v>
      </c>
      <c r="K206">
        <v>93.8</v>
      </c>
      <c r="L206">
        <v>108.2</v>
      </c>
      <c r="O206" t="s">
        <v>521</v>
      </c>
    </row>
    <row r="207" spans="1:15" hidden="1" x14ac:dyDescent="0.3">
      <c r="A207">
        <v>1084520</v>
      </c>
      <c r="B207" t="s">
        <v>238</v>
      </c>
      <c r="C207" t="s">
        <v>256</v>
      </c>
      <c r="D207" t="s">
        <v>257</v>
      </c>
      <c r="E207" t="s">
        <v>258</v>
      </c>
      <c r="G207" t="s">
        <v>283</v>
      </c>
      <c r="H207" t="s">
        <v>22</v>
      </c>
      <c r="I207" t="s">
        <v>22</v>
      </c>
      <c r="J207" t="s">
        <v>17</v>
      </c>
      <c r="K207">
        <v>93.8</v>
      </c>
      <c r="L207">
        <v>108.2</v>
      </c>
      <c r="O207" t="s">
        <v>521</v>
      </c>
    </row>
    <row r="208" spans="1:15" hidden="1" x14ac:dyDescent="0.3">
      <c r="A208">
        <v>1084520</v>
      </c>
      <c r="B208" t="s">
        <v>238</v>
      </c>
      <c r="C208" t="s">
        <v>256</v>
      </c>
      <c r="D208" t="s">
        <v>257</v>
      </c>
      <c r="E208" t="s">
        <v>258</v>
      </c>
      <c r="G208" t="s">
        <v>284</v>
      </c>
      <c r="H208" t="s">
        <v>22</v>
      </c>
      <c r="I208" t="s">
        <v>22</v>
      </c>
      <c r="J208" t="s">
        <v>17</v>
      </c>
      <c r="K208">
        <v>93.8</v>
      </c>
      <c r="L208">
        <v>108.2</v>
      </c>
      <c r="O208" t="s">
        <v>521</v>
      </c>
    </row>
    <row r="209" spans="1:15" hidden="1" x14ac:dyDescent="0.3">
      <c r="A209">
        <v>1084520</v>
      </c>
      <c r="B209" t="s">
        <v>238</v>
      </c>
      <c r="C209" t="s">
        <v>256</v>
      </c>
      <c r="D209" t="s">
        <v>257</v>
      </c>
      <c r="E209" t="s">
        <v>258</v>
      </c>
      <c r="G209" t="s">
        <v>285</v>
      </c>
      <c r="H209" t="s">
        <v>22</v>
      </c>
      <c r="I209" t="s">
        <v>22</v>
      </c>
      <c r="J209" t="s">
        <v>17</v>
      </c>
      <c r="K209">
        <v>93.8</v>
      </c>
      <c r="L209">
        <v>108.2</v>
      </c>
      <c r="O209" t="s">
        <v>521</v>
      </c>
    </row>
    <row r="210" spans="1:15" hidden="1" x14ac:dyDescent="0.3">
      <c r="A210">
        <v>1084520</v>
      </c>
      <c r="B210" t="s">
        <v>238</v>
      </c>
      <c r="C210" t="s">
        <v>256</v>
      </c>
      <c r="D210" t="s">
        <v>257</v>
      </c>
      <c r="E210" t="s">
        <v>258</v>
      </c>
      <c r="G210" t="s">
        <v>286</v>
      </c>
      <c r="H210" t="s">
        <v>22</v>
      </c>
      <c r="I210" t="s">
        <v>22</v>
      </c>
      <c r="J210" t="s">
        <v>17</v>
      </c>
      <c r="K210">
        <v>93.8</v>
      </c>
      <c r="L210">
        <v>108.2</v>
      </c>
      <c r="O210" t="s">
        <v>521</v>
      </c>
    </row>
    <row r="211" spans="1:15" hidden="1" x14ac:dyDescent="0.3">
      <c r="A211">
        <v>1084520</v>
      </c>
      <c r="B211" t="s">
        <v>238</v>
      </c>
      <c r="C211" t="s">
        <v>256</v>
      </c>
      <c r="D211" t="s">
        <v>257</v>
      </c>
      <c r="E211" t="s">
        <v>258</v>
      </c>
      <c r="G211" t="s">
        <v>287</v>
      </c>
      <c r="H211" t="s">
        <v>22</v>
      </c>
      <c r="I211" t="s">
        <v>22</v>
      </c>
      <c r="J211" t="s">
        <v>17</v>
      </c>
      <c r="K211">
        <v>93.8</v>
      </c>
      <c r="L211">
        <v>108.2</v>
      </c>
      <c r="O211" t="s">
        <v>521</v>
      </c>
    </row>
    <row r="212" spans="1:15" hidden="1" x14ac:dyDescent="0.3">
      <c r="A212">
        <v>1084520</v>
      </c>
      <c r="B212" t="s">
        <v>238</v>
      </c>
      <c r="C212" t="s">
        <v>256</v>
      </c>
      <c r="D212" t="s">
        <v>257</v>
      </c>
      <c r="E212" t="s">
        <v>258</v>
      </c>
      <c r="G212" t="s">
        <v>288</v>
      </c>
      <c r="H212" t="s">
        <v>22</v>
      </c>
      <c r="I212" t="s">
        <v>22</v>
      </c>
      <c r="J212" t="s">
        <v>17</v>
      </c>
      <c r="K212">
        <v>93.8</v>
      </c>
      <c r="L212">
        <v>108.2</v>
      </c>
      <c r="O212" t="s">
        <v>521</v>
      </c>
    </row>
    <row r="213" spans="1:15" hidden="1" x14ac:dyDescent="0.3">
      <c r="A213">
        <v>1084520</v>
      </c>
      <c r="B213" t="s">
        <v>238</v>
      </c>
      <c r="C213" t="s">
        <v>256</v>
      </c>
      <c r="D213" t="s">
        <v>257</v>
      </c>
      <c r="E213" t="s">
        <v>258</v>
      </c>
      <c r="G213" t="s">
        <v>289</v>
      </c>
      <c r="H213" t="s">
        <v>22</v>
      </c>
      <c r="I213" t="s">
        <v>22</v>
      </c>
      <c r="J213" t="s">
        <v>17</v>
      </c>
      <c r="K213">
        <v>93.8</v>
      </c>
      <c r="L213">
        <v>108.2</v>
      </c>
      <c r="O213" t="s">
        <v>521</v>
      </c>
    </row>
    <row r="214" spans="1:15" hidden="1" x14ac:dyDescent="0.3">
      <c r="A214">
        <v>1084520</v>
      </c>
      <c r="B214" t="s">
        <v>238</v>
      </c>
      <c r="C214" t="s">
        <v>256</v>
      </c>
      <c r="D214" t="s">
        <v>257</v>
      </c>
      <c r="E214" t="s">
        <v>258</v>
      </c>
      <c r="G214" t="s">
        <v>290</v>
      </c>
      <c r="H214" t="s">
        <v>22</v>
      </c>
      <c r="I214" t="s">
        <v>22</v>
      </c>
      <c r="J214" t="s">
        <v>17</v>
      </c>
      <c r="K214">
        <v>93.8</v>
      </c>
      <c r="L214">
        <v>108.2</v>
      </c>
      <c r="O214" t="s">
        <v>521</v>
      </c>
    </row>
    <row r="215" spans="1:15" hidden="1" x14ac:dyDescent="0.3">
      <c r="A215">
        <v>1084520</v>
      </c>
      <c r="B215" t="s">
        <v>238</v>
      </c>
      <c r="C215" t="s">
        <v>256</v>
      </c>
      <c r="D215" t="s">
        <v>257</v>
      </c>
      <c r="E215" t="s">
        <v>258</v>
      </c>
      <c r="G215" t="s">
        <v>291</v>
      </c>
      <c r="H215" t="s">
        <v>22</v>
      </c>
      <c r="I215" t="s">
        <v>22</v>
      </c>
      <c r="J215" t="s">
        <v>17</v>
      </c>
      <c r="K215">
        <v>93.8</v>
      </c>
      <c r="L215">
        <v>108.2</v>
      </c>
      <c r="O215" t="s">
        <v>521</v>
      </c>
    </row>
    <row r="216" spans="1:15" hidden="1" x14ac:dyDescent="0.3">
      <c r="A216">
        <v>1084520</v>
      </c>
      <c r="B216" t="s">
        <v>238</v>
      </c>
      <c r="C216" t="s">
        <v>256</v>
      </c>
      <c r="D216" t="s">
        <v>257</v>
      </c>
      <c r="E216" t="s">
        <v>258</v>
      </c>
      <c r="G216" t="s">
        <v>292</v>
      </c>
      <c r="H216" t="s">
        <v>22</v>
      </c>
      <c r="I216" t="s">
        <v>22</v>
      </c>
      <c r="J216" t="s">
        <v>17</v>
      </c>
      <c r="K216">
        <v>93.8</v>
      </c>
      <c r="L216">
        <v>108.2</v>
      </c>
      <c r="O216" t="s">
        <v>521</v>
      </c>
    </row>
    <row r="217" spans="1:15" hidden="1" x14ac:dyDescent="0.3">
      <c r="A217">
        <v>1084520</v>
      </c>
      <c r="B217" t="s">
        <v>238</v>
      </c>
      <c r="C217" t="s">
        <v>256</v>
      </c>
      <c r="D217" t="s">
        <v>257</v>
      </c>
      <c r="E217" t="s">
        <v>258</v>
      </c>
      <c r="G217" t="s">
        <v>293</v>
      </c>
      <c r="H217" t="s">
        <v>22</v>
      </c>
      <c r="I217" t="s">
        <v>22</v>
      </c>
      <c r="J217" t="s">
        <v>17</v>
      </c>
      <c r="K217">
        <v>93.8</v>
      </c>
      <c r="L217">
        <v>108.2</v>
      </c>
      <c r="O217" t="s">
        <v>521</v>
      </c>
    </row>
    <row r="218" spans="1:15" hidden="1" x14ac:dyDescent="0.3">
      <c r="A218">
        <v>1084520</v>
      </c>
      <c r="B218" t="s">
        <v>238</v>
      </c>
      <c r="C218" t="s">
        <v>256</v>
      </c>
      <c r="D218" t="s">
        <v>257</v>
      </c>
      <c r="E218" t="s">
        <v>258</v>
      </c>
      <c r="G218" t="s">
        <v>294</v>
      </c>
      <c r="H218" t="s">
        <v>22</v>
      </c>
      <c r="I218" t="s">
        <v>22</v>
      </c>
      <c r="J218" t="s">
        <v>17</v>
      </c>
      <c r="K218">
        <v>93.8</v>
      </c>
      <c r="L218">
        <v>108.2</v>
      </c>
      <c r="O218" t="s">
        <v>521</v>
      </c>
    </row>
    <row r="219" spans="1:15" hidden="1" x14ac:dyDescent="0.3">
      <c r="A219">
        <v>1084520</v>
      </c>
      <c r="B219" t="s">
        <v>238</v>
      </c>
      <c r="C219" t="s">
        <v>256</v>
      </c>
      <c r="D219" t="s">
        <v>257</v>
      </c>
      <c r="E219" t="s">
        <v>258</v>
      </c>
      <c r="G219" t="s">
        <v>295</v>
      </c>
      <c r="H219" t="s">
        <v>22</v>
      </c>
      <c r="I219" t="s">
        <v>22</v>
      </c>
      <c r="J219" t="s">
        <v>17</v>
      </c>
      <c r="K219">
        <v>93.8</v>
      </c>
      <c r="L219">
        <v>108.2</v>
      </c>
      <c r="O219" t="s">
        <v>521</v>
      </c>
    </row>
    <row r="220" spans="1:15" hidden="1" x14ac:dyDescent="0.3">
      <c r="A220">
        <v>1084520</v>
      </c>
      <c r="B220" t="s">
        <v>238</v>
      </c>
      <c r="C220" t="s">
        <v>256</v>
      </c>
      <c r="D220" t="s">
        <v>257</v>
      </c>
      <c r="E220" t="s">
        <v>258</v>
      </c>
      <c r="G220" t="s">
        <v>296</v>
      </c>
      <c r="H220" t="s">
        <v>22</v>
      </c>
      <c r="I220" t="s">
        <v>22</v>
      </c>
      <c r="J220" t="s">
        <v>17</v>
      </c>
      <c r="K220">
        <v>93.8</v>
      </c>
      <c r="L220">
        <v>108.2</v>
      </c>
      <c r="O220" t="s">
        <v>521</v>
      </c>
    </row>
    <row r="221" spans="1:15" hidden="1" x14ac:dyDescent="0.3">
      <c r="A221">
        <v>1084520</v>
      </c>
      <c r="B221" t="s">
        <v>238</v>
      </c>
      <c r="C221" t="s">
        <v>297</v>
      </c>
      <c r="D221" t="s">
        <v>298</v>
      </c>
      <c r="E221" t="s">
        <v>299</v>
      </c>
      <c r="G221" t="s">
        <v>300</v>
      </c>
      <c r="H221" t="s">
        <v>46</v>
      </c>
      <c r="I221" t="s">
        <v>46</v>
      </c>
      <c r="J221" t="s">
        <v>17</v>
      </c>
      <c r="K221">
        <v>100</v>
      </c>
      <c r="L221">
        <v>50</v>
      </c>
      <c r="O221" t="s">
        <v>521</v>
      </c>
    </row>
    <row r="222" spans="1:15" hidden="1" x14ac:dyDescent="0.3">
      <c r="A222">
        <v>1084520</v>
      </c>
      <c r="B222" t="s">
        <v>238</v>
      </c>
      <c r="C222" t="s">
        <v>297</v>
      </c>
      <c r="D222" t="s">
        <v>298</v>
      </c>
      <c r="E222" t="s">
        <v>299</v>
      </c>
      <c r="G222" t="s">
        <v>301</v>
      </c>
      <c r="H222" t="s">
        <v>46</v>
      </c>
      <c r="I222" t="s">
        <v>46</v>
      </c>
      <c r="J222" t="s">
        <v>17</v>
      </c>
      <c r="K222">
        <v>100</v>
      </c>
      <c r="L222">
        <v>50</v>
      </c>
      <c r="O222" t="s">
        <v>521</v>
      </c>
    </row>
    <row r="223" spans="1:15" hidden="1" x14ac:dyDescent="0.3">
      <c r="A223">
        <v>1084520</v>
      </c>
      <c r="B223" t="s">
        <v>238</v>
      </c>
      <c r="C223" t="s">
        <v>297</v>
      </c>
      <c r="D223" t="s">
        <v>298</v>
      </c>
      <c r="E223" t="s">
        <v>299</v>
      </c>
      <c r="G223" t="s">
        <v>302</v>
      </c>
      <c r="H223" t="s">
        <v>46</v>
      </c>
      <c r="I223" t="s">
        <v>46</v>
      </c>
      <c r="J223" t="s">
        <v>17</v>
      </c>
      <c r="K223">
        <v>100</v>
      </c>
      <c r="L223">
        <v>50</v>
      </c>
      <c r="O223" t="s">
        <v>521</v>
      </c>
    </row>
    <row r="224" spans="1:15" hidden="1" x14ac:dyDescent="0.3">
      <c r="A224">
        <v>1084520</v>
      </c>
      <c r="B224" t="s">
        <v>238</v>
      </c>
      <c r="C224" t="s">
        <v>297</v>
      </c>
      <c r="D224" t="s">
        <v>298</v>
      </c>
      <c r="E224" t="s">
        <v>299</v>
      </c>
      <c r="G224" t="s">
        <v>303</v>
      </c>
      <c r="H224" t="s">
        <v>46</v>
      </c>
      <c r="I224" t="s">
        <v>46</v>
      </c>
      <c r="J224" t="s">
        <v>17</v>
      </c>
      <c r="K224">
        <v>100</v>
      </c>
      <c r="L224">
        <v>50</v>
      </c>
      <c r="O224" t="s">
        <v>521</v>
      </c>
    </row>
    <row r="225" spans="1:15" hidden="1" x14ac:dyDescent="0.3">
      <c r="A225">
        <v>1084520</v>
      </c>
      <c r="B225" t="s">
        <v>238</v>
      </c>
      <c r="C225" t="s">
        <v>297</v>
      </c>
      <c r="D225" t="s">
        <v>298</v>
      </c>
      <c r="E225" t="s">
        <v>299</v>
      </c>
      <c r="G225" t="s">
        <v>304</v>
      </c>
      <c r="H225" t="s">
        <v>46</v>
      </c>
      <c r="I225" t="s">
        <v>46</v>
      </c>
      <c r="J225" t="s">
        <v>17</v>
      </c>
      <c r="K225">
        <v>100</v>
      </c>
      <c r="L225">
        <v>50</v>
      </c>
      <c r="O225" t="s">
        <v>521</v>
      </c>
    </row>
    <row r="226" spans="1:15" hidden="1" x14ac:dyDescent="0.3">
      <c r="A226">
        <v>1084520</v>
      </c>
      <c r="B226" t="s">
        <v>238</v>
      </c>
      <c r="C226" t="s">
        <v>297</v>
      </c>
      <c r="D226" t="s">
        <v>298</v>
      </c>
      <c r="E226" t="s">
        <v>299</v>
      </c>
      <c r="G226" t="s">
        <v>305</v>
      </c>
      <c r="H226" t="s">
        <v>46</v>
      </c>
      <c r="I226" t="s">
        <v>46</v>
      </c>
      <c r="J226" t="s">
        <v>17</v>
      </c>
      <c r="K226">
        <v>100</v>
      </c>
      <c r="L226">
        <v>50</v>
      </c>
      <c r="O226" t="s">
        <v>521</v>
      </c>
    </row>
    <row r="227" spans="1:15" hidden="1" x14ac:dyDescent="0.3">
      <c r="A227">
        <v>1084657</v>
      </c>
      <c r="B227" t="s">
        <v>306</v>
      </c>
      <c r="C227" t="s">
        <v>307</v>
      </c>
      <c r="D227" t="s">
        <v>307</v>
      </c>
      <c r="E227" t="s">
        <v>308</v>
      </c>
      <c r="H227" t="s">
        <v>22</v>
      </c>
      <c r="I227" t="s">
        <v>22</v>
      </c>
      <c r="J227" t="s">
        <v>17</v>
      </c>
      <c r="K227">
        <v>100</v>
      </c>
      <c r="L227">
        <v>112</v>
      </c>
      <c r="M227" t="s">
        <v>196</v>
      </c>
      <c r="N227" t="s">
        <v>197</v>
      </c>
      <c r="O227" t="s">
        <v>522</v>
      </c>
    </row>
    <row r="228" spans="1:15" hidden="1" x14ac:dyDescent="0.3">
      <c r="A228">
        <v>1084657</v>
      </c>
      <c r="B228" t="s">
        <v>306</v>
      </c>
      <c r="C228" t="s">
        <v>309</v>
      </c>
      <c r="D228" t="s">
        <v>309</v>
      </c>
      <c r="E228" t="s">
        <v>310</v>
      </c>
      <c r="H228" t="s">
        <v>22</v>
      </c>
      <c r="I228" t="s">
        <v>22</v>
      </c>
      <c r="J228" t="s">
        <v>17</v>
      </c>
      <c r="K228">
        <v>100</v>
      </c>
      <c r="L228">
        <v>111</v>
      </c>
      <c r="M228" t="s">
        <v>311</v>
      </c>
      <c r="N228" t="s">
        <v>312</v>
      </c>
      <c r="O228" t="s">
        <v>522</v>
      </c>
    </row>
    <row r="229" spans="1:15" hidden="1" x14ac:dyDescent="0.3">
      <c r="A229">
        <v>1084657</v>
      </c>
      <c r="B229" t="s">
        <v>306</v>
      </c>
      <c r="C229" t="s">
        <v>313</v>
      </c>
      <c r="D229" t="s">
        <v>314</v>
      </c>
      <c r="E229" t="s">
        <v>315</v>
      </c>
      <c r="F229">
        <v>119510333</v>
      </c>
      <c r="G229" t="s">
        <v>316</v>
      </c>
      <c r="H229" t="s">
        <v>22</v>
      </c>
      <c r="I229" t="s">
        <v>22</v>
      </c>
      <c r="J229" t="s">
        <v>17</v>
      </c>
      <c r="K229">
        <v>94.1</v>
      </c>
      <c r="L229">
        <v>108.5</v>
      </c>
      <c r="M229" t="s">
        <v>317</v>
      </c>
      <c r="N229" t="s">
        <v>318</v>
      </c>
      <c r="O229" t="s">
        <v>521</v>
      </c>
    </row>
    <row r="230" spans="1:15" hidden="1" x14ac:dyDescent="0.3">
      <c r="A230">
        <v>1084657</v>
      </c>
      <c r="B230" t="s">
        <v>306</v>
      </c>
      <c r="C230" t="s">
        <v>313</v>
      </c>
      <c r="D230" t="s">
        <v>314</v>
      </c>
      <c r="E230" t="s">
        <v>315</v>
      </c>
      <c r="F230">
        <v>119510333</v>
      </c>
      <c r="G230" t="s">
        <v>319</v>
      </c>
      <c r="H230" t="s">
        <v>22</v>
      </c>
      <c r="I230" t="s">
        <v>22</v>
      </c>
      <c r="J230" t="s">
        <v>17</v>
      </c>
      <c r="K230">
        <v>94.1</v>
      </c>
      <c r="L230">
        <v>108.5</v>
      </c>
      <c r="M230" t="s">
        <v>317</v>
      </c>
      <c r="N230" t="s">
        <v>318</v>
      </c>
      <c r="O230" t="s">
        <v>521</v>
      </c>
    </row>
    <row r="231" spans="1:15" hidden="1" x14ac:dyDescent="0.3">
      <c r="A231">
        <v>1084657</v>
      </c>
      <c r="B231" t="s">
        <v>306</v>
      </c>
      <c r="C231" t="s">
        <v>313</v>
      </c>
      <c r="D231" t="s">
        <v>314</v>
      </c>
      <c r="E231" t="s">
        <v>315</v>
      </c>
      <c r="F231">
        <v>119510333</v>
      </c>
      <c r="G231" t="s">
        <v>320</v>
      </c>
      <c r="H231" t="s">
        <v>22</v>
      </c>
      <c r="I231" t="s">
        <v>22</v>
      </c>
      <c r="J231" t="s">
        <v>17</v>
      </c>
      <c r="K231">
        <v>94.1</v>
      </c>
      <c r="L231">
        <v>108.5</v>
      </c>
      <c r="M231" t="s">
        <v>317</v>
      </c>
      <c r="N231" t="s">
        <v>318</v>
      </c>
      <c r="O231" t="s">
        <v>521</v>
      </c>
    </row>
    <row r="232" spans="1:15" hidden="1" x14ac:dyDescent="0.3">
      <c r="A232">
        <v>1084657</v>
      </c>
      <c r="B232" t="s">
        <v>306</v>
      </c>
      <c r="C232" t="s">
        <v>313</v>
      </c>
      <c r="D232" t="s">
        <v>314</v>
      </c>
      <c r="E232" t="s">
        <v>315</v>
      </c>
      <c r="F232">
        <v>119510333</v>
      </c>
      <c r="G232" t="s">
        <v>321</v>
      </c>
      <c r="H232" t="s">
        <v>22</v>
      </c>
      <c r="I232" t="s">
        <v>22</v>
      </c>
      <c r="J232" t="s">
        <v>17</v>
      </c>
      <c r="K232">
        <v>94.1</v>
      </c>
      <c r="L232">
        <v>108.5</v>
      </c>
      <c r="M232" t="s">
        <v>317</v>
      </c>
      <c r="N232" t="s">
        <v>318</v>
      </c>
      <c r="O232" t="s">
        <v>521</v>
      </c>
    </row>
    <row r="233" spans="1:15" hidden="1" x14ac:dyDescent="0.3">
      <c r="A233">
        <v>1084657</v>
      </c>
      <c r="B233" t="s">
        <v>306</v>
      </c>
      <c r="C233" t="s">
        <v>313</v>
      </c>
      <c r="D233" t="s">
        <v>314</v>
      </c>
      <c r="E233" t="s">
        <v>315</v>
      </c>
      <c r="F233">
        <v>119510333</v>
      </c>
      <c r="G233" t="s">
        <v>322</v>
      </c>
      <c r="H233" t="s">
        <v>22</v>
      </c>
      <c r="I233" t="s">
        <v>22</v>
      </c>
      <c r="J233" t="s">
        <v>17</v>
      </c>
      <c r="K233">
        <v>94.1</v>
      </c>
      <c r="L233">
        <v>108.5</v>
      </c>
      <c r="M233" t="s">
        <v>317</v>
      </c>
      <c r="N233" t="s">
        <v>318</v>
      </c>
      <c r="O233" t="s">
        <v>521</v>
      </c>
    </row>
    <row r="234" spans="1:15" hidden="1" x14ac:dyDescent="0.3">
      <c r="A234">
        <v>1084657</v>
      </c>
      <c r="B234" t="s">
        <v>306</v>
      </c>
      <c r="C234" t="s">
        <v>313</v>
      </c>
      <c r="D234" t="s">
        <v>314</v>
      </c>
      <c r="E234" t="s">
        <v>315</v>
      </c>
      <c r="F234">
        <v>119510333</v>
      </c>
      <c r="G234" t="s">
        <v>323</v>
      </c>
      <c r="H234" t="s">
        <v>22</v>
      </c>
      <c r="I234" t="s">
        <v>22</v>
      </c>
      <c r="J234" t="s">
        <v>17</v>
      </c>
      <c r="K234">
        <v>94.1</v>
      </c>
      <c r="L234">
        <v>108.5</v>
      </c>
      <c r="M234" t="s">
        <v>317</v>
      </c>
      <c r="N234" t="s">
        <v>318</v>
      </c>
      <c r="O234" t="s">
        <v>521</v>
      </c>
    </row>
    <row r="235" spans="1:15" hidden="1" x14ac:dyDescent="0.3">
      <c r="A235">
        <v>1084657</v>
      </c>
      <c r="B235" t="s">
        <v>306</v>
      </c>
      <c r="C235" t="s">
        <v>313</v>
      </c>
      <c r="D235" t="s">
        <v>314</v>
      </c>
      <c r="E235" t="s">
        <v>315</v>
      </c>
      <c r="F235">
        <v>119510333</v>
      </c>
      <c r="G235" t="s">
        <v>324</v>
      </c>
      <c r="H235" t="s">
        <v>22</v>
      </c>
      <c r="I235" t="s">
        <v>22</v>
      </c>
      <c r="J235" t="s">
        <v>17</v>
      </c>
      <c r="K235">
        <v>94.1</v>
      </c>
      <c r="L235">
        <v>108.5</v>
      </c>
      <c r="M235" t="s">
        <v>317</v>
      </c>
      <c r="N235" t="s">
        <v>318</v>
      </c>
      <c r="O235" t="s">
        <v>521</v>
      </c>
    </row>
    <row r="236" spans="1:15" hidden="1" x14ac:dyDescent="0.3">
      <c r="A236">
        <v>1084657</v>
      </c>
      <c r="B236" t="s">
        <v>306</v>
      </c>
      <c r="C236" t="s">
        <v>313</v>
      </c>
      <c r="D236" t="s">
        <v>314</v>
      </c>
      <c r="E236" t="s">
        <v>315</v>
      </c>
      <c r="F236">
        <v>119510333</v>
      </c>
      <c r="G236" t="s">
        <v>325</v>
      </c>
      <c r="H236" t="s">
        <v>22</v>
      </c>
      <c r="I236" t="s">
        <v>22</v>
      </c>
      <c r="J236" t="s">
        <v>17</v>
      </c>
      <c r="K236">
        <v>94.1</v>
      </c>
      <c r="L236">
        <v>108.5</v>
      </c>
      <c r="M236" t="s">
        <v>317</v>
      </c>
      <c r="N236" t="s">
        <v>318</v>
      </c>
      <c r="O236" t="s">
        <v>521</v>
      </c>
    </row>
    <row r="237" spans="1:15" hidden="1" x14ac:dyDescent="0.3">
      <c r="A237">
        <v>1084657</v>
      </c>
      <c r="B237" t="s">
        <v>306</v>
      </c>
      <c r="C237" t="s">
        <v>313</v>
      </c>
      <c r="D237" t="s">
        <v>314</v>
      </c>
      <c r="E237" t="s">
        <v>315</v>
      </c>
      <c r="F237">
        <v>119510333</v>
      </c>
      <c r="G237" t="s">
        <v>326</v>
      </c>
      <c r="H237" t="s">
        <v>22</v>
      </c>
      <c r="I237" t="s">
        <v>22</v>
      </c>
      <c r="J237" t="s">
        <v>17</v>
      </c>
      <c r="K237">
        <v>94.1</v>
      </c>
      <c r="L237">
        <v>108.5</v>
      </c>
      <c r="M237" t="s">
        <v>317</v>
      </c>
      <c r="N237" t="s">
        <v>318</v>
      </c>
      <c r="O237" t="s">
        <v>521</v>
      </c>
    </row>
    <row r="238" spans="1:15" hidden="1" x14ac:dyDescent="0.3">
      <c r="A238">
        <v>1084657</v>
      </c>
      <c r="B238" t="s">
        <v>306</v>
      </c>
      <c r="C238" t="s">
        <v>313</v>
      </c>
      <c r="D238" t="s">
        <v>314</v>
      </c>
      <c r="E238" t="s">
        <v>315</v>
      </c>
      <c r="F238">
        <v>119510333</v>
      </c>
      <c r="G238" t="s">
        <v>327</v>
      </c>
      <c r="H238" t="s">
        <v>22</v>
      </c>
      <c r="I238" t="s">
        <v>22</v>
      </c>
      <c r="J238" t="s">
        <v>17</v>
      </c>
      <c r="K238">
        <v>94.1</v>
      </c>
      <c r="L238">
        <v>108.5</v>
      </c>
      <c r="M238" t="s">
        <v>317</v>
      </c>
      <c r="N238" t="s">
        <v>318</v>
      </c>
      <c r="O238" t="s">
        <v>521</v>
      </c>
    </row>
    <row r="239" spans="1:15" hidden="1" x14ac:dyDescent="0.3">
      <c r="A239">
        <v>1084657</v>
      </c>
      <c r="B239" t="s">
        <v>306</v>
      </c>
      <c r="C239" t="s">
        <v>313</v>
      </c>
      <c r="D239" t="s">
        <v>314</v>
      </c>
      <c r="E239" t="s">
        <v>315</v>
      </c>
      <c r="F239">
        <v>119510333</v>
      </c>
      <c r="G239" t="s">
        <v>328</v>
      </c>
      <c r="H239" t="s">
        <v>22</v>
      </c>
      <c r="I239" t="s">
        <v>22</v>
      </c>
      <c r="J239" t="s">
        <v>17</v>
      </c>
      <c r="K239">
        <v>94.1</v>
      </c>
      <c r="L239">
        <v>108.5</v>
      </c>
      <c r="M239" t="s">
        <v>317</v>
      </c>
      <c r="N239" t="s">
        <v>318</v>
      </c>
      <c r="O239" t="s">
        <v>521</v>
      </c>
    </row>
    <row r="240" spans="1:15" hidden="1" x14ac:dyDescent="0.3">
      <c r="A240">
        <v>1084657</v>
      </c>
      <c r="B240" t="s">
        <v>306</v>
      </c>
      <c r="C240" t="s">
        <v>313</v>
      </c>
      <c r="D240" t="s">
        <v>314</v>
      </c>
      <c r="E240" t="s">
        <v>315</v>
      </c>
      <c r="F240">
        <v>119510333</v>
      </c>
      <c r="G240" t="s">
        <v>329</v>
      </c>
      <c r="H240" t="s">
        <v>22</v>
      </c>
      <c r="I240" t="s">
        <v>22</v>
      </c>
      <c r="J240" t="s">
        <v>17</v>
      </c>
      <c r="K240">
        <v>94.1</v>
      </c>
      <c r="L240">
        <v>108.5</v>
      </c>
      <c r="M240" t="s">
        <v>317</v>
      </c>
      <c r="N240" t="s">
        <v>318</v>
      </c>
      <c r="O240" t="s">
        <v>521</v>
      </c>
    </row>
    <row r="241" spans="1:15" hidden="1" x14ac:dyDescent="0.3">
      <c r="A241">
        <v>1084657</v>
      </c>
      <c r="B241" t="s">
        <v>306</v>
      </c>
      <c r="C241" t="s">
        <v>313</v>
      </c>
      <c r="D241" t="s">
        <v>314</v>
      </c>
      <c r="E241" t="s">
        <v>315</v>
      </c>
      <c r="F241">
        <v>119510333</v>
      </c>
      <c r="G241" t="s">
        <v>330</v>
      </c>
      <c r="H241" t="s">
        <v>22</v>
      </c>
      <c r="I241" t="s">
        <v>22</v>
      </c>
      <c r="J241" t="s">
        <v>17</v>
      </c>
      <c r="K241">
        <v>94.1</v>
      </c>
      <c r="L241">
        <v>108.5</v>
      </c>
      <c r="M241" t="s">
        <v>317</v>
      </c>
      <c r="N241" t="s">
        <v>318</v>
      </c>
      <c r="O241" t="s">
        <v>521</v>
      </c>
    </row>
    <row r="242" spans="1:15" hidden="1" x14ac:dyDescent="0.3">
      <c r="A242">
        <v>1084657</v>
      </c>
      <c r="B242" t="s">
        <v>306</v>
      </c>
      <c r="C242" t="s">
        <v>313</v>
      </c>
      <c r="D242" t="s">
        <v>314</v>
      </c>
      <c r="E242" t="s">
        <v>315</v>
      </c>
      <c r="F242">
        <v>119510333</v>
      </c>
      <c r="G242" t="s">
        <v>331</v>
      </c>
      <c r="H242" t="s">
        <v>22</v>
      </c>
      <c r="I242" t="s">
        <v>22</v>
      </c>
      <c r="J242" t="s">
        <v>17</v>
      </c>
      <c r="K242">
        <v>94.1</v>
      </c>
      <c r="L242">
        <v>108.5</v>
      </c>
      <c r="M242" t="s">
        <v>317</v>
      </c>
      <c r="N242" t="s">
        <v>318</v>
      </c>
      <c r="O242" t="s">
        <v>521</v>
      </c>
    </row>
    <row r="243" spans="1:15" hidden="1" x14ac:dyDescent="0.3">
      <c r="A243">
        <v>1084657</v>
      </c>
      <c r="B243" t="s">
        <v>306</v>
      </c>
      <c r="C243" t="s">
        <v>313</v>
      </c>
      <c r="D243" t="s">
        <v>314</v>
      </c>
      <c r="E243" t="s">
        <v>315</v>
      </c>
      <c r="F243">
        <v>119510333</v>
      </c>
      <c r="G243" t="s">
        <v>332</v>
      </c>
      <c r="H243" t="s">
        <v>22</v>
      </c>
      <c r="I243" t="s">
        <v>22</v>
      </c>
      <c r="J243" t="s">
        <v>17</v>
      </c>
      <c r="K243">
        <v>94.1</v>
      </c>
      <c r="L243">
        <v>108.5</v>
      </c>
      <c r="M243" t="s">
        <v>317</v>
      </c>
      <c r="N243" t="s">
        <v>318</v>
      </c>
      <c r="O243" t="s">
        <v>521</v>
      </c>
    </row>
    <row r="244" spans="1:15" hidden="1" x14ac:dyDescent="0.3">
      <c r="A244">
        <v>1084657</v>
      </c>
      <c r="B244" t="s">
        <v>306</v>
      </c>
      <c r="C244" t="s">
        <v>313</v>
      </c>
      <c r="D244" t="s">
        <v>314</v>
      </c>
      <c r="E244" t="s">
        <v>315</v>
      </c>
      <c r="F244">
        <v>119510333</v>
      </c>
      <c r="G244" t="s">
        <v>333</v>
      </c>
      <c r="H244" t="s">
        <v>22</v>
      </c>
      <c r="I244" t="s">
        <v>22</v>
      </c>
      <c r="J244" t="s">
        <v>17</v>
      </c>
      <c r="K244">
        <v>94.1</v>
      </c>
      <c r="L244">
        <v>108.5</v>
      </c>
      <c r="M244" t="s">
        <v>317</v>
      </c>
      <c r="N244" t="s">
        <v>318</v>
      </c>
      <c r="O244" t="s">
        <v>521</v>
      </c>
    </row>
    <row r="245" spans="1:15" hidden="1" x14ac:dyDescent="0.3">
      <c r="A245">
        <v>1084657</v>
      </c>
      <c r="B245" t="s">
        <v>306</v>
      </c>
      <c r="C245" t="s">
        <v>313</v>
      </c>
      <c r="D245" t="s">
        <v>314</v>
      </c>
      <c r="E245" t="s">
        <v>315</v>
      </c>
      <c r="F245">
        <v>119510333</v>
      </c>
      <c r="G245" t="s">
        <v>334</v>
      </c>
      <c r="H245" t="s">
        <v>22</v>
      </c>
      <c r="I245" t="s">
        <v>22</v>
      </c>
      <c r="J245" t="s">
        <v>17</v>
      </c>
      <c r="K245">
        <v>94.1</v>
      </c>
      <c r="L245">
        <v>108.5</v>
      </c>
      <c r="M245" t="s">
        <v>317</v>
      </c>
      <c r="N245" t="s">
        <v>318</v>
      </c>
      <c r="O245" t="s">
        <v>521</v>
      </c>
    </row>
    <row r="246" spans="1:15" hidden="1" x14ac:dyDescent="0.3">
      <c r="A246">
        <v>1084657</v>
      </c>
      <c r="B246" t="s">
        <v>306</v>
      </c>
      <c r="C246" t="s">
        <v>335</v>
      </c>
      <c r="H246" t="s">
        <v>16</v>
      </c>
      <c r="I246" t="s">
        <v>16</v>
      </c>
      <c r="J246" t="s">
        <v>17</v>
      </c>
      <c r="K246">
        <v>0</v>
      </c>
      <c r="L246">
        <v>0</v>
      </c>
      <c r="O246" t="s">
        <v>521</v>
      </c>
    </row>
    <row r="247" spans="1:15" hidden="1" x14ac:dyDescent="0.3">
      <c r="A247">
        <v>1084657</v>
      </c>
      <c r="B247" t="s">
        <v>306</v>
      </c>
      <c r="C247" t="s">
        <v>336</v>
      </c>
      <c r="D247" t="s">
        <v>336</v>
      </c>
      <c r="E247" t="s">
        <v>337</v>
      </c>
      <c r="H247" t="s">
        <v>22</v>
      </c>
      <c r="I247" t="s">
        <v>22</v>
      </c>
      <c r="J247" t="s">
        <v>17</v>
      </c>
      <c r="K247">
        <v>100</v>
      </c>
      <c r="L247">
        <v>112</v>
      </c>
      <c r="M247" t="s">
        <v>338</v>
      </c>
      <c r="N247" t="s">
        <v>339</v>
      </c>
      <c r="O247" t="s">
        <v>522</v>
      </c>
    </row>
    <row r="248" spans="1:15" hidden="1" x14ac:dyDescent="0.3">
      <c r="A248">
        <v>1084678</v>
      </c>
      <c r="B248" t="s">
        <v>340</v>
      </c>
      <c r="C248" t="s">
        <v>185</v>
      </c>
      <c r="H248" t="s">
        <v>16</v>
      </c>
      <c r="I248" t="s">
        <v>16</v>
      </c>
      <c r="J248" t="s">
        <v>17</v>
      </c>
      <c r="K248">
        <v>0</v>
      </c>
      <c r="L248">
        <v>0</v>
      </c>
      <c r="O248" t="s">
        <v>521</v>
      </c>
    </row>
    <row r="249" spans="1:15" hidden="1" x14ac:dyDescent="0.3">
      <c r="A249">
        <v>1084678</v>
      </c>
      <c r="B249" t="s">
        <v>340</v>
      </c>
      <c r="C249" t="s">
        <v>191</v>
      </c>
      <c r="D249" t="s">
        <v>191</v>
      </c>
      <c r="E249" t="s">
        <v>192</v>
      </c>
      <c r="H249" t="s">
        <v>22</v>
      </c>
      <c r="I249" t="s">
        <v>22</v>
      </c>
      <c r="J249" t="s">
        <v>17</v>
      </c>
      <c r="K249">
        <v>100</v>
      </c>
      <c r="L249">
        <v>113</v>
      </c>
      <c r="M249" t="s">
        <v>37</v>
      </c>
      <c r="N249" t="s">
        <v>38</v>
      </c>
      <c r="O249" t="s">
        <v>522</v>
      </c>
    </row>
    <row r="250" spans="1:15" hidden="1" x14ac:dyDescent="0.3">
      <c r="A250">
        <v>1084678</v>
      </c>
      <c r="B250" t="s">
        <v>340</v>
      </c>
      <c r="C250" t="s">
        <v>341</v>
      </c>
      <c r="H250" t="s">
        <v>16</v>
      </c>
      <c r="I250" t="s">
        <v>16</v>
      </c>
      <c r="J250" t="s">
        <v>17</v>
      </c>
      <c r="K250">
        <v>0</v>
      </c>
      <c r="L250">
        <v>0</v>
      </c>
      <c r="O250" t="s">
        <v>521</v>
      </c>
    </row>
    <row r="251" spans="1:15" hidden="1" x14ac:dyDescent="0.3">
      <c r="A251">
        <v>1084678</v>
      </c>
      <c r="B251" t="s">
        <v>340</v>
      </c>
      <c r="C251" t="s">
        <v>342</v>
      </c>
      <c r="H251" t="s">
        <v>16</v>
      </c>
      <c r="I251" t="s">
        <v>16</v>
      </c>
      <c r="J251" t="s">
        <v>17</v>
      </c>
      <c r="K251">
        <v>0</v>
      </c>
      <c r="L251">
        <v>0</v>
      </c>
      <c r="O251" t="s">
        <v>521</v>
      </c>
    </row>
    <row r="252" spans="1:15" hidden="1" x14ac:dyDescent="0.3">
      <c r="A252">
        <v>1084678</v>
      </c>
      <c r="B252" t="s">
        <v>340</v>
      </c>
      <c r="C252" t="s">
        <v>343</v>
      </c>
      <c r="D252" t="s">
        <v>344</v>
      </c>
      <c r="E252" t="s">
        <v>345</v>
      </c>
      <c r="H252" t="s">
        <v>46</v>
      </c>
      <c r="I252" t="s">
        <v>46</v>
      </c>
      <c r="J252" t="s">
        <v>17</v>
      </c>
      <c r="K252">
        <v>100</v>
      </c>
      <c r="L252">
        <v>50</v>
      </c>
      <c r="M252" t="s">
        <v>346</v>
      </c>
      <c r="N252" t="s">
        <v>347</v>
      </c>
      <c r="O252" t="s">
        <v>522</v>
      </c>
    </row>
    <row r="253" spans="1:15" hidden="1" x14ac:dyDescent="0.3">
      <c r="A253">
        <v>1084678</v>
      </c>
      <c r="B253" t="s">
        <v>340</v>
      </c>
      <c r="C253" t="s">
        <v>348</v>
      </c>
      <c r="D253" t="s">
        <v>349</v>
      </c>
      <c r="E253" t="s">
        <v>350</v>
      </c>
      <c r="G253" t="s">
        <v>351</v>
      </c>
      <c r="H253" t="s">
        <v>22</v>
      </c>
      <c r="I253" t="s">
        <v>22</v>
      </c>
      <c r="J253" t="s">
        <v>17</v>
      </c>
      <c r="K253">
        <v>80</v>
      </c>
      <c r="L253">
        <v>102</v>
      </c>
      <c r="O253" t="s">
        <v>521</v>
      </c>
    </row>
    <row r="254" spans="1:15" hidden="1" x14ac:dyDescent="0.3">
      <c r="A254">
        <v>1084678</v>
      </c>
      <c r="B254" t="s">
        <v>340</v>
      </c>
      <c r="C254" t="s">
        <v>348</v>
      </c>
      <c r="D254" t="s">
        <v>349</v>
      </c>
      <c r="E254" t="s">
        <v>350</v>
      </c>
      <c r="G254" t="s">
        <v>352</v>
      </c>
      <c r="H254" t="s">
        <v>22</v>
      </c>
      <c r="I254" t="s">
        <v>22</v>
      </c>
      <c r="J254" t="s">
        <v>17</v>
      </c>
      <c r="K254">
        <v>80</v>
      </c>
      <c r="L254">
        <v>102</v>
      </c>
      <c r="O254" t="s">
        <v>521</v>
      </c>
    </row>
    <row r="255" spans="1:15" hidden="1" x14ac:dyDescent="0.3">
      <c r="A255">
        <v>1084678</v>
      </c>
      <c r="B255" t="s">
        <v>340</v>
      </c>
      <c r="C255" t="s">
        <v>348</v>
      </c>
      <c r="D255" t="s">
        <v>349</v>
      </c>
      <c r="E255" t="s">
        <v>350</v>
      </c>
      <c r="G255" t="s">
        <v>353</v>
      </c>
      <c r="H255" t="s">
        <v>22</v>
      </c>
      <c r="I255" t="s">
        <v>22</v>
      </c>
      <c r="J255" t="s">
        <v>17</v>
      </c>
      <c r="K255">
        <v>80</v>
      </c>
      <c r="L255">
        <v>102</v>
      </c>
      <c r="O255" t="s">
        <v>521</v>
      </c>
    </row>
    <row r="256" spans="1:15" hidden="1" x14ac:dyDescent="0.3">
      <c r="A256">
        <v>1084678</v>
      </c>
      <c r="B256" t="s">
        <v>340</v>
      </c>
      <c r="C256" t="s">
        <v>348</v>
      </c>
      <c r="D256" t="s">
        <v>349</v>
      </c>
      <c r="E256" t="s">
        <v>350</v>
      </c>
      <c r="G256" t="s">
        <v>354</v>
      </c>
      <c r="H256" t="s">
        <v>22</v>
      </c>
      <c r="I256" t="s">
        <v>22</v>
      </c>
      <c r="J256" t="s">
        <v>17</v>
      </c>
      <c r="K256">
        <v>80</v>
      </c>
      <c r="L256">
        <v>102</v>
      </c>
      <c r="O256" t="s">
        <v>521</v>
      </c>
    </row>
    <row r="257" spans="1:15" hidden="1" x14ac:dyDescent="0.3">
      <c r="A257">
        <v>1084678</v>
      </c>
      <c r="B257" t="s">
        <v>340</v>
      </c>
      <c r="C257" t="s">
        <v>348</v>
      </c>
      <c r="D257" t="s">
        <v>349</v>
      </c>
      <c r="E257" t="s">
        <v>350</v>
      </c>
      <c r="G257" t="s">
        <v>355</v>
      </c>
      <c r="H257" t="s">
        <v>22</v>
      </c>
      <c r="I257" t="s">
        <v>22</v>
      </c>
      <c r="J257" t="s">
        <v>17</v>
      </c>
      <c r="K257">
        <v>80</v>
      </c>
      <c r="L257">
        <v>102</v>
      </c>
      <c r="O257" t="s">
        <v>521</v>
      </c>
    </row>
    <row r="258" spans="1:15" hidden="1" x14ac:dyDescent="0.3">
      <c r="A258">
        <v>1084678</v>
      </c>
      <c r="B258" t="s">
        <v>340</v>
      </c>
      <c r="C258" t="s">
        <v>348</v>
      </c>
      <c r="D258" t="s">
        <v>349</v>
      </c>
      <c r="E258" t="s">
        <v>350</v>
      </c>
      <c r="G258" t="s">
        <v>356</v>
      </c>
      <c r="H258" t="s">
        <v>22</v>
      </c>
      <c r="I258" t="s">
        <v>22</v>
      </c>
      <c r="J258" t="s">
        <v>17</v>
      </c>
      <c r="K258">
        <v>80</v>
      </c>
      <c r="L258">
        <v>102</v>
      </c>
      <c r="O258" t="s">
        <v>521</v>
      </c>
    </row>
    <row r="259" spans="1:15" hidden="1" x14ac:dyDescent="0.3">
      <c r="A259">
        <v>1084678</v>
      </c>
      <c r="B259" t="s">
        <v>340</v>
      </c>
      <c r="C259" t="s">
        <v>348</v>
      </c>
      <c r="D259" t="s">
        <v>349</v>
      </c>
      <c r="E259" t="s">
        <v>350</v>
      </c>
      <c r="G259" t="s">
        <v>357</v>
      </c>
      <c r="H259" t="s">
        <v>22</v>
      </c>
      <c r="I259" t="s">
        <v>22</v>
      </c>
      <c r="J259" t="s">
        <v>17</v>
      </c>
      <c r="K259">
        <v>80</v>
      </c>
      <c r="L259">
        <v>102</v>
      </c>
      <c r="O259" t="s">
        <v>521</v>
      </c>
    </row>
    <row r="260" spans="1:15" hidden="1" x14ac:dyDescent="0.3">
      <c r="A260">
        <v>1084678</v>
      </c>
      <c r="B260" t="s">
        <v>340</v>
      </c>
      <c r="C260" t="s">
        <v>348</v>
      </c>
      <c r="D260" t="s">
        <v>349</v>
      </c>
      <c r="E260" t="s">
        <v>350</v>
      </c>
      <c r="G260" t="s">
        <v>358</v>
      </c>
      <c r="H260" t="s">
        <v>22</v>
      </c>
      <c r="I260" t="s">
        <v>22</v>
      </c>
      <c r="J260" t="s">
        <v>17</v>
      </c>
      <c r="K260">
        <v>80</v>
      </c>
      <c r="L260">
        <v>102</v>
      </c>
      <c r="O260" t="s">
        <v>521</v>
      </c>
    </row>
    <row r="261" spans="1:15" hidden="1" x14ac:dyDescent="0.3">
      <c r="A261">
        <v>1086746</v>
      </c>
      <c r="B261" t="s">
        <v>359</v>
      </c>
      <c r="C261" t="s">
        <v>360</v>
      </c>
      <c r="H261" t="s">
        <v>16</v>
      </c>
      <c r="I261" t="s">
        <v>16</v>
      </c>
      <c r="J261" t="s">
        <v>17</v>
      </c>
      <c r="K261">
        <v>0</v>
      </c>
      <c r="L261">
        <v>0</v>
      </c>
      <c r="O261" t="s">
        <v>521</v>
      </c>
    </row>
    <row r="262" spans="1:15" hidden="1" x14ac:dyDescent="0.3">
      <c r="A262">
        <v>1086746</v>
      </c>
      <c r="B262" t="s">
        <v>359</v>
      </c>
      <c r="C262" t="s">
        <v>361</v>
      </c>
      <c r="H262" t="s">
        <v>16</v>
      </c>
      <c r="I262" t="s">
        <v>16</v>
      </c>
      <c r="J262" t="s">
        <v>17</v>
      </c>
      <c r="K262">
        <v>0</v>
      </c>
      <c r="L262">
        <v>0</v>
      </c>
      <c r="O262" t="s">
        <v>521</v>
      </c>
    </row>
    <row r="263" spans="1:15" hidden="1" x14ac:dyDescent="0.3">
      <c r="A263">
        <v>1086746</v>
      </c>
      <c r="B263" t="s">
        <v>359</v>
      </c>
      <c r="C263" t="s">
        <v>362</v>
      </c>
      <c r="H263" t="s">
        <v>16</v>
      </c>
      <c r="I263" t="s">
        <v>16</v>
      </c>
      <c r="J263" t="s">
        <v>17</v>
      </c>
      <c r="K263">
        <v>0</v>
      </c>
      <c r="L263">
        <v>0</v>
      </c>
      <c r="O263" t="s">
        <v>521</v>
      </c>
    </row>
    <row r="264" spans="1:15" hidden="1" x14ac:dyDescent="0.3">
      <c r="A264">
        <v>1086746</v>
      </c>
      <c r="B264" t="s">
        <v>359</v>
      </c>
      <c r="C264" t="s">
        <v>363</v>
      </c>
      <c r="H264" t="s">
        <v>16</v>
      </c>
      <c r="I264" t="s">
        <v>16</v>
      </c>
      <c r="J264" t="s">
        <v>17</v>
      </c>
      <c r="K264">
        <v>0</v>
      </c>
      <c r="L264">
        <v>0</v>
      </c>
      <c r="O264" t="s">
        <v>521</v>
      </c>
    </row>
    <row r="265" spans="1:15" hidden="1" x14ac:dyDescent="0.3">
      <c r="A265">
        <v>1086746</v>
      </c>
      <c r="B265" t="s">
        <v>359</v>
      </c>
      <c r="C265" t="s">
        <v>364</v>
      </c>
      <c r="H265" t="s">
        <v>16</v>
      </c>
      <c r="I265" t="s">
        <v>16</v>
      </c>
      <c r="J265" t="s">
        <v>17</v>
      </c>
      <c r="K265">
        <v>0</v>
      </c>
      <c r="L265">
        <v>0</v>
      </c>
      <c r="O265" t="s">
        <v>521</v>
      </c>
    </row>
    <row r="266" spans="1:15" hidden="1" x14ac:dyDescent="0.3">
      <c r="A266">
        <v>1086746</v>
      </c>
      <c r="B266" t="s">
        <v>359</v>
      </c>
      <c r="C266" t="s">
        <v>365</v>
      </c>
      <c r="H266" t="s">
        <v>16</v>
      </c>
      <c r="I266" t="s">
        <v>16</v>
      </c>
      <c r="J266" t="s">
        <v>17</v>
      </c>
      <c r="K266">
        <v>0</v>
      </c>
      <c r="L266">
        <v>0</v>
      </c>
      <c r="O266" t="s">
        <v>521</v>
      </c>
    </row>
    <row r="267" spans="1:15" hidden="1" x14ac:dyDescent="0.3">
      <c r="A267">
        <v>1086746</v>
      </c>
      <c r="B267" t="s">
        <v>359</v>
      </c>
      <c r="C267" t="s">
        <v>366</v>
      </c>
      <c r="D267" t="s">
        <v>367</v>
      </c>
      <c r="E267" t="s">
        <v>368</v>
      </c>
      <c r="H267" t="s">
        <v>22</v>
      </c>
      <c r="I267" t="s">
        <v>22</v>
      </c>
      <c r="J267" t="s">
        <v>17</v>
      </c>
      <c r="K267">
        <v>87</v>
      </c>
      <c r="L267">
        <v>108.2</v>
      </c>
      <c r="M267" t="s">
        <v>369</v>
      </c>
      <c r="N267" t="s">
        <v>370</v>
      </c>
      <c r="O267" t="s">
        <v>522</v>
      </c>
    </row>
    <row r="268" spans="1:15" hidden="1" x14ac:dyDescent="0.3">
      <c r="A268">
        <v>1086746</v>
      </c>
      <c r="B268" t="s">
        <v>359</v>
      </c>
      <c r="C268" t="s">
        <v>371</v>
      </c>
      <c r="D268" t="s">
        <v>372</v>
      </c>
      <c r="E268" t="s">
        <v>373</v>
      </c>
      <c r="G268" t="s">
        <v>374</v>
      </c>
      <c r="H268" t="s">
        <v>22</v>
      </c>
      <c r="I268" t="s">
        <v>22</v>
      </c>
      <c r="J268" t="s">
        <v>17</v>
      </c>
      <c r="K268">
        <v>83.3</v>
      </c>
      <c r="L268">
        <v>103</v>
      </c>
      <c r="M268" t="s">
        <v>375</v>
      </c>
      <c r="N268" t="s">
        <v>376</v>
      </c>
      <c r="O268" t="s">
        <v>522</v>
      </c>
    </row>
    <row r="269" spans="1:15" hidden="1" x14ac:dyDescent="0.3">
      <c r="A269">
        <v>1086746</v>
      </c>
      <c r="B269" t="s">
        <v>359</v>
      </c>
      <c r="C269" t="s">
        <v>371</v>
      </c>
      <c r="D269" t="s">
        <v>372</v>
      </c>
      <c r="E269" t="s">
        <v>373</v>
      </c>
      <c r="G269" t="s">
        <v>377</v>
      </c>
      <c r="H269" t="s">
        <v>22</v>
      </c>
      <c r="I269" t="s">
        <v>22</v>
      </c>
      <c r="J269" t="s">
        <v>17</v>
      </c>
      <c r="K269">
        <v>83.3</v>
      </c>
      <c r="L269">
        <v>103</v>
      </c>
      <c r="M269" t="s">
        <v>375</v>
      </c>
      <c r="N269" t="s">
        <v>376</v>
      </c>
      <c r="O269" t="s">
        <v>522</v>
      </c>
    </row>
    <row r="270" spans="1:15" hidden="1" x14ac:dyDescent="0.3">
      <c r="A270">
        <v>1086746</v>
      </c>
      <c r="B270" t="s">
        <v>359</v>
      </c>
      <c r="C270" t="s">
        <v>378</v>
      </c>
      <c r="D270" t="s">
        <v>378</v>
      </c>
      <c r="E270" t="s">
        <v>379</v>
      </c>
      <c r="H270" t="s">
        <v>22</v>
      </c>
      <c r="I270" t="s">
        <v>22</v>
      </c>
      <c r="J270" t="s">
        <v>17</v>
      </c>
      <c r="K270">
        <v>100</v>
      </c>
      <c r="L270">
        <v>114</v>
      </c>
      <c r="M270" t="s">
        <v>380</v>
      </c>
      <c r="N270" t="s">
        <v>381</v>
      </c>
      <c r="O270" t="s">
        <v>522</v>
      </c>
    </row>
    <row r="271" spans="1:15" hidden="1" x14ac:dyDescent="0.3">
      <c r="A271">
        <v>1086746</v>
      </c>
      <c r="B271" t="s">
        <v>359</v>
      </c>
      <c r="C271" t="s">
        <v>382</v>
      </c>
      <c r="D271" t="s">
        <v>382</v>
      </c>
      <c r="E271" t="s">
        <v>383</v>
      </c>
      <c r="H271" t="s">
        <v>22</v>
      </c>
      <c r="I271" t="s">
        <v>22</v>
      </c>
      <c r="J271" t="s">
        <v>17</v>
      </c>
      <c r="K271">
        <v>100</v>
      </c>
      <c r="L271">
        <v>115</v>
      </c>
      <c r="M271" t="s">
        <v>241</v>
      </c>
      <c r="N271" t="s">
        <v>242</v>
      </c>
      <c r="O271" t="s">
        <v>522</v>
      </c>
    </row>
    <row r="272" spans="1:15" hidden="1" x14ac:dyDescent="0.3">
      <c r="A272">
        <v>1086746</v>
      </c>
      <c r="B272" t="s">
        <v>359</v>
      </c>
      <c r="C272" t="s">
        <v>384</v>
      </c>
      <c r="D272" t="s">
        <v>384</v>
      </c>
      <c r="E272" t="s">
        <v>385</v>
      </c>
      <c r="H272" t="s">
        <v>22</v>
      </c>
      <c r="I272" t="s">
        <v>22</v>
      </c>
      <c r="J272" t="s">
        <v>17</v>
      </c>
      <c r="K272">
        <v>100</v>
      </c>
      <c r="L272">
        <v>111</v>
      </c>
      <c r="M272" t="s">
        <v>386</v>
      </c>
      <c r="N272" t="s">
        <v>387</v>
      </c>
      <c r="O272" t="s">
        <v>522</v>
      </c>
    </row>
    <row r="273" spans="1:15" hidden="1" x14ac:dyDescent="0.3">
      <c r="A273">
        <v>1086752</v>
      </c>
      <c r="B273" t="s">
        <v>388</v>
      </c>
      <c r="C273" t="s">
        <v>389</v>
      </c>
      <c r="H273" t="s">
        <v>16</v>
      </c>
      <c r="I273" t="s">
        <v>16</v>
      </c>
      <c r="J273" t="s">
        <v>17</v>
      </c>
      <c r="K273">
        <v>0</v>
      </c>
      <c r="L273">
        <v>0</v>
      </c>
      <c r="O273" t="s">
        <v>521</v>
      </c>
    </row>
    <row r="274" spans="1:15" hidden="1" x14ac:dyDescent="0.3">
      <c r="A274">
        <v>1086752</v>
      </c>
      <c r="B274" t="s">
        <v>388</v>
      </c>
      <c r="C274" t="s">
        <v>390</v>
      </c>
      <c r="D274" t="s">
        <v>391</v>
      </c>
      <c r="E274" t="s">
        <v>392</v>
      </c>
      <c r="H274" t="s">
        <v>46</v>
      </c>
      <c r="I274" t="s">
        <v>46</v>
      </c>
      <c r="J274" t="s">
        <v>17</v>
      </c>
      <c r="K274">
        <v>100</v>
      </c>
      <c r="L274">
        <v>50</v>
      </c>
      <c r="O274" t="s">
        <v>521</v>
      </c>
    </row>
    <row r="275" spans="1:15" hidden="1" x14ac:dyDescent="0.3">
      <c r="A275">
        <v>1086752</v>
      </c>
      <c r="B275" t="s">
        <v>388</v>
      </c>
      <c r="C275" t="s">
        <v>393</v>
      </c>
      <c r="H275" t="s">
        <v>16</v>
      </c>
      <c r="I275" t="s">
        <v>16</v>
      </c>
      <c r="J275" t="s">
        <v>17</v>
      </c>
      <c r="K275">
        <v>0</v>
      </c>
      <c r="L275">
        <v>0</v>
      </c>
      <c r="O275" t="s">
        <v>521</v>
      </c>
    </row>
    <row r="276" spans="1:15" hidden="1" x14ac:dyDescent="0.3">
      <c r="A276">
        <v>1086752</v>
      </c>
      <c r="B276" t="s">
        <v>388</v>
      </c>
      <c r="C276" t="s">
        <v>394</v>
      </c>
      <c r="D276" t="s">
        <v>395</v>
      </c>
      <c r="E276" t="s">
        <v>396</v>
      </c>
      <c r="F276" t="s">
        <v>397</v>
      </c>
      <c r="G276" t="s">
        <v>398</v>
      </c>
      <c r="H276" t="s">
        <v>46</v>
      </c>
      <c r="I276" t="s">
        <v>46</v>
      </c>
      <c r="J276" t="s">
        <v>17</v>
      </c>
      <c r="K276">
        <v>100</v>
      </c>
      <c r="L276">
        <v>50</v>
      </c>
      <c r="O276" t="s">
        <v>521</v>
      </c>
    </row>
    <row r="277" spans="1:15" hidden="1" x14ac:dyDescent="0.3">
      <c r="A277">
        <v>1086752</v>
      </c>
      <c r="B277" t="s">
        <v>388</v>
      </c>
      <c r="C277" t="s">
        <v>394</v>
      </c>
      <c r="D277" t="s">
        <v>395</v>
      </c>
      <c r="E277" t="s">
        <v>396</v>
      </c>
      <c r="F277" t="s">
        <v>397</v>
      </c>
      <c r="G277" t="s">
        <v>399</v>
      </c>
      <c r="H277" t="s">
        <v>46</v>
      </c>
      <c r="I277" t="s">
        <v>46</v>
      </c>
      <c r="J277" t="s">
        <v>17</v>
      </c>
      <c r="K277">
        <v>100</v>
      </c>
      <c r="L277">
        <v>50</v>
      </c>
      <c r="O277" t="s">
        <v>521</v>
      </c>
    </row>
    <row r="278" spans="1:15" hidden="1" x14ac:dyDescent="0.3">
      <c r="A278">
        <v>1086752</v>
      </c>
      <c r="B278" t="s">
        <v>388</v>
      </c>
      <c r="C278" t="s">
        <v>394</v>
      </c>
      <c r="D278" t="s">
        <v>395</v>
      </c>
      <c r="E278" t="s">
        <v>396</v>
      </c>
      <c r="F278" t="s">
        <v>397</v>
      </c>
      <c r="G278" t="s">
        <v>400</v>
      </c>
      <c r="H278" t="s">
        <v>46</v>
      </c>
      <c r="I278" t="s">
        <v>46</v>
      </c>
      <c r="J278" t="s">
        <v>17</v>
      </c>
      <c r="K278">
        <v>100</v>
      </c>
      <c r="L278">
        <v>50</v>
      </c>
      <c r="O278" t="s">
        <v>521</v>
      </c>
    </row>
    <row r="279" spans="1:15" hidden="1" x14ac:dyDescent="0.3">
      <c r="A279">
        <v>1086752</v>
      </c>
      <c r="B279" t="s">
        <v>388</v>
      </c>
      <c r="C279" t="s">
        <v>394</v>
      </c>
      <c r="D279" t="s">
        <v>395</v>
      </c>
      <c r="E279" t="s">
        <v>396</v>
      </c>
      <c r="F279" t="s">
        <v>397</v>
      </c>
      <c r="G279" t="s">
        <v>401</v>
      </c>
      <c r="H279" t="s">
        <v>46</v>
      </c>
      <c r="I279" t="s">
        <v>46</v>
      </c>
      <c r="J279" t="s">
        <v>17</v>
      </c>
      <c r="K279">
        <v>100</v>
      </c>
      <c r="L279">
        <v>50</v>
      </c>
      <c r="O279" t="s">
        <v>521</v>
      </c>
    </row>
    <row r="280" spans="1:15" hidden="1" x14ac:dyDescent="0.3">
      <c r="A280">
        <v>1086752</v>
      </c>
      <c r="B280" t="s">
        <v>388</v>
      </c>
      <c r="C280" t="s">
        <v>394</v>
      </c>
      <c r="D280" t="s">
        <v>395</v>
      </c>
      <c r="E280" t="s">
        <v>396</v>
      </c>
      <c r="F280" t="s">
        <v>397</v>
      </c>
      <c r="G280" t="s">
        <v>402</v>
      </c>
      <c r="H280" t="s">
        <v>46</v>
      </c>
      <c r="I280" t="s">
        <v>46</v>
      </c>
      <c r="J280" t="s">
        <v>17</v>
      </c>
      <c r="K280">
        <v>100</v>
      </c>
      <c r="L280">
        <v>50</v>
      </c>
      <c r="O280" t="s">
        <v>521</v>
      </c>
    </row>
    <row r="281" spans="1:15" hidden="1" x14ac:dyDescent="0.3">
      <c r="A281">
        <v>1086752</v>
      </c>
      <c r="B281" t="s">
        <v>388</v>
      </c>
      <c r="C281" t="s">
        <v>394</v>
      </c>
      <c r="D281" t="s">
        <v>395</v>
      </c>
      <c r="E281" t="s">
        <v>396</v>
      </c>
      <c r="F281" t="s">
        <v>397</v>
      </c>
      <c r="G281" t="s">
        <v>403</v>
      </c>
      <c r="H281" t="s">
        <v>46</v>
      </c>
      <c r="I281" t="s">
        <v>46</v>
      </c>
      <c r="J281" t="s">
        <v>17</v>
      </c>
      <c r="K281">
        <v>100</v>
      </c>
      <c r="L281">
        <v>50</v>
      </c>
      <c r="O281" t="s">
        <v>521</v>
      </c>
    </row>
    <row r="282" spans="1:15" hidden="1" x14ac:dyDescent="0.3">
      <c r="A282">
        <v>1086752</v>
      </c>
      <c r="B282" t="s">
        <v>388</v>
      </c>
      <c r="C282" t="s">
        <v>394</v>
      </c>
      <c r="D282" t="s">
        <v>395</v>
      </c>
      <c r="E282" t="s">
        <v>396</v>
      </c>
      <c r="F282" t="s">
        <v>397</v>
      </c>
      <c r="G282" t="s">
        <v>404</v>
      </c>
      <c r="H282" t="s">
        <v>46</v>
      </c>
      <c r="I282" t="s">
        <v>46</v>
      </c>
      <c r="J282" t="s">
        <v>17</v>
      </c>
      <c r="K282">
        <v>100</v>
      </c>
      <c r="L282">
        <v>50</v>
      </c>
      <c r="O282" t="s">
        <v>521</v>
      </c>
    </row>
    <row r="283" spans="1:15" hidden="1" x14ac:dyDescent="0.3">
      <c r="A283">
        <v>1086752</v>
      </c>
      <c r="B283" t="s">
        <v>388</v>
      </c>
      <c r="C283" t="s">
        <v>394</v>
      </c>
      <c r="D283" t="s">
        <v>395</v>
      </c>
      <c r="E283" t="s">
        <v>396</v>
      </c>
      <c r="F283" t="s">
        <v>397</v>
      </c>
      <c r="G283" t="s">
        <v>405</v>
      </c>
      <c r="H283" t="s">
        <v>46</v>
      </c>
      <c r="I283" t="s">
        <v>46</v>
      </c>
      <c r="J283" t="s">
        <v>17</v>
      </c>
      <c r="K283">
        <v>100</v>
      </c>
      <c r="L283">
        <v>50</v>
      </c>
      <c r="O283" t="s">
        <v>521</v>
      </c>
    </row>
    <row r="284" spans="1:15" hidden="1" x14ac:dyDescent="0.3">
      <c r="A284">
        <v>1086752</v>
      </c>
      <c r="B284" t="s">
        <v>388</v>
      </c>
      <c r="C284" t="s">
        <v>394</v>
      </c>
      <c r="D284" t="s">
        <v>395</v>
      </c>
      <c r="E284" t="s">
        <v>396</v>
      </c>
      <c r="F284" t="s">
        <v>397</v>
      </c>
      <c r="G284" t="s">
        <v>406</v>
      </c>
      <c r="H284" t="s">
        <v>46</v>
      </c>
      <c r="I284" t="s">
        <v>46</v>
      </c>
      <c r="J284" t="s">
        <v>17</v>
      </c>
      <c r="K284">
        <v>100</v>
      </c>
      <c r="L284">
        <v>50</v>
      </c>
      <c r="O284" t="s">
        <v>521</v>
      </c>
    </row>
    <row r="285" spans="1:15" hidden="1" x14ac:dyDescent="0.3">
      <c r="A285">
        <v>1086752</v>
      </c>
      <c r="B285" t="s">
        <v>388</v>
      </c>
      <c r="C285" t="s">
        <v>394</v>
      </c>
      <c r="D285" t="s">
        <v>395</v>
      </c>
      <c r="E285" t="s">
        <v>396</v>
      </c>
      <c r="F285" t="s">
        <v>397</v>
      </c>
      <c r="G285" t="s">
        <v>407</v>
      </c>
      <c r="H285" t="s">
        <v>46</v>
      </c>
      <c r="I285" t="s">
        <v>46</v>
      </c>
      <c r="J285" t="s">
        <v>17</v>
      </c>
      <c r="K285">
        <v>100</v>
      </c>
      <c r="L285">
        <v>50</v>
      </c>
      <c r="O285" t="s">
        <v>521</v>
      </c>
    </row>
    <row r="286" spans="1:15" hidden="1" x14ac:dyDescent="0.3">
      <c r="A286">
        <v>1087358</v>
      </c>
      <c r="B286" t="s">
        <v>408</v>
      </c>
      <c r="C286" t="s">
        <v>409</v>
      </c>
      <c r="H286" t="s">
        <v>16</v>
      </c>
      <c r="I286" t="s">
        <v>16</v>
      </c>
      <c r="J286" t="s">
        <v>17</v>
      </c>
      <c r="K286">
        <v>0</v>
      </c>
      <c r="L286">
        <v>0</v>
      </c>
      <c r="O286" t="s">
        <v>521</v>
      </c>
    </row>
    <row r="287" spans="1:15" hidden="1" x14ac:dyDescent="0.3">
      <c r="A287">
        <v>1087358</v>
      </c>
      <c r="B287" t="s">
        <v>408</v>
      </c>
      <c r="C287" t="s">
        <v>410</v>
      </c>
      <c r="H287" t="s">
        <v>16</v>
      </c>
      <c r="I287" t="s">
        <v>16</v>
      </c>
      <c r="J287" t="s">
        <v>17</v>
      </c>
      <c r="K287">
        <v>0</v>
      </c>
      <c r="L287">
        <v>0</v>
      </c>
      <c r="O287" t="s">
        <v>521</v>
      </c>
    </row>
    <row r="288" spans="1:15" hidden="1" x14ac:dyDescent="0.3">
      <c r="A288">
        <v>1087358</v>
      </c>
      <c r="B288" t="s">
        <v>408</v>
      </c>
      <c r="C288" t="s">
        <v>411</v>
      </c>
      <c r="H288" t="s">
        <v>16</v>
      </c>
      <c r="I288" t="s">
        <v>16</v>
      </c>
      <c r="J288" t="s">
        <v>17</v>
      </c>
      <c r="K288">
        <v>0</v>
      </c>
      <c r="L288">
        <v>0</v>
      </c>
      <c r="O288" t="s">
        <v>521</v>
      </c>
    </row>
    <row r="289" spans="1:15" hidden="1" x14ac:dyDescent="0.3">
      <c r="A289">
        <v>1087358</v>
      </c>
      <c r="B289" t="s">
        <v>408</v>
      </c>
      <c r="C289" t="s">
        <v>412</v>
      </c>
      <c r="H289" t="s">
        <v>16</v>
      </c>
      <c r="I289" t="s">
        <v>16</v>
      </c>
      <c r="J289" t="s">
        <v>17</v>
      </c>
      <c r="K289">
        <v>0</v>
      </c>
      <c r="L289">
        <v>0</v>
      </c>
      <c r="O289" t="s">
        <v>521</v>
      </c>
    </row>
    <row r="290" spans="1:15" hidden="1" x14ac:dyDescent="0.3">
      <c r="A290">
        <v>1087358</v>
      </c>
      <c r="B290" t="s">
        <v>408</v>
      </c>
      <c r="C290" t="s">
        <v>413</v>
      </c>
      <c r="D290" t="s">
        <v>414</v>
      </c>
      <c r="E290" t="s">
        <v>415</v>
      </c>
      <c r="H290" t="s">
        <v>46</v>
      </c>
      <c r="I290" t="s">
        <v>46</v>
      </c>
      <c r="J290" t="s">
        <v>17</v>
      </c>
      <c r="K290">
        <v>100</v>
      </c>
      <c r="L290">
        <v>50</v>
      </c>
      <c r="M290" t="s">
        <v>416</v>
      </c>
      <c r="N290" t="s">
        <v>417</v>
      </c>
      <c r="O290" t="s">
        <v>522</v>
      </c>
    </row>
    <row r="291" spans="1:15" hidden="1" x14ac:dyDescent="0.3">
      <c r="A291">
        <v>1087358</v>
      </c>
      <c r="B291" t="s">
        <v>408</v>
      </c>
      <c r="C291" t="s">
        <v>418</v>
      </c>
      <c r="H291" t="s">
        <v>16</v>
      </c>
      <c r="I291" t="s">
        <v>16</v>
      </c>
      <c r="J291" t="s">
        <v>17</v>
      </c>
      <c r="K291">
        <v>0</v>
      </c>
      <c r="L291">
        <v>0</v>
      </c>
      <c r="O291" t="s">
        <v>521</v>
      </c>
    </row>
    <row r="292" spans="1:15" hidden="1" x14ac:dyDescent="0.3">
      <c r="A292">
        <v>1088019</v>
      </c>
      <c r="B292" t="s">
        <v>419</v>
      </c>
      <c r="C292" t="s">
        <v>420</v>
      </c>
      <c r="H292" t="s">
        <v>16</v>
      </c>
      <c r="I292" t="s">
        <v>16</v>
      </c>
      <c r="J292" t="s">
        <v>17</v>
      </c>
      <c r="K292">
        <v>0</v>
      </c>
      <c r="L292">
        <v>0</v>
      </c>
      <c r="O292" t="s">
        <v>521</v>
      </c>
    </row>
    <row r="293" spans="1:15" hidden="1" x14ac:dyDescent="0.3">
      <c r="A293">
        <v>1088019</v>
      </c>
      <c r="B293" t="s">
        <v>419</v>
      </c>
      <c r="C293" t="s">
        <v>421</v>
      </c>
      <c r="H293" t="s">
        <v>16</v>
      </c>
      <c r="I293" t="s">
        <v>16</v>
      </c>
      <c r="J293" t="s">
        <v>17</v>
      </c>
      <c r="K293">
        <v>0</v>
      </c>
      <c r="L293">
        <v>0</v>
      </c>
      <c r="O293" t="s">
        <v>521</v>
      </c>
    </row>
    <row r="294" spans="1:15" hidden="1" x14ac:dyDescent="0.3">
      <c r="A294">
        <v>1088019</v>
      </c>
      <c r="B294" t="s">
        <v>419</v>
      </c>
      <c r="C294" t="s">
        <v>422</v>
      </c>
      <c r="H294" t="s">
        <v>16</v>
      </c>
      <c r="I294" t="s">
        <v>16</v>
      </c>
      <c r="J294" t="s">
        <v>17</v>
      </c>
      <c r="K294">
        <v>0</v>
      </c>
      <c r="L294">
        <v>0</v>
      </c>
      <c r="O294" t="s">
        <v>521</v>
      </c>
    </row>
    <row r="295" spans="1:15" x14ac:dyDescent="0.3">
      <c r="A295">
        <v>1088019</v>
      </c>
      <c r="B295" t="s">
        <v>419</v>
      </c>
      <c r="C295" t="s">
        <v>423</v>
      </c>
      <c r="H295" t="s">
        <v>16</v>
      </c>
      <c r="I295" t="s">
        <v>16</v>
      </c>
      <c r="J295" t="s">
        <v>17</v>
      </c>
      <c r="K295">
        <v>0</v>
      </c>
      <c r="L295">
        <v>0</v>
      </c>
      <c r="O295" t="s">
        <v>521</v>
      </c>
    </row>
    <row r="296" spans="1:15" hidden="1" x14ac:dyDescent="0.3">
      <c r="A296">
        <v>1088019</v>
      </c>
      <c r="B296" t="s">
        <v>419</v>
      </c>
      <c r="C296" t="s">
        <v>424</v>
      </c>
      <c r="D296" t="s">
        <v>425</v>
      </c>
      <c r="E296" t="s">
        <v>426</v>
      </c>
      <c r="G296" t="s">
        <v>427</v>
      </c>
      <c r="H296" t="s">
        <v>46</v>
      </c>
      <c r="I296" t="s">
        <v>46</v>
      </c>
      <c r="J296" t="s">
        <v>17</v>
      </c>
      <c r="K296">
        <v>100</v>
      </c>
      <c r="L296">
        <v>50</v>
      </c>
      <c r="O296" t="s">
        <v>521</v>
      </c>
    </row>
    <row r="297" spans="1:15" hidden="1" x14ac:dyDescent="0.3">
      <c r="A297">
        <v>1088019</v>
      </c>
      <c r="B297" t="s">
        <v>419</v>
      </c>
      <c r="C297" t="s">
        <v>424</v>
      </c>
      <c r="D297" t="s">
        <v>425</v>
      </c>
      <c r="E297" t="s">
        <v>426</v>
      </c>
      <c r="G297" t="s">
        <v>428</v>
      </c>
      <c r="H297" t="s">
        <v>46</v>
      </c>
      <c r="I297" t="s">
        <v>46</v>
      </c>
      <c r="J297" t="s">
        <v>17</v>
      </c>
      <c r="K297">
        <v>100</v>
      </c>
      <c r="L297">
        <v>50</v>
      </c>
      <c r="O297" t="s">
        <v>521</v>
      </c>
    </row>
    <row r="298" spans="1:15" hidden="1" x14ac:dyDescent="0.3">
      <c r="A298">
        <v>1088019</v>
      </c>
      <c r="B298" t="s">
        <v>419</v>
      </c>
      <c r="C298" t="s">
        <v>424</v>
      </c>
      <c r="D298" t="s">
        <v>425</v>
      </c>
      <c r="E298" t="s">
        <v>426</v>
      </c>
      <c r="G298" t="s">
        <v>429</v>
      </c>
      <c r="H298" t="s">
        <v>46</v>
      </c>
      <c r="I298" t="s">
        <v>46</v>
      </c>
      <c r="J298" t="s">
        <v>17</v>
      </c>
      <c r="K298">
        <v>100</v>
      </c>
      <c r="L298">
        <v>50</v>
      </c>
      <c r="O298" t="s">
        <v>521</v>
      </c>
    </row>
    <row r="299" spans="1:15" hidden="1" x14ac:dyDescent="0.3">
      <c r="A299">
        <v>1088019</v>
      </c>
      <c r="B299" t="s">
        <v>419</v>
      </c>
      <c r="C299" t="s">
        <v>424</v>
      </c>
      <c r="D299" t="s">
        <v>425</v>
      </c>
      <c r="E299" t="s">
        <v>426</v>
      </c>
      <c r="G299" t="s">
        <v>430</v>
      </c>
      <c r="H299" t="s">
        <v>46</v>
      </c>
      <c r="I299" t="s">
        <v>46</v>
      </c>
      <c r="J299" t="s">
        <v>17</v>
      </c>
      <c r="K299">
        <v>100</v>
      </c>
      <c r="L299">
        <v>50</v>
      </c>
      <c r="O299" t="s">
        <v>521</v>
      </c>
    </row>
    <row r="300" spans="1:15" hidden="1" x14ac:dyDescent="0.3">
      <c r="A300">
        <v>1088019</v>
      </c>
      <c r="B300" t="s">
        <v>419</v>
      </c>
      <c r="C300" t="s">
        <v>424</v>
      </c>
      <c r="D300" t="s">
        <v>425</v>
      </c>
      <c r="E300" t="s">
        <v>426</v>
      </c>
      <c r="G300" t="s">
        <v>431</v>
      </c>
      <c r="H300" t="s">
        <v>46</v>
      </c>
      <c r="I300" t="s">
        <v>46</v>
      </c>
      <c r="J300" t="s">
        <v>17</v>
      </c>
      <c r="K300">
        <v>100</v>
      </c>
      <c r="L300">
        <v>50</v>
      </c>
      <c r="O300" t="s">
        <v>521</v>
      </c>
    </row>
    <row r="301" spans="1:15" hidden="1" x14ac:dyDescent="0.3">
      <c r="A301">
        <v>1088019</v>
      </c>
      <c r="B301" t="s">
        <v>419</v>
      </c>
      <c r="C301" t="s">
        <v>424</v>
      </c>
      <c r="D301" t="s">
        <v>425</v>
      </c>
      <c r="E301" t="s">
        <v>426</v>
      </c>
      <c r="G301" t="s">
        <v>432</v>
      </c>
      <c r="H301" t="s">
        <v>46</v>
      </c>
      <c r="I301" t="s">
        <v>46</v>
      </c>
      <c r="J301" t="s">
        <v>17</v>
      </c>
      <c r="K301">
        <v>100</v>
      </c>
      <c r="L301">
        <v>50</v>
      </c>
      <c r="O301" t="s">
        <v>521</v>
      </c>
    </row>
    <row r="302" spans="1:15" hidden="1" x14ac:dyDescent="0.3">
      <c r="A302">
        <v>1088019</v>
      </c>
      <c r="B302" t="s">
        <v>419</v>
      </c>
      <c r="C302" t="s">
        <v>424</v>
      </c>
      <c r="D302" t="s">
        <v>425</v>
      </c>
      <c r="E302" t="s">
        <v>426</v>
      </c>
      <c r="G302" t="s">
        <v>433</v>
      </c>
      <c r="H302" t="s">
        <v>46</v>
      </c>
      <c r="I302" t="s">
        <v>46</v>
      </c>
      <c r="J302" t="s">
        <v>17</v>
      </c>
      <c r="K302">
        <v>100</v>
      </c>
      <c r="L302">
        <v>50</v>
      </c>
      <c r="O302" t="s">
        <v>521</v>
      </c>
    </row>
    <row r="303" spans="1:15" hidden="1" x14ac:dyDescent="0.3">
      <c r="A303">
        <v>1088019</v>
      </c>
      <c r="B303" t="s">
        <v>419</v>
      </c>
      <c r="C303" t="s">
        <v>424</v>
      </c>
      <c r="D303" t="s">
        <v>425</v>
      </c>
      <c r="E303" t="s">
        <v>426</v>
      </c>
      <c r="G303" t="s">
        <v>434</v>
      </c>
      <c r="H303" t="s">
        <v>46</v>
      </c>
      <c r="I303" t="s">
        <v>46</v>
      </c>
      <c r="J303" t="s">
        <v>17</v>
      </c>
      <c r="K303">
        <v>100</v>
      </c>
      <c r="L303">
        <v>50</v>
      </c>
      <c r="O303" t="s">
        <v>521</v>
      </c>
    </row>
    <row r="304" spans="1:15" hidden="1" x14ac:dyDescent="0.3">
      <c r="A304">
        <v>1088019</v>
      </c>
      <c r="B304" t="s">
        <v>419</v>
      </c>
      <c r="C304" t="s">
        <v>424</v>
      </c>
      <c r="D304" t="s">
        <v>425</v>
      </c>
      <c r="E304" t="s">
        <v>426</v>
      </c>
      <c r="G304" t="s">
        <v>435</v>
      </c>
      <c r="H304" t="s">
        <v>46</v>
      </c>
      <c r="I304" t="s">
        <v>46</v>
      </c>
      <c r="J304" t="s">
        <v>17</v>
      </c>
      <c r="K304">
        <v>100</v>
      </c>
      <c r="L304">
        <v>50</v>
      </c>
      <c r="O304" t="s">
        <v>521</v>
      </c>
    </row>
    <row r="305" spans="1:15" hidden="1" x14ac:dyDescent="0.3">
      <c r="A305">
        <v>1088019</v>
      </c>
      <c r="B305" t="s">
        <v>419</v>
      </c>
      <c r="C305" t="s">
        <v>424</v>
      </c>
      <c r="D305" t="s">
        <v>425</v>
      </c>
      <c r="E305" t="s">
        <v>426</v>
      </c>
      <c r="G305" t="s">
        <v>436</v>
      </c>
      <c r="H305" t="s">
        <v>46</v>
      </c>
      <c r="I305" t="s">
        <v>46</v>
      </c>
      <c r="J305" t="s">
        <v>17</v>
      </c>
      <c r="K305">
        <v>100</v>
      </c>
      <c r="L305">
        <v>50</v>
      </c>
      <c r="O305" t="s">
        <v>521</v>
      </c>
    </row>
    <row r="306" spans="1:15" hidden="1" x14ac:dyDescent="0.3">
      <c r="A306">
        <v>1088019</v>
      </c>
      <c r="B306" t="s">
        <v>419</v>
      </c>
      <c r="C306" t="s">
        <v>424</v>
      </c>
      <c r="D306" t="s">
        <v>425</v>
      </c>
      <c r="E306" t="s">
        <v>426</v>
      </c>
      <c r="G306" t="s">
        <v>437</v>
      </c>
      <c r="H306" t="s">
        <v>46</v>
      </c>
      <c r="I306" t="s">
        <v>46</v>
      </c>
      <c r="J306" t="s">
        <v>17</v>
      </c>
      <c r="K306">
        <v>100</v>
      </c>
      <c r="L306">
        <v>50</v>
      </c>
      <c r="O306" t="s">
        <v>521</v>
      </c>
    </row>
    <row r="307" spans="1:15" hidden="1" x14ac:dyDescent="0.3">
      <c r="A307">
        <v>1088019</v>
      </c>
      <c r="B307" t="s">
        <v>419</v>
      </c>
      <c r="C307" t="s">
        <v>424</v>
      </c>
      <c r="D307" t="s">
        <v>425</v>
      </c>
      <c r="E307" t="s">
        <v>426</v>
      </c>
      <c r="G307" t="s">
        <v>438</v>
      </c>
      <c r="H307" t="s">
        <v>46</v>
      </c>
      <c r="I307" t="s">
        <v>46</v>
      </c>
      <c r="J307" t="s">
        <v>17</v>
      </c>
      <c r="K307">
        <v>100</v>
      </c>
      <c r="L307">
        <v>50</v>
      </c>
      <c r="O307" t="s">
        <v>521</v>
      </c>
    </row>
    <row r="308" spans="1:15" hidden="1" x14ac:dyDescent="0.3">
      <c r="A308">
        <v>1088019</v>
      </c>
      <c r="B308" t="s">
        <v>419</v>
      </c>
      <c r="C308" t="s">
        <v>424</v>
      </c>
      <c r="D308" t="s">
        <v>425</v>
      </c>
      <c r="E308" t="s">
        <v>426</v>
      </c>
      <c r="G308" t="s">
        <v>439</v>
      </c>
      <c r="H308" t="s">
        <v>46</v>
      </c>
      <c r="I308" t="s">
        <v>46</v>
      </c>
      <c r="J308" t="s">
        <v>17</v>
      </c>
      <c r="K308">
        <v>100</v>
      </c>
      <c r="L308">
        <v>50</v>
      </c>
      <c r="O308" t="s">
        <v>521</v>
      </c>
    </row>
    <row r="309" spans="1:15" hidden="1" x14ac:dyDescent="0.3">
      <c r="A309">
        <v>1088019</v>
      </c>
      <c r="B309" t="s">
        <v>419</v>
      </c>
      <c r="C309" t="s">
        <v>424</v>
      </c>
      <c r="D309" t="s">
        <v>425</v>
      </c>
      <c r="E309" t="s">
        <v>426</v>
      </c>
      <c r="G309" t="s">
        <v>440</v>
      </c>
      <c r="H309" t="s">
        <v>46</v>
      </c>
      <c r="I309" t="s">
        <v>46</v>
      </c>
      <c r="J309" t="s">
        <v>17</v>
      </c>
      <c r="K309">
        <v>100</v>
      </c>
      <c r="L309">
        <v>50</v>
      </c>
      <c r="O309" t="s">
        <v>521</v>
      </c>
    </row>
    <row r="310" spans="1:15" hidden="1" x14ac:dyDescent="0.3">
      <c r="A310">
        <v>1088019</v>
      </c>
      <c r="B310" t="s">
        <v>419</v>
      </c>
      <c r="C310" t="s">
        <v>424</v>
      </c>
      <c r="D310" t="s">
        <v>425</v>
      </c>
      <c r="E310" t="s">
        <v>426</v>
      </c>
      <c r="G310" t="s">
        <v>441</v>
      </c>
      <c r="H310" t="s">
        <v>46</v>
      </c>
      <c r="I310" t="s">
        <v>46</v>
      </c>
      <c r="J310" t="s">
        <v>17</v>
      </c>
      <c r="K310">
        <v>100</v>
      </c>
      <c r="L310">
        <v>50</v>
      </c>
      <c r="O310" t="s">
        <v>521</v>
      </c>
    </row>
    <row r="311" spans="1:15" hidden="1" x14ac:dyDescent="0.3">
      <c r="A311">
        <v>1088019</v>
      </c>
      <c r="B311" t="s">
        <v>419</v>
      </c>
      <c r="C311" t="s">
        <v>424</v>
      </c>
      <c r="D311" t="s">
        <v>425</v>
      </c>
      <c r="E311" t="s">
        <v>426</v>
      </c>
      <c r="G311" t="s">
        <v>442</v>
      </c>
      <c r="H311" t="s">
        <v>46</v>
      </c>
      <c r="I311" t="s">
        <v>46</v>
      </c>
      <c r="J311" t="s">
        <v>17</v>
      </c>
      <c r="K311">
        <v>100</v>
      </c>
      <c r="L311">
        <v>50</v>
      </c>
      <c r="O311" t="s">
        <v>521</v>
      </c>
    </row>
    <row r="312" spans="1:15" hidden="1" x14ac:dyDescent="0.3">
      <c r="A312">
        <v>1088019</v>
      </c>
      <c r="B312" t="s">
        <v>419</v>
      </c>
      <c r="C312" t="s">
        <v>424</v>
      </c>
      <c r="D312" t="s">
        <v>425</v>
      </c>
      <c r="E312" t="s">
        <v>426</v>
      </c>
      <c r="G312" t="s">
        <v>443</v>
      </c>
      <c r="H312" t="s">
        <v>46</v>
      </c>
      <c r="I312" t="s">
        <v>46</v>
      </c>
      <c r="J312" t="s">
        <v>17</v>
      </c>
      <c r="K312">
        <v>100</v>
      </c>
      <c r="L312">
        <v>50</v>
      </c>
      <c r="O312" t="s">
        <v>521</v>
      </c>
    </row>
    <row r="313" spans="1:15" hidden="1" x14ac:dyDescent="0.3">
      <c r="A313">
        <v>1088019</v>
      </c>
      <c r="B313" t="s">
        <v>419</v>
      </c>
      <c r="C313" t="s">
        <v>424</v>
      </c>
      <c r="D313" t="s">
        <v>425</v>
      </c>
      <c r="E313" t="s">
        <v>426</v>
      </c>
      <c r="G313" t="s">
        <v>444</v>
      </c>
      <c r="H313" t="s">
        <v>46</v>
      </c>
      <c r="I313" t="s">
        <v>46</v>
      </c>
      <c r="J313" t="s">
        <v>17</v>
      </c>
      <c r="K313">
        <v>100</v>
      </c>
      <c r="L313">
        <v>50</v>
      </c>
      <c r="O313" t="s">
        <v>521</v>
      </c>
    </row>
    <row r="314" spans="1:15" hidden="1" x14ac:dyDescent="0.3">
      <c r="A314">
        <v>1088019</v>
      </c>
      <c r="B314" t="s">
        <v>419</v>
      </c>
      <c r="C314" t="s">
        <v>445</v>
      </c>
      <c r="D314" t="s">
        <v>446</v>
      </c>
      <c r="E314" t="s">
        <v>447</v>
      </c>
      <c r="H314" t="s">
        <v>46</v>
      </c>
      <c r="I314" t="s">
        <v>46</v>
      </c>
      <c r="J314" t="s">
        <v>17</v>
      </c>
      <c r="K314">
        <v>100</v>
      </c>
      <c r="L314">
        <v>50</v>
      </c>
      <c r="M314" t="s">
        <v>448</v>
      </c>
      <c r="N314" t="s">
        <v>449</v>
      </c>
      <c r="O314" t="s">
        <v>522</v>
      </c>
    </row>
    <row r="315" spans="1:15" x14ac:dyDescent="0.3">
      <c r="A315">
        <v>1088019</v>
      </c>
      <c r="B315" t="s">
        <v>419</v>
      </c>
      <c r="C315" t="s">
        <v>450</v>
      </c>
      <c r="D315" t="s">
        <v>451</v>
      </c>
      <c r="E315" t="s">
        <v>452</v>
      </c>
      <c r="G315" t="s">
        <v>453</v>
      </c>
      <c r="H315" t="s">
        <v>46</v>
      </c>
      <c r="I315" t="s">
        <v>46</v>
      </c>
      <c r="J315" t="s">
        <v>17</v>
      </c>
      <c r="K315">
        <v>100</v>
      </c>
      <c r="L315">
        <v>50</v>
      </c>
      <c r="O315" t="s">
        <v>521</v>
      </c>
    </row>
    <row r="316" spans="1:15" x14ac:dyDescent="0.3">
      <c r="A316">
        <v>1088019</v>
      </c>
      <c r="B316" t="s">
        <v>419</v>
      </c>
      <c r="C316" t="s">
        <v>450</v>
      </c>
      <c r="D316" t="s">
        <v>451</v>
      </c>
      <c r="E316" t="s">
        <v>452</v>
      </c>
      <c r="G316" t="s">
        <v>454</v>
      </c>
      <c r="H316" t="s">
        <v>46</v>
      </c>
      <c r="I316" t="s">
        <v>46</v>
      </c>
      <c r="J316" t="s">
        <v>17</v>
      </c>
      <c r="K316">
        <v>100</v>
      </c>
      <c r="L316">
        <v>50</v>
      </c>
      <c r="O316" t="s">
        <v>521</v>
      </c>
    </row>
    <row r="317" spans="1:15" hidden="1" x14ac:dyDescent="0.3">
      <c r="A317">
        <v>1088019</v>
      </c>
      <c r="B317" t="s">
        <v>419</v>
      </c>
      <c r="C317" t="s">
        <v>455</v>
      </c>
      <c r="D317" t="s">
        <v>456</v>
      </c>
      <c r="E317" t="s">
        <v>457</v>
      </c>
      <c r="G317" t="s">
        <v>458</v>
      </c>
      <c r="H317" t="s">
        <v>46</v>
      </c>
      <c r="I317" t="s">
        <v>46</v>
      </c>
      <c r="J317" t="s">
        <v>17</v>
      </c>
      <c r="K317">
        <v>100</v>
      </c>
      <c r="L317">
        <v>50</v>
      </c>
      <c r="O317" t="s">
        <v>522</v>
      </c>
    </row>
    <row r="318" spans="1:15" hidden="1" x14ac:dyDescent="0.3">
      <c r="A318">
        <v>1088019</v>
      </c>
      <c r="B318" t="s">
        <v>419</v>
      </c>
      <c r="C318" t="s">
        <v>455</v>
      </c>
      <c r="D318" t="s">
        <v>456</v>
      </c>
      <c r="E318" t="s">
        <v>457</v>
      </c>
      <c r="G318" t="s">
        <v>459</v>
      </c>
      <c r="H318" t="s">
        <v>46</v>
      </c>
      <c r="I318" t="s">
        <v>46</v>
      </c>
      <c r="J318" t="s">
        <v>17</v>
      </c>
      <c r="K318">
        <v>100</v>
      </c>
      <c r="L318">
        <v>50</v>
      </c>
      <c r="O318" t="s">
        <v>522</v>
      </c>
    </row>
    <row r="319" spans="1:15" hidden="1" x14ac:dyDescent="0.3">
      <c r="A319">
        <v>1088019</v>
      </c>
      <c r="B319" t="s">
        <v>419</v>
      </c>
      <c r="C319" t="s">
        <v>455</v>
      </c>
      <c r="D319" t="s">
        <v>456</v>
      </c>
      <c r="E319" t="s">
        <v>457</v>
      </c>
      <c r="G319" t="s">
        <v>460</v>
      </c>
      <c r="H319" t="s">
        <v>46</v>
      </c>
      <c r="I319" t="s">
        <v>46</v>
      </c>
      <c r="J319" t="s">
        <v>17</v>
      </c>
      <c r="K319">
        <v>100</v>
      </c>
      <c r="L319">
        <v>50</v>
      </c>
      <c r="O319" t="s">
        <v>522</v>
      </c>
    </row>
    <row r="320" spans="1:15" hidden="1" x14ac:dyDescent="0.3">
      <c r="A320">
        <v>1088019</v>
      </c>
      <c r="B320" t="s">
        <v>419</v>
      </c>
      <c r="C320" t="s">
        <v>455</v>
      </c>
      <c r="D320" t="s">
        <v>456</v>
      </c>
      <c r="E320" t="s">
        <v>457</v>
      </c>
      <c r="G320" t="s">
        <v>461</v>
      </c>
      <c r="H320" t="s">
        <v>46</v>
      </c>
      <c r="I320" t="s">
        <v>46</v>
      </c>
      <c r="J320" t="s">
        <v>17</v>
      </c>
      <c r="K320">
        <v>100</v>
      </c>
      <c r="L320">
        <v>50</v>
      </c>
      <c r="O320" t="s">
        <v>522</v>
      </c>
    </row>
    <row r="321" spans="1:15" hidden="1" x14ac:dyDescent="0.3">
      <c r="A321">
        <v>1088019</v>
      </c>
      <c r="B321" t="s">
        <v>419</v>
      </c>
      <c r="C321" t="s">
        <v>455</v>
      </c>
      <c r="D321" t="s">
        <v>456</v>
      </c>
      <c r="E321" t="s">
        <v>457</v>
      </c>
      <c r="G321" t="s">
        <v>462</v>
      </c>
      <c r="H321" t="s">
        <v>46</v>
      </c>
      <c r="I321" t="s">
        <v>46</v>
      </c>
      <c r="J321" t="s">
        <v>17</v>
      </c>
      <c r="K321">
        <v>100</v>
      </c>
      <c r="L321">
        <v>50</v>
      </c>
      <c r="O321" t="s">
        <v>522</v>
      </c>
    </row>
    <row r="322" spans="1:15" hidden="1" x14ac:dyDescent="0.3">
      <c r="A322">
        <v>1088019</v>
      </c>
      <c r="B322" t="s">
        <v>419</v>
      </c>
      <c r="C322" t="s">
        <v>455</v>
      </c>
      <c r="D322" t="s">
        <v>456</v>
      </c>
      <c r="E322" t="s">
        <v>457</v>
      </c>
      <c r="G322" t="s">
        <v>463</v>
      </c>
      <c r="H322" t="s">
        <v>46</v>
      </c>
      <c r="I322" t="s">
        <v>46</v>
      </c>
      <c r="J322" t="s">
        <v>17</v>
      </c>
      <c r="K322">
        <v>100</v>
      </c>
      <c r="L322">
        <v>50</v>
      </c>
      <c r="O322" t="s">
        <v>522</v>
      </c>
    </row>
    <row r="323" spans="1:15" hidden="1" x14ac:dyDescent="0.3">
      <c r="A323">
        <v>1088019</v>
      </c>
      <c r="B323" t="s">
        <v>419</v>
      </c>
      <c r="C323" t="s">
        <v>455</v>
      </c>
      <c r="D323" t="s">
        <v>456</v>
      </c>
      <c r="E323" t="s">
        <v>457</v>
      </c>
      <c r="G323" t="s">
        <v>464</v>
      </c>
      <c r="H323" t="s">
        <v>46</v>
      </c>
      <c r="I323" t="s">
        <v>46</v>
      </c>
      <c r="J323" t="s">
        <v>17</v>
      </c>
      <c r="K323">
        <v>100</v>
      </c>
      <c r="L323">
        <v>50</v>
      </c>
      <c r="O323" t="s">
        <v>522</v>
      </c>
    </row>
    <row r="324" spans="1:15" hidden="1" x14ac:dyDescent="0.3">
      <c r="A324">
        <v>1088019</v>
      </c>
      <c r="B324" t="s">
        <v>419</v>
      </c>
      <c r="C324" t="s">
        <v>455</v>
      </c>
      <c r="D324" t="s">
        <v>456</v>
      </c>
      <c r="E324" t="s">
        <v>457</v>
      </c>
      <c r="G324" t="s">
        <v>465</v>
      </c>
      <c r="H324" t="s">
        <v>46</v>
      </c>
      <c r="I324" t="s">
        <v>46</v>
      </c>
      <c r="J324" t="s">
        <v>17</v>
      </c>
      <c r="K324">
        <v>100</v>
      </c>
      <c r="L324">
        <v>50</v>
      </c>
      <c r="O324" t="s">
        <v>522</v>
      </c>
    </row>
    <row r="325" spans="1:15" hidden="1" x14ac:dyDescent="0.3">
      <c r="A325">
        <v>1088019</v>
      </c>
      <c r="B325" t="s">
        <v>419</v>
      </c>
      <c r="C325" t="s">
        <v>455</v>
      </c>
      <c r="D325" t="s">
        <v>456</v>
      </c>
      <c r="E325" t="s">
        <v>457</v>
      </c>
      <c r="G325" t="s">
        <v>466</v>
      </c>
      <c r="H325" t="s">
        <v>46</v>
      </c>
      <c r="I325" t="s">
        <v>46</v>
      </c>
      <c r="J325" t="s">
        <v>17</v>
      </c>
      <c r="K325">
        <v>100</v>
      </c>
      <c r="L325">
        <v>50</v>
      </c>
      <c r="O325" t="s">
        <v>522</v>
      </c>
    </row>
    <row r="326" spans="1:15" hidden="1" x14ac:dyDescent="0.3">
      <c r="A326">
        <v>1088019</v>
      </c>
      <c r="B326" t="s">
        <v>419</v>
      </c>
      <c r="C326" t="s">
        <v>455</v>
      </c>
      <c r="D326" t="s">
        <v>456</v>
      </c>
      <c r="E326" t="s">
        <v>457</v>
      </c>
      <c r="G326" t="s">
        <v>467</v>
      </c>
      <c r="H326" t="s">
        <v>46</v>
      </c>
      <c r="I326" t="s">
        <v>46</v>
      </c>
      <c r="J326" t="s">
        <v>17</v>
      </c>
      <c r="K326">
        <v>100</v>
      </c>
      <c r="L326">
        <v>50</v>
      </c>
      <c r="O326" t="s">
        <v>522</v>
      </c>
    </row>
    <row r="327" spans="1:15" hidden="1" x14ac:dyDescent="0.3">
      <c r="A327">
        <v>1088019</v>
      </c>
      <c r="B327" t="s">
        <v>419</v>
      </c>
      <c r="C327" t="s">
        <v>455</v>
      </c>
      <c r="D327" t="s">
        <v>456</v>
      </c>
      <c r="E327" t="s">
        <v>457</v>
      </c>
      <c r="G327" t="s">
        <v>468</v>
      </c>
      <c r="H327" t="s">
        <v>46</v>
      </c>
      <c r="I327" t="s">
        <v>46</v>
      </c>
      <c r="J327" t="s">
        <v>17</v>
      </c>
      <c r="K327">
        <v>100</v>
      </c>
      <c r="L327">
        <v>50</v>
      </c>
      <c r="O327" t="s">
        <v>522</v>
      </c>
    </row>
    <row r="328" spans="1:15" hidden="1" x14ac:dyDescent="0.3">
      <c r="A328">
        <v>1088019</v>
      </c>
      <c r="B328" t="s">
        <v>419</v>
      </c>
      <c r="C328" t="s">
        <v>455</v>
      </c>
      <c r="D328" t="s">
        <v>456</v>
      </c>
      <c r="E328" t="s">
        <v>457</v>
      </c>
      <c r="G328" t="s">
        <v>469</v>
      </c>
      <c r="H328" t="s">
        <v>46</v>
      </c>
      <c r="I328" t="s">
        <v>46</v>
      </c>
      <c r="J328" t="s">
        <v>17</v>
      </c>
      <c r="K328">
        <v>100</v>
      </c>
      <c r="L328">
        <v>50</v>
      </c>
      <c r="O328" t="s">
        <v>522</v>
      </c>
    </row>
    <row r="329" spans="1:15" hidden="1" x14ac:dyDescent="0.3">
      <c r="A329">
        <v>1088019</v>
      </c>
      <c r="B329" t="s">
        <v>419</v>
      </c>
      <c r="C329" t="s">
        <v>455</v>
      </c>
      <c r="D329" t="s">
        <v>456</v>
      </c>
      <c r="E329" t="s">
        <v>457</v>
      </c>
      <c r="G329" t="s">
        <v>470</v>
      </c>
      <c r="H329" t="s">
        <v>46</v>
      </c>
      <c r="I329" t="s">
        <v>46</v>
      </c>
      <c r="J329" t="s">
        <v>17</v>
      </c>
      <c r="K329">
        <v>100</v>
      </c>
      <c r="L329">
        <v>50</v>
      </c>
      <c r="O329" t="s">
        <v>522</v>
      </c>
    </row>
    <row r="330" spans="1:15" hidden="1" x14ac:dyDescent="0.3">
      <c r="A330">
        <v>1088019</v>
      </c>
      <c r="B330" t="s">
        <v>419</v>
      </c>
      <c r="C330" t="s">
        <v>471</v>
      </c>
      <c r="D330" t="s">
        <v>472</v>
      </c>
      <c r="E330" t="s">
        <v>473</v>
      </c>
      <c r="F330" t="s">
        <v>474</v>
      </c>
      <c r="G330" t="s">
        <v>475</v>
      </c>
      <c r="H330" t="s">
        <v>46</v>
      </c>
      <c r="I330" t="s">
        <v>46</v>
      </c>
      <c r="J330" t="s">
        <v>17</v>
      </c>
      <c r="K330">
        <v>100</v>
      </c>
      <c r="L330">
        <v>50</v>
      </c>
      <c r="O330" t="s">
        <v>521</v>
      </c>
    </row>
    <row r="331" spans="1:15" hidden="1" x14ac:dyDescent="0.3">
      <c r="A331">
        <v>1088019</v>
      </c>
      <c r="B331" t="s">
        <v>419</v>
      </c>
      <c r="C331" t="s">
        <v>471</v>
      </c>
      <c r="D331" t="s">
        <v>472</v>
      </c>
      <c r="E331" t="s">
        <v>473</v>
      </c>
      <c r="F331" t="s">
        <v>474</v>
      </c>
      <c r="G331" t="s">
        <v>476</v>
      </c>
      <c r="H331" t="s">
        <v>46</v>
      </c>
      <c r="I331" t="s">
        <v>46</v>
      </c>
      <c r="J331" t="s">
        <v>17</v>
      </c>
      <c r="K331">
        <v>100</v>
      </c>
      <c r="L331">
        <v>50</v>
      </c>
      <c r="O331" t="s">
        <v>521</v>
      </c>
    </row>
    <row r="332" spans="1:15" hidden="1" x14ac:dyDescent="0.3">
      <c r="A332">
        <v>1088019</v>
      </c>
      <c r="B332" t="s">
        <v>419</v>
      </c>
      <c r="C332" t="s">
        <v>471</v>
      </c>
      <c r="D332" t="s">
        <v>472</v>
      </c>
      <c r="E332" t="s">
        <v>473</v>
      </c>
      <c r="F332" t="s">
        <v>474</v>
      </c>
      <c r="G332" t="s">
        <v>477</v>
      </c>
      <c r="H332" t="s">
        <v>46</v>
      </c>
      <c r="I332" t="s">
        <v>46</v>
      </c>
      <c r="J332" t="s">
        <v>17</v>
      </c>
      <c r="K332">
        <v>100</v>
      </c>
      <c r="L332">
        <v>50</v>
      </c>
      <c r="O332" t="s">
        <v>521</v>
      </c>
    </row>
    <row r="333" spans="1:15" hidden="1" x14ac:dyDescent="0.3">
      <c r="A333">
        <v>1088019</v>
      </c>
      <c r="B333" t="s">
        <v>419</v>
      </c>
      <c r="C333" t="s">
        <v>471</v>
      </c>
      <c r="D333" t="s">
        <v>472</v>
      </c>
      <c r="E333" t="s">
        <v>473</v>
      </c>
      <c r="F333" t="s">
        <v>474</v>
      </c>
      <c r="G333" t="s">
        <v>478</v>
      </c>
      <c r="H333" t="s">
        <v>46</v>
      </c>
      <c r="I333" t="s">
        <v>46</v>
      </c>
      <c r="J333" t="s">
        <v>17</v>
      </c>
      <c r="K333">
        <v>100</v>
      </c>
      <c r="L333">
        <v>50</v>
      </c>
      <c r="O333" t="s">
        <v>521</v>
      </c>
    </row>
    <row r="334" spans="1:15" hidden="1" x14ac:dyDescent="0.3">
      <c r="A334">
        <v>1088019</v>
      </c>
      <c r="B334" t="s">
        <v>419</v>
      </c>
      <c r="C334" t="s">
        <v>471</v>
      </c>
      <c r="D334" t="s">
        <v>472</v>
      </c>
      <c r="E334" t="s">
        <v>473</v>
      </c>
      <c r="F334" t="s">
        <v>474</v>
      </c>
      <c r="G334" t="s">
        <v>479</v>
      </c>
      <c r="H334" t="s">
        <v>46</v>
      </c>
      <c r="I334" t="s">
        <v>46</v>
      </c>
      <c r="J334" t="s">
        <v>17</v>
      </c>
      <c r="K334">
        <v>100</v>
      </c>
      <c r="L334">
        <v>50</v>
      </c>
      <c r="O334" t="s">
        <v>521</v>
      </c>
    </row>
    <row r="335" spans="1:15" hidden="1" x14ac:dyDescent="0.3">
      <c r="A335">
        <v>1088019</v>
      </c>
      <c r="B335" t="s">
        <v>419</v>
      </c>
      <c r="C335" t="s">
        <v>471</v>
      </c>
      <c r="D335" t="s">
        <v>472</v>
      </c>
      <c r="E335" t="s">
        <v>473</v>
      </c>
      <c r="F335" t="s">
        <v>474</v>
      </c>
      <c r="G335" t="s">
        <v>480</v>
      </c>
      <c r="H335" t="s">
        <v>46</v>
      </c>
      <c r="I335" t="s">
        <v>46</v>
      </c>
      <c r="J335" t="s">
        <v>17</v>
      </c>
      <c r="K335">
        <v>100</v>
      </c>
      <c r="L335">
        <v>50</v>
      </c>
      <c r="O335" t="s">
        <v>521</v>
      </c>
    </row>
    <row r="336" spans="1:15" hidden="1" x14ac:dyDescent="0.3">
      <c r="A336">
        <v>1088019</v>
      </c>
      <c r="B336" t="s">
        <v>419</v>
      </c>
      <c r="C336" t="s">
        <v>471</v>
      </c>
      <c r="D336" t="s">
        <v>472</v>
      </c>
      <c r="E336" t="s">
        <v>473</v>
      </c>
      <c r="F336" t="s">
        <v>474</v>
      </c>
      <c r="G336" t="s">
        <v>481</v>
      </c>
      <c r="H336" t="s">
        <v>46</v>
      </c>
      <c r="I336" t="s">
        <v>46</v>
      </c>
      <c r="J336" t="s">
        <v>17</v>
      </c>
      <c r="K336">
        <v>100</v>
      </c>
      <c r="L336">
        <v>50</v>
      </c>
      <c r="O336" t="s">
        <v>521</v>
      </c>
    </row>
    <row r="337" spans="1:15" hidden="1" x14ac:dyDescent="0.3">
      <c r="A337">
        <v>1088019</v>
      </c>
      <c r="B337" t="s">
        <v>419</v>
      </c>
      <c r="C337" t="s">
        <v>482</v>
      </c>
      <c r="D337" t="s">
        <v>483</v>
      </c>
      <c r="E337" t="s">
        <v>484</v>
      </c>
      <c r="F337">
        <v>119788740</v>
      </c>
      <c r="G337" t="s">
        <v>485</v>
      </c>
      <c r="H337" t="s">
        <v>46</v>
      </c>
      <c r="I337" t="s">
        <v>46</v>
      </c>
      <c r="J337" t="s">
        <v>17</v>
      </c>
      <c r="K337">
        <v>100</v>
      </c>
      <c r="L337">
        <v>50</v>
      </c>
      <c r="O337" t="s">
        <v>521</v>
      </c>
    </row>
    <row r="338" spans="1:15" hidden="1" x14ac:dyDescent="0.3">
      <c r="A338">
        <v>1088019</v>
      </c>
      <c r="B338" t="s">
        <v>419</v>
      </c>
      <c r="C338" t="s">
        <v>482</v>
      </c>
      <c r="D338" t="s">
        <v>483</v>
      </c>
      <c r="E338" t="s">
        <v>484</v>
      </c>
      <c r="F338">
        <v>119788740</v>
      </c>
      <c r="G338" t="s">
        <v>486</v>
      </c>
      <c r="H338" t="s">
        <v>46</v>
      </c>
      <c r="I338" t="s">
        <v>46</v>
      </c>
      <c r="J338" t="s">
        <v>17</v>
      </c>
      <c r="K338">
        <v>100</v>
      </c>
      <c r="L338">
        <v>50</v>
      </c>
      <c r="O338" t="s">
        <v>521</v>
      </c>
    </row>
    <row r="339" spans="1:15" hidden="1" x14ac:dyDescent="0.3">
      <c r="A339">
        <v>1088019</v>
      </c>
      <c r="B339" t="s">
        <v>419</v>
      </c>
      <c r="C339" t="s">
        <v>482</v>
      </c>
      <c r="D339" t="s">
        <v>483</v>
      </c>
      <c r="E339" t="s">
        <v>484</v>
      </c>
      <c r="F339">
        <v>119788740</v>
      </c>
      <c r="G339" t="s">
        <v>487</v>
      </c>
      <c r="H339" t="s">
        <v>46</v>
      </c>
      <c r="I339" t="s">
        <v>46</v>
      </c>
      <c r="J339" t="s">
        <v>17</v>
      </c>
      <c r="K339">
        <v>100</v>
      </c>
      <c r="L339">
        <v>50</v>
      </c>
      <c r="O339" t="s">
        <v>521</v>
      </c>
    </row>
    <row r="340" spans="1:15" hidden="1" x14ac:dyDescent="0.3">
      <c r="A340">
        <v>1088019</v>
      </c>
      <c r="B340" t="s">
        <v>419</v>
      </c>
      <c r="C340" t="s">
        <v>482</v>
      </c>
      <c r="D340" t="s">
        <v>483</v>
      </c>
      <c r="E340" t="s">
        <v>484</v>
      </c>
      <c r="F340">
        <v>119788740</v>
      </c>
      <c r="G340" t="s">
        <v>488</v>
      </c>
      <c r="H340" t="s">
        <v>46</v>
      </c>
      <c r="I340" t="s">
        <v>46</v>
      </c>
      <c r="J340" t="s">
        <v>17</v>
      </c>
      <c r="K340">
        <v>100</v>
      </c>
      <c r="L340">
        <v>50</v>
      </c>
      <c r="O340" t="s">
        <v>521</v>
      </c>
    </row>
    <row r="341" spans="1:15" hidden="1" x14ac:dyDescent="0.3">
      <c r="A341">
        <v>1088019</v>
      </c>
      <c r="B341" t="s">
        <v>419</v>
      </c>
      <c r="C341" t="s">
        <v>482</v>
      </c>
      <c r="D341" t="s">
        <v>483</v>
      </c>
      <c r="E341" t="s">
        <v>484</v>
      </c>
      <c r="F341">
        <v>119788740</v>
      </c>
      <c r="G341" t="s">
        <v>489</v>
      </c>
      <c r="H341" t="s">
        <v>46</v>
      </c>
      <c r="I341" t="s">
        <v>46</v>
      </c>
      <c r="J341" t="s">
        <v>17</v>
      </c>
      <c r="K341">
        <v>100</v>
      </c>
      <c r="L341">
        <v>50</v>
      </c>
      <c r="O341" t="s">
        <v>521</v>
      </c>
    </row>
    <row r="342" spans="1:15" hidden="1" x14ac:dyDescent="0.3">
      <c r="A342">
        <v>1088019</v>
      </c>
      <c r="B342" t="s">
        <v>419</v>
      </c>
      <c r="C342" t="s">
        <v>482</v>
      </c>
      <c r="D342" t="s">
        <v>483</v>
      </c>
      <c r="E342" t="s">
        <v>484</v>
      </c>
      <c r="F342">
        <v>119788740</v>
      </c>
      <c r="G342" t="s">
        <v>490</v>
      </c>
      <c r="H342" t="s">
        <v>46</v>
      </c>
      <c r="I342" t="s">
        <v>46</v>
      </c>
      <c r="J342" t="s">
        <v>17</v>
      </c>
      <c r="K342">
        <v>100</v>
      </c>
      <c r="L342">
        <v>50</v>
      </c>
      <c r="O342" t="s">
        <v>521</v>
      </c>
    </row>
    <row r="343" spans="1:15" hidden="1" x14ac:dyDescent="0.3">
      <c r="A343">
        <v>1088019</v>
      </c>
      <c r="B343" t="s">
        <v>419</v>
      </c>
      <c r="C343" t="s">
        <v>482</v>
      </c>
      <c r="D343" t="s">
        <v>483</v>
      </c>
      <c r="E343" t="s">
        <v>484</v>
      </c>
      <c r="F343">
        <v>119788740</v>
      </c>
      <c r="G343" t="s">
        <v>491</v>
      </c>
      <c r="H343" t="s">
        <v>46</v>
      </c>
      <c r="I343" t="s">
        <v>46</v>
      </c>
      <c r="J343" t="s">
        <v>17</v>
      </c>
      <c r="K343">
        <v>100</v>
      </c>
      <c r="L343">
        <v>50</v>
      </c>
      <c r="O343" t="s">
        <v>521</v>
      </c>
    </row>
    <row r="344" spans="1:15" hidden="1" x14ac:dyDescent="0.3">
      <c r="A344">
        <v>1088019</v>
      </c>
      <c r="B344" t="s">
        <v>419</v>
      </c>
      <c r="C344" t="s">
        <v>482</v>
      </c>
      <c r="D344" t="s">
        <v>483</v>
      </c>
      <c r="E344" t="s">
        <v>484</v>
      </c>
      <c r="F344">
        <v>119788740</v>
      </c>
      <c r="G344" t="s">
        <v>492</v>
      </c>
      <c r="H344" t="s">
        <v>46</v>
      </c>
      <c r="I344" t="s">
        <v>46</v>
      </c>
      <c r="J344" t="s">
        <v>17</v>
      </c>
      <c r="K344">
        <v>100</v>
      </c>
      <c r="L344">
        <v>50</v>
      </c>
      <c r="O344" t="s">
        <v>521</v>
      </c>
    </row>
    <row r="345" spans="1:15" hidden="1" x14ac:dyDescent="0.3">
      <c r="A345">
        <v>1088019</v>
      </c>
      <c r="B345" t="s">
        <v>419</v>
      </c>
      <c r="C345" t="s">
        <v>482</v>
      </c>
      <c r="D345" t="s">
        <v>483</v>
      </c>
      <c r="E345" t="s">
        <v>484</v>
      </c>
      <c r="F345">
        <v>119788740</v>
      </c>
      <c r="G345" t="s">
        <v>493</v>
      </c>
      <c r="H345" t="s">
        <v>46</v>
      </c>
      <c r="I345" t="s">
        <v>46</v>
      </c>
      <c r="J345" t="s">
        <v>17</v>
      </c>
      <c r="K345">
        <v>100</v>
      </c>
      <c r="L345">
        <v>50</v>
      </c>
      <c r="O345" t="s">
        <v>521</v>
      </c>
    </row>
    <row r="346" spans="1:15" hidden="1" x14ac:dyDescent="0.3">
      <c r="A346">
        <v>1088019</v>
      </c>
      <c r="B346" t="s">
        <v>419</v>
      </c>
      <c r="C346" t="s">
        <v>482</v>
      </c>
      <c r="D346" t="s">
        <v>483</v>
      </c>
      <c r="E346" t="s">
        <v>484</v>
      </c>
      <c r="F346">
        <v>119788740</v>
      </c>
      <c r="G346" t="s">
        <v>494</v>
      </c>
      <c r="H346" t="s">
        <v>46</v>
      </c>
      <c r="I346" t="s">
        <v>46</v>
      </c>
      <c r="J346" t="s">
        <v>17</v>
      </c>
      <c r="K346">
        <v>100</v>
      </c>
      <c r="L346">
        <v>50</v>
      </c>
      <c r="O346" t="s">
        <v>521</v>
      </c>
    </row>
    <row r="347" spans="1:15" hidden="1" x14ac:dyDescent="0.3">
      <c r="A347">
        <v>1088019</v>
      </c>
      <c r="B347" t="s">
        <v>419</v>
      </c>
      <c r="C347" t="s">
        <v>482</v>
      </c>
      <c r="D347" t="s">
        <v>483</v>
      </c>
      <c r="E347" t="s">
        <v>484</v>
      </c>
      <c r="F347">
        <v>119788740</v>
      </c>
      <c r="G347" t="s">
        <v>495</v>
      </c>
      <c r="H347" t="s">
        <v>46</v>
      </c>
      <c r="I347" t="s">
        <v>46</v>
      </c>
      <c r="J347" t="s">
        <v>17</v>
      </c>
      <c r="K347">
        <v>100</v>
      </c>
      <c r="L347">
        <v>50</v>
      </c>
      <c r="O347" t="s">
        <v>521</v>
      </c>
    </row>
    <row r="348" spans="1:15" hidden="1" x14ac:dyDescent="0.3">
      <c r="A348">
        <v>1088019</v>
      </c>
      <c r="B348" t="s">
        <v>419</v>
      </c>
      <c r="C348" t="s">
        <v>482</v>
      </c>
      <c r="D348" t="s">
        <v>483</v>
      </c>
      <c r="E348" t="s">
        <v>484</v>
      </c>
      <c r="F348">
        <v>119788740</v>
      </c>
      <c r="G348" t="s">
        <v>496</v>
      </c>
      <c r="H348" t="s">
        <v>46</v>
      </c>
      <c r="I348" t="s">
        <v>46</v>
      </c>
      <c r="J348" t="s">
        <v>17</v>
      </c>
      <c r="K348">
        <v>100</v>
      </c>
      <c r="L348">
        <v>50</v>
      </c>
      <c r="O348" t="s">
        <v>521</v>
      </c>
    </row>
    <row r="349" spans="1:15" hidden="1" x14ac:dyDescent="0.3">
      <c r="A349">
        <v>1088019</v>
      </c>
      <c r="B349" t="s">
        <v>419</v>
      </c>
      <c r="C349" t="s">
        <v>482</v>
      </c>
      <c r="D349" t="s">
        <v>483</v>
      </c>
      <c r="E349" t="s">
        <v>484</v>
      </c>
      <c r="F349">
        <v>119788740</v>
      </c>
      <c r="G349" t="s">
        <v>497</v>
      </c>
      <c r="H349" t="s">
        <v>46</v>
      </c>
      <c r="I349" t="s">
        <v>46</v>
      </c>
      <c r="J349" t="s">
        <v>17</v>
      </c>
      <c r="K349">
        <v>100</v>
      </c>
      <c r="L349">
        <v>50</v>
      </c>
      <c r="O349" t="s">
        <v>521</v>
      </c>
    </row>
    <row r="350" spans="1:15" hidden="1" x14ac:dyDescent="0.3">
      <c r="A350">
        <v>1088019</v>
      </c>
      <c r="B350" t="s">
        <v>419</v>
      </c>
      <c r="C350" t="s">
        <v>482</v>
      </c>
      <c r="D350" t="s">
        <v>483</v>
      </c>
      <c r="E350" t="s">
        <v>484</v>
      </c>
      <c r="F350">
        <v>119788740</v>
      </c>
      <c r="G350" t="s">
        <v>498</v>
      </c>
      <c r="H350" t="s">
        <v>46</v>
      </c>
      <c r="I350" t="s">
        <v>46</v>
      </c>
      <c r="J350" t="s">
        <v>17</v>
      </c>
      <c r="K350">
        <v>100</v>
      </c>
      <c r="L350">
        <v>50</v>
      </c>
      <c r="O350" t="s">
        <v>521</v>
      </c>
    </row>
    <row r="351" spans="1:15" hidden="1" x14ac:dyDescent="0.3">
      <c r="A351">
        <v>1088019</v>
      </c>
      <c r="B351" t="s">
        <v>419</v>
      </c>
      <c r="C351" t="s">
        <v>482</v>
      </c>
      <c r="D351" t="s">
        <v>483</v>
      </c>
      <c r="E351" t="s">
        <v>484</v>
      </c>
      <c r="F351">
        <v>119788740</v>
      </c>
      <c r="G351" t="s">
        <v>499</v>
      </c>
      <c r="H351" t="s">
        <v>46</v>
      </c>
      <c r="I351" t="s">
        <v>46</v>
      </c>
      <c r="J351" t="s">
        <v>17</v>
      </c>
      <c r="K351">
        <v>100</v>
      </c>
      <c r="L351">
        <v>50</v>
      </c>
      <c r="O351" t="s">
        <v>521</v>
      </c>
    </row>
    <row r="352" spans="1:15" hidden="1" x14ac:dyDescent="0.3">
      <c r="A352">
        <v>1088019</v>
      </c>
      <c r="B352" t="s">
        <v>419</v>
      </c>
      <c r="C352" t="s">
        <v>482</v>
      </c>
      <c r="D352" t="s">
        <v>483</v>
      </c>
      <c r="E352" t="s">
        <v>484</v>
      </c>
      <c r="F352">
        <v>119788740</v>
      </c>
      <c r="G352" t="s">
        <v>500</v>
      </c>
      <c r="H352" t="s">
        <v>46</v>
      </c>
      <c r="I352" t="s">
        <v>46</v>
      </c>
      <c r="J352" t="s">
        <v>17</v>
      </c>
      <c r="K352">
        <v>100</v>
      </c>
      <c r="L352">
        <v>50</v>
      </c>
      <c r="O352" t="s">
        <v>521</v>
      </c>
    </row>
    <row r="353" spans="1:15" hidden="1" x14ac:dyDescent="0.3">
      <c r="A353">
        <v>1088019</v>
      </c>
      <c r="B353" t="s">
        <v>419</v>
      </c>
      <c r="C353" t="s">
        <v>482</v>
      </c>
      <c r="D353" t="s">
        <v>483</v>
      </c>
      <c r="E353" t="s">
        <v>484</v>
      </c>
      <c r="F353">
        <v>119788740</v>
      </c>
      <c r="G353" t="s">
        <v>501</v>
      </c>
      <c r="H353" t="s">
        <v>46</v>
      </c>
      <c r="I353" t="s">
        <v>46</v>
      </c>
      <c r="J353" t="s">
        <v>17</v>
      </c>
      <c r="K353">
        <v>100</v>
      </c>
      <c r="L353">
        <v>50</v>
      </c>
      <c r="O353" t="s">
        <v>521</v>
      </c>
    </row>
    <row r="354" spans="1:15" hidden="1" x14ac:dyDescent="0.3">
      <c r="A354">
        <v>1088019</v>
      </c>
      <c r="B354" t="s">
        <v>419</v>
      </c>
      <c r="C354" t="s">
        <v>482</v>
      </c>
      <c r="D354" t="s">
        <v>483</v>
      </c>
      <c r="E354" t="s">
        <v>484</v>
      </c>
      <c r="F354">
        <v>119788740</v>
      </c>
      <c r="G354" t="s">
        <v>502</v>
      </c>
      <c r="H354" t="s">
        <v>46</v>
      </c>
      <c r="I354" t="s">
        <v>46</v>
      </c>
      <c r="J354" t="s">
        <v>17</v>
      </c>
      <c r="K354">
        <v>100</v>
      </c>
      <c r="L354">
        <v>50</v>
      </c>
      <c r="O354" t="s">
        <v>521</v>
      </c>
    </row>
    <row r="355" spans="1:15" hidden="1" x14ac:dyDescent="0.3">
      <c r="A355">
        <v>1088019</v>
      </c>
      <c r="B355" t="s">
        <v>419</v>
      </c>
      <c r="C355" t="s">
        <v>482</v>
      </c>
      <c r="D355" t="s">
        <v>483</v>
      </c>
      <c r="E355" t="s">
        <v>484</v>
      </c>
      <c r="F355">
        <v>119788740</v>
      </c>
      <c r="G355" t="s">
        <v>503</v>
      </c>
      <c r="H355" t="s">
        <v>46</v>
      </c>
      <c r="I355" t="s">
        <v>46</v>
      </c>
      <c r="J355" t="s">
        <v>17</v>
      </c>
      <c r="K355">
        <v>100</v>
      </c>
      <c r="L355">
        <v>50</v>
      </c>
      <c r="O355" t="s">
        <v>521</v>
      </c>
    </row>
    <row r="356" spans="1:15" hidden="1" x14ac:dyDescent="0.3">
      <c r="A356">
        <v>1088019</v>
      </c>
      <c r="B356" t="s">
        <v>419</v>
      </c>
      <c r="C356" t="s">
        <v>482</v>
      </c>
      <c r="D356" t="s">
        <v>483</v>
      </c>
      <c r="E356" t="s">
        <v>484</v>
      </c>
      <c r="F356">
        <v>119788740</v>
      </c>
      <c r="G356" t="s">
        <v>504</v>
      </c>
      <c r="H356" t="s">
        <v>46</v>
      </c>
      <c r="I356" t="s">
        <v>46</v>
      </c>
      <c r="J356" t="s">
        <v>17</v>
      </c>
      <c r="K356">
        <v>100</v>
      </c>
      <c r="L356">
        <v>50</v>
      </c>
      <c r="O356" t="s">
        <v>521</v>
      </c>
    </row>
    <row r="357" spans="1:15" hidden="1" x14ac:dyDescent="0.3">
      <c r="A357">
        <v>1088019</v>
      </c>
      <c r="B357" t="s">
        <v>419</v>
      </c>
      <c r="C357" t="s">
        <v>482</v>
      </c>
      <c r="D357" t="s">
        <v>483</v>
      </c>
      <c r="E357" t="s">
        <v>484</v>
      </c>
      <c r="F357">
        <v>119788740</v>
      </c>
      <c r="G357" t="s">
        <v>505</v>
      </c>
      <c r="H357" t="s">
        <v>46</v>
      </c>
      <c r="I357" t="s">
        <v>46</v>
      </c>
      <c r="J357" t="s">
        <v>17</v>
      </c>
      <c r="K357">
        <v>100</v>
      </c>
      <c r="L357">
        <v>50</v>
      </c>
      <c r="O357" t="s">
        <v>521</v>
      </c>
    </row>
    <row r="358" spans="1:15" hidden="1" x14ac:dyDescent="0.3">
      <c r="A358">
        <v>1088019</v>
      </c>
      <c r="B358" t="s">
        <v>419</v>
      </c>
      <c r="C358" t="s">
        <v>482</v>
      </c>
      <c r="D358" t="s">
        <v>483</v>
      </c>
      <c r="E358" t="s">
        <v>484</v>
      </c>
      <c r="F358">
        <v>119788740</v>
      </c>
      <c r="G358" t="s">
        <v>506</v>
      </c>
      <c r="H358" t="s">
        <v>46</v>
      </c>
      <c r="I358" t="s">
        <v>46</v>
      </c>
      <c r="J358" t="s">
        <v>17</v>
      </c>
      <c r="K358">
        <v>100</v>
      </c>
      <c r="L358">
        <v>50</v>
      </c>
      <c r="O358" t="s">
        <v>521</v>
      </c>
    </row>
    <row r="359" spans="1:15" hidden="1" x14ac:dyDescent="0.3">
      <c r="A359">
        <v>1088019</v>
      </c>
      <c r="B359" t="s">
        <v>419</v>
      </c>
      <c r="C359" t="s">
        <v>482</v>
      </c>
      <c r="D359" t="s">
        <v>483</v>
      </c>
      <c r="E359" t="s">
        <v>484</v>
      </c>
      <c r="F359">
        <v>119788740</v>
      </c>
      <c r="G359" t="s">
        <v>507</v>
      </c>
      <c r="H359" t="s">
        <v>46</v>
      </c>
      <c r="I359" t="s">
        <v>46</v>
      </c>
      <c r="J359" t="s">
        <v>17</v>
      </c>
      <c r="K359">
        <v>100</v>
      </c>
      <c r="L359">
        <v>50</v>
      </c>
      <c r="O359" t="s">
        <v>521</v>
      </c>
    </row>
    <row r="360" spans="1:15" hidden="1" x14ac:dyDescent="0.3">
      <c r="A360">
        <v>1088019</v>
      </c>
      <c r="B360" t="s">
        <v>419</v>
      </c>
      <c r="C360" t="s">
        <v>482</v>
      </c>
      <c r="D360" t="s">
        <v>483</v>
      </c>
      <c r="E360" t="s">
        <v>484</v>
      </c>
      <c r="F360">
        <v>119788740</v>
      </c>
      <c r="G360" t="s">
        <v>508</v>
      </c>
      <c r="H360" t="s">
        <v>46</v>
      </c>
      <c r="I360" t="s">
        <v>46</v>
      </c>
      <c r="J360" t="s">
        <v>17</v>
      </c>
      <c r="K360">
        <v>100</v>
      </c>
      <c r="L360">
        <v>50</v>
      </c>
      <c r="O360" t="s">
        <v>521</v>
      </c>
    </row>
    <row r="361" spans="1:15" hidden="1" x14ac:dyDescent="0.3">
      <c r="A361">
        <v>1088019</v>
      </c>
      <c r="B361" t="s">
        <v>419</v>
      </c>
      <c r="C361" t="s">
        <v>482</v>
      </c>
      <c r="D361" t="s">
        <v>483</v>
      </c>
      <c r="E361" t="s">
        <v>484</v>
      </c>
      <c r="F361">
        <v>119788740</v>
      </c>
      <c r="G361" t="s">
        <v>509</v>
      </c>
      <c r="H361" t="s">
        <v>46</v>
      </c>
      <c r="I361" t="s">
        <v>46</v>
      </c>
      <c r="J361" t="s">
        <v>17</v>
      </c>
      <c r="K361">
        <v>100</v>
      </c>
      <c r="L361">
        <v>50</v>
      </c>
      <c r="O361" t="s">
        <v>521</v>
      </c>
    </row>
    <row r="362" spans="1:15" hidden="1" x14ac:dyDescent="0.3">
      <c r="A362">
        <v>1088019</v>
      </c>
      <c r="B362" t="s">
        <v>419</v>
      </c>
      <c r="C362" t="s">
        <v>482</v>
      </c>
      <c r="D362" t="s">
        <v>483</v>
      </c>
      <c r="E362" t="s">
        <v>484</v>
      </c>
      <c r="F362">
        <v>119788740</v>
      </c>
      <c r="G362" t="s">
        <v>510</v>
      </c>
      <c r="H362" t="s">
        <v>46</v>
      </c>
      <c r="I362" t="s">
        <v>46</v>
      </c>
      <c r="J362" t="s">
        <v>17</v>
      </c>
      <c r="K362">
        <v>100</v>
      </c>
      <c r="L362">
        <v>50</v>
      </c>
      <c r="O362" t="s">
        <v>521</v>
      </c>
    </row>
    <row r="363" spans="1:15" hidden="1" x14ac:dyDescent="0.3">
      <c r="A363">
        <v>1088019</v>
      </c>
      <c r="B363" t="s">
        <v>419</v>
      </c>
      <c r="C363" t="s">
        <v>482</v>
      </c>
      <c r="D363" t="s">
        <v>483</v>
      </c>
      <c r="E363" t="s">
        <v>484</v>
      </c>
      <c r="F363">
        <v>119788740</v>
      </c>
      <c r="G363" t="s">
        <v>511</v>
      </c>
      <c r="H363" t="s">
        <v>46</v>
      </c>
      <c r="I363" t="s">
        <v>46</v>
      </c>
      <c r="J363" t="s">
        <v>17</v>
      </c>
      <c r="K363">
        <v>100</v>
      </c>
      <c r="L363">
        <v>50</v>
      </c>
      <c r="O363" t="s">
        <v>521</v>
      </c>
    </row>
    <row r="364" spans="1:15" hidden="1" x14ac:dyDescent="0.3">
      <c r="A364">
        <v>1088019</v>
      </c>
      <c r="B364" t="s">
        <v>419</v>
      </c>
      <c r="C364" t="s">
        <v>482</v>
      </c>
      <c r="D364" t="s">
        <v>483</v>
      </c>
      <c r="E364" t="s">
        <v>484</v>
      </c>
      <c r="F364">
        <v>119788740</v>
      </c>
      <c r="G364" t="s">
        <v>512</v>
      </c>
      <c r="H364" t="s">
        <v>46</v>
      </c>
      <c r="I364" t="s">
        <v>46</v>
      </c>
      <c r="J364" t="s">
        <v>17</v>
      </c>
      <c r="K364">
        <v>100</v>
      </c>
      <c r="L364">
        <v>50</v>
      </c>
      <c r="O364" t="s">
        <v>521</v>
      </c>
    </row>
    <row r="365" spans="1:15" hidden="1" x14ac:dyDescent="0.3">
      <c r="A365">
        <v>1088019</v>
      </c>
      <c r="B365" t="s">
        <v>419</v>
      </c>
      <c r="C365" t="s">
        <v>482</v>
      </c>
      <c r="D365" t="s">
        <v>483</v>
      </c>
      <c r="E365" t="s">
        <v>484</v>
      </c>
      <c r="F365">
        <v>119788740</v>
      </c>
      <c r="G365" t="s">
        <v>513</v>
      </c>
      <c r="H365" t="s">
        <v>46</v>
      </c>
      <c r="I365" t="s">
        <v>46</v>
      </c>
      <c r="J365" t="s">
        <v>17</v>
      </c>
      <c r="K365">
        <v>100</v>
      </c>
      <c r="L365">
        <v>50</v>
      </c>
      <c r="O365" t="s">
        <v>521</v>
      </c>
    </row>
    <row r="366" spans="1:15" hidden="1" x14ac:dyDescent="0.3">
      <c r="A366">
        <v>1088019</v>
      </c>
      <c r="B366" t="s">
        <v>419</v>
      </c>
      <c r="C366" t="s">
        <v>482</v>
      </c>
      <c r="D366" t="s">
        <v>483</v>
      </c>
      <c r="E366" t="s">
        <v>484</v>
      </c>
      <c r="F366">
        <v>119788740</v>
      </c>
      <c r="G366" t="s">
        <v>514</v>
      </c>
      <c r="H366" t="s">
        <v>46</v>
      </c>
      <c r="I366" t="s">
        <v>46</v>
      </c>
      <c r="J366" t="s">
        <v>17</v>
      </c>
      <c r="K366">
        <v>100</v>
      </c>
      <c r="L366">
        <v>50</v>
      </c>
      <c r="O366" t="s">
        <v>521</v>
      </c>
    </row>
    <row r="367" spans="1:15" hidden="1" x14ac:dyDescent="0.3">
      <c r="A367">
        <v>1088019</v>
      </c>
      <c r="B367" t="s">
        <v>419</v>
      </c>
      <c r="C367" t="s">
        <v>482</v>
      </c>
      <c r="D367" t="s">
        <v>483</v>
      </c>
      <c r="E367" t="s">
        <v>484</v>
      </c>
      <c r="F367">
        <v>119788740</v>
      </c>
      <c r="G367" t="s">
        <v>515</v>
      </c>
      <c r="H367" t="s">
        <v>46</v>
      </c>
      <c r="I367" t="s">
        <v>46</v>
      </c>
      <c r="J367" t="s">
        <v>17</v>
      </c>
      <c r="K367">
        <v>100</v>
      </c>
      <c r="L367">
        <v>50</v>
      </c>
      <c r="O367" t="s">
        <v>521</v>
      </c>
    </row>
    <row r="368" spans="1:15" hidden="1" x14ac:dyDescent="0.3">
      <c r="A368">
        <v>1088019</v>
      </c>
      <c r="B368" t="s">
        <v>419</v>
      </c>
      <c r="C368" t="s">
        <v>482</v>
      </c>
      <c r="D368" t="s">
        <v>483</v>
      </c>
      <c r="E368" t="s">
        <v>484</v>
      </c>
      <c r="F368">
        <v>119788740</v>
      </c>
      <c r="G368" t="s">
        <v>516</v>
      </c>
      <c r="H368" t="s">
        <v>46</v>
      </c>
      <c r="I368" t="s">
        <v>46</v>
      </c>
      <c r="J368" t="s">
        <v>17</v>
      </c>
      <c r="K368">
        <v>100</v>
      </c>
      <c r="L368">
        <v>50</v>
      </c>
      <c r="O368" t="s">
        <v>521</v>
      </c>
    </row>
    <row r="369" spans="1:15" hidden="1" x14ac:dyDescent="0.3">
      <c r="A369">
        <v>1088019</v>
      </c>
      <c r="B369" t="s">
        <v>419</v>
      </c>
      <c r="C369" t="s">
        <v>482</v>
      </c>
      <c r="D369" t="s">
        <v>483</v>
      </c>
      <c r="E369" t="s">
        <v>484</v>
      </c>
      <c r="F369">
        <v>119788740</v>
      </c>
      <c r="G369" t="s">
        <v>517</v>
      </c>
      <c r="H369" t="s">
        <v>46</v>
      </c>
      <c r="I369" t="s">
        <v>46</v>
      </c>
      <c r="J369" t="s">
        <v>17</v>
      </c>
      <c r="K369">
        <v>100</v>
      </c>
      <c r="L369">
        <v>50</v>
      </c>
      <c r="O369" t="s">
        <v>521</v>
      </c>
    </row>
    <row r="370" spans="1:15" hidden="1" x14ac:dyDescent="0.3">
      <c r="A370">
        <v>1088019</v>
      </c>
      <c r="B370" t="s">
        <v>419</v>
      </c>
      <c r="C370" t="s">
        <v>482</v>
      </c>
      <c r="D370" t="s">
        <v>483</v>
      </c>
      <c r="E370" t="s">
        <v>484</v>
      </c>
      <c r="F370">
        <v>119788740</v>
      </c>
      <c r="G370" t="s">
        <v>518</v>
      </c>
      <c r="H370" t="s">
        <v>46</v>
      </c>
      <c r="I370" t="s">
        <v>46</v>
      </c>
      <c r="J370" t="s">
        <v>17</v>
      </c>
      <c r="K370">
        <v>100</v>
      </c>
      <c r="L370">
        <v>50</v>
      </c>
      <c r="O370" t="s">
        <v>521</v>
      </c>
    </row>
    <row r="371" spans="1:15" hidden="1" x14ac:dyDescent="0.3">
      <c r="A371">
        <v>1088019</v>
      </c>
      <c r="B371" t="s">
        <v>419</v>
      </c>
      <c r="C371" t="s">
        <v>482</v>
      </c>
      <c r="D371" t="s">
        <v>483</v>
      </c>
      <c r="E371" t="s">
        <v>484</v>
      </c>
      <c r="F371">
        <v>119788740</v>
      </c>
      <c r="G371" t="s">
        <v>519</v>
      </c>
      <c r="H371" t="s">
        <v>46</v>
      </c>
      <c r="I371" t="s">
        <v>46</v>
      </c>
      <c r="J371" t="s">
        <v>17</v>
      </c>
      <c r="K371">
        <v>100</v>
      </c>
      <c r="L371">
        <v>50</v>
      </c>
      <c r="O371" t="s">
        <v>521</v>
      </c>
    </row>
  </sheetData>
  <autoFilter ref="A1:Q371" xr:uid="{FCFBF9E5-3600-44BA-AFA0-9406E99D1C18}">
    <filterColumn colId="2">
      <filters>
        <filter val="0305 ATMOSPHERIC COMPOSITION AND STRUCTURE Aerosols and particles"/>
        <filter val="CLAY NANOCOMPOSITES"/>
        <filter val="COMPOSIT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B923-77C3-4D0B-A0EC-9B68CEA25F9F}">
  <dimension ref="A1:AF389"/>
  <sheetViews>
    <sheetView topLeftCell="N1" workbookViewId="0">
      <selection activeCell="Y7" sqref="Y7:Z7"/>
    </sheetView>
  </sheetViews>
  <sheetFormatPr defaultRowHeight="14.4" x14ac:dyDescent="0.3"/>
  <cols>
    <col min="2" max="2" width="13.77734375" customWidth="1"/>
    <col min="3" max="3" width="23.77734375" customWidth="1"/>
    <col min="4" max="4" width="18" customWidth="1"/>
    <col min="5" max="5" width="11.21875" customWidth="1"/>
    <col min="6" max="6" width="12.5546875" customWidth="1"/>
    <col min="7" max="7" width="110.6640625" customWidth="1"/>
    <col min="8" max="8" width="14.88671875" hidden="1" customWidth="1"/>
    <col min="9" max="9" width="10.88671875" hidden="1" customWidth="1"/>
    <col min="10" max="10" width="8.77734375" hidden="1" customWidth="1"/>
    <col min="11" max="11" width="10.6640625" customWidth="1"/>
    <col min="12" max="12" width="11.44140625" customWidth="1"/>
    <col min="13" max="14" width="8.77734375" customWidth="1"/>
    <col min="15" max="15" width="17.88671875" customWidth="1"/>
    <col min="16" max="16" width="11.109375" customWidth="1"/>
    <col min="19" max="20" width="14" customWidth="1"/>
    <col min="29" max="29" width="10.88671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0" t="s">
        <v>561</v>
      </c>
      <c r="S1" t="s">
        <v>562</v>
      </c>
      <c r="T1" t="s">
        <v>563</v>
      </c>
    </row>
    <row r="2" spans="1:32" x14ac:dyDescent="0.3">
      <c r="A2">
        <v>1002652</v>
      </c>
      <c r="B2" t="s">
        <v>564</v>
      </c>
      <c r="C2" t="s">
        <v>565</v>
      </c>
      <c r="H2" t="s">
        <v>16</v>
      </c>
      <c r="I2" t="s">
        <v>16</v>
      </c>
      <c r="J2" t="s">
        <v>17</v>
      </c>
      <c r="K2">
        <v>0</v>
      </c>
      <c r="L2">
        <v>0</v>
      </c>
      <c r="O2" s="11"/>
      <c r="P2" t="s">
        <v>566</v>
      </c>
      <c r="Q2" t="s">
        <v>53</v>
      </c>
      <c r="S2" t="str">
        <f>LOWER(TRIM(CLEAN(Q2)))</f>
        <v>yes</v>
      </c>
      <c r="T2" t="str">
        <f>IF(S2="","",LOWER(TRIM(S2)))</f>
        <v>yes</v>
      </c>
    </row>
    <row r="3" spans="1:32" x14ac:dyDescent="0.3">
      <c r="A3">
        <v>1002652</v>
      </c>
      <c r="B3" t="s">
        <v>564</v>
      </c>
      <c r="C3" t="s">
        <v>567</v>
      </c>
      <c r="D3" t="s">
        <v>568</v>
      </c>
      <c r="E3" t="s">
        <v>569</v>
      </c>
      <c r="G3" t="s">
        <v>570</v>
      </c>
      <c r="H3" t="s">
        <v>46</v>
      </c>
      <c r="I3" t="s">
        <v>46</v>
      </c>
      <c r="J3" t="s">
        <v>17</v>
      </c>
      <c r="K3">
        <v>100</v>
      </c>
      <c r="L3">
        <v>50</v>
      </c>
      <c r="O3" s="12"/>
      <c r="Q3" t="s">
        <v>53</v>
      </c>
      <c r="S3" t="str">
        <f t="shared" ref="S3:S66" si="0">LOWER(TRIM(CLEAN(Q3)))</f>
        <v>yes</v>
      </c>
      <c r="T3" t="str">
        <f t="shared" ref="T3:T66" si="1">IF(S3="","",LOWER(TRIM(S3)))</f>
        <v>yes</v>
      </c>
    </row>
    <row r="4" spans="1:32" x14ac:dyDescent="0.3">
      <c r="A4">
        <v>1002652</v>
      </c>
      <c r="B4" t="s">
        <v>564</v>
      </c>
      <c r="C4" t="s">
        <v>567</v>
      </c>
      <c r="D4" t="s">
        <v>568</v>
      </c>
      <c r="E4" t="s">
        <v>569</v>
      </c>
      <c r="G4" t="s">
        <v>571</v>
      </c>
      <c r="H4" t="s">
        <v>46</v>
      </c>
      <c r="I4" t="s">
        <v>46</v>
      </c>
      <c r="J4" t="s">
        <v>17</v>
      </c>
      <c r="K4">
        <v>100</v>
      </c>
      <c r="L4">
        <v>50</v>
      </c>
      <c r="O4" s="12"/>
      <c r="Q4" t="s">
        <v>53</v>
      </c>
      <c r="S4" t="str">
        <f t="shared" si="0"/>
        <v>yes</v>
      </c>
      <c r="T4" t="str">
        <f t="shared" si="1"/>
        <v>yes</v>
      </c>
      <c r="U4" s="2"/>
      <c r="V4" s="2"/>
    </row>
    <row r="5" spans="1:32" x14ac:dyDescent="0.3">
      <c r="A5">
        <v>1002652</v>
      </c>
      <c r="B5" t="s">
        <v>564</v>
      </c>
      <c r="C5" t="s">
        <v>567</v>
      </c>
      <c r="D5" t="s">
        <v>568</v>
      </c>
      <c r="E5" t="s">
        <v>569</v>
      </c>
      <c r="G5" t="s">
        <v>572</v>
      </c>
      <c r="H5" t="s">
        <v>46</v>
      </c>
      <c r="I5" t="s">
        <v>46</v>
      </c>
      <c r="J5" t="s">
        <v>17</v>
      </c>
      <c r="K5">
        <v>100</v>
      </c>
      <c r="L5">
        <v>50</v>
      </c>
      <c r="O5" s="12"/>
      <c r="Q5" t="s">
        <v>53</v>
      </c>
      <c r="S5" t="str">
        <f t="shared" si="0"/>
        <v>yes</v>
      </c>
      <c r="T5" t="str">
        <f t="shared" si="1"/>
        <v>yes</v>
      </c>
      <c r="V5" s="2"/>
    </row>
    <row r="6" spans="1:32" ht="57.6" x14ac:dyDescent="0.3">
      <c r="A6">
        <v>1002652</v>
      </c>
      <c r="B6" t="s">
        <v>564</v>
      </c>
      <c r="C6" t="s">
        <v>567</v>
      </c>
      <c r="D6" t="s">
        <v>568</v>
      </c>
      <c r="E6" t="s">
        <v>569</v>
      </c>
      <c r="G6" t="s">
        <v>573</v>
      </c>
      <c r="H6" t="s">
        <v>46</v>
      </c>
      <c r="I6" t="s">
        <v>46</v>
      </c>
      <c r="J6" t="s">
        <v>17</v>
      </c>
      <c r="K6">
        <v>100</v>
      </c>
      <c r="L6">
        <v>50</v>
      </c>
      <c r="O6" s="12"/>
      <c r="Q6" t="s">
        <v>53</v>
      </c>
      <c r="S6" t="str">
        <f t="shared" si="0"/>
        <v>yes</v>
      </c>
      <c r="T6" t="str">
        <f t="shared" si="1"/>
        <v>yes</v>
      </c>
      <c r="U6" s="5" t="s">
        <v>560</v>
      </c>
      <c r="V6" s="5" t="s">
        <v>559</v>
      </c>
      <c r="W6" s="5" t="s">
        <v>538</v>
      </c>
      <c r="X6" s="5" t="s">
        <v>539</v>
      </c>
      <c r="Y6" s="5" t="s">
        <v>540</v>
      </c>
      <c r="Z6" s="5" t="s">
        <v>542</v>
      </c>
      <c r="AA6" s="5" t="s">
        <v>544</v>
      </c>
      <c r="AB6" s="5" t="s">
        <v>545</v>
      </c>
      <c r="AC6" s="5" t="s">
        <v>541</v>
      </c>
      <c r="AD6" s="5" t="s">
        <v>543</v>
      </c>
      <c r="AE6" s="5" t="s">
        <v>546</v>
      </c>
      <c r="AF6" s="5" t="s">
        <v>547</v>
      </c>
    </row>
    <row r="7" spans="1:32" x14ac:dyDescent="0.3">
      <c r="A7">
        <v>1002652</v>
      </c>
      <c r="B7" t="s">
        <v>564</v>
      </c>
      <c r="C7" t="s">
        <v>567</v>
      </c>
      <c r="D7" t="s">
        <v>568</v>
      </c>
      <c r="E7" t="s">
        <v>569</v>
      </c>
      <c r="G7" t="s">
        <v>574</v>
      </c>
      <c r="H7" t="s">
        <v>46</v>
      </c>
      <c r="I7" t="s">
        <v>46</v>
      </c>
      <c r="J7" t="s">
        <v>17</v>
      </c>
      <c r="K7">
        <v>100</v>
      </c>
      <c r="L7">
        <v>50</v>
      </c>
      <c r="O7" s="12"/>
      <c r="Q7" t="s">
        <v>53</v>
      </c>
      <c r="S7" t="str">
        <f t="shared" si="0"/>
        <v>yes</v>
      </c>
      <c r="T7" t="str">
        <f t="shared" si="1"/>
        <v>yes</v>
      </c>
      <c r="U7" s="6" t="s">
        <v>554</v>
      </c>
      <c r="V7" s="6" t="s">
        <v>548</v>
      </c>
      <c r="W7" s="9">
        <v>20</v>
      </c>
      <c r="X7" s="9" cm="1">
        <f t="array" ref="X7">COUNTA(_xlfn.UNIQUE(_xlfn._xlws.FILTER(C2:C389, C2:C389&lt;&gt;"")))</f>
        <v>93</v>
      </c>
      <c r="Y7" s="9" cm="1">
        <f t="array" ref="Y7">COUNTA(_xlfn.UNIQUE(_xlfn._xlws.FILTER(C2:C389 &amp; E2:E389, T2:T389="yes")))</f>
        <v>67</v>
      </c>
      <c r="Z7" s="9" cm="1">
        <f t="array" ref="Z7">COUNTA(_xlfn.UNIQUE(_xlfn._xlws.FILTER(C2:C389 &amp; E2:E389, T2:T389="wrong")))</f>
        <v>26</v>
      </c>
      <c r="AA7" s="9" cm="1">
        <f t="array" ref="AA7">COUNTA(_xlfn.UNIQUE(_xlfn._xlws.FILTER(E2:E389, E2:E389&lt;&gt;"")))</f>
        <v>43</v>
      </c>
      <c r="AB7" s="9" cm="1">
        <f t="array" ref="AB7">COUNTA(_xlfn.UNIQUE(_xlfn._xlws.FILTER(F2:F389, F2:F389&lt;&gt;"")))</f>
        <v>7</v>
      </c>
      <c r="AC7" s="13">
        <f>Y7 / (Y7 + Z7)</f>
        <v>0.72043010752688175</v>
      </c>
      <c r="AD7" s="13">
        <f>Z7 / (Y7 + Z7)</f>
        <v>0.27956989247311825</v>
      </c>
      <c r="AE7" s="13">
        <f>AA7 / X7</f>
        <v>0.46236559139784944</v>
      </c>
      <c r="AF7" s="13">
        <f>AB7 / X7</f>
        <v>7.5268817204301078E-2</v>
      </c>
    </row>
    <row r="8" spans="1:32" x14ac:dyDescent="0.3">
      <c r="A8">
        <v>1002652</v>
      </c>
      <c r="B8" t="s">
        <v>564</v>
      </c>
      <c r="C8" t="s">
        <v>567</v>
      </c>
      <c r="D8" t="s">
        <v>568</v>
      </c>
      <c r="E8" t="s">
        <v>569</v>
      </c>
      <c r="G8" t="s">
        <v>575</v>
      </c>
      <c r="H8" t="s">
        <v>46</v>
      </c>
      <c r="I8" t="s">
        <v>46</v>
      </c>
      <c r="J8" t="s">
        <v>17</v>
      </c>
      <c r="K8">
        <v>100</v>
      </c>
      <c r="L8">
        <v>50</v>
      </c>
      <c r="O8" s="12"/>
      <c r="Q8" t="s">
        <v>53</v>
      </c>
      <c r="S8" t="str">
        <f t="shared" si="0"/>
        <v>yes</v>
      </c>
      <c r="T8" t="str">
        <f t="shared" si="1"/>
        <v>yes</v>
      </c>
    </row>
    <row r="9" spans="1:32" x14ac:dyDescent="0.3">
      <c r="A9">
        <v>1002652</v>
      </c>
      <c r="B9" t="s">
        <v>564</v>
      </c>
      <c r="C9" t="s">
        <v>567</v>
      </c>
      <c r="D9" t="s">
        <v>568</v>
      </c>
      <c r="E9" t="s">
        <v>569</v>
      </c>
      <c r="G9" t="s">
        <v>576</v>
      </c>
      <c r="H9" t="s">
        <v>46</v>
      </c>
      <c r="I9" t="s">
        <v>46</v>
      </c>
      <c r="J9" t="s">
        <v>17</v>
      </c>
      <c r="K9">
        <v>100</v>
      </c>
      <c r="L9">
        <v>50</v>
      </c>
      <c r="O9" s="12"/>
      <c r="Q9" t="s">
        <v>53</v>
      </c>
      <c r="S9" t="str">
        <f t="shared" si="0"/>
        <v>yes</v>
      </c>
      <c r="T9" t="str">
        <f t="shared" si="1"/>
        <v>yes</v>
      </c>
    </row>
    <row r="10" spans="1:32" x14ac:dyDescent="0.3">
      <c r="A10">
        <v>1002652</v>
      </c>
      <c r="B10" t="s">
        <v>564</v>
      </c>
      <c r="C10" t="s">
        <v>567</v>
      </c>
      <c r="D10" t="s">
        <v>568</v>
      </c>
      <c r="E10" t="s">
        <v>569</v>
      </c>
      <c r="G10" t="s">
        <v>577</v>
      </c>
      <c r="H10" t="s">
        <v>46</v>
      </c>
      <c r="I10" t="s">
        <v>46</v>
      </c>
      <c r="J10" t="s">
        <v>17</v>
      </c>
      <c r="K10">
        <v>100</v>
      </c>
      <c r="L10">
        <v>50</v>
      </c>
      <c r="O10" s="12"/>
      <c r="Q10" t="s">
        <v>53</v>
      </c>
      <c r="S10" t="str">
        <f t="shared" si="0"/>
        <v>yes</v>
      </c>
      <c r="T10" t="str">
        <f t="shared" si="1"/>
        <v>yes</v>
      </c>
    </row>
    <row r="11" spans="1:32" x14ac:dyDescent="0.3">
      <c r="A11">
        <v>1002652</v>
      </c>
      <c r="B11" t="s">
        <v>564</v>
      </c>
      <c r="C11" t="s">
        <v>567</v>
      </c>
      <c r="D11" t="s">
        <v>568</v>
      </c>
      <c r="E11" t="s">
        <v>569</v>
      </c>
      <c r="G11" t="s">
        <v>578</v>
      </c>
      <c r="H11" t="s">
        <v>46</v>
      </c>
      <c r="I11" t="s">
        <v>46</v>
      </c>
      <c r="J11" t="s">
        <v>17</v>
      </c>
      <c r="K11">
        <v>100</v>
      </c>
      <c r="L11">
        <v>50</v>
      </c>
      <c r="O11" s="12"/>
      <c r="Q11" t="s">
        <v>53</v>
      </c>
      <c r="S11" t="str">
        <f t="shared" si="0"/>
        <v>yes</v>
      </c>
      <c r="T11" t="str">
        <f t="shared" si="1"/>
        <v>yes</v>
      </c>
    </row>
    <row r="12" spans="1:32" x14ac:dyDescent="0.3">
      <c r="A12">
        <v>1002652</v>
      </c>
      <c r="B12" t="s">
        <v>564</v>
      </c>
      <c r="C12" t="s">
        <v>567</v>
      </c>
      <c r="D12" t="s">
        <v>568</v>
      </c>
      <c r="E12" t="s">
        <v>569</v>
      </c>
      <c r="G12" t="s">
        <v>579</v>
      </c>
      <c r="H12" t="s">
        <v>46</v>
      </c>
      <c r="I12" t="s">
        <v>46</v>
      </c>
      <c r="J12" t="s">
        <v>17</v>
      </c>
      <c r="K12">
        <v>100</v>
      </c>
      <c r="L12">
        <v>50</v>
      </c>
      <c r="O12" s="12"/>
      <c r="Q12" t="s">
        <v>53</v>
      </c>
      <c r="S12" t="str">
        <f t="shared" si="0"/>
        <v>yes</v>
      </c>
      <c r="T12" t="str">
        <f t="shared" si="1"/>
        <v>yes</v>
      </c>
    </row>
    <row r="13" spans="1:32" x14ac:dyDescent="0.3">
      <c r="A13">
        <v>1002652</v>
      </c>
      <c r="B13" t="s">
        <v>564</v>
      </c>
      <c r="C13" t="s">
        <v>567</v>
      </c>
      <c r="D13" t="s">
        <v>568</v>
      </c>
      <c r="E13" t="s">
        <v>569</v>
      </c>
      <c r="G13" t="s">
        <v>580</v>
      </c>
      <c r="H13" t="s">
        <v>46</v>
      </c>
      <c r="I13" t="s">
        <v>46</v>
      </c>
      <c r="J13" t="s">
        <v>17</v>
      </c>
      <c r="K13">
        <v>100</v>
      </c>
      <c r="L13">
        <v>50</v>
      </c>
      <c r="O13" s="12"/>
      <c r="Q13" t="s">
        <v>53</v>
      </c>
      <c r="S13" t="str">
        <f t="shared" si="0"/>
        <v>yes</v>
      </c>
      <c r="T13" t="str">
        <f t="shared" si="1"/>
        <v>yes</v>
      </c>
    </row>
    <row r="14" spans="1:32" x14ac:dyDescent="0.3">
      <c r="A14">
        <v>1002652</v>
      </c>
      <c r="B14" t="s">
        <v>564</v>
      </c>
      <c r="C14" t="s">
        <v>567</v>
      </c>
      <c r="D14" t="s">
        <v>568</v>
      </c>
      <c r="E14" t="s">
        <v>569</v>
      </c>
      <c r="G14" t="s">
        <v>581</v>
      </c>
      <c r="H14" t="s">
        <v>46</v>
      </c>
      <c r="I14" t="s">
        <v>46</v>
      </c>
      <c r="J14" t="s">
        <v>17</v>
      </c>
      <c r="K14">
        <v>100</v>
      </c>
      <c r="L14">
        <v>50</v>
      </c>
      <c r="O14" s="12"/>
      <c r="Q14" t="s">
        <v>53</v>
      </c>
      <c r="S14" t="str">
        <f t="shared" si="0"/>
        <v>yes</v>
      </c>
      <c r="T14" t="str">
        <f t="shared" si="1"/>
        <v>yes</v>
      </c>
    </row>
    <row r="15" spans="1:32" x14ac:dyDescent="0.3">
      <c r="A15">
        <v>1002652</v>
      </c>
      <c r="B15" t="s">
        <v>564</v>
      </c>
      <c r="C15" t="s">
        <v>567</v>
      </c>
      <c r="D15" t="s">
        <v>568</v>
      </c>
      <c r="E15" t="s">
        <v>569</v>
      </c>
      <c r="G15" t="s">
        <v>582</v>
      </c>
      <c r="H15" t="s">
        <v>46</v>
      </c>
      <c r="I15" t="s">
        <v>46</v>
      </c>
      <c r="J15" t="s">
        <v>17</v>
      </c>
      <c r="K15">
        <v>100</v>
      </c>
      <c r="L15">
        <v>50</v>
      </c>
      <c r="O15" s="12"/>
      <c r="Q15" t="s">
        <v>53</v>
      </c>
      <c r="S15" t="str">
        <f t="shared" si="0"/>
        <v>yes</v>
      </c>
      <c r="T15" t="str">
        <f t="shared" si="1"/>
        <v>yes</v>
      </c>
    </row>
    <row r="16" spans="1:32" x14ac:dyDescent="0.3">
      <c r="A16">
        <v>1002652</v>
      </c>
      <c r="B16" t="s">
        <v>564</v>
      </c>
      <c r="C16" t="s">
        <v>567</v>
      </c>
      <c r="D16" t="s">
        <v>568</v>
      </c>
      <c r="E16" t="s">
        <v>569</v>
      </c>
      <c r="G16" t="s">
        <v>583</v>
      </c>
      <c r="H16" t="s">
        <v>46</v>
      </c>
      <c r="I16" t="s">
        <v>46</v>
      </c>
      <c r="J16" t="s">
        <v>17</v>
      </c>
      <c r="K16">
        <v>100</v>
      </c>
      <c r="L16">
        <v>50</v>
      </c>
      <c r="O16" s="12"/>
      <c r="Q16" t="s">
        <v>53</v>
      </c>
      <c r="S16" t="str">
        <f t="shared" si="0"/>
        <v>yes</v>
      </c>
      <c r="T16" t="str">
        <f t="shared" si="1"/>
        <v>yes</v>
      </c>
    </row>
    <row r="17" spans="1:20" x14ac:dyDescent="0.3">
      <c r="A17">
        <v>1002652</v>
      </c>
      <c r="B17" t="s">
        <v>564</v>
      </c>
      <c r="C17" t="s">
        <v>567</v>
      </c>
      <c r="D17" t="s">
        <v>568</v>
      </c>
      <c r="E17" t="s">
        <v>569</v>
      </c>
      <c r="G17" t="s">
        <v>584</v>
      </c>
      <c r="H17" t="s">
        <v>46</v>
      </c>
      <c r="I17" t="s">
        <v>46</v>
      </c>
      <c r="J17" t="s">
        <v>17</v>
      </c>
      <c r="K17">
        <v>100</v>
      </c>
      <c r="L17">
        <v>50</v>
      </c>
      <c r="O17" s="12"/>
      <c r="Q17" t="s">
        <v>53</v>
      </c>
      <c r="S17" t="str">
        <f t="shared" si="0"/>
        <v>yes</v>
      </c>
      <c r="T17" t="str">
        <f t="shared" si="1"/>
        <v>yes</v>
      </c>
    </row>
    <row r="18" spans="1:20" x14ac:dyDescent="0.3">
      <c r="A18">
        <v>1002652</v>
      </c>
      <c r="B18" t="s">
        <v>564</v>
      </c>
      <c r="C18" t="s">
        <v>567</v>
      </c>
      <c r="D18" t="s">
        <v>568</v>
      </c>
      <c r="E18" t="s">
        <v>569</v>
      </c>
      <c r="G18" t="s">
        <v>585</v>
      </c>
      <c r="H18" t="s">
        <v>46</v>
      </c>
      <c r="I18" t="s">
        <v>46</v>
      </c>
      <c r="J18" t="s">
        <v>17</v>
      </c>
      <c r="K18">
        <v>100</v>
      </c>
      <c r="L18">
        <v>50</v>
      </c>
      <c r="O18" s="12"/>
      <c r="Q18" t="s">
        <v>53</v>
      </c>
      <c r="S18" t="str">
        <f t="shared" si="0"/>
        <v>yes</v>
      </c>
      <c r="T18" t="str">
        <f t="shared" si="1"/>
        <v>yes</v>
      </c>
    </row>
    <row r="19" spans="1:20" x14ac:dyDescent="0.3">
      <c r="A19">
        <v>1002652</v>
      </c>
      <c r="B19" t="s">
        <v>564</v>
      </c>
      <c r="C19" t="s">
        <v>567</v>
      </c>
      <c r="D19" t="s">
        <v>568</v>
      </c>
      <c r="E19" t="s">
        <v>569</v>
      </c>
      <c r="G19" t="s">
        <v>586</v>
      </c>
      <c r="H19" t="s">
        <v>46</v>
      </c>
      <c r="I19" t="s">
        <v>46</v>
      </c>
      <c r="J19" t="s">
        <v>17</v>
      </c>
      <c r="K19">
        <v>100</v>
      </c>
      <c r="L19">
        <v>50</v>
      </c>
      <c r="O19" s="12"/>
      <c r="Q19" t="s">
        <v>53</v>
      </c>
      <c r="S19" t="str">
        <f t="shared" si="0"/>
        <v>yes</v>
      </c>
      <c r="T19" t="str">
        <f t="shared" si="1"/>
        <v>yes</v>
      </c>
    </row>
    <row r="20" spans="1:20" x14ac:dyDescent="0.3">
      <c r="A20">
        <v>1002652</v>
      </c>
      <c r="B20" t="s">
        <v>564</v>
      </c>
      <c r="C20" t="s">
        <v>567</v>
      </c>
      <c r="D20" t="s">
        <v>568</v>
      </c>
      <c r="E20" t="s">
        <v>569</v>
      </c>
      <c r="G20" t="s">
        <v>587</v>
      </c>
      <c r="H20" t="s">
        <v>46</v>
      </c>
      <c r="I20" t="s">
        <v>46</v>
      </c>
      <c r="J20" t="s">
        <v>17</v>
      </c>
      <c r="K20">
        <v>100</v>
      </c>
      <c r="L20">
        <v>50</v>
      </c>
      <c r="O20" s="12"/>
      <c r="Q20" t="s">
        <v>53</v>
      </c>
      <c r="S20" t="str">
        <f t="shared" si="0"/>
        <v>yes</v>
      </c>
      <c r="T20" t="str">
        <f t="shared" si="1"/>
        <v>yes</v>
      </c>
    </row>
    <row r="21" spans="1:20" x14ac:dyDescent="0.3">
      <c r="A21">
        <v>1002652</v>
      </c>
      <c r="B21" t="s">
        <v>564</v>
      </c>
      <c r="C21" t="s">
        <v>567</v>
      </c>
      <c r="D21" t="s">
        <v>568</v>
      </c>
      <c r="E21" t="s">
        <v>569</v>
      </c>
      <c r="G21" t="s">
        <v>588</v>
      </c>
      <c r="H21" t="s">
        <v>46</v>
      </c>
      <c r="I21" t="s">
        <v>46</v>
      </c>
      <c r="J21" t="s">
        <v>17</v>
      </c>
      <c r="K21">
        <v>100</v>
      </c>
      <c r="L21">
        <v>50</v>
      </c>
      <c r="O21" s="12"/>
      <c r="Q21" t="s">
        <v>53</v>
      </c>
      <c r="S21" t="str">
        <f t="shared" si="0"/>
        <v>yes</v>
      </c>
      <c r="T21" t="str">
        <f t="shared" si="1"/>
        <v>yes</v>
      </c>
    </row>
    <row r="22" spans="1:20" x14ac:dyDescent="0.3">
      <c r="A22">
        <v>1002652</v>
      </c>
      <c r="B22" t="s">
        <v>564</v>
      </c>
      <c r="C22" t="s">
        <v>567</v>
      </c>
      <c r="D22" t="s">
        <v>568</v>
      </c>
      <c r="E22" t="s">
        <v>569</v>
      </c>
      <c r="G22" t="s">
        <v>589</v>
      </c>
      <c r="H22" t="s">
        <v>46</v>
      </c>
      <c r="I22" t="s">
        <v>46</v>
      </c>
      <c r="J22" t="s">
        <v>17</v>
      </c>
      <c r="K22">
        <v>100</v>
      </c>
      <c r="L22">
        <v>50</v>
      </c>
      <c r="O22" s="12"/>
      <c r="Q22" t="s">
        <v>53</v>
      </c>
      <c r="S22" t="str">
        <f t="shared" si="0"/>
        <v>yes</v>
      </c>
      <c r="T22" t="str">
        <f t="shared" si="1"/>
        <v>yes</v>
      </c>
    </row>
    <row r="23" spans="1:20" x14ac:dyDescent="0.3">
      <c r="A23">
        <v>1002652</v>
      </c>
      <c r="B23" t="s">
        <v>564</v>
      </c>
      <c r="C23" t="s">
        <v>590</v>
      </c>
      <c r="H23" t="s">
        <v>16</v>
      </c>
      <c r="I23" t="s">
        <v>16</v>
      </c>
      <c r="J23" t="s">
        <v>53</v>
      </c>
      <c r="K23">
        <v>0</v>
      </c>
      <c r="L23">
        <v>0</v>
      </c>
      <c r="O23" s="12"/>
      <c r="Q23" t="s">
        <v>53</v>
      </c>
      <c r="S23" t="str">
        <f t="shared" si="0"/>
        <v>yes</v>
      </c>
      <c r="T23" t="str">
        <f t="shared" si="1"/>
        <v>yes</v>
      </c>
    </row>
    <row r="24" spans="1:20" x14ac:dyDescent="0.3">
      <c r="A24">
        <v>1002652</v>
      </c>
      <c r="B24" t="s">
        <v>564</v>
      </c>
      <c r="C24" t="s">
        <v>591</v>
      </c>
      <c r="H24" t="s">
        <v>16</v>
      </c>
      <c r="I24" t="s">
        <v>16</v>
      </c>
      <c r="J24" t="s">
        <v>17</v>
      </c>
      <c r="K24">
        <v>0</v>
      </c>
      <c r="L24">
        <v>0</v>
      </c>
      <c r="O24" s="12"/>
      <c r="Q24" t="s">
        <v>53</v>
      </c>
      <c r="S24" t="str">
        <f t="shared" si="0"/>
        <v>yes</v>
      </c>
      <c r="T24" t="str">
        <f t="shared" si="1"/>
        <v>yes</v>
      </c>
    </row>
    <row r="25" spans="1:20" x14ac:dyDescent="0.3">
      <c r="A25">
        <v>1015767</v>
      </c>
      <c r="B25" t="s">
        <v>592</v>
      </c>
      <c r="C25" t="s">
        <v>593</v>
      </c>
      <c r="H25" t="s">
        <v>16</v>
      </c>
      <c r="I25" t="s">
        <v>16</v>
      </c>
      <c r="J25" t="s">
        <v>17</v>
      </c>
      <c r="K25">
        <v>0</v>
      </c>
      <c r="L25">
        <v>0</v>
      </c>
      <c r="O25" s="12"/>
      <c r="Q25" t="s">
        <v>53</v>
      </c>
      <c r="S25" t="str">
        <f t="shared" si="0"/>
        <v>yes</v>
      </c>
      <c r="T25" t="str">
        <f t="shared" si="1"/>
        <v>yes</v>
      </c>
    </row>
    <row r="26" spans="1:20" x14ac:dyDescent="0.3">
      <c r="A26">
        <v>1015767</v>
      </c>
      <c r="B26" t="s">
        <v>592</v>
      </c>
      <c r="C26" t="s">
        <v>594</v>
      </c>
      <c r="D26" t="s">
        <v>595</v>
      </c>
      <c r="E26" t="s">
        <v>596</v>
      </c>
      <c r="H26" t="s">
        <v>22</v>
      </c>
      <c r="I26" t="s">
        <v>22</v>
      </c>
      <c r="J26" t="s">
        <v>17</v>
      </c>
      <c r="K26">
        <v>95.5</v>
      </c>
      <c r="L26">
        <v>107.3</v>
      </c>
      <c r="O26" s="14"/>
      <c r="P26" t="s">
        <v>597</v>
      </c>
      <c r="Q26" t="s">
        <v>598</v>
      </c>
      <c r="S26" t="str">
        <f t="shared" si="0"/>
        <v>wrong</v>
      </c>
      <c r="T26" t="str">
        <f>IF(S26="","",LOWER(TRIM(S26)))</f>
        <v>wrong</v>
      </c>
    </row>
    <row r="27" spans="1:20" x14ac:dyDescent="0.3">
      <c r="A27">
        <v>1015767</v>
      </c>
      <c r="B27" t="s">
        <v>592</v>
      </c>
      <c r="C27" t="s">
        <v>599</v>
      </c>
      <c r="H27" t="s">
        <v>16</v>
      </c>
      <c r="I27" t="s">
        <v>16</v>
      </c>
      <c r="J27" t="s">
        <v>17</v>
      </c>
      <c r="K27">
        <v>0</v>
      </c>
      <c r="L27">
        <v>0</v>
      </c>
      <c r="O27" s="12"/>
      <c r="Q27" t="s">
        <v>53</v>
      </c>
      <c r="S27" t="str">
        <f t="shared" si="0"/>
        <v>yes</v>
      </c>
      <c r="T27" t="str">
        <f t="shared" si="1"/>
        <v>yes</v>
      </c>
    </row>
    <row r="28" spans="1:20" x14ac:dyDescent="0.3">
      <c r="A28">
        <v>1015767</v>
      </c>
      <c r="B28" t="s">
        <v>592</v>
      </c>
      <c r="C28" t="s">
        <v>600</v>
      </c>
      <c r="D28" t="s">
        <v>601</v>
      </c>
      <c r="E28" t="s">
        <v>602</v>
      </c>
      <c r="G28" t="s">
        <v>603</v>
      </c>
      <c r="H28" t="s">
        <v>22</v>
      </c>
      <c r="I28" t="s">
        <v>22</v>
      </c>
      <c r="J28" t="s">
        <v>17</v>
      </c>
      <c r="K28">
        <v>95.7</v>
      </c>
      <c r="L28">
        <v>113.4</v>
      </c>
      <c r="O28" s="15"/>
      <c r="Q28" t="s">
        <v>53</v>
      </c>
      <c r="S28" t="str">
        <f>LOWER(TRIM(CLEAN(Q28)))</f>
        <v>yes</v>
      </c>
      <c r="T28" t="str">
        <f t="shared" si="1"/>
        <v>yes</v>
      </c>
    </row>
    <row r="29" spans="1:20" x14ac:dyDescent="0.3">
      <c r="A29">
        <v>1015767</v>
      </c>
      <c r="B29" t="s">
        <v>592</v>
      </c>
      <c r="C29" t="s">
        <v>600</v>
      </c>
      <c r="D29" t="s">
        <v>601</v>
      </c>
      <c r="E29" t="s">
        <v>602</v>
      </c>
      <c r="G29" t="s">
        <v>604</v>
      </c>
      <c r="H29" t="s">
        <v>22</v>
      </c>
      <c r="I29" t="s">
        <v>22</v>
      </c>
      <c r="J29" t="s">
        <v>17</v>
      </c>
      <c r="K29">
        <v>95.7</v>
      </c>
      <c r="L29">
        <v>113.4</v>
      </c>
      <c r="O29" s="12"/>
      <c r="Q29" t="s">
        <v>53</v>
      </c>
      <c r="S29" t="str">
        <f t="shared" si="0"/>
        <v>yes</v>
      </c>
      <c r="T29" t="str">
        <f t="shared" si="1"/>
        <v>yes</v>
      </c>
    </row>
    <row r="30" spans="1:20" x14ac:dyDescent="0.3">
      <c r="A30">
        <v>1015767</v>
      </c>
      <c r="B30" t="s">
        <v>592</v>
      </c>
      <c r="C30" t="s">
        <v>600</v>
      </c>
      <c r="D30" t="s">
        <v>601</v>
      </c>
      <c r="E30" t="s">
        <v>602</v>
      </c>
      <c r="G30" t="s">
        <v>605</v>
      </c>
      <c r="H30" t="s">
        <v>22</v>
      </c>
      <c r="I30" t="s">
        <v>22</v>
      </c>
      <c r="J30" t="s">
        <v>17</v>
      </c>
      <c r="K30">
        <v>95.7</v>
      </c>
      <c r="L30">
        <v>113.4</v>
      </c>
      <c r="O30" s="15"/>
      <c r="Q30" t="s">
        <v>53</v>
      </c>
      <c r="S30" t="str">
        <f t="shared" si="0"/>
        <v>yes</v>
      </c>
      <c r="T30" t="str">
        <f t="shared" si="1"/>
        <v>yes</v>
      </c>
    </row>
    <row r="31" spans="1:20" x14ac:dyDescent="0.3">
      <c r="A31">
        <v>1015767</v>
      </c>
      <c r="B31" t="s">
        <v>592</v>
      </c>
      <c r="C31" t="s">
        <v>600</v>
      </c>
      <c r="D31" t="s">
        <v>601</v>
      </c>
      <c r="E31" t="s">
        <v>602</v>
      </c>
      <c r="G31" t="s">
        <v>606</v>
      </c>
      <c r="H31" t="s">
        <v>22</v>
      </c>
      <c r="I31" t="s">
        <v>22</v>
      </c>
      <c r="J31" t="s">
        <v>17</v>
      </c>
      <c r="K31">
        <v>95.7</v>
      </c>
      <c r="L31">
        <v>113.4</v>
      </c>
      <c r="O31" s="12"/>
      <c r="Q31" t="s">
        <v>53</v>
      </c>
      <c r="S31" t="str">
        <f t="shared" si="0"/>
        <v>yes</v>
      </c>
      <c r="T31" t="str">
        <f t="shared" si="1"/>
        <v>yes</v>
      </c>
    </row>
    <row r="32" spans="1:20" x14ac:dyDescent="0.3">
      <c r="A32">
        <v>1015767</v>
      </c>
      <c r="B32" t="s">
        <v>592</v>
      </c>
      <c r="C32" t="s">
        <v>600</v>
      </c>
      <c r="D32" t="s">
        <v>601</v>
      </c>
      <c r="E32" t="s">
        <v>602</v>
      </c>
      <c r="G32" t="s">
        <v>607</v>
      </c>
      <c r="H32" t="s">
        <v>22</v>
      </c>
      <c r="I32" t="s">
        <v>22</v>
      </c>
      <c r="J32" t="s">
        <v>17</v>
      </c>
      <c r="K32">
        <v>95.7</v>
      </c>
      <c r="L32">
        <v>113.4</v>
      </c>
      <c r="O32" s="15"/>
      <c r="Q32" t="s">
        <v>53</v>
      </c>
      <c r="S32" t="str">
        <f t="shared" si="0"/>
        <v>yes</v>
      </c>
      <c r="T32" t="str">
        <f t="shared" si="1"/>
        <v>yes</v>
      </c>
    </row>
    <row r="33" spans="1:20" x14ac:dyDescent="0.3">
      <c r="A33">
        <v>1015767</v>
      </c>
      <c r="B33" t="s">
        <v>592</v>
      </c>
      <c r="C33" t="s">
        <v>600</v>
      </c>
      <c r="D33" t="s">
        <v>601</v>
      </c>
      <c r="E33" t="s">
        <v>602</v>
      </c>
      <c r="G33" t="s">
        <v>608</v>
      </c>
      <c r="H33" t="s">
        <v>22</v>
      </c>
      <c r="I33" t="s">
        <v>22</v>
      </c>
      <c r="J33" t="s">
        <v>17</v>
      </c>
      <c r="K33">
        <v>95.7</v>
      </c>
      <c r="L33">
        <v>113.4</v>
      </c>
      <c r="O33" s="12"/>
      <c r="Q33" t="s">
        <v>53</v>
      </c>
      <c r="S33" t="str">
        <f t="shared" si="0"/>
        <v>yes</v>
      </c>
      <c r="T33" t="str">
        <f t="shared" si="1"/>
        <v>yes</v>
      </c>
    </row>
    <row r="34" spans="1:20" x14ac:dyDescent="0.3">
      <c r="A34">
        <v>1015767</v>
      </c>
      <c r="B34" t="s">
        <v>592</v>
      </c>
      <c r="C34" t="s">
        <v>600</v>
      </c>
      <c r="D34" t="s">
        <v>601</v>
      </c>
      <c r="E34" t="s">
        <v>602</v>
      </c>
      <c r="G34" t="s">
        <v>609</v>
      </c>
      <c r="H34" t="s">
        <v>22</v>
      </c>
      <c r="I34" t="s">
        <v>22</v>
      </c>
      <c r="J34" t="s">
        <v>17</v>
      </c>
      <c r="K34">
        <v>95.7</v>
      </c>
      <c r="L34">
        <v>113.4</v>
      </c>
      <c r="O34" s="16"/>
      <c r="Q34" t="s">
        <v>53</v>
      </c>
      <c r="S34" t="str">
        <f t="shared" si="0"/>
        <v>yes</v>
      </c>
      <c r="T34" t="str">
        <f t="shared" si="1"/>
        <v>yes</v>
      </c>
    </row>
    <row r="35" spans="1:20" x14ac:dyDescent="0.3">
      <c r="A35">
        <v>1015767</v>
      </c>
      <c r="B35" t="s">
        <v>592</v>
      </c>
      <c r="C35" t="s">
        <v>600</v>
      </c>
      <c r="D35" t="s">
        <v>601</v>
      </c>
      <c r="E35" t="s">
        <v>602</v>
      </c>
      <c r="G35" t="s">
        <v>610</v>
      </c>
      <c r="H35" t="s">
        <v>22</v>
      </c>
      <c r="I35" t="s">
        <v>22</v>
      </c>
      <c r="J35" t="s">
        <v>17</v>
      </c>
      <c r="K35">
        <v>95.7</v>
      </c>
      <c r="L35">
        <v>113.4</v>
      </c>
      <c r="O35" s="12"/>
      <c r="Q35" t="s">
        <v>53</v>
      </c>
      <c r="S35" t="str">
        <f t="shared" si="0"/>
        <v>yes</v>
      </c>
      <c r="T35" t="str">
        <f t="shared" si="1"/>
        <v>yes</v>
      </c>
    </row>
    <row r="36" spans="1:20" x14ac:dyDescent="0.3">
      <c r="A36">
        <v>1015767</v>
      </c>
      <c r="B36" t="s">
        <v>592</v>
      </c>
      <c r="C36" t="s">
        <v>600</v>
      </c>
      <c r="D36" t="s">
        <v>601</v>
      </c>
      <c r="E36" t="s">
        <v>602</v>
      </c>
      <c r="G36" t="s">
        <v>611</v>
      </c>
      <c r="H36" t="s">
        <v>22</v>
      </c>
      <c r="I36" t="s">
        <v>22</v>
      </c>
      <c r="J36" t="s">
        <v>17</v>
      </c>
      <c r="K36">
        <v>95.7</v>
      </c>
      <c r="L36">
        <v>113.4</v>
      </c>
      <c r="O36" s="16"/>
      <c r="Q36" t="s">
        <v>53</v>
      </c>
      <c r="S36" t="str">
        <f t="shared" si="0"/>
        <v>yes</v>
      </c>
      <c r="T36" t="str">
        <f t="shared" si="1"/>
        <v>yes</v>
      </c>
    </row>
    <row r="37" spans="1:20" x14ac:dyDescent="0.3">
      <c r="A37">
        <v>1015767</v>
      </c>
      <c r="B37" t="s">
        <v>592</v>
      </c>
      <c r="C37" t="s">
        <v>600</v>
      </c>
      <c r="D37" t="s">
        <v>601</v>
      </c>
      <c r="E37" t="s">
        <v>602</v>
      </c>
      <c r="G37" t="s">
        <v>612</v>
      </c>
      <c r="H37" t="s">
        <v>22</v>
      </c>
      <c r="I37" t="s">
        <v>22</v>
      </c>
      <c r="J37" t="s">
        <v>17</v>
      </c>
      <c r="K37">
        <v>95.7</v>
      </c>
      <c r="L37">
        <v>113.4</v>
      </c>
      <c r="O37" s="12"/>
      <c r="Q37" t="s">
        <v>53</v>
      </c>
      <c r="S37" t="str">
        <f t="shared" si="0"/>
        <v>yes</v>
      </c>
      <c r="T37" t="str">
        <f t="shared" si="1"/>
        <v>yes</v>
      </c>
    </row>
    <row r="38" spans="1:20" x14ac:dyDescent="0.3">
      <c r="A38">
        <v>1015767</v>
      </c>
      <c r="B38" t="s">
        <v>592</v>
      </c>
      <c r="C38" t="s">
        <v>600</v>
      </c>
      <c r="D38" t="s">
        <v>601</v>
      </c>
      <c r="E38" t="s">
        <v>602</v>
      </c>
      <c r="G38" t="s">
        <v>613</v>
      </c>
      <c r="H38" t="s">
        <v>22</v>
      </c>
      <c r="I38" t="s">
        <v>22</v>
      </c>
      <c r="J38" t="s">
        <v>17</v>
      </c>
      <c r="K38">
        <v>95.7</v>
      </c>
      <c r="L38">
        <v>113.4</v>
      </c>
      <c r="O38" s="16"/>
      <c r="Q38" t="s">
        <v>53</v>
      </c>
      <c r="S38" t="str">
        <f t="shared" si="0"/>
        <v>yes</v>
      </c>
      <c r="T38" t="str">
        <f t="shared" si="1"/>
        <v>yes</v>
      </c>
    </row>
    <row r="39" spans="1:20" x14ac:dyDescent="0.3">
      <c r="A39">
        <v>1015767</v>
      </c>
      <c r="B39" t="s">
        <v>592</v>
      </c>
      <c r="C39" t="s">
        <v>600</v>
      </c>
      <c r="D39" t="s">
        <v>601</v>
      </c>
      <c r="E39" t="s">
        <v>602</v>
      </c>
      <c r="G39" t="s">
        <v>614</v>
      </c>
      <c r="H39" t="s">
        <v>22</v>
      </c>
      <c r="I39" t="s">
        <v>22</v>
      </c>
      <c r="J39" t="s">
        <v>17</v>
      </c>
      <c r="K39">
        <v>95.7</v>
      </c>
      <c r="L39">
        <v>113.4</v>
      </c>
      <c r="O39" s="12"/>
      <c r="Q39" t="s">
        <v>53</v>
      </c>
      <c r="S39" t="str">
        <f t="shared" si="0"/>
        <v>yes</v>
      </c>
      <c r="T39" t="str">
        <f t="shared" si="1"/>
        <v>yes</v>
      </c>
    </row>
    <row r="40" spans="1:20" x14ac:dyDescent="0.3">
      <c r="A40">
        <v>1015767</v>
      </c>
      <c r="B40" t="s">
        <v>592</v>
      </c>
      <c r="C40" t="s">
        <v>600</v>
      </c>
      <c r="D40" t="s">
        <v>601</v>
      </c>
      <c r="E40" t="s">
        <v>602</v>
      </c>
      <c r="G40" t="s">
        <v>615</v>
      </c>
      <c r="H40" t="s">
        <v>22</v>
      </c>
      <c r="I40" t="s">
        <v>22</v>
      </c>
      <c r="J40" t="s">
        <v>17</v>
      </c>
      <c r="K40">
        <v>95.7</v>
      </c>
      <c r="L40">
        <v>113.4</v>
      </c>
      <c r="O40" s="16"/>
      <c r="Q40" t="s">
        <v>53</v>
      </c>
      <c r="S40" t="str">
        <f t="shared" si="0"/>
        <v>yes</v>
      </c>
      <c r="T40" t="str">
        <f t="shared" si="1"/>
        <v>yes</v>
      </c>
    </row>
    <row r="41" spans="1:20" x14ac:dyDescent="0.3">
      <c r="A41">
        <v>1015767</v>
      </c>
      <c r="B41" t="s">
        <v>592</v>
      </c>
      <c r="C41" t="s">
        <v>600</v>
      </c>
      <c r="D41" t="s">
        <v>601</v>
      </c>
      <c r="E41" t="s">
        <v>602</v>
      </c>
      <c r="G41" t="s">
        <v>616</v>
      </c>
      <c r="H41" t="s">
        <v>22</v>
      </c>
      <c r="I41" t="s">
        <v>22</v>
      </c>
      <c r="J41" t="s">
        <v>17</v>
      </c>
      <c r="K41">
        <v>95.7</v>
      </c>
      <c r="L41">
        <v>113.4</v>
      </c>
      <c r="O41" s="12"/>
      <c r="Q41" t="s">
        <v>53</v>
      </c>
      <c r="S41" t="str">
        <f t="shared" si="0"/>
        <v>yes</v>
      </c>
      <c r="T41" t="str">
        <f t="shared" si="1"/>
        <v>yes</v>
      </c>
    </row>
    <row r="42" spans="1:20" x14ac:dyDescent="0.3">
      <c r="A42">
        <v>1015767</v>
      </c>
      <c r="B42" t="s">
        <v>592</v>
      </c>
      <c r="C42" t="s">
        <v>600</v>
      </c>
      <c r="D42" t="s">
        <v>601</v>
      </c>
      <c r="E42" t="s">
        <v>602</v>
      </c>
      <c r="G42" t="s">
        <v>617</v>
      </c>
      <c r="H42" t="s">
        <v>22</v>
      </c>
      <c r="I42" t="s">
        <v>22</v>
      </c>
      <c r="J42" t="s">
        <v>17</v>
      </c>
      <c r="K42">
        <v>95.7</v>
      </c>
      <c r="L42">
        <v>113.4</v>
      </c>
      <c r="O42" s="16"/>
      <c r="Q42" t="s">
        <v>53</v>
      </c>
      <c r="S42" t="str">
        <f t="shared" si="0"/>
        <v>yes</v>
      </c>
      <c r="T42" t="str">
        <f t="shared" si="1"/>
        <v>yes</v>
      </c>
    </row>
    <row r="43" spans="1:20" x14ac:dyDescent="0.3">
      <c r="A43">
        <v>1015767</v>
      </c>
      <c r="B43" t="s">
        <v>592</v>
      </c>
      <c r="C43" t="s">
        <v>600</v>
      </c>
      <c r="D43" t="s">
        <v>601</v>
      </c>
      <c r="E43" t="s">
        <v>602</v>
      </c>
      <c r="G43" t="s">
        <v>618</v>
      </c>
      <c r="H43" t="s">
        <v>22</v>
      </c>
      <c r="I43" t="s">
        <v>22</v>
      </c>
      <c r="J43" t="s">
        <v>17</v>
      </c>
      <c r="K43">
        <v>95.7</v>
      </c>
      <c r="L43">
        <v>113.4</v>
      </c>
      <c r="O43" s="12"/>
      <c r="Q43" t="s">
        <v>53</v>
      </c>
      <c r="S43" t="str">
        <f t="shared" si="0"/>
        <v>yes</v>
      </c>
      <c r="T43" t="str">
        <f t="shared" si="1"/>
        <v>yes</v>
      </c>
    </row>
    <row r="44" spans="1:20" x14ac:dyDescent="0.3">
      <c r="A44">
        <v>1015767</v>
      </c>
      <c r="B44" t="s">
        <v>592</v>
      </c>
      <c r="C44" t="s">
        <v>600</v>
      </c>
      <c r="D44" t="s">
        <v>601</v>
      </c>
      <c r="E44" t="s">
        <v>602</v>
      </c>
      <c r="G44" t="s">
        <v>619</v>
      </c>
      <c r="H44" t="s">
        <v>22</v>
      </c>
      <c r="I44" t="s">
        <v>22</v>
      </c>
      <c r="J44" t="s">
        <v>17</v>
      </c>
      <c r="K44">
        <v>95.7</v>
      </c>
      <c r="L44">
        <v>113.4</v>
      </c>
      <c r="O44" s="16"/>
      <c r="Q44" t="s">
        <v>53</v>
      </c>
      <c r="S44" t="str">
        <f t="shared" si="0"/>
        <v>yes</v>
      </c>
      <c r="T44" t="str">
        <f t="shared" si="1"/>
        <v>yes</v>
      </c>
    </row>
    <row r="45" spans="1:20" x14ac:dyDescent="0.3">
      <c r="A45">
        <v>1015767</v>
      </c>
      <c r="B45" t="s">
        <v>592</v>
      </c>
      <c r="C45" t="s">
        <v>600</v>
      </c>
      <c r="D45" t="s">
        <v>601</v>
      </c>
      <c r="E45" t="s">
        <v>602</v>
      </c>
      <c r="G45" t="s">
        <v>620</v>
      </c>
      <c r="H45" t="s">
        <v>22</v>
      </c>
      <c r="I45" t="s">
        <v>22</v>
      </c>
      <c r="J45" t="s">
        <v>17</v>
      </c>
      <c r="K45">
        <v>95.7</v>
      </c>
      <c r="L45">
        <v>113.4</v>
      </c>
      <c r="O45" s="12"/>
      <c r="Q45" t="s">
        <v>53</v>
      </c>
      <c r="S45" t="str">
        <f t="shared" si="0"/>
        <v>yes</v>
      </c>
      <c r="T45" t="str">
        <f t="shared" si="1"/>
        <v>yes</v>
      </c>
    </row>
    <row r="46" spans="1:20" x14ac:dyDescent="0.3">
      <c r="A46">
        <v>1061949</v>
      </c>
      <c r="B46" t="s">
        <v>621</v>
      </c>
      <c r="C46" t="s">
        <v>622</v>
      </c>
      <c r="H46" t="s">
        <v>16</v>
      </c>
      <c r="I46" t="s">
        <v>16</v>
      </c>
      <c r="J46" t="s">
        <v>17</v>
      </c>
      <c r="K46">
        <v>0</v>
      </c>
      <c r="L46">
        <v>0</v>
      </c>
      <c r="O46" s="12"/>
      <c r="Q46" t="s">
        <v>53</v>
      </c>
      <c r="S46" t="str">
        <f t="shared" si="0"/>
        <v>yes</v>
      </c>
      <c r="T46" t="str">
        <f t="shared" si="1"/>
        <v>yes</v>
      </c>
    </row>
    <row r="47" spans="1:20" x14ac:dyDescent="0.3">
      <c r="A47">
        <v>1061949</v>
      </c>
      <c r="B47" t="s">
        <v>621</v>
      </c>
      <c r="C47" t="s">
        <v>623</v>
      </c>
      <c r="D47" t="s">
        <v>624</v>
      </c>
      <c r="E47" t="s">
        <v>625</v>
      </c>
      <c r="G47" t="s">
        <v>626</v>
      </c>
      <c r="H47" t="s">
        <v>46</v>
      </c>
      <c r="I47" t="s">
        <v>46</v>
      </c>
      <c r="J47" t="s">
        <v>17</v>
      </c>
      <c r="K47">
        <v>100</v>
      </c>
      <c r="L47">
        <v>80</v>
      </c>
      <c r="M47" t="s">
        <v>627</v>
      </c>
      <c r="N47" t="s">
        <v>628</v>
      </c>
      <c r="O47" s="16"/>
      <c r="Q47" t="s">
        <v>53</v>
      </c>
      <c r="S47" t="str">
        <f t="shared" si="0"/>
        <v>yes</v>
      </c>
      <c r="T47" t="str">
        <f t="shared" si="1"/>
        <v>yes</v>
      </c>
    </row>
    <row r="48" spans="1:20" x14ac:dyDescent="0.3">
      <c r="A48">
        <v>1061949</v>
      </c>
      <c r="B48" t="s">
        <v>621</v>
      </c>
      <c r="C48" t="s">
        <v>623</v>
      </c>
      <c r="D48" t="s">
        <v>624</v>
      </c>
      <c r="E48" t="s">
        <v>625</v>
      </c>
      <c r="G48" t="s">
        <v>629</v>
      </c>
      <c r="H48" t="s">
        <v>46</v>
      </c>
      <c r="I48" t="s">
        <v>46</v>
      </c>
      <c r="J48" t="s">
        <v>17</v>
      </c>
      <c r="K48">
        <v>100</v>
      </c>
      <c r="L48">
        <v>80</v>
      </c>
      <c r="M48" t="s">
        <v>627</v>
      </c>
      <c r="N48" t="s">
        <v>628</v>
      </c>
      <c r="O48" s="12"/>
      <c r="Q48" t="s">
        <v>53</v>
      </c>
      <c r="S48" t="str">
        <f>LOWER(TRIM(CLEAN(Q48)))</f>
        <v>yes</v>
      </c>
      <c r="T48" t="str">
        <f t="shared" si="1"/>
        <v>yes</v>
      </c>
    </row>
    <row r="49" spans="1:20" x14ac:dyDescent="0.3">
      <c r="A49">
        <v>1061949</v>
      </c>
      <c r="B49" t="s">
        <v>621</v>
      </c>
      <c r="C49" t="s">
        <v>623</v>
      </c>
      <c r="D49" t="s">
        <v>624</v>
      </c>
      <c r="E49" t="s">
        <v>625</v>
      </c>
      <c r="G49" t="s">
        <v>630</v>
      </c>
      <c r="H49" t="s">
        <v>46</v>
      </c>
      <c r="I49" t="s">
        <v>46</v>
      </c>
      <c r="J49" t="s">
        <v>17</v>
      </c>
      <c r="K49">
        <v>100</v>
      </c>
      <c r="L49">
        <v>80</v>
      </c>
      <c r="M49" t="s">
        <v>627</v>
      </c>
      <c r="N49" t="s">
        <v>628</v>
      </c>
      <c r="O49" s="16"/>
      <c r="Q49" t="s">
        <v>53</v>
      </c>
      <c r="S49" t="str">
        <f t="shared" si="0"/>
        <v>yes</v>
      </c>
      <c r="T49" t="str">
        <f t="shared" si="1"/>
        <v>yes</v>
      </c>
    </row>
    <row r="50" spans="1:20" x14ac:dyDescent="0.3">
      <c r="A50">
        <v>1061949</v>
      </c>
      <c r="B50" t="s">
        <v>621</v>
      </c>
      <c r="C50" t="s">
        <v>623</v>
      </c>
      <c r="D50" t="s">
        <v>624</v>
      </c>
      <c r="E50" t="s">
        <v>625</v>
      </c>
      <c r="G50" t="s">
        <v>631</v>
      </c>
      <c r="H50" t="s">
        <v>46</v>
      </c>
      <c r="I50" t="s">
        <v>46</v>
      </c>
      <c r="J50" t="s">
        <v>17</v>
      </c>
      <c r="K50">
        <v>100</v>
      </c>
      <c r="L50">
        <v>80</v>
      </c>
      <c r="M50" t="s">
        <v>627</v>
      </c>
      <c r="N50" t="s">
        <v>628</v>
      </c>
      <c r="O50" s="12"/>
      <c r="Q50" t="s">
        <v>53</v>
      </c>
      <c r="S50" t="str">
        <f t="shared" si="0"/>
        <v>yes</v>
      </c>
      <c r="T50" t="str">
        <f>IF(S50="","",LOWER(TRIM(S50)))</f>
        <v>yes</v>
      </c>
    </row>
    <row r="51" spans="1:20" x14ac:dyDescent="0.3">
      <c r="A51">
        <v>1061949</v>
      </c>
      <c r="B51" t="s">
        <v>621</v>
      </c>
      <c r="C51" t="s">
        <v>632</v>
      </c>
      <c r="H51" t="s">
        <v>16</v>
      </c>
      <c r="I51" t="s">
        <v>16</v>
      </c>
      <c r="J51" t="s">
        <v>17</v>
      </c>
      <c r="K51">
        <v>0</v>
      </c>
      <c r="L51">
        <v>0</v>
      </c>
      <c r="O51" s="12"/>
      <c r="Q51" t="s">
        <v>53</v>
      </c>
      <c r="S51" t="str">
        <f t="shared" si="0"/>
        <v>yes</v>
      </c>
      <c r="T51" t="str">
        <f t="shared" si="1"/>
        <v>yes</v>
      </c>
    </row>
    <row r="52" spans="1:20" x14ac:dyDescent="0.3">
      <c r="A52">
        <v>1061949</v>
      </c>
      <c r="B52" t="s">
        <v>621</v>
      </c>
      <c r="C52" t="s">
        <v>633</v>
      </c>
      <c r="D52" t="s">
        <v>634</v>
      </c>
      <c r="E52" t="s">
        <v>635</v>
      </c>
      <c r="H52" t="s">
        <v>46</v>
      </c>
      <c r="I52" t="s">
        <v>46</v>
      </c>
      <c r="J52" t="s">
        <v>17</v>
      </c>
      <c r="K52">
        <v>100</v>
      </c>
      <c r="L52">
        <v>50</v>
      </c>
      <c r="M52" t="s">
        <v>636</v>
      </c>
      <c r="N52" t="s">
        <v>637</v>
      </c>
      <c r="O52" s="14"/>
      <c r="Q52" t="s">
        <v>638</v>
      </c>
      <c r="S52" t="str">
        <f t="shared" si="0"/>
        <v>wrong</v>
      </c>
      <c r="T52" t="str">
        <f t="shared" si="1"/>
        <v>wrong</v>
      </c>
    </row>
    <row r="53" spans="1:20" x14ac:dyDescent="0.3">
      <c r="A53">
        <v>1064345</v>
      </c>
      <c r="B53" t="s">
        <v>639</v>
      </c>
      <c r="C53" t="s">
        <v>640</v>
      </c>
      <c r="D53" t="s">
        <v>640</v>
      </c>
      <c r="E53" t="s">
        <v>641</v>
      </c>
      <c r="H53" t="s">
        <v>22</v>
      </c>
      <c r="I53" t="s">
        <v>22</v>
      </c>
      <c r="J53" t="s">
        <v>17</v>
      </c>
      <c r="K53">
        <v>100</v>
      </c>
      <c r="L53">
        <v>112</v>
      </c>
      <c r="M53" t="s">
        <v>241</v>
      </c>
      <c r="N53" t="s">
        <v>242</v>
      </c>
      <c r="O53" s="14"/>
      <c r="Q53" t="s">
        <v>598</v>
      </c>
      <c r="S53" t="str">
        <f t="shared" si="0"/>
        <v>wrong</v>
      </c>
      <c r="T53" t="str">
        <f t="shared" si="1"/>
        <v>wrong</v>
      </c>
    </row>
    <row r="54" spans="1:20" x14ac:dyDescent="0.3">
      <c r="A54">
        <v>1064345</v>
      </c>
      <c r="B54" t="s">
        <v>639</v>
      </c>
      <c r="C54" t="s">
        <v>642</v>
      </c>
      <c r="D54" t="s">
        <v>643</v>
      </c>
      <c r="E54" t="s">
        <v>644</v>
      </c>
      <c r="H54" t="s">
        <v>22</v>
      </c>
      <c r="I54" t="s">
        <v>22</v>
      </c>
      <c r="J54" t="s">
        <v>17</v>
      </c>
      <c r="K54">
        <v>90</v>
      </c>
      <c r="L54">
        <v>105</v>
      </c>
      <c r="O54" s="14"/>
      <c r="P54" t="s">
        <v>645</v>
      </c>
      <c r="Q54" t="s">
        <v>598</v>
      </c>
      <c r="S54" t="str">
        <f t="shared" si="0"/>
        <v>wrong</v>
      </c>
      <c r="T54" t="str">
        <f t="shared" si="1"/>
        <v>wrong</v>
      </c>
    </row>
    <row r="55" spans="1:20" x14ac:dyDescent="0.3">
      <c r="A55">
        <v>1064345</v>
      </c>
      <c r="B55" t="s">
        <v>639</v>
      </c>
      <c r="C55" t="s">
        <v>646</v>
      </c>
      <c r="D55" t="s">
        <v>646</v>
      </c>
      <c r="E55" t="s">
        <v>647</v>
      </c>
      <c r="H55" t="s">
        <v>22</v>
      </c>
      <c r="I55" t="s">
        <v>22</v>
      </c>
      <c r="J55" t="s">
        <v>17</v>
      </c>
      <c r="K55">
        <v>100</v>
      </c>
      <c r="L55">
        <v>112</v>
      </c>
      <c r="M55" t="s">
        <v>245</v>
      </c>
      <c r="N55" t="s">
        <v>246</v>
      </c>
      <c r="O55" s="14"/>
      <c r="P55" t="s">
        <v>648</v>
      </c>
      <c r="Q55" t="s">
        <v>598</v>
      </c>
      <c r="S55" t="str">
        <f t="shared" si="0"/>
        <v>wrong</v>
      </c>
      <c r="T55" t="str">
        <f t="shared" si="1"/>
        <v>wrong</v>
      </c>
    </row>
    <row r="56" spans="1:20" x14ac:dyDescent="0.3">
      <c r="A56">
        <v>1064345</v>
      </c>
      <c r="B56" t="s">
        <v>639</v>
      </c>
      <c r="C56" t="s">
        <v>649</v>
      </c>
      <c r="D56" t="s">
        <v>649</v>
      </c>
      <c r="E56" t="s">
        <v>650</v>
      </c>
      <c r="H56" t="s">
        <v>22</v>
      </c>
      <c r="I56" t="s">
        <v>22</v>
      </c>
      <c r="J56" t="s">
        <v>17</v>
      </c>
      <c r="K56">
        <v>100</v>
      </c>
      <c r="L56">
        <v>110</v>
      </c>
      <c r="M56" t="s">
        <v>651</v>
      </c>
      <c r="N56" t="s">
        <v>652</v>
      </c>
      <c r="O56" s="14"/>
      <c r="Q56" t="s">
        <v>598</v>
      </c>
      <c r="S56" t="str">
        <f t="shared" si="0"/>
        <v>wrong</v>
      </c>
      <c r="T56" t="str">
        <f t="shared" si="1"/>
        <v>wrong</v>
      </c>
    </row>
    <row r="57" spans="1:20" x14ac:dyDescent="0.3">
      <c r="A57">
        <v>1064345</v>
      </c>
      <c r="B57" t="s">
        <v>639</v>
      </c>
      <c r="C57" t="s">
        <v>653</v>
      </c>
      <c r="D57" t="s">
        <v>653</v>
      </c>
      <c r="E57" t="s">
        <v>654</v>
      </c>
      <c r="H57" t="s">
        <v>22</v>
      </c>
      <c r="I57" t="s">
        <v>22</v>
      </c>
      <c r="J57" t="s">
        <v>17</v>
      </c>
      <c r="K57">
        <v>100</v>
      </c>
      <c r="L57">
        <v>112</v>
      </c>
      <c r="M57" t="s">
        <v>655</v>
      </c>
      <c r="N57" t="s">
        <v>656</v>
      </c>
      <c r="O57" s="14"/>
      <c r="P57" t="s">
        <v>657</v>
      </c>
      <c r="Q57" t="s">
        <v>598</v>
      </c>
      <c r="S57" t="str">
        <f t="shared" si="0"/>
        <v>wrong</v>
      </c>
      <c r="T57" t="str">
        <f t="shared" si="1"/>
        <v>wrong</v>
      </c>
    </row>
    <row r="58" spans="1:20" x14ac:dyDescent="0.3">
      <c r="A58">
        <v>1068317</v>
      </c>
      <c r="B58" t="s">
        <v>658</v>
      </c>
      <c r="C58" t="s">
        <v>659</v>
      </c>
      <c r="D58" t="s">
        <v>659</v>
      </c>
      <c r="E58" t="s">
        <v>660</v>
      </c>
      <c r="H58" t="s">
        <v>22</v>
      </c>
      <c r="I58" t="s">
        <v>22</v>
      </c>
      <c r="J58" t="s">
        <v>17</v>
      </c>
      <c r="K58">
        <v>100</v>
      </c>
      <c r="L58">
        <v>110</v>
      </c>
      <c r="O58" s="14"/>
      <c r="P58" t="s">
        <v>661</v>
      </c>
      <c r="Q58" t="s">
        <v>598</v>
      </c>
      <c r="S58" t="str">
        <f t="shared" si="0"/>
        <v>wrong</v>
      </c>
      <c r="T58" t="str">
        <f t="shared" si="1"/>
        <v>wrong</v>
      </c>
    </row>
    <row r="59" spans="1:20" x14ac:dyDescent="0.3">
      <c r="A59">
        <v>1068317</v>
      </c>
      <c r="B59" t="s">
        <v>658</v>
      </c>
      <c r="C59" t="s">
        <v>662</v>
      </c>
      <c r="D59" t="s">
        <v>663</v>
      </c>
      <c r="E59" t="s">
        <v>664</v>
      </c>
      <c r="H59" t="s">
        <v>22</v>
      </c>
      <c r="I59" t="s">
        <v>22</v>
      </c>
      <c r="J59" t="s">
        <v>17</v>
      </c>
      <c r="K59">
        <v>87.5</v>
      </c>
      <c r="L59">
        <v>52.5</v>
      </c>
      <c r="M59" t="s">
        <v>665</v>
      </c>
      <c r="N59" t="s">
        <v>666</v>
      </c>
      <c r="O59" s="14"/>
      <c r="P59" t="s">
        <v>667</v>
      </c>
      <c r="Q59" t="s">
        <v>598</v>
      </c>
      <c r="S59" t="str">
        <f t="shared" si="0"/>
        <v>wrong</v>
      </c>
      <c r="T59" t="str">
        <f t="shared" si="1"/>
        <v>wrong</v>
      </c>
    </row>
    <row r="60" spans="1:20" x14ac:dyDescent="0.3">
      <c r="A60">
        <v>1068317</v>
      </c>
      <c r="B60" t="s">
        <v>658</v>
      </c>
      <c r="C60" t="s">
        <v>668</v>
      </c>
      <c r="H60" t="s">
        <v>16</v>
      </c>
      <c r="I60" t="s">
        <v>16</v>
      </c>
      <c r="J60" t="s">
        <v>17</v>
      </c>
      <c r="K60">
        <v>0</v>
      </c>
      <c r="L60">
        <v>0</v>
      </c>
      <c r="O60" s="12"/>
      <c r="Q60" t="s">
        <v>53</v>
      </c>
      <c r="S60" t="str">
        <f t="shared" si="0"/>
        <v>yes</v>
      </c>
      <c r="T60" t="str">
        <f t="shared" si="1"/>
        <v>yes</v>
      </c>
    </row>
    <row r="61" spans="1:20" x14ac:dyDescent="0.3">
      <c r="A61">
        <v>1068317</v>
      </c>
      <c r="B61" t="s">
        <v>658</v>
      </c>
      <c r="C61" t="s">
        <v>669</v>
      </c>
      <c r="D61" t="s">
        <v>670</v>
      </c>
      <c r="E61" t="s">
        <v>671</v>
      </c>
      <c r="G61" t="s">
        <v>672</v>
      </c>
      <c r="H61" t="s">
        <v>22</v>
      </c>
      <c r="I61" t="s">
        <v>22</v>
      </c>
      <c r="J61" t="s">
        <v>17</v>
      </c>
      <c r="K61">
        <v>90</v>
      </c>
      <c r="L61">
        <v>111</v>
      </c>
      <c r="O61" s="12"/>
      <c r="P61" t="s">
        <v>673</v>
      </c>
      <c r="Q61" t="s">
        <v>53</v>
      </c>
      <c r="S61" t="str">
        <f t="shared" si="0"/>
        <v>yes</v>
      </c>
      <c r="T61" t="str">
        <f t="shared" si="1"/>
        <v>yes</v>
      </c>
    </row>
    <row r="62" spans="1:20" x14ac:dyDescent="0.3">
      <c r="A62">
        <v>1068317</v>
      </c>
      <c r="B62" t="s">
        <v>658</v>
      </c>
      <c r="C62" t="s">
        <v>669</v>
      </c>
      <c r="D62" t="s">
        <v>670</v>
      </c>
      <c r="E62" t="s">
        <v>671</v>
      </c>
      <c r="G62" t="s">
        <v>674</v>
      </c>
      <c r="H62" t="s">
        <v>22</v>
      </c>
      <c r="I62" t="s">
        <v>22</v>
      </c>
      <c r="J62" t="s">
        <v>17</v>
      </c>
      <c r="K62">
        <v>90</v>
      </c>
      <c r="L62">
        <v>111</v>
      </c>
      <c r="O62" s="16"/>
      <c r="Q62" t="s">
        <v>53</v>
      </c>
      <c r="S62" t="str">
        <f t="shared" si="0"/>
        <v>yes</v>
      </c>
      <c r="T62" t="str">
        <f t="shared" si="1"/>
        <v>yes</v>
      </c>
    </row>
    <row r="63" spans="1:20" x14ac:dyDescent="0.3">
      <c r="A63">
        <v>1068317</v>
      </c>
      <c r="B63" t="s">
        <v>658</v>
      </c>
      <c r="C63" t="s">
        <v>669</v>
      </c>
      <c r="D63" t="s">
        <v>670</v>
      </c>
      <c r="E63" t="s">
        <v>671</v>
      </c>
      <c r="G63" t="s">
        <v>675</v>
      </c>
      <c r="H63" t="s">
        <v>22</v>
      </c>
      <c r="I63" t="s">
        <v>22</v>
      </c>
      <c r="J63" t="s">
        <v>17</v>
      </c>
      <c r="K63">
        <v>90</v>
      </c>
      <c r="L63">
        <v>111</v>
      </c>
      <c r="O63" s="12"/>
      <c r="Q63" t="s">
        <v>53</v>
      </c>
      <c r="S63" t="str">
        <f>LOWER(TRIM(CLEAN(Q63)))</f>
        <v>yes</v>
      </c>
      <c r="T63" t="str">
        <f t="shared" si="1"/>
        <v>yes</v>
      </c>
    </row>
    <row r="64" spans="1:20" x14ac:dyDescent="0.3">
      <c r="A64">
        <v>1068317</v>
      </c>
      <c r="B64" t="s">
        <v>658</v>
      </c>
      <c r="C64" t="s">
        <v>669</v>
      </c>
      <c r="D64" t="s">
        <v>670</v>
      </c>
      <c r="E64" t="s">
        <v>671</v>
      </c>
      <c r="G64" t="s">
        <v>676</v>
      </c>
      <c r="H64" t="s">
        <v>22</v>
      </c>
      <c r="I64" t="s">
        <v>22</v>
      </c>
      <c r="J64" t="s">
        <v>17</v>
      </c>
      <c r="K64">
        <v>90</v>
      </c>
      <c r="L64">
        <v>111</v>
      </c>
      <c r="O64" s="16"/>
      <c r="Q64" t="s">
        <v>53</v>
      </c>
      <c r="S64" t="str">
        <f t="shared" si="0"/>
        <v>yes</v>
      </c>
      <c r="T64" t="str">
        <f t="shared" si="1"/>
        <v>yes</v>
      </c>
    </row>
    <row r="65" spans="1:20" x14ac:dyDescent="0.3">
      <c r="A65">
        <v>1068317</v>
      </c>
      <c r="B65" t="s">
        <v>658</v>
      </c>
      <c r="C65" t="s">
        <v>677</v>
      </c>
      <c r="D65" t="s">
        <v>677</v>
      </c>
      <c r="E65" t="s">
        <v>678</v>
      </c>
      <c r="H65" t="s">
        <v>22</v>
      </c>
      <c r="I65" t="s">
        <v>22</v>
      </c>
      <c r="J65" t="s">
        <v>17</v>
      </c>
      <c r="K65">
        <v>100</v>
      </c>
      <c r="L65">
        <v>113</v>
      </c>
      <c r="M65" t="s">
        <v>679</v>
      </c>
      <c r="N65" t="s">
        <v>680</v>
      </c>
      <c r="O65" s="14"/>
      <c r="Q65" t="s">
        <v>638</v>
      </c>
      <c r="S65" t="str">
        <f t="shared" si="0"/>
        <v>wrong</v>
      </c>
      <c r="T65" t="str">
        <f t="shared" si="1"/>
        <v>wrong</v>
      </c>
    </row>
    <row r="66" spans="1:20" x14ac:dyDescent="0.3">
      <c r="A66">
        <v>1068317</v>
      </c>
      <c r="B66" t="s">
        <v>658</v>
      </c>
      <c r="C66" t="s">
        <v>681</v>
      </c>
      <c r="D66" t="s">
        <v>681</v>
      </c>
      <c r="E66" t="s">
        <v>682</v>
      </c>
      <c r="H66" t="s">
        <v>22</v>
      </c>
      <c r="I66" t="s">
        <v>22</v>
      </c>
      <c r="J66" t="s">
        <v>17</v>
      </c>
      <c r="K66">
        <v>100</v>
      </c>
      <c r="L66">
        <v>112</v>
      </c>
      <c r="M66" t="s">
        <v>338</v>
      </c>
      <c r="N66" t="s">
        <v>339</v>
      </c>
      <c r="O66" s="14"/>
      <c r="P66" t="s">
        <v>657</v>
      </c>
      <c r="Q66" t="s">
        <v>598</v>
      </c>
      <c r="S66" t="str">
        <f t="shared" si="0"/>
        <v>wrong</v>
      </c>
      <c r="T66" t="str">
        <f t="shared" si="1"/>
        <v>wrong</v>
      </c>
    </row>
    <row r="67" spans="1:20" x14ac:dyDescent="0.3">
      <c r="A67">
        <v>1068317</v>
      </c>
      <c r="B67" t="s">
        <v>658</v>
      </c>
      <c r="C67" t="s">
        <v>683</v>
      </c>
      <c r="D67" t="s">
        <v>527</v>
      </c>
      <c r="E67" t="s">
        <v>684</v>
      </c>
      <c r="G67" t="s">
        <v>685</v>
      </c>
      <c r="H67" t="s">
        <v>46</v>
      </c>
      <c r="I67" t="s">
        <v>46</v>
      </c>
      <c r="J67" t="s">
        <v>17</v>
      </c>
      <c r="K67">
        <v>100</v>
      </c>
      <c r="L67">
        <v>50</v>
      </c>
      <c r="O67" s="12"/>
      <c r="Q67" t="s">
        <v>53</v>
      </c>
      <c r="S67" t="str">
        <f t="shared" ref="S67:S78" si="2">LOWER(TRIM(CLEAN(Q67)))</f>
        <v>yes</v>
      </c>
      <c r="T67" t="str">
        <f t="shared" ref="T67:T71" si="3">IF(S67="","",LOWER(TRIM(S67)))</f>
        <v>yes</v>
      </c>
    </row>
    <row r="68" spans="1:20" x14ac:dyDescent="0.3">
      <c r="A68">
        <v>1068317</v>
      </c>
      <c r="B68" t="s">
        <v>658</v>
      </c>
      <c r="C68" t="s">
        <v>683</v>
      </c>
      <c r="D68" t="s">
        <v>527</v>
      </c>
      <c r="E68" t="s">
        <v>684</v>
      </c>
      <c r="G68" t="s">
        <v>686</v>
      </c>
      <c r="H68" t="s">
        <v>46</v>
      </c>
      <c r="I68" t="s">
        <v>46</v>
      </c>
      <c r="J68" t="s">
        <v>17</v>
      </c>
      <c r="K68">
        <v>100</v>
      </c>
      <c r="L68">
        <v>50</v>
      </c>
      <c r="O68" s="16"/>
      <c r="Q68" t="s">
        <v>53</v>
      </c>
      <c r="S68" t="str">
        <f t="shared" si="2"/>
        <v>yes</v>
      </c>
      <c r="T68" t="str">
        <f t="shared" si="3"/>
        <v>yes</v>
      </c>
    </row>
    <row r="69" spans="1:20" x14ac:dyDescent="0.3">
      <c r="A69">
        <v>1068317</v>
      </c>
      <c r="B69" t="s">
        <v>658</v>
      </c>
      <c r="C69" t="s">
        <v>683</v>
      </c>
      <c r="D69" t="s">
        <v>527</v>
      </c>
      <c r="E69" t="s">
        <v>684</v>
      </c>
      <c r="G69" t="s">
        <v>687</v>
      </c>
      <c r="H69" t="s">
        <v>46</v>
      </c>
      <c r="I69" t="s">
        <v>46</v>
      </c>
      <c r="J69" t="s">
        <v>17</v>
      </c>
      <c r="K69">
        <v>100</v>
      </c>
      <c r="L69">
        <v>50</v>
      </c>
      <c r="O69" s="12"/>
      <c r="Q69" t="s">
        <v>53</v>
      </c>
      <c r="S69" t="str">
        <f t="shared" si="2"/>
        <v>yes</v>
      </c>
      <c r="T69" t="str">
        <f t="shared" si="3"/>
        <v>yes</v>
      </c>
    </row>
    <row r="70" spans="1:20" x14ac:dyDescent="0.3">
      <c r="A70">
        <v>1068317</v>
      </c>
      <c r="B70" t="s">
        <v>658</v>
      </c>
      <c r="C70" t="s">
        <v>683</v>
      </c>
      <c r="D70" t="s">
        <v>527</v>
      </c>
      <c r="E70" t="s">
        <v>684</v>
      </c>
      <c r="G70" t="s">
        <v>688</v>
      </c>
      <c r="H70" t="s">
        <v>46</v>
      </c>
      <c r="I70" t="s">
        <v>46</v>
      </c>
      <c r="J70" t="s">
        <v>17</v>
      </c>
      <c r="K70">
        <v>100</v>
      </c>
      <c r="L70">
        <v>50</v>
      </c>
      <c r="O70" s="16"/>
      <c r="Q70" t="s">
        <v>53</v>
      </c>
      <c r="S70" t="str">
        <f t="shared" si="2"/>
        <v>yes</v>
      </c>
      <c r="T70" t="str">
        <f t="shared" si="3"/>
        <v>yes</v>
      </c>
    </row>
    <row r="71" spans="1:20" x14ac:dyDescent="0.3">
      <c r="A71">
        <v>1068317</v>
      </c>
      <c r="B71" t="s">
        <v>658</v>
      </c>
      <c r="C71" t="s">
        <v>683</v>
      </c>
      <c r="D71" t="s">
        <v>527</v>
      </c>
      <c r="E71" t="s">
        <v>684</v>
      </c>
      <c r="G71" t="s">
        <v>689</v>
      </c>
      <c r="H71" t="s">
        <v>46</v>
      </c>
      <c r="I71" t="s">
        <v>46</v>
      </c>
      <c r="J71" t="s">
        <v>17</v>
      </c>
      <c r="K71">
        <v>100</v>
      </c>
      <c r="L71">
        <v>50</v>
      </c>
      <c r="O71" s="12"/>
      <c r="Q71" t="s">
        <v>53</v>
      </c>
      <c r="S71" t="str">
        <f t="shared" si="2"/>
        <v>yes</v>
      </c>
      <c r="T71" t="str">
        <f t="shared" si="3"/>
        <v>yes</v>
      </c>
    </row>
    <row r="72" spans="1:20" x14ac:dyDescent="0.3">
      <c r="A72">
        <v>1068317</v>
      </c>
      <c r="B72" t="s">
        <v>658</v>
      </c>
      <c r="C72" t="s">
        <v>683</v>
      </c>
      <c r="D72" t="s">
        <v>527</v>
      </c>
      <c r="E72" t="s">
        <v>684</v>
      </c>
      <c r="G72" t="s">
        <v>690</v>
      </c>
      <c r="H72" t="s">
        <v>46</v>
      </c>
      <c r="I72" t="s">
        <v>46</v>
      </c>
      <c r="J72" t="s">
        <v>17</v>
      </c>
      <c r="K72">
        <v>100</v>
      </c>
      <c r="L72">
        <v>50</v>
      </c>
      <c r="O72" s="16"/>
      <c r="Q72" t="s">
        <v>53</v>
      </c>
      <c r="S72" t="str">
        <f t="shared" si="2"/>
        <v>yes</v>
      </c>
      <c r="T72" t="str">
        <f>IF(S72="","",LOWER(TRIM(S72)))</f>
        <v>yes</v>
      </c>
    </row>
    <row r="73" spans="1:20" x14ac:dyDescent="0.3">
      <c r="A73">
        <v>1068317</v>
      </c>
      <c r="B73" t="s">
        <v>658</v>
      </c>
      <c r="C73" t="s">
        <v>683</v>
      </c>
      <c r="D73" t="s">
        <v>527</v>
      </c>
      <c r="E73" t="s">
        <v>684</v>
      </c>
      <c r="G73" t="s">
        <v>691</v>
      </c>
      <c r="H73" t="s">
        <v>46</v>
      </c>
      <c r="I73" t="s">
        <v>46</v>
      </c>
      <c r="J73" t="s">
        <v>17</v>
      </c>
      <c r="K73">
        <v>100</v>
      </c>
      <c r="L73">
        <v>50</v>
      </c>
      <c r="O73" s="12"/>
      <c r="Q73" t="s">
        <v>53</v>
      </c>
      <c r="S73" t="str">
        <f t="shared" si="2"/>
        <v>yes</v>
      </c>
      <c r="T73" t="str">
        <f t="shared" ref="T73:T102" si="4">IF(S73="","",LOWER(TRIM(S73)))</f>
        <v>yes</v>
      </c>
    </row>
    <row r="74" spans="1:20" ht="13.5" customHeight="1" x14ac:dyDescent="0.3">
      <c r="A74">
        <v>1081822</v>
      </c>
      <c r="B74" t="s">
        <v>692</v>
      </c>
      <c r="C74" t="s">
        <v>693</v>
      </c>
      <c r="H74" t="s">
        <v>16</v>
      </c>
      <c r="I74" t="s">
        <v>16</v>
      </c>
      <c r="J74" t="s">
        <v>17</v>
      </c>
      <c r="K74">
        <v>0</v>
      </c>
      <c r="L74">
        <v>0</v>
      </c>
      <c r="O74" s="12"/>
      <c r="Q74" t="s">
        <v>53</v>
      </c>
      <c r="S74" t="str">
        <f t="shared" si="2"/>
        <v>yes</v>
      </c>
      <c r="T74" t="str">
        <f t="shared" si="4"/>
        <v>yes</v>
      </c>
    </row>
    <row r="75" spans="1:20" x14ac:dyDescent="0.3">
      <c r="A75">
        <v>1081822</v>
      </c>
      <c r="B75" t="s">
        <v>692</v>
      </c>
      <c r="C75" t="s">
        <v>694</v>
      </c>
      <c r="H75" t="s">
        <v>16</v>
      </c>
      <c r="I75" t="s">
        <v>16</v>
      </c>
      <c r="J75" t="s">
        <v>17</v>
      </c>
      <c r="K75">
        <v>0</v>
      </c>
      <c r="L75">
        <v>0</v>
      </c>
      <c r="O75" s="12"/>
      <c r="Q75" t="s">
        <v>53</v>
      </c>
      <c r="S75" t="str">
        <f t="shared" si="2"/>
        <v>yes</v>
      </c>
      <c r="T75" t="str">
        <f t="shared" si="4"/>
        <v>yes</v>
      </c>
    </row>
    <row r="76" spans="1:20" x14ac:dyDescent="0.3">
      <c r="A76">
        <v>1081822</v>
      </c>
      <c r="B76" t="s">
        <v>692</v>
      </c>
      <c r="C76" t="s">
        <v>695</v>
      </c>
      <c r="H76" t="s">
        <v>16</v>
      </c>
      <c r="I76" t="s">
        <v>16</v>
      </c>
      <c r="J76" t="s">
        <v>17</v>
      </c>
      <c r="K76">
        <v>0</v>
      </c>
      <c r="L76">
        <v>0</v>
      </c>
      <c r="O76" s="12"/>
      <c r="Q76" t="s">
        <v>53</v>
      </c>
      <c r="S76" t="str">
        <f t="shared" si="2"/>
        <v>yes</v>
      </c>
      <c r="T76" t="str">
        <f t="shared" si="4"/>
        <v>yes</v>
      </c>
    </row>
    <row r="77" spans="1:20" x14ac:dyDescent="0.3">
      <c r="A77">
        <v>1081822</v>
      </c>
      <c r="B77" t="s">
        <v>692</v>
      </c>
      <c r="C77" t="s">
        <v>696</v>
      </c>
      <c r="H77" t="s">
        <v>16</v>
      </c>
      <c r="I77" t="s">
        <v>16</v>
      </c>
      <c r="J77" t="s">
        <v>17</v>
      </c>
      <c r="K77">
        <v>0</v>
      </c>
      <c r="L77">
        <v>0</v>
      </c>
      <c r="O77" s="12"/>
      <c r="Q77" t="s">
        <v>53</v>
      </c>
      <c r="S77" t="str">
        <f t="shared" si="2"/>
        <v>yes</v>
      </c>
      <c r="T77" t="str">
        <f t="shared" si="4"/>
        <v>yes</v>
      </c>
    </row>
    <row r="78" spans="1:20" x14ac:dyDescent="0.3">
      <c r="A78">
        <v>1081822</v>
      </c>
      <c r="B78" t="s">
        <v>692</v>
      </c>
      <c r="C78" t="s">
        <v>697</v>
      </c>
      <c r="D78" t="s">
        <v>698</v>
      </c>
      <c r="E78" t="s">
        <v>699</v>
      </c>
      <c r="H78" t="s">
        <v>46</v>
      </c>
      <c r="I78" t="s">
        <v>46</v>
      </c>
      <c r="J78" t="s">
        <v>17</v>
      </c>
      <c r="K78">
        <v>100</v>
      </c>
      <c r="L78">
        <v>50</v>
      </c>
      <c r="M78" t="s">
        <v>700</v>
      </c>
      <c r="N78" t="s">
        <v>701</v>
      </c>
      <c r="O78" s="12"/>
      <c r="Q78" t="s">
        <v>53</v>
      </c>
      <c r="S78" t="str">
        <f t="shared" si="2"/>
        <v>yes</v>
      </c>
      <c r="T78" t="str">
        <f t="shared" si="4"/>
        <v>yes</v>
      </c>
    </row>
    <row r="79" spans="1:20" x14ac:dyDescent="0.3">
      <c r="A79">
        <v>1081825</v>
      </c>
      <c r="B79" t="s">
        <v>702</v>
      </c>
      <c r="C79" t="s">
        <v>703</v>
      </c>
      <c r="H79" t="s">
        <v>16</v>
      </c>
      <c r="I79" t="s">
        <v>16</v>
      </c>
      <c r="J79" t="s">
        <v>17</v>
      </c>
      <c r="K79">
        <v>0</v>
      </c>
      <c r="L79">
        <v>0</v>
      </c>
      <c r="O79" s="12"/>
      <c r="Q79" t="s">
        <v>53</v>
      </c>
      <c r="S79" t="str">
        <f>LOWER(TRIM(CLEAN(Q79)))</f>
        <v>yes</v>
      </c>
      <c r="T79" t="str">
        <f t="shared" si="4"/>
        <v>yes</v>
      </c>
    </row>
    <row r="80" spans="1:20" x14ac:dyDescent="0.3">
      <c r="A80">
        <v>1081825</v>
      </c>
      <c r="B80" t="s">
        <v>702</v>
      </c>
      <c r="C80" t="s">
        <v>704</v>
      </c>
      <c r="H80" t="s">
        <v>16</v>
      </c>
      <c r="I80" t="s">
        <v>16</v>
      </c>
      <c r="J80" t="s">
        <v>17</v>
      </c>
      <c r="K80">
        <v>0</v>
      </c>
      <c r="L80">
        <v>0</v>
      </c>
      <c r="O80" s="12"/>
      <c r="Q80" t="s">
        <v>53</v>
      </c>
      <c r="S80" t="str">
        <f t="shared" ref="S80:S99" si="5">LOWER(TRIM(CLEAN(Q80)))</f>
        <v>yes</v>
      </c>
      <c r="T80" t="str">
        <f t="shared" si="4"/>
        <v>yes</v>
      </c>
    </row>
    <row r="81" spans="1:20" x14ac:dyDescent="0.3">
      <c r="A81">
        <v>1081825</v>
      </c>
      <c r="B81" t="s">
        <v>702</v>
      </c>
      <c r="C81" t="s">
        <v>705</v>
      </c>
      <c r="H81" t="s">
        <v>16</v>
      </c>
      <c r="I81" t="s">
        <v>16</v>
      </c>
      <c r="J81" t="s">
        <v>17</v>
      </c>
      <c r="K81">
        <v>0</v>
      </c>
      <c r="L81">
        <v>0</v>
      </c>
      <c r="O81" s="12"/>
      <c r="Q81" t="s">
        <v>53</v>
      </c>
      <c r="S81" t="str">
        <f t="shared" si="5"/>
        <v>yes</v>
      </c>
      <c r="T81" t="str">
        <f t="shared" si="4"/>
        <v>yes</v>
      </c>
    </row>
    <row r="82" spans="1:20" x14ac:dyDescent="0.3">
      <c r="A82">
        <v>1081825</v>
      </c>
      <c r="B82" t="s">
        <v>702</v>
      </c>
      <c r="C82" t="s">
        <v>706</v>
      </c>
      <c r="D82" t="s">
        <v>706</v>
      </c>
      <c r="E82" t="s">
        <v>707</v>
      </c>
      <c r="F82" s="17" t="s">
        <v>708</v>
      </c>
      <c r="H82" t="s">
        <v>22</v>
      </c>
      <c r="I82" t="s">
        <v>22</v>
      </c>
      <c r="J82" t="s">
        <v>17</v>
      </c>
      <c r="K82">
        <v>100</v>
      </c>
      <c r="L82">
        <v>112</v>
      </c>
      <c r="M82" t="s">
        <v>709</v>
      </c>
      <c r="N82" t="s">
        <v>710</v>
      </c>
      <c r="O82" s="12"/>
      <c r="Q82" t="s">
        <v>53</v>
      </c>
      <c r="S82" t="str">
        <f t="shared" si="5"/>
        <v>yes</v>
      </c>
      <c r="T82" t="str">
        <f t="shared" si="4"/>
        <v>yes</v>
      </c>
    </row>
    <row r="83" spans="1:20" x14ac:dyDescent="0.3">
      <c r="A83">
        <v>1081825</v>
      </c>
      <c r="B83" t="s">
        <v>702</v>
      </c>
      <c r="C83" t="s">
        <v>711</v>
      </c>
      <c r="H83" t="s">
        <v>16</v>
      </c>
      <c r="I83" t="s">
        <v>16</v>
      </c>
      <c r="J83" t="s">
        <v>17</v>
      </c>
      <c r="K83">
        <v>0</v>
      </c>
      <c r="L83">
        <v>0</v>
      </c>
      <c r="O83" s="12"/>
      <c r="Q83" t="s">
        <v>53</v>
      </c>
      <c r="S83" t="str">
        <f t="shared" si="5"/>
        <v>yes</v>
      </c>
      <c r="T83" t="str">
        <f t="shared" si="4"/>
        <v>yes</v>
      </c>
    </row>
    <row r="84" spans="1:20" x14ac:dyDescent="0.3">
      <c r="A84">
        <v>1081825</v>
      </c>
      <c r="B84" t="s">
        <v>702</v>
      </c>
      <c r="C84" t="s">
        <v>712</v>
      </c>
      <c r="H84" t="s">
        <v>16</v>
      </c>
      <c r="I84" t="s">
        <v>16</v>
      </c>
      <c r="J84" t="s">
        <v>17</v>
      </c>
      <c r="K84">
        <v>0</v>
      </c>
      <c r="L84">
        <v>0</v>
      </c>
      <c r="O84" s="12"/>
      <c r="Q84" t="s">
        <v>53</v>
      </c>
      <c r="S84" t="str">
        <f t="shared" si="5"/>
        <v>yes</v>
      </c>
      <c r="T84" t="str">
        <f t="shared" si="4"/>
        <v>yes</v>
      </c>
    </row>
    <row r="85" spans="1:20" x14ac:dyDescent="0.3">
      <c r="A85">
        <v>1081825</v>
      </c>
      <c r="B85" t="s">
        <v>702</v>
      </c>
      <c r="C85" t="s">
        <v>713</v>
      </c>
      <c r="D85" t="s">
        <v>714</v>
      </c>
      <c r="E85" t="s">
        <v>715</v>
      </c>
      <c r="G85" t="s">
        <v>716</v>
      </c>
      <c r="H85" t="s">
        <v>22</v>
      </c>
      <c r="I85" t="s">
        <v>22</v>
      </c>
      <c r="J85" t="s">
        <v>17</v>
      </c>
      <c r="K85">
        <v>91.7</v>
      </c>
      <c r="L85">
        <v>111</v>
      </c>
      <c r="O85" s="12"/>
      <c r="Q85" t="s">
        <v>53</v>
      </c>
      <c r="S85" t="str">
        <f t="shared" si="5"/>
        <v>yes</v>
      </c>
      <c r="T85" t="str">
        <f t="shared" si="4"/>
        <v>yes</v>
      </c>
    </row>
    <row r="86" spans="1:20" x14ac:dyDescent="0.3">
      <c r="A86">
        <v>1081825</v>
      </c>
      <c r="B86" t="s">
        <v>702</v>
      </c>
      <c r="C86" t="s">
        <v>713</v>
      </c>
      <c r="D86" t="s">
        <v>714</v>
      </c>
      <c r="E86" t="s">
        <v>715</v>
      </c>
      <c r="G86" t="s">
        <v>717</v>
      </c>
      <c r="H86" t="s">
        <v>22</v>
      </c>
      <c r="I86" t="s">
        <v>22</v>
      </c>
      <c r="J86" t="s">
        <v>17</v>
      </c>
      <c r="K86">
        <v>91.7</v>
      </c>
      <c r="L86">
        <v>111</v>
      </c>
      <c r="O86" s="12"/>
      <c r="Q86" t="s">
        <v>53</v>
      </c>
      <c r="S86" t="str">
        <f t="shared" si="5"/>
        <v>yes</v>
      </c>
      <c r="T86" t="str">
        <f t="shared" si="4"/>
        <v>yes</v>
      </c>
    </row>
    <row r="87" spans="1:20" x14ac:dyDescent="0.3">
      <c r="A87">
        <v>1081825</v>
      </c>
      <c r="B87" t="s">
        <v>702</v>
      </c>
      <c r="C87" t="s">
        <v>713</v>
      </c>
      <c r="D87" t="s">
        <v>714</v>
      </c>
      <c r="E87" t="s">
        <v>715</v>
      </c>
      <c r="G87" t="s">
        <v>718</v>
      </c>
      <c r="H87" t="s">
        <v>22</v>
      </c>
      <c r="I87" t="s">
        <v>22</v>
      </c>
      <c r="J87" t="s">
        <v>17</v>
      </c>
      <c r="K87">
        <v>91.7</v>
      </c>
      <c r="L87">
        <v>111</v>
      </c>
      <c r="O87" s="12"/>
      <c r="Q87" t="s">
        <v>53</v>
      </c>
      <c r="S87" t="str">
        <f t="shared" si="5"/>
        <v>yes</v>
      </c>
      <c r="T87" t="str">
        <f t="shared" si="4"/>
        <v>yes</v>
      </c>
    </row>
    <row r="88" spans="1:20" x14ac:dyDescent="0.3">
      <c r="A88">
        <v>1081825</v>
      </c>
      <c r="B88" t="s">
        <v>702</v>
      </c>
      <c r="C88" t="s">
        <v>713</v>
      </c>
      <c r="D88" t="s">
        <v>714</v>
      </c>
      <c r="E88" t="s">
        <v>715</v>
      </c>
      <c r="G88" t="s">
        <v>719</v>
      </c>
      <c r="H88" t="s">
        <v>22</v>
      </c>
      <c r="I88" t="s">
        <v>22</v>
      </c>
      <c r="J88" t="s">
        <v>17</v>
      </c>
      <c r="K88">
        <v>91.7</v>
      </c>
      <c r="L88">
        <v>111</v>
      </c>
      <c r="O88" s="12"/>
      <c r="Q88" t="s">
        <v>53</v>
      </c>
      <c r="S88" t="str">
        <f t="shared" si="5"/>
        <v>yes</v>
      </c>
      <c r="T88" t="str">
        <f t="shared" si="4"/>
        <v>yes</v>
      </c>
    </row>
    <row r="89" spans="1:20" x14ac:dyDescent="0.3">
      <c r="A89">
        <v>1081825</v>
      </c>
      <c r="B89" t="s">
        <v>702</v>
      </c>
      <c r="C89" t="s">
        <v>713</v>
      </c>
      <c r="D89" t="s">
        <v>714</v>
      </c>
      <c r="E89" t="s">
        <v>715</v>
      </c>
      <c r="G89" t="s">
        <v>720</v>
      </c>
      <c r="H89" t="s">
        <v>22</v>
      </c>
      <c r="I89" t="s">
        <v>22</v>
      </c>
      <c r="J89" t="s">
        <v>17</v>
      </c>
      <c r="K89">
        <v>91.7</v>
      </c>
      <c r="L89">
        <v>111</v>
      </c>
      <c r="O89" s="12"/>
      <c r="Q89" t="s">
        <v>53</v>
      </c>
      <c r="S89" t="str">
        <f t="shared" si="5"/>
        <v>yes</v>
      </c>
      <c r="T89" t="str">
        <f t="shared" si="4"/>
        <v>yes</v>
      </c>
    </row>
    <row r="90" spans="1:20" x14ac:dyDescent="0.3">
      <c r="A90">
        <v>1082459</v>
      </c>
      <c r="B90" t="s">
        <v>721</v>
      </c>
      <c r="C90" t="s">
        <v>722</v>
      </c>
      <c r="D90" t="s">
        <v>723</v>
      </c>
      <c r="E90" t="s">
        <v>724</v>
      </c>
      <c r="G90" t="s">
        <v>725</v>
      </c>
      <c r="H90" t="s">
        <v>22</v>
      </c>
      <c r="I90" t="s">
        <v>22</v>
      </c>
      <c r="J90" t="s">
        <v>17</v>
      </c>
      <c r="K90">
        <v>90.9</v>
      </c>
      <c r="L90">
        <v>113.5</v>
      </c>
      <c r="O90" s="12"/>
      <c r="Q90" t="s">
        <v>53</v>
      </c>
      <c r="S90" t="str">
        <f t="shared" si="5"/>
        <v>yes</v>
      </c>
      <c r="T90" t="str">
        <f t="shared" si="4"/>
        <v>yes</v>
      </c>
    </row>
    <row r="91" spans="1:20" x14ac:dyDescent="0.3">
      <c r="A91">
        <v>1082459</v>
      </c>
      <c r="B91" t="s">
        <v>721</v>
      </c>
      <c r="C91" t="s">
        <v>722</v>
      </c>
      <c r="D91" t="s">
        <v>723</v>
      </c>
      <c r="E91" t="s">
        <v>724</v>
      </c>
      <c r="G91" t="s">
        <v>726</v>
      </c>
      <c r="H91" t="s">
        <v>22</v>
      </c>
      <c r="I91" t="s">
        <v>22</v>
      </c>
      <c r="J91" t="s">
        <v>17</v>
      </c>
      <c r="K91">
        <v>90.9</v>
      </c>
      <c r="L91">
        <v>113.5</v>
      </c>
      <c r="O91" s="12"/>
      <c r="Q91" t="s">
        <v>53</v>
      </c>
      <c r="S91" t="str">
        <f t="shared" si="5"/>
        <v>yes</v>
      </c>
      <c r="T91" t="str">
        <f t="shared" si="4"/>
        <v>yes</v>
      </c>
    </row>
    <row r="92" spans="1:20" x14ac:dyDescent="0.3">
      <c r="A92">
        <v>1082459</v>
      </c>
      <c r="B92" t="s">
        <v>721</v>
      </c>
      <c r="C92" t="s">
        <v>722</v>
      </c>
      <c r="D92" t="s">
        <v>723</v>
      </c>
      <c r="E92" t="s">
        <v>724</v>
      </c>
      <c r="G92" t="s">
        <v>727</v>
      </c>
      <c r="H92" t="s">
        <v>22</v>
      </c>
      <c r="I92" t="s">
        <v>22</v>
      </c>
      <c r="J92" t="s">
        <v>17</v>
      </c>
      <c r="K92">
        <v>90.9</v>
      </c>
      <c r="L92">
        <v>113.5</v>
      </c>
      <c r="O92" s="12"/>
      <c r="Q92" t="s">
        <v>53</v>
      </c>
      <c r="S92" t="str">
        <f t="shared" si="5"/>
        <v>yes</v>
      </c>
      <c r="T92" t="str">
        <f t="shared" si="4"/>
        <v>yes</v>
      </c>
    </row>
    <row r="93" spans="1:20" x14ac:dyDescent="0.3">
      <c r="A93">
        <v>1082459</v>
      </c>
      <c r="B93" t="s">
        <v>721</v>
      </c>
      <c r="C93" t="s">
        <v>722</v>
      </c>
      <c r="D93" t="s">
        <v>723</v>
      </c>
      <c r="E93" t="s">
        <v>724</v>
      </c>
      <c r="G93" t="s">
        <v>728</v>
      </c>
      <c r="H93" t="s">
        <v>22</v>
      </c>
      <c r="I93" t="s">
        <v>22</v>
      </c>
      <c r="J93" t="s">
        <v>17</v>
      </c>
      <c r="K93">
        <v>90.9</v>
      </c>
      <c r="L93">
        <v>113.5</v>
      </c>
      <c r="O93" s="12"/>
      <c r="Q93" t="s">
        <v>53</v>
      </c>
      <c r="S93" t="str">
        <f t="shared" si="5"/>
        <v>yes</v>
      </c>
      <c r="T93" t="str">
        <f t="shared" si="4"/>
        <v>yes</v>
      </c>
    </row>
    <row r="94" spans="1:20" x14ac:dyDescent="0.3">
      <c r="A94">
        <v>1082459</v>
      </c>
      <c r="B94" t="s">
        <v>721</v>
      </c>
      <c r="C94" t="s">
        <v>722</v>
      </c>
      <c r="D94" t="s">
        <v>723</v>
      </c>
      <c r="E94" t="s">
        <v>724</v>
      </c>
      <c r="G94" t="s">
        <v>729</v>
      </c>
      <c r="H94" t="s">
        <v>22</v>
      </c>
      <c r="I94" t="s">
        <v>22</v>
      </c>
      <c r="J94" t="s">
        <v>17</v>
      </c>
      <c r="K94">
        <v>90.9</v>
      </c>
      <c r="L94">
        <v>113.5</v>
      </c>
      <c r="O94" s="12"/>
      <c r="Q94" t="s">
        <v>53</v>
      </c>
      <c r="S94" t="str">
        <f t="shared" si="5"/>
        <v>yes</v>
      </c>
      <c r="T94" t="str">
        <f t="shared" si="4"/>
        <v>yes</v>
      </c>
    </row>
    <row r="95" spans="1:20" x14ac:dyDescent="0.3">
      <c r="A95">
        <v>1082459</v>
      </c>
      <c r="B95" t="s">
        <v>721</v>
      </c>
      <c r="C95" t="s">
        <v>722</v>
      </c>
      <c r="D95" t="s">
        <v>723</v>
      </c>
      <c r="E95" t="s">
        <v>724</v>
      </c>
      <c r="G95" t="s">
        <v>730</v>
      </c>
      <c r="H95" t="s">
        <v>22</v>
      </c>
      <c r="I95" t="s">
        <v>22</v>
      </c>
      <c r="J95" t="s">
        <v>17</v>
      </c>
      <c r="K95">
        <v>90.9</v>
      </c>
      <c r="L95">
        <v>113.5</v>
      </c>
      <c r="O95" s="12"/>
      <c r="Q95" t="s">
        <v>53</v>
      </c>
      <c r="S95" t="str">
        <f t="shared" si="5"/>
        <v>yes</v>
      </c>
      <c r="T95" t="str">
        <f t="shared" si="4"/>
        <v>yes</v>
      </c>
    </row>
    <row r="96" spans="1:20" x14ac:dyDescent="0.3">
      <c r="A96">
        <v>1082459</v>
      </c>
      <c r="B96" t="s">
        <v>721</v>
      </c>
      <c r="C96" t="s">
        <v>722</v>
      </c>
      <c r="D96" t="s">
        <v>723</v>
      </c>
      <c r="E96" t="s">
        <v>724</v>
      </c>
      <c r="G96" t="s">
        <v>731</v>
      </c>
      <c r="H96" t="s">
        <v>22</v>
      </c>
      <c r="I96" t="s">
        <v>22</v>
      </c>
      <c r="J96" t="s">
        <v>17</v>
      </c>
      <c r="K96">
        <v>90.9</v>
      </c>
      <c r="L96">
        <v>113.5</v>
      </c>
      <c r="O96" s="12"/>
      <c r="Q96" t="s">
        <v>53</v>
      </c>
      <c r="S96" t="str">
        <f t="shared" si="5"/>
        <v>yes</v>
      </c>
      <c r="T96" t="str">
        <f>IF(S96="","",LOWER(TRIM(S96)))</f>
        <v>yes</v>
      </c>
    </row>
    <row r="97" spans="1:20" x14ac:dyDescent="0.3">
      <c r="A97">
        <v>1082459</v>
      </c>
      <c r="B97" t="s">
        <v>721</v>
      </c>
      <c r="C97" t="s">
        <v>722</v>
      </c>
      <c r="D97" t="s">
        <v>723</v>
      </c>
      <c r="E97" t="s">
        <v>724</v>
      </c>
      <c r="G97" t="s">
        <v>732</v>
      </c>
      <c r="H97" t="s">
        <v>22</v>
      </c>
      <c r="I97" t="s">
        <v>22</v>
      </c>
      <c r="J97" t="s">
        <v>17</v>
      </c>
      <c r="K97">
        <v>90.9</v>
      </c>
      <c r="L97">
        <v>113.5</v>
      </c>
      <c r="O97" s="12"/>
      <c r="Q97" t="s">
        <v>53</v>
      </c>
      <c r="S97" t="str">
        <f t="shared" si="5"/>
        <v>yes</v>
      </c>
      <c r="T97" t="str">
        <f t="shared" si="4"/>
        <v>yes</v>
      </c>
    </row>
    <row r="98" spans="1:20" x14ac:dyDescent="0.3">
      <c r="A98">
        <v>1082459</v>
      </c>
      <c r="B98" t="s">
        <v>721</v>
      </c>
      <c r="C98" t="s">
        <v>722</v>
      </c>
      <c r="D98" t="s">
        <v>723</v>
      </c>
      <c r="E98" t="s">
        <v>724</v>
      </c>
      <c r="G98" t="s">
        <v>733</v>
      </c>
      <c r="H98" t="s">
        <v>22</v>
      </c>
      <c r="I98" t="s">
        <v>22</v>
      </c>
      <c r="J98" t="s">
        <v>17</v>
      </c>
      <c r="K98">
        <v>90.9</v>
      </c>
      <c r="L98">
        <v>113.5</v>
      </c>
      <c r="O98" s="12"/>
      <c r="Q98" t="s">
        <v>53</v>
      </c>
      <c r="S98" t="str">
        <f t="shared" si="5"/>
        <v>yes</v>
      </c>
      <c r="T98" t="str">
        <f t="shared" si="4"/>
        <v>yes</v>
      </c>
    </row>
    <row r="99" spans="1:20" x14ac:dyDescent="0.3">
      <c r="A99">
        <v>1082459</v>
      </c>
      <c r="B99" t="s">
        <v>721</v>
      </c>
      <c r="C99" t="s">
        <v>722</v>
      </c>
      <c r="D99" t="s">
        <v>723</v>
      </c>
      <c r="E99" t="s">
        <v>724</v>
      </c>
      <c r="G99" t="s">
        <v>734</v>
      </c>
      <c r="H99" t="s">
        <v>22</v>
      </c>
      <c r="I99" t="s">
        <v>22</v>
      </c>
      <c r="J99" t="s">
        <v>17</v>
      </c>
      <c r="K99">
        <v>90.9</v>
      </c>
      <c r="L99">
        <v>113.5</v>
      </c>
      <c r="O99" s="12"/>
      <c r="Q99" t="s">
        <v>53</v>
      </c>
      <c r="S99" t="str">
        <f t="shared" si="5"/>
        <v>yes</v>
      </c>
      <c r="T99" t="str">
        <f t="shared" si="4"/>
        <v>yes</v>
      </c>
    </row>
    <row r="100" spans="1:20" x14ac:dyDescent="0.3">
      <c r="A100">
        <v>1082459</v>
      </c>
      <c r="B100" t="s">
        <v>721</v>
      </c>
      <c r="C100" t="s">
        <v>722</v>
      </c>
      <c r="D100" t="s">
        <v>723</v>
      </c>
      <c r="E100" t="s">
        <v>724</v>
      </c>
      <c r="G100" t="s">
        <v>735</v>
      </c>
      <c r="H100" t="s">
        <v>22</v>
      </c>
      <c r="I100" t="s">
        <v>22</v>
      </c>
      <c r="J100" t="s">
        <v>17</v>
      </c>
      <c r="K100">
        <v>90.9</v>
      </c>
      <c r="L100">
        <v>113.5</v>
      </c>
      <c r="O100" s="12"/>
      <c r="Q100" t="s">
        <v>53</v>
      </c>
      <c r="S100" t="str">
        <f>LOWER(TRIM(CLEAN(Q100)))</f>
        <v>yes</v>
      </c>
      <c r="T100" t="str">
        <f t="shared" si="4"/>
        <v>yes</v>
      </c>
    </row>
    <row r="101" spans="1:20" x14ac:dyDescent="0.3">
      <c r="A101">
        <v>1082459</v>
      </c>
      <c r="B101" t="s">
        <v>721</v>
      </c>
      <c r="C101" t="s">
        <v>722</v>
      </c>
      <c r="D101" t="s">
        <v>723</v>
      </c>
      <c r="E101" t="s">
        <v>724</v>
      </c>
      <c r="G101" t="s">
        <v>736</v>
      </c>
      <c r="H101" t="s">
        <v>22</v>
      </c>
      <c r="I101" t="s">
        <v>22</v>
      </c>
      <c r="J101" t="s">
        <v>17</v>
      </c>
      <c r="K101">
        <v>90.9</v>
      </c>
      <c r="L101">
        <v>113.5</v>
      </c>
      <c r="O101" s="12"/>
      <c r="Q101" t="s">
        <v>53</v>
      </c>
      <c r="S101" t="str">
        <f t="shared" ref="S101:S117" si="6">LOWER(TRIM(CLEAN(Q101)))</f>
        <v>yes</v>
      </c>
      <c r="T101" t="str">
        <f t="shared" si="4"/>
        <v>yes</v>
      </c>
    </row>
    <row r="102" spans="1:20" x14ac:dyDescent="0.3">
      <c r="A102">
        <v>1082459</v>
      </c>
      <c r="B102" t="s">
        <v>721</v>
      </c>
      <c r="C102" t="s">
        <v>722</v>
      </c>
      <c r="D102" t="s">
        <v>723</v>
      </c>
      <c r="E102" t="s">
        <v>724</v>
      </c>
      <c r="G102" t="s">
        <v>737</v>
      </c>
      <c r="H102" t="s">
        <v>22</v>
      </c>
      <c r="I102" t="s">
        <v>22</v>
      </c>
      <c r="J102" t="s">
        <v>17</v>
      </c>
      <c r="K102">
        <v>90.9</v>
      </c>
      <c r="L102">
        <v>113.5</v>
      </c>
      <c r="O102" s="12"/>
      <c r="Q102" t="s">
        <v>53</v>
      </c>
      <c r="S102" t="str">
        <f t="shared" si="6"/>
        <v>yes</v>
      </c>
      <c r="T102" t="str">
        <f t="shared" si="4"/>
        <v>yes</v>
      </c>
    </row>
    <row r="103" spans="1:20" x14ac:dyDescent="0.3">
      <c r="A103">
        <v>1082459</v>
      </c>
      <c r="B103" t="s">
        <v>721</v>
      </c>
      <c r="C103" t="s">
        <v>722</v>
      </c>
      <c r="D103" t="s">
        <v>723</v>
      </c>
      <c r="E103" t="s">
        <v>724</v>
      </c>
      <c r="G103" t="s">
        <v>738</v>
      </c>
      <c r="H103" t="s">
        <v>22</v>
      </c>
      <c r="I103" t="s">
        <v>22</v>
      </c>
      <c r="J103" t="s">
        <v>17</v>
      </c>
      <c r="K103">
        <v>90.9</v>
      </c>
      <c r="L103">
        <v>113.5</v>
      </c>
      <c r="O103" s="12"/>
      <c r="Q103" t="s">
        <v>53</v>
      </c>
      <c r="S103" t="str">
        <f t="shared" si="6"/>
        <v>yes</v>
      </c>
      <c r="T103" t="str">
        <f>IF(S103="","",LOWER(TRIM(S103)))</f>
        <v>yes</v>
      </c>
    </row>
    <row r="104" spans="1:20" x14ac:dyDescent="0.3">
      <c r="A104">
        <v>1082459</v>
      </c>
      <c r="B104" t="s">
        <v>721</v>
      </c>
      <c r="C104" t="s">
        <v>722</v>
      </c>
      <c r="D104" t="s">
        <v>723</v>
      </c>
      <c r="E104" t="s">
        <v>724</v>
      </c>
      <c r="G104" t="s">
        <v>739</v>
      </c>
      <c r="H104" t="s">
        <v>22</v>
      </c>
      <c r="I104" t="s">
        <v>22</v>
      </c>
      <c r="J104" t="s">
        <v>17</v>
      </c>
      <c r="K104">
        <v>90.9</v>
      </c>
      <c r="L104">
        <v>113.5</v>
      </c>
      <c r="O104" s="12"/>
      <c r="Q104" t="s">
        <v>53</v>
      </c>
      <c r="S104" t="str">
        <f t="shared" si="6"/>
        <v>yes</v>
      </c>
      <c r="T104" t="str">
        <f t="shared" ref="T104:T135" si="7">IF(S104="","",LOWER(TRIM(S104)))</f>
        <v>yes</v>
      </c>
    </row>
    <row r="105" spans="1:20" x14ac:dyDescent="0.3">
      <c r="A105">
        <v>1082459</v>
      </c>
      <c r="B105" t="s">
        <v>721</v>
      </c>
      <c r="C105" t="s">
        <v>722</v>
      </c>
      <c r="D105" t="s">
        <v>723</v>
      </c>
      <c r="E105" t="s">
        <v>724</v>
      </c>
      <c r="G105" t="s">
        <v>740</v>
      </c>
      <c r="H105" t="s">
        <v>22</v>
      </c>
      <c r="I105" t="s">
        <v>22</v>
      </c>
      <c r="J105" t="s">
        <v>17</v>
      </c>
      <c r="K105">
        <v>90.9</v>
      </c>
      <c r="L105">
        <v>113.5</v>
      </c>
      <c r="O105" s="12"/>
      <c r="Q105" t="s">
        <v>53</v>
      </c>
      <c r="S105" t="str">
        <f t="shared" si="6"/>
        <v>yes</v>
      </c>
      <c r="T105" t="str">
        <f t="shared" si="7"/>
        <v>yes</v>
      </c>
    </row>
    <row r="106" spans="1:20" x14ac:dyDescent="0.3">
      <c r="A106">
        <v>1082459</v>
      </c>
      <c r="B106" t="s">
        <v>721</v>
      </c>
      <c r="C106" t="s">
        <v>722</v>
      </c>
      <c r="D106" t="s">
        <v>723</v>
      </c>
      <c r="E106" t="s">
        <v>724</v>
      </c>
      <c r="G106" t="s">
        <v>741</v>
      </c>
      <c r="H106" t="s">
        <v>22</v>
      </c>
      <c r="I106" t="s">
        <v>22</v>
      </c>
      <c r="J106" t="s">
        <v>17</v>
      </c>
      <c r="K106">
        <v>90.9</v>
      </c>
      <c r="L106">
        <v>113.5</v>
      </c>
      <c r="O106" s="12"/>
      <c r="Q106" t="s">
        <v>53</v>
      </c>
      <c r="S106" t="str">
        <f t="shared" si="6"/>
        <v>yes</v>
      </c>
      <c r="T106" t="str">
        <f t="shared" si="7"/>
        <v>yes</v>
      </c>
    </row>
    <row r="107" spans="1:20" x14ac:dyDescent="0.3">
      <c r="A107">
        <v>1082459</v>
      </c>
      <c r="B107" t="s">
        <v>721</v>
      </c>
      <c r="C107" t="s">
        <v>722</v>
      </c>
      <c r="D107" t="s">
        <v>723</v>
      </c>
      <c r="E107" t="s">
        <v>724</v>
      </c>
      <c r="G107" t="s">
        <v>742</v>
      </c>
      <c r="H107" t="s">
        <v>22</v>
      </c>
      <c r="I107" t="s">
        <v>22</v>
      </c>
      <c r="J107" t="s">
        <v>17</v>
      </c>
      <c r="K107">
        <v>90.9</v>
      </c>
      <c r="L107">
        <v>113.5</v>
      </c>
      <c r="O107" s="12"/>
      <c r="Q107" t="s">
        <v>53</v>
      </c>
      <c r="S107" t="str">
        <f t="shared" si="6"/>
        <v>yes</v>
      </c>
      <c r="T107" t="str">
        <f t="shared" si="7"/>
        <v>yes</v>
      </c>
    </row>
    <row r="108" spans="1:20" x14ac:dyDescent="0.3">
      <c r="A108">
        <v>1082459</v>
      </c>
      <c r="B108" t="s">
        <v>721</v>
      </c>
      <c r="C108" t="s">
        <v>722</v>
      </c>
      <c r="D108" t="s">
        <v>723</v>
      </c>
      <c r="E108" t="s">
        <v>724</v>
      </c>
      <c r="G108" t="s">
        <v>743</v>
      </c>
      <c r="H108" t="s">
        <v>22</v>
      </c>
      <c r="I108" t="s">
        <v>22</v>
      </c>
      <c r="J108" t="s">
        <v>17</v>
      </c>
      <c r="K108">
        <v>90.9</v>
      </c>
      <c r="L108">
        <v>113.5</v>
      </c>
      <c r="O108" s="12"/>
      <c r="Q108" t="s">
        <v>53</v>
      </c>
      <c r="S108" t="str">
        <f t="shared" si="6"/>
        <v>yes</v>
      </c>
      <c r="T108" t="str">
        <f t="shared" si="7"/>
        <v>yes</v>
      </c>
    </row>
    <row r="109" spans="1:20" x14ac:dyDescent="0.3">
      <c r="A109">
        <v>1082459</v>
      </c>
      <c r="B109" t="s">
        <v>721</v>
      </c>
      <c r="C109" t="s">
        <v>722</v>
      </c>
      <c r="D109" t="s">
        <v>723</v>
      </c>
      <c r="E109" t="s">
        <v>724</v>
      </c>
      <c r="G109" t="s">
        <v>744</v>
      </c>
      <c r="H109" t="s">
        <v>22</v>
      </c>
      <c r="I109" t="s">
        <v>22</v>
      </c>
      <c r="J109" t="s">
        <v>17</v>
      </c>
      <c r="K109">
        <v>90.9</v>
      </c>
      <c r="L109">
        <v>113.5</v>
      </c>
      <c r="O109" s="12"/>
      <c r="Q109" t="s">
        <v>53</v>
      </c>
      <c r="S109" t="str">
        <f t="shared" si="6"/>
        <v>yes</v>
      </c>
      <c r="T109" t="str">
        <f t="shared" si="7"/>
        <v>yes</v>
      </c>
    </row>
    <row r="110" spans="1:20" x14ac:dyDescent="0.3">
      <c r="A110">
        <v>1082459</v>
      </c>
      <c r="B110" t="s">
        <v>721</v>
      </c>
      <c r="C110" t="s">
        <v>722</v>
      </c>
      <c r="D110" t="s">
        <v>723</v>
      </c>
      <c r="E110" t="s">
        <v>724</v>
      </c>
      <c r="G110" t="s">
        <v>745</v>
      </c>
      <c r="H110" t="s">
        <v>22</v>
      </c>
      <c r="I110" t="s">
        <v>22</v>
      </c>
      <c r="J110" t="s">
        <v>17</v>
      </c>
      <c r="K110">
        <v>90.9</v>
      </c>
      <c r="L110">
        <v>113.5</v>
      </c>
      <c r="O110" s="12"/>
      <c r="Q110" t="s">
        <v>53</v>
      </c>
      <c r="S110" t="str">
        <f t="shared" si="6"/>
        <v>yes</v>
      </c>
      <c r="T110" t="str">
        <f t="shared" si="7"/>
        <v>yes</v>
      </c>
    </row>
    <row r="111" spans="1:20" x14ac:dyDescent="0.3">
      <c r="A111">
        <v>1082459</v>
      </c>
      <c r="B111" t="s">
        <v>721</v>
      </c>
      <c r="C111" t="s">
        <v>722</v>
      </c>
      <c r="D111" t="s">
        <v>723</v>
      </c>
      <c r="E111" t="s">
        <v>724</v>
      </c>
      <c r="G111" t="s">
        <v>746</v>
      </c>
      <c r="H111" t="s">
        <v>22</v>
      </c>
      <c r="I111" t="s">
        <v>22</v>
      </c>
      <c r="J111" t="s">
        <v>17</v>
      </c>
      <c r="K111">
        <v>90.9</v>
      </c>
      <c r="L111">
        <v>113.5</v>
      </c>
      <c r="O111" s="12"/>
      <c r="Q111" t="s">
        <v>53</v>
      </c>
      <c r="S111" t="str">
        <f t="shared" si="6"/>
        <v>yes</v>
      </c>
      <c r="T111" t="str">
        <f t="shared" si="7"/>
        <v>yes</v>
      </c>
    </row>
    <row r="112" spans="1:20" x14ac:dyDescent="0.3">
      <c r="A112">
        <v>1082459</v>
      </c>
      <c r="B112" t="s">
        <v>721</v>
      </c>
      <c r="C112" t="s">
        <v>722</v>
      </c>
      <c r="D112" t="s">
        <v>723</v>
      </c>
      <c r="E112" t="s">
        <v>724</v>
      </c>
      <c r="G112" t="s">
        <v>747</v>
      </c>
      <c r="H112" t="s">
        <v>22</v>
      </c>
      <c r="I112" t="s">
        <v>22</v>
      </c>
      <c r="J112" t="s">
        <v>17</v>
      </c>
      <c r="K112">
        <v>90.9</v>
      </c>
      <c r="L112">
        <v>113.5</v>
      </c>
      <c r="O112" s="12"/>
      <c r="Q112" t="s">
        <v>53</v>
      </c>
      <c r="S112" t="str">
        <f t="shared" si="6"/>
        <v>yes</v>
      </c>
      <c r="T112" t="str">
        <f t="shared" si="7"/>
        <v>yes</v>
      </c>
    </row>
    <row r="113" spans="1:20" x14ac:dyDescent="0.3">
      <c r="A113">
        <v>1082459</v>
      </c>
      <c r="B113" t="s">
        <v>721</v>
      </c>
      <c r="C113" t="s">
        <v>722</v>
      </c>
      <c r="D113" t="s">
        <v>723</v>
      </c>
      <c r="E113" t="s">
        <v>724</v>
      </c>
      <c r="G113" t="s">
        <v>748</v>
      </c>
      <c r="H113" t="s">
        <v>22</v>
      </c>
      <c r="I113" t="s">
        <v>22</v>
      </c>
      <c r="J113" t="s">
        <v>17</v>
      </c>
      <c r="K113">
        <v>90.9</v>
      </c>
      <c r="L113">
        <v>113.5</v>
      </c>
      <c r="O113" s="12"/>
      <c r="Q113" t="s">
        <v>53</v>
      </c>
      <c r="S113" t="str">
        <f t="shared" si="6"/>
        <v>yes</v>
      </c>
      <c r="T113" t="str">
        <f t="shared" si="7"/>
        <v>yes</v>
      </c>
    </row>
    <row r="114" spans="1:20" x14ac:dyDescent="0.3">
      <c r="A114">
        <v>1082459</v>
      </c>
      <c r="B114" t="s">
        <v>721</v>
      </c>
      <c r="C114" t="s">
        <v>722</v>
      </c>
      <c r="D114" t="s">
        <v>723</v>
      </c>
      <c r="E114" t="s">
        <v>724</v>
      </c>
      <c r="G114" t="s">
        <v>749</v>
      </c>
      <c r="H114" t="s">
        <v>22</v>
      </c>
      <c r="I114" t="s">
        <v>22</v>
      </c>
      <c r="J114" t="s">
        <v>17</v>
      </c>
      <c r="K114">
        <v>90.9</v>
      </c>
      <c r="L114">
        <v>113.5</v>
      </c>
      <c r="O114" s="12"/>
      <c r="Q114" t="s">
        <v>53</v>
      </c>
      <c r="S114" t="str">
        <f t="shared" si="6"/>
        <v>yes</v>
      </c>
      <c r="T114" t="str">
        <f t="shared" si="7"/>
        <v>yes</v>
      </c>
    </row>
    <row r="115" spans="1:20" x14ac:dyDescent="0.3">
      <c r="A115">
        <v>1082459</v>
      </c>
      <c r="B115" t="s">
        <v>721</v>
      </c>
      <c r="C115" t="s">
        <v>750</v>
      </c>
      <c r="D115" t="s">
        <v>751</v>
      </c>
      <c r="E115" t="s">
        <v>752</v>
      </c>
      <c r="G115" t="s">
        <v>753</v>
      </c>
      <c r="H115" t="s">
        <v>22</v>
      </c>
      <c r="I115" t="s">
        <v>22</v>
      </c>
      <c r="J115" t="s">
        <v>17</v>
      </c>
      <c r="K115">
        <v>91.7</v>
      </c>
      <c r="L115">
        <v>114</v>
      </c>
      <c r="M115" t="s">
        <v>754</v>
      </c>
      <c r="N115" t="s">
        <v>755</v>
      </c>
      <c r="O115" s="12"/>
      <c r="P115" t="s">
        <v>756</v>
      </c>
      <c r="Q115" t="s">
        <v>53</v>
      </c>
      <c r="S115" t="str">
        <f t="shared" si="6"/>
        <v>yes</v>
      </c>
      <c r="T115" t="str">
        <f t="shared" si="7"/>
        <v>yes</v>
      </c>
    </row>
    <row r="116" spans="1:20" x14ac:dyDescent="0.3">
      <c r="A116">
        <v>1082459</v>
      </c>
      <c r="B116" t="s">
        <v>721</v>
      </c>
      <c r="C116" t="s">
        <v>750</v>
      </c>
      <c r="D116" t="s">
        <v>751</v>
      </c>
      <c r="E116" t="s">
        <v>752</v>
      </c>
      <c r="G116" t="s">
        <v>757</v>
      </c>
      <c r="H116" t="s">
        <v>22</v>
      </c>
      <c r="I116" t="s">
        <v>22</v>
      </c>
      <c r="J116" t="s">
        <v>17</v>
      </c>
      <c r="K116">
        <v>91.7</v>
      </c>
      <c r="L116">
        <v>114</v>
      </c>
      <c r="M116" t="s">
        <v>754</v>
      </c>
      <c r="N116" t="s">
        <v>755</v>
      </c>
      <c r="O116" s="12"/>
      <c r="Q116" t="s">
        <v>53</v>
      </c>
      <c r="S116" t="str">
        <f t="shared" si="6"/>
        <v>yes</v>
      </c>
      <c r="T116" t="str">
        <f t="shared" si="7"/>
        <v>yes</v>
      </c>
    </row>
    <row r="117" spans="1:20" x14ac:dyDescent="0.3">
      <c r="A117">
        <v>1082459</v>
      </c>
      <c r="B117" t="s">
        <v>721</v>
      </c>
      <c r="C117" t="s">
        <v>750</v>
      </c>
      <c r="D117" t="s">
        <v>751</v>
      </c>
      <c r="E117" t="s">
        <v>752</v>
      </c>
      <c r="G117" t="s">
        <v>758</v>
      </c>
      <c r="H117" t="s">
        <v>22</v>
      </c>
      <c r="I117" t="s">
        <v>22</v>
      </c>
      <c r="J117" t="s">
        <v>17</v>
      </c>
      <c r="K117">
        <v>91.7</v>
      </c>
      <c r="L117">
        <v>114</v>
      </c>
      <c r="M117" t="s">
        <v>754</v>
      </c>
      <c r="N117" t="s">
        <v>755</v>
      </c>
      <c r="O117" s="12"/>
      <c r="Q117" t="s">
        <v>53</v>
      </c>
      <c r="S117" t="str">
        <f t="shared" si="6"/>
        <v>yes</v>
      </c>
      <c r="T117" t="str">
        <f t="shared" si="7"/>
        <v>yes</v>
      </c>
    </row>
    <row r="118" spans="1:20" x14ac:dyDescent="0.3">
      <c r="A118">
        <v>1082459</v>
      </c>
      <c r="B118" t="s">
        <v>721</v>
      </c>
      <c r="C118" t="s">
        <v>750</v>
      </c>
      <c r="D118" t="s">
        <v>751</v>
      </c>
      <c r="E118" t="s">
        <v>752</v>
      </c>
      <c r="G118" t="s">
        <v>759</v>
      </c>
      <c r="H118" t="s">
        <v>22</v>
      </c>
      <c r="I118" t="s">
        <v>22</v>
      </c>
      <c r="J118" t="s">
        <v>17</v>
      </c>
      <c r="K118">
        <v>91.7</v>
      </c>
      <c r="L118">
        <v>114</v>
      </c>
      <c r="M118" t="s">
        <v>754</v>
      </c>
      <c r="N118" t="s">
        <v>755</v>
      </c>
      <c r="O118" s="12"/>
      <c r="Q118" t="s">
        <v>53</v>
      </c>
      <c r="S118" t="str">
        <f>LOWER(TRIM(CLEAN(Q118)))</f>
        <v>yes</v>
      </c>
      <c r="T118" t="str">
        <f t="shared" si="7"/>
        <v>yes</v>
      </c>
    </row>
    <row r="119" spans="1:20" x14ac:dyDescent="0.3">
      <c r="A119">
        <v>1082459</v>
      </c>
      <c r="B119" t="s">
        <v>721</v>
      </c>
      <c r="C119" t="s">
        <v>750</v>
      </c>
      <c r="D119" t="s">
        <v>751</v>
      </c>
      <c r="E119" t="s">
        <v>752</v>
      </c>
      <c r="G119" t="s">
        <v>760</v>
      </c>
      <c r="H119" t="s">
        <v>22</v>
      </c>
      <c r="I119" t="s">
        <v>22</v>
      </c>
      <c r="J119" t="s">
        <v>17</v>
      </c>
      <c r="K119">
        <v>91.7</v>
      </c>
      <c r="L119">
        <v>114</v>
      </c>
      <c r="M119" t="s">
        <v>754</v>
      </c>
      <c r="N119" t="s">
        <v>755</v>
      </c>
      <c r="O119" s="12"/>
      <c r="P119" t="s">
        <v>756</v>
      </c>
      <c r="Q119" t="s">
        <v>53</v>
      </c>
      <c r="S119" t="str">
        <f t="shared" ref="S119:S136" si="8">LOWER(TRIM(CLEAN(Q119)))</f>
        <v>yes</v>
      </c>
      <c r="T119" t="str">
        <f t="shared" si="7"/>
        <v>yes</v>
      </c>
    </row>
    <row r="120" spans="1:20" x14ac:dyDescent="0.3">
      <c r="A120">
        <v>1082459</v>
      </c>
      <c r="B120" t="s">
        <v>721</v>
      </c>
      <c r="C120" t="s">
        <v>761</v>
      </c>
      <c r="D120" t="s">
        <v>762</v>
      </c>
      <c r="E120" t="s">
        <v>763</v>
      </c>
      <c r="G120" t="s">
        <v>764</v>
      </c>
      <c r="H120" t="s">
        <v>46</v>
      </c>
      <c r="I120" t="s">
        <v>46</v>
      </c>
      <c r="J120" t="s">
        <v>17</v>
      </c>
      <c r="K120">
        <v>100</v>
      </c>
      <c r="L120">
        <v>50</v>
      </c>
      <c r="O120" s="12"/>
      <c r="P120" t="s">
        <v>765</v>
      </c>
      <c r="Q120" t="s">
        <v>53</v>
      </c>
      <c r="S120" t="str">
        <f t="shared" si="8"/>
        <v>yes</v>
      </c>
      <c r="T120" t="str">
        <f t="shared" si="7"/>
        <v>yes</v>
      </c>
    </row>
    <row r="121" spans="1:20" x14ac:dyDescent="0.3">
      <c r="A121">
        <v>1082459</v>
      </c>
      <c r="B121" t="s">
        <v>721</v>
      </c>
      <c r="C121" t="s">
        <v>761</v>
      </c>
      <c r="D121" t="s">
        <v>762</v>
      </c>
      <c r="E121" t="s">
        <v>763</v>
      </c>
      <c r="G121" t="s">
        <v>766</v>
      </c>
      <c r="H121" t="s">
        <v>46</v>
      </c>
      <c r="I121" t="s">
        <v>46</v>
      </c>
      <c r="J121" t="s">
        <v>17</v>
      </c>
      <c r="K121">
        <v>100</v>
      </c>
      <c r="L121">
        <v>50</v>
      </c>
      <c r="O121" s="12"/>
      <c r="Q121" t="s">
        <v>53</v>
      </c>
      <c r="S121" t="str">
        <f t="shared" si="8"/>
        <v>yes</v>
      </c>
      <c r="T121" t="str">
        <f t="shared" si="7"/>
        <v>yes</v>
      </c>
    </row>
    <row r="122" spans="1:20" x14ac:dyDescent="0.3">
      <c r="A122">
        <v>1082459</v>
      </c>
      <c r="B122" t="s">
        <v>721</v>
      </c>
      <c r="C122" t="s">
        <v>761</v>
      </c>
      <c r="D122" t="s">
        <v>762</v>
      </c>
      <c r="E122" t="s">
        <v>763</v>
      </c>
      <c r="G122" t="s">
        <v>767</v>
      </c>
      <c r="H122" t="s">
        <v>46</v>
      </c>
      <c r="I122" t="s">
        <v>46</v>
      </c>
      <c r="J122" t="s">
        <v>17</v>
      </c>
      <c r="K122">
        <v>100</v>
      </c>
      <c r="L122">
        <v>50</v>
      </c>
      <c r="O122" s="12"/>
      <c r="Q122" t="s">
        <v>53</v>
      </c>
      <c r="S122" t="str">
        <f t="shared" si="8"/>
        <v>yes</v>
      </c>
      <c r="T122" t="str">
        <f t="shared" si="7"/>
        <v>yes</v>
      </c>
    </row>
    <row r="123" spans="1:20" x14ac:dyDescent="0.3">
      <c r="A123">
        <v>1082459</v>
      </c>
      <c r="B123" t="s">
        <v>721</v>
      </c>
      <c r="C123" t="s">
        <v>761</v>
      </c>
      <c r="D123" t="s">
        <v>762</v>
      </c>
      <c r="E123" t="s">
        <v>763</v>
      </c>
      <c r="G123" t="s">
        <v>768</v>
      </c>
      <c r="H123" t="s">
        <v>46</v>
      </c>
      <c r="I123" t="s">
        <v>46</v>
      </c>
      <c r="J123" t="s">
        <v>17</v>
      </c>
      <c r="K123">
        <v>100</v>
      </c>
      <c r="L123">
        <v>50</v>
      </c>
      <c r="O123" s="12"/>
      <c r="Q123" t="s">
        <v>53</v>
      </c>
      <c r="S123" t="str">
        <f t="shared" si="8"/>
        <v>yes</v>
      </c>
      <c r="T123" t="str">
        <f t="shared" si="7"/>
        <v>yes</v>
      </c>
    </row>
    <row r="124" spans="1:20" x14ac:dyDescent="0.3">
      <c r="A124">
        <v>1082459</v>
      </c>
      <c r="B124" t="s">
        <v>721</v>
      </c>
      <c r="C124" t="s">
        <v>761</v>
      </c>
      <c r="D124" t="s">
        <v>762</v>
      </c>
      <c r="E124" t="s">
        <v>763</v>
      </c>
      <c r="G124" t="s">
        <v>769</v>
      </c>
      <c r="H124" t="s">
        <v>46</v>
      </c>
      <c r="I124" t="s">
        <v>46</v>
      </c>
      <c r="J124" t="s">
        <v>17</v>
      </c>
      <c r="K124">
        <v>100</v>
      </c>
      <c r="L124">
        <v>50</v>
      </c>
      <c r="O124" s="12"/>
      <c r="Q124" t="s">
        <v>53</v>
      </c>
      <c r="S124" t="str">
        <f t="shared" si="8"/>
        <v>yes</v>
      </c>
      <c r="T124" t="str">
        <f t="shared" si="7"/>
        <v>yes</v>
      </c>
    </row>
    <row r="125" spans="1:20" x14ac:dyDescent="0.3">
      <c r="A125">
        <v>1082459</v>
      </c>
      <c r="B125" t="s">
        <v>721</v>
      </c>
      <c r="C125" t="s">
        <v>761</v>
      </c>
      <c r="D125" t="s">
        <v>762</v>
      </c>
      <c r="E125" t="s">
        <v>763</v>
      </c>
      <c r="G125" t="s">
        <v>770</v>
      </c>
      <c r="H125" t="s">
        <v>46</v>
      </c>
      <c r="I125" t="s">
        <v>46</v>
      </c>
      <c r="J125" t="s">
        <v>17</v>
      </c>
      <c r="K125">
        <v>100</v>
      </c>
      <c r="L125">
        <v>50</v>
      </c>
      <c r="O125" s="12"/>
      <c r="Q125" t="s">
        <v>53</v>
      </c>
      <c r="S125" t="str">
        <f t="shared" si="8"/>
        <v>yes</v>
      </c>
      <c r="T125" t="str">
        <f t="shared" si="7"/>
        <v>yes</v>
      </c>
    </row>
    <row r="126" spans="1:20" x14ac:dyDescent="0.3">
      <c r="A126">
        <v>1082459</v>
      </c>
      <c r="B126" t="s">
        <v>721</v>
      </c>
      <c r="C126" t="s">
        <v>761</v>
      </c>
      <c r="D126" t="s">
        <v>762</v>
      </c>
      <c r="E126" t="s">
        <v>763</v>
      </c>
      <c r="G126" t="s">
        <v>771</v>
      </c>
      <c r="H126" t="s">
        <v>46</v>
      </c>
      <c r="I126" t="s">
        <v>46</v>
      </c>
      <c r="J126" t="s">
        <v>17</v>
      </c>
      <c r="K126">
        <v>100</v>
      </c>
      <c r="L126">
        <v>50</v>
      </c>
      <c r="O126" s="12"/>
      <c r="Q126" t="s">
        <v>53</v>
      </c>
      <c r="S126" t="str">
        <f t="shared" si="8"/>
        <v>yes</v>
      </c>
      <c r="T126" t="str">
        <f t="shared" si="7"/>
        <v>yes</v>
      </c>
    </row>
    <row r="127" spans="1:20" x14ac:dyDescent="0.3">
      <c r="A127">
        <v>1082459</v>
      </c>
      <c r="B127" t="s">
        <v>721</v>
      </c>
      <c r="C127" t="s">
        <v>761</v>
      </c>
      <c r="D127" t="s">
        <v>762</v>
      </c>
      <c r="E127" t="s">
        <v>763</v>
      </c>
      <c r="G127" t="s">
        <v>772</v>
      </c>
      <c r="H127" t="s">
        <v>46</v>
      </c>
      <c r="I127" t="s">
        <v>46</v>
      </c>
      <c r="J127" t="s">
        <v>17</v>
      </c>
      <c r="K127">
        <v>100</v>
      </c>
      <c r="L127">
        <v>50</v>
      </c>
      <c r="O127" s="12"/>
      <c r="Q127" t="s">
        <v>53</v>
      </c>
      <c r="S127" t="str">
        <f t="shared" si="8"/>
        <v>yes</v>
      </c>
      <c r="T127" t="str">
        <f>IF(S127="","",LOWER(TRIM(S127)))</f>
        <v>yes</v>
      </c>
    </row>
    <row r="128" spans="1:20" x14ac:dyDescent="0.3">
      <c r="A128">
        <v>1082459</v>
      </c>
      <c r="B128" t="s">
        <v>721</v>
      </c>
      <c r="C128" t="s">
        <v>773</v>
      </c>
      <c r="D128" t="s">
        <v>774</v>
      </c>
      <c r="E128" t="s">
        <v>775</v>
      </c>
      <c r="G128" t="s">
        <v>776</v>
      </c>
      <c r="H128" t="s">
        <v>22</v>
      </c>
      <c r="I128" t="s">
        <v>22</v>
      </c>
      <c r="J128" t="s">
        <v>17</v>
      </c>
      <c r="K128">
        <v>90</v>
      </c>
      <c r="L128">
        <v>108</v>
      </c>
      <c r="M128" t="s">
        <v>777</v>
      </c>
      <c r="N128" t="s">
        <v>778</v>
      </c>
      <c r="O128" s="12"/>
      <c r="P128" t="s">
        <v>765</v>
      </c>
      <c r="Q128" t="s">
        <v>53</v>
      </c>
      <c r="S128" t="str">
        <f t="shared" si="8"/>
        <v>yes</v>
      </c>
      <c r="T128" t="str">
        <f t="shared" si="7"/>
        <v>yes</v>
      </c>
    </row>
    <row r="129" spans="1:20" x14ac:dyDescent="0.3">
      <c r="A129">
        <v>1082459</v>
      </c>
      <c r="B129" t="s">
        <v>721</v>
      </c>
      <c r="C129" t="s">
        <v>779</v>
      </c>
      <c r="H129" t="s">
        <v>16</v>
      </c>
      <c r="I129" t="s">
        <v>16</v>
      </c>
      <c r="J129" t="s">
        <v>17</v>
      </c>
      <c r="K129">
        <v>0</v>
      </c>
      <c r="L129">
        <v>0</v>
      </c>
      <c r="O129" s="12"/>
      <c r="Q129" t="s">
        <v>53</v>
      </c>
      <c r="S129" t="str">
        <f t="shared" si="8"/>
        <v>yes</v>
      </c>
      <c r="T129" t="str">
        <f t="shared" si="7"/>
        <v>yes</v>
      </c>
    </row>
    <row r="130" spans="1:20" x14ac:dyDescent="0.3">
      <c r="A130">
        <v>1082502</v>
      </c>
      <c r="B130" t="s">
        <v>780</v>
      </c>
      <c r="C130" t="s">
        <v>696</v>
      </c>
      <c r="H130" t="s">
        <v>16</v>
      </c>
      <c r="I130" t="s">
        <v>16</v>
      </c>
      <c r="J130" t="s">
        <v>17</v>
      </c>
      <c r="K130">
        <v>0</v>
      </c>
      <c r="L130">
        <v>0</v>
      </c>
      <c r="O130" s="12"/>
      <c r="Q130" t="s">
        <v>53</v>
      </c>
      <c r="S130" t="str">
        <f t="shared" si="8"/>
        <v>yes</v>
      </c>
      <c r="T130" t="str">
        <f t="shared" si="7"/>
        <v>yes</v>
      </c>
    </row>
    <row r="131" spans="1:20" x14ac:dyDescent="0.3">
      <c r="A131">
        <v>1082502</v>
      </c>
      <c r="B131" t="s">
        <v>780</v>
      </c>
      <c r="C131" t="s">
        <v>781</v>
      </c>
      <c r="H131" t="s">
        <v>16</v>
      </c>
      <c r="I131" t="s">
        <v>16</v>
      </c>
      <c r="J131" t="s">
        <v>17</v>
      </c>
      <c r="K131">
        <v>0</v>
      </c>
      <c r="L131">
        <v>0</v>
      </c>
      <c r="O131" s="12"/>
      <c r="P131" t="s">
        <v>782</v>
      </c>
      <c r="Q131" t="s">
        <v>53</v>
      </c>
      <c r="S131" t="str">
        <f t="shared" si="8"/>
        <v>yes</v>
      </c>
      <c r="T131" t="str">
        <f t="shared" si="7"/>
        <v>yes</v>
      </c>
    </row>
    <row r="132" spans="1:20" x14ac:dyDescent="0.3">
      <c r="A132">
        <v>1082502</v>
      </c>
      <c r="B132" t="s">
        <v>780</v>
      </c>
      <c r="C132" t="s">
        <v>695</v>
      </c>
      <c r="H132" t="s">
        <v>16</v>
      </c>
      <c r="I132" t="s">
        <v>16</v>
      </c>
      <c r="J132" t="s">
        <v>17</v>
      </c>
      <c r="K132">
        <v>0</v>
      </c>
      <c r="L132">
        <v>0</v>
      </c>
      <c r="O132" s="12"/>
      <c r="Q132" t="s">
        <v>53</v>
      </c>
      <c r="S132" t="str">
        <f t="shared" si="8"/>
        <v>yes</v>
      </c>
      <c r="T132" t="str">
        <f t="shared" si="7"/>
        <v>yes</v>
      </c>
    </row>
    <row r="133" spans="1:20" x14ac:dyDescent="0.3">
      <c r="A133">
        <v>1082502</v>
      </c>
      <c r="B133" t="s">
        <v>780</v>
      </c>
      <c r="C133" t="s">
        <v>697</v>
      </c>
      <c r="D133" t="s">
        <v>698</v>
      </c>
      <c r="E133" t="s">
        <v>699</v>
      </c>
      <c r="H133" t="s">
        <v>46</v>
      </c>
      <c r="I133" t="s">
        <v>46</v>
      </c>
      <c r="J133" t="s">
        <v>17</v>
      </c>
      <c r="K133">
        <v>100</v>
      </c>
      <c r="L133">
        <v>50</v>
      </c>
      <c r="M133" t="s">
        <v>700</v>
      </c>
      <c r="N133" t="s">
        <v>701</v>
      </c>
      <c r="O133" s="12"/>
      <c r="P133" t="s">
        <v>783</v>
      </c>
      <c r="Q133" t="s">
        <v>53</v>
      </c>
      <c r="S133" t="str">
        <f t="shared" si="8"/>
        <v>yes</v>
      </c>
      <c r="T133" t="str">
        <f t="shared" si="7"/>
        <v>yes</v>
      </c>
    </row>
    <row r="134" spans="1:20" x14ac:dyDescent="0.3">
      <c r="A134">
        <v>1082502</v>
      </c>
      <c r="B134" t="s">
        <v>780</v>
      </c>
      <c r="C134" t="s">
        <v>693</v>
      </c>
      <c r="H134" t="s">
        <v>16</v>
      </c>
      <c r="I134" t="s">
        <v>16</v>
      </c>
      <c r="J134" t="s">
        <v>17</v>
      </c>
      <c r="K134">
        <v>0</v>
      </c>
      <c r="L134">
        <v>0</v>
      </c>
      <c r="O134" s="12"/>
      <c r="Q134" t="s">
        <v>53</v>
      </c>
      <c r="S134" t="str">
        <f t="shared" si="8"/>
        <v>yes</v>
      </c>
      <c r="T134" t="str">
        <f t="shared" si="7"/>
        <v>yes</v>
      </c>
    </row>
    <row r="135" spans="1:20" x14ac:dyDescent="0.3">
      <c r="A135">
        <v>1082504</v>
      </c>
      <c r="B135" t="s">
        <v>784</v>
      </c>
      <c r="C135" t="s">
        <v>785</v>
      </c>
      <c r="H135" t="s">
        <v>16</v>
      </c>
      <c r="I135" t="s">
        <v>16</v>
      </c>
      <c r="J135" t="s">
        <v>17</v>
      </c>
      <c r="K135">
        <v>0</v>
      </c>
      <c r="L135">
        <v>0</v>
      </c>
      <c r="O135" s="12"/>
      <c r="Q135" t="s">
        <v>53</v>
      </c>
      <c r="S135" t="str">
        <f t="shared" si="8"/>
        <v>yes</v>
      </c>
      <c r="T135" t="str">
        <f t="shared" si="7"/>
        <v>yes</v>
      </c>
    </row>
    <row r="136" spans="1:20" x14ac:dyDescent="0.3">
      <c r="A136">
        <v>1082504</v>
      </c>
      <c r="B136" t="s">
        <v>784</v>
      </c>
      <c r="C136" t="s">
        <v>786</v>
      </c>
      <c r="D136" t="s">
        <v>787</v>
      </c>
      <c r="E136" t="s">
        <v>788</v>
      </c>
      <c r="H136" t="s">
        <v>46</v>
      </c>
      <c r="I136" t="s">
        <v>46</v>
      </c>
      <c r="J136" t="s">
        <v>17</v>
      </c>
      <c r="K136">
        <v>100</v>
      </c>
      <c r="L136">
        <v>50</v>
      </c>
      <c r="M136" t="s">
        <v>182</v>
      </c>
      <c r="N136" t="s">
        <v>183</v>
      </c>
      <c r="O136" s="14"/>
      <c r="P136" t="s">
        <v>789</v>
      </c>
      <c r="Q136" t="s">
        <v>598</v>
      </c>
      <c r="S136" t="str">
        <f t="shared" si="8"/>
        <v>wrong</v>
      </c>
      <c r="T136" t="str">
        <f>IF(S136="","",LOWER(TRIM(S136)))</f>
        <v>wrong</v>
      </c>
    </row>
    <row r="137" spans="1:20" x14ac:dyDescent="0.3">
      <c r="A137">
        <v>1082504</v>
      </c>
      <c r="B137" t="s">
        <v>784</v>
      </c>
      <c r="C137" t="s">
        <v>790</v>
      </c>
      <c r="D137" t="s">
        <v>791</v>
      </c>
      <c r="E137" t="s">
        <v>792</v>
      </c>
      <c r="G137" t="s">
        <v>793</v>
      </c>
      <c r="H137" t="s">
        <v>22</v>
      </c>
      <c r="I137" t="s">
        <v>22</v>
      </c>
      <c r="J137" t="s">
        <v>17</v>
      </c>
      <c r="K137">
        <v>88.9</v>
      </c>
      <c r="L137">
        <v>105.3</v>
      </c>
      <c r="M137" t="s">
        <v>794</v>
      </c>
      <c r="N137" t="s">
        <v>795</v>
      </c>
      <c r="O137" s="14"/>
      <c r="P137" t="s">
        <v>796</v>
      </c>
      <c r="Q137" t="s">
        <v>598</v>
      </c>
      <c r="S137" t="str">
        <f>LOWER(TRIM(CLEAN(Q137)))</f>
        <v>wrong</v>
      </c>
      <c r="T137" t="str">
        <f t="shared" ref="T137:T155" si="9">IF(S137="","",LOWER(TRIM(S137)))</f>
        <v>wrong</v>
      </c>
    </row>
    <row r="138" spans="1:20" x14ac:dyDescent="0.3">
      <c r="A138">
        <v>1082504</v>
      </c>
      <c r="B138" t="s">
        <v>784</v>
      </c>
      <c r="C138" t="s">
        <v>790</v>
      </c>
      <c r="D138" t="s">
        <v>791</v>
      </c>
      <c r="E138" t="s">
        <v>792</v>
      </c>
      <c r="G138" t="s">
        <v>797</v>
      </c>
      <c r="H138" t="s">
        <v>22</v>
      </c>
      <c r="I138" t="s">
        <v>22</v>
      </c>
      <c r="J138" t="s">
        <v>17</v>
      </c>
      <c r="K138">
        <v>88.9</v>
      </c>
      <c r="L138">
        <v>105.3</v>
      </c>
      <c r="M138" t="s">
        <v>794</v>
      </c>
      <c r="N138" t="s">
        <v>795</v>
      </c>
      <c r="O138" s="14"/>
      <c r="Q138" t="s">
        <v>598</v>
      </c>
      <c r="S138" t="str">
        <f t="shared" ref="S138:S157" si="10">LOWER(TRIM(CLEAN(Q138)))</f>
        <v>wrong</v>
      </c>
      <c r="T138" t="str">
        <f t="shared" si="9"/>
        <v>wrong</v>
      </c>
    </row>
    <row r="139" spans="1:20" x14ac:dyDescent="0.3">
      <c r="A139">
        <v>1082504</v>
      </c>
      <c r="B139" t="s">
        <v>784</v>
      </c>
      <c r="C139" t="s">
        <v>790</v>
      </c>
      <c r="D139" t="s">
        <v>791</v>
      </c>
      <c r="E139" t="s">
        <v>792</v>
      </c>
      <c r="G139" t="s">
        <v>798</v>
      </c>
      <c r="H139" t="s">
        <v>22</v>
      </c>
      <c r="I139" t="s">
        <v>22</v>
      </c>
      <c r="J139" t="s">
        <v>17</v>
      </c>
      <c r="K139">
        <v>88.9</v>
      </c>
      <c r="L139">
        <v>105.3</v>
      </c>
      <c r="M139" t="s">
        <v>794</v>
      </c>
      <c r="N139" t="s">
        <v>795</v>
      </c>
      <c r="O139" s="14"/>
      <c r="Q139" t="s">
        <v>598</v>
      </c>
      <c r="S139" t="str">
        <f t="shared" si="10"/>
        <v>wrong</v>
      </c>
      <c r="T139" t="str">
        <f t="shared" si="9"/>
        <v>wrong</v>
      </c>
    </row>
    <row r="140" spans="1:20" x14ac:dyDescent="0.3">
      <c r="A140">
        <v>1082504</v>
      </c>
      <c r="B140" t="s">
        <v>784</v>
      </c>
      <c r="C140" t="s">
        <v>790</v>
      </c>
      <c r="D140" t="s">
        <v>791</v>
      </c>
      <c r="E140" t="s">
        <v>792</v>
      </c>
      <c r="G140" t="s">
        <v>799</v>
      </c>
      <c r="H140" t="s">
        <v>22</v>
      </c>
      <c r="I140" t="s">
        <v>22</v>
      </c>
      <c r="J140" t="s">
        <v>17</v>
      </c>
      <c r="K140">
        <v>88.9</v>
      </c>
      <c r="L140">
        <v>105.3</v>
      </c>
      <c r="M140" t="s">
        <v>794</v>
      </c>
      <c r="N140" t="s">
        <v>795</v>
      </c>
      <c r="O140" s="14"/>
      <c r="Q140" t="s">
        <v>598</v>
      </c>
      <c r="S140" t="str">
        <f t="shared" si="10"/>
        <v>wrong</v>
      </c>
      <c r="T140" t="str">
        <f t="shared" si="9"/>
        <v>wrong</v>
      </c>
    </row>
    <row r="141" spans="1:20" x14ac:dyDescent="0.3">
      <c r="A141">
        <v>1082504</v>
      </c>
      <c r="B141" t="s">
        <v>784</v>
      </c>
      <c r="C141" t="s">
        <v>790</v>
      </c>
      <c r="D141" t="s">
        <v>791</v>
      </c>
      <c r="E141" t="s">
        <v>792</v>
      </c>
      <c r="G141" t="s">
        <v>800</v>
      </c>
      <c r="H141" t="s">
        <v>22</v>
      </c>
      <c r="I141" t="s">
        <v>22</v>
      </c>
      <c r="J141" t="s">
        <v>17</v>
      </c>
      <c r="K141">
        <v>88.9</v>
      </c>
      <c r="L141">
        <v>105.3</v>
      </c>
      <c r="M141" t="s">
        <v>794</v>
      </c>
      <c r="N141" t="s">
        <v>795</v>
      </c>
      <c r="O141" s="14"/>
      <c r="Q141" t="s">
        <v>598</v>
      </c>
      <c r="S141" t="str">
        <f t="shared" si="10"/>
        <v>wrong</v>
      </c>
      <c r="T141" t="str">
        <f t="shared" si="9"/>
        <v>wrong</v>
      </c>
    </row>
    <row r="142" spans="1:20" x14ac:dyDescent="0.3">
      <c r="A142">
        <v>1082504</v>
      </c>
      <c r="B142" t="s">
        <v>784</v>
      </c>
      <c r="C142" t="s">
        <v>790</v>
      </c>
      <c r="D142" t="s">
        <v>791</v>
      </c>
      <c r="E142" t="s">
        <v>792</v>
      </c>
      <c r="G142" t="s">
        <v>801</v>
      </c>
      <c r="H142" t="s">
        <v>22</v>
      </c>
      <c r="I142" t="s">
        <v>22</v>
      </c>
      <c r="J142" t="s">
        <v>17</v>
      </c>
      <c r="K142">
        <v>88.9</v>
      </c>
      <c r="L142">
        <v>105.3</v>
      </c>
      <c r="M142" t="s">
        <v>794</v>
      </c>
      <c r="N142" t="s">
        <v>795</v>
      </c>
      <c r="O142" s="14"/>
      <c r="Q142" t="s">
        <v>598</v>
      </c>
      <c r="S142" t="str">
        <f t="shared" si="10"/>
        <v>wrong</v>
      </c>
      <c r="T142" t="str">
        <f t="shared" si="9"/>
        <v>wrong</v>
      </c>
    </row>
    <row r="143" spans="1:20" x14ac:dyDescent="0.3">
      <c r="A143">
        <v>1082504</v>
      </c>
      <c r="B143" t="s">
        <v>784</v>
      </c>
      <c r="C143" t="s">
        <v>790</v>
      </c>
      <c r="D143" t="s">
        <v>791</v>
      </c>
      <c r="E143" t="s">
        <v>792</v>
      </c>
      <c r="G143" t="s">
        <v>802</v>
      </c>
      <c r="H143" t="s">
        <v>22</v>
      </c>
      <c r="I143" t="s">
        <v>22</v>
      </c>
      <c r="J143" t="s">
        <v>17</v>
      </c>
      <c r="K143">
        <v>88.9</v>
      </c>
      <c r="L143">
        <v>105.3</v>
      </c>
      <c r="M143" t="s">
        <v>794</v>
      </c>
      <c r="N143" t="s">
        <v>795</v>
      </c>
      <c r="O143" s="14"/>
      <c r="Q143" t="s">
        <v>598</v>
      </c>
      <c r="S143" t="str">
        <f t="shared" si="10"/>
        <v>wrong</v>
      </c>
      <c r="T143" t="str">
        <f t="shared" si="9"/>
        <v>wrong</v>
      </c>
    </row>
    <row r="144" spans="1:20" x14ac:dyDescent="0.3">
      <c r="A144">
        <v>1082504</v>
      </c>
      <c r="B144" t="s">
        <v>784</v>
      </c>
      <c r="C144" t="s">
        <v>790</v>
      </c>
      <c r="D144" t="s">
        <v>791</v>
      </c>
      <c r="E144" t="s">
        <v>792</v>
      </c>
      <c r="G144" t="s">
        <v>803</v>
      </c>
      <c r="H144" t="s">
        <v>22</v>
      </c>
      <c r="I144" t="s">
        <v>22</v>
      </c>
      <c r="J144" t="s">
        <v>17</v>
      </c>
      <c r="K144">
        <v>88.9</v>
      </c>
      <c r="L144">
        <v>105.3</v>
      </c>
      <c r="M144" t="s">
        <v>794</v>
      </c>
      <c r="N144" t="s">
        <v>795</v>
      </c>
      <c r="O144" s="14"/>
      <c r="Q144" t="s">
        <v>598</v>
      </c>
      <c r="S144" t="str">
        <f t="shared" si="10"/>
        <v>wrong</v>
      </c>
      <c r="T144" t="str">
        <f t="shared" si="9"/>
        <v>wrong</v>
      </c>
    </row>
    <row r="145" spans="1:20" x14ac:dyDescent="0.3">
      <c r="A145">
        <v>1082504</v>
      </c>
      <c r="B145" t="s">
        <v>784</v>
      </c>
      <c r="C145" t="s">
        <v>790</v>
      </c>
      <c r="D145" t="s">
        <v>791</v>
      </c>
      <c r="E145" t="s">
        <v>792</v>
      </c>
      <c r="G145" t="s">
        <v>804</v>
      </c>
      <c r="H145" t="s">
        <v>22</v>
      </c>
      <c r="I145" t="s">
        <v>22</v>
      </c>
      <c r="J145" t="s">
        <v>17</v>
      </c>
      <c r="K145">
        <v>88.9</v>
      </c>
      <c r="L145">
        <v>105.3</v>
      </c>
      <c r="M145" t="s">
        <v>794</v>
      </c>
      <c r="N145" t="s">
        <v>795</v>
      </c>
      <c r="O145" s="14"/>
      <c r="Q145" t="s">
        <v>598</v>
      </c>
      <c r="S145" t="str">
        <f t="shared" si="10"/>
        <v>wrong</v>
      </c>
      <c r="T145" t="str">
        <f t="shared" si="9"/>
        <v>wrong</v>
      </c>
    </row>
    <row r="146" spans="1:20" x14ac:dyDescent="0.3">
      <c r="A146">
        <v>1082504</v>
      </c>
      <c r="B146" t="s">
        <v>784</v>
      </c>
      <c r="C146" t="s">
        <v>790</v>
      </c>
      <c r="D146" t="s">
        <v>791</v>
      </c>
      <c r="E146" t="s">
        <v>792</v>
      </c>
      <c r="G146" t="s">
        <v>805</v>
      </c>
      <c r="H146" t="s">
        <v>22</v>
      </c>
      <c r="I146" t="s">
        <v>22</v>
      </c>
      <c r="J146" t="s">
        <v>17</v>
      </c>
      <c r="K146">
        <v>88.9</v>
      </c>
      <c r="L146">
        <v>105.3</v>
      </c>
      <c r="M146" t="s">
        <v>794</v>
      </c>
      <c r="N146" t="s">
        <v>795</v>
      </c>
      <c r="O146" s="14"/>
      <c r="Q146" t="s">
        <v>598</v>
      </c>
      <c r="S146" t="str">
        <f t="shared" si="10"/>
        <v>wrong</v>
      </c>
      <c r="T146" t="str">
        <f t="shared" si="9"/>
        <v>wrong</v>
      </c>
    </row>
    <row r="147" spans="1:20" x14ac:dyDescent="0.3">
      <c r="A147">
        <v>1082504</v>
      </c>
      <c r="B147" t="s">
        <v>784</v>
      </c>
      <c r="C147" t="s">
        <v>790</v>
      </c>
      <c r="D147" t="s">
        <v>791</v>
      </c>
      <c r="E147" t="s">
        <v>792</v>
      </c>
      <c r="G147" t="s">
        <v>806</v>
      </c>
      <c r="H147" t="s">
        <v>22</v>
      </c>
      <c r="I147" t="s">
        <v>22</v>
      </c>
      <c r="J147" t="s">
        <v>17</v>
      </c>
      <c r="K147">
        <v>88.9</v>
      </c>
      <c r="L147">
        <v>105.3</v>
      </c>
      <c r="M147" t="s">
        <v>794</v>
      </c>
      <c r="N147" t="s">
        <v>795</v>
      </c>
      <c r="O147" s="14"/>
      <c r="Q147" t="s">
        <v>598</v>
      </c>
      <c r="S147" t="str">
        <f t="shared" si="10"/>
        <v>wrong</v>
      </c>
      <c r="T147" t="str">
        <f t="shared" si="9"/>
        <v>wrong</v>
      </c>
    </row>
    <row r="148" spans="1:20" x14ac:dyDescent="0.3">
      <c r="A148">
        <v>1082504</v>
      </c>
      <c r="B148" t="s">
        <v>784</v>
      </c>
      <c r="C148" t="s">
        <v>790</v>
      </c>
      <c r="D148" t="s">
        <v>791</v>
      </c>
      <c r="E148" t="s">
        <v>792</v>
      </c>
      <c r="G148" t="s">
        <v>807</v>
      </c>
      <c r="H148" t="s">
        <v>22</v>
      </c>
      <c r="I148" t="s">
        <v>22</v>
      </c>
      <c r="J148" t="s">
        <v>17</v>
      </c>
      <c r="K148">
        <v>88.9</v>
      </c>
      <c r="L148">
        <v>105.3</v>
      </c>
      <c r="M148" t="s">
        <v>794</v>
      </c>
      <c r="N148" t="s">
        <v>795</v>
      </c>
      <c r="O148" s="14"/>
      <c r="Q148" t="s">
        <v>598</v>
      </c>
      <c r="S148" t="str">
        <f t="shared" si="10"/>
        <v>wrong</v>
      </c>
      <c r="T148" t="str">
        <f t="shared" si="9"/>
        <v>wrong</v>
      </c>
    </row>
    <row r="149" spans="1:20" x14ac:dyDescent="0.3">
      <c r="A149">
        <v>1082504</v>
      </c>
      <c r="B149" t="s">
        <v>784</v>
      </c>
      <c r="C149" t="s">
        <v>790</v>
      </c>
      <c r="D149" t="s">
        <v>791</v>
      </c>
      <c r="E149" t="s">
        <v>792</v>
      </c>
      <c r="G149" t="s">
        <v>808</v>
      </c>
      <c r="H149" t="s">
        <v>22</v>
      </c>
      <c r="I149" t="s">
        <v>22</v>
      </c>
      <c r="J149" t="s">
        <v>17</v>
      </c>
      <c r="K149">
        <v>88.9</v>
      </c>
      <c r="L149">
        <v>105.3</v>
      </c>
      <c r="M149" t="s">
        <v>794</v>
      </c>
      <c r="N149" t="s">
        <v>795</v>
      </c>
      <c r="O149" s="14"/>
      <c r="Q149" t="s">
        <v>598</v>
      </c>
      <c r="S149" t="str">
        <f t="shared" si="10"/>
        <v>wrong</v>
      </c>
      <c r="T149" t="str">
        <f t="shared" si="9"/>
        <v>wrong</v>
      </c>
    </row>
    <row r="150" spans="1:20" x14ac:dyDescent="0.3">
      <c r="A150">
        <v>1082504</v>
      </c>
      <c r="B150" t="s">
        <v>784</v>
      </c>
      <c r="C150" t="s">
        <v>790</v>
      </c>
      <c r="D150" t="s">
        <v>791</v>
      </c>
      <c r="E150" t="s">
        <v>792</v>
      </c>
      <c r="G150" t="s">
        <v>809</v>
      </c>
      <c r="H150" t="s">
        <v>22</v>
      </c>
      <c r="I150" t="s">
        <v>22</v>
      </c>
      <c r="J150" t="s">
        <v>17</v>
      </c>
      <c r="K150">
        <v>88.9</v>
      </c>
      <c r="L150">
        <v>105.3</v>
      </c>
      <c r="M150" t="s">
        <v>794</v>
      </c>
      <c r="N150" t="s">
        <v>795</v>
      </c>
      <c r="O150" s="14"/>
      <c r="Q150" t="s">
        <v>598</v>
      </c>
      <c r="S150" t="str">
        <f t="shared" si="10"/>
        <v>wrong</v>
      </c>
      <c r="T150" t="str">
        <f t="shared" si="9"/>
        <v>wrong</v>
      </c>
    </row>
    <row r="151" spans="1:20" x14ac:dyDescent="0.3">
      <c r="A151">
        <v>1082504</v>
      </c>
      <c r="B151" t="s">
        <v>784</v>
      </c>
      <c r="C151" t="s">
        <v>790</v>
      </c>
      <c r="D151" t="s">
        <v>791</v>
      </c>
      <c r="E151" t="s">
        <v>792</v>
      </c>
      <c r="G151" t="s">
        <v>810</v>
      </c>
      <c r="H151" t="s">
        <v>22</v>
      </c>
      <c r="I151" t="s">
        <v>22</v>
      </c>
      <c r="J151" t="s">
        <v>17</v>
      </c>
      <c r="K151">
        <v>88.9</v>
      </c>
      <c r="L151">
        <v>105.3</v>
      </c>
      <c r="M151" t="s">
        <v>794</v>
      </c>
      <c r="N151" t="s">
        <v>795</v>
      </c>
      <c r="O151" s="14"/>
      <c r="Q151" t="s">
        <v>598</v>
      </c>
      <c r="S151" t="str">
        <f t="shared" si="10"/>
        <v>wrong</v>
      </c>
      <c r="T151" t="str">
        <f t="shared" si="9"/>
        <v>wrong</v>
      </c>
    </row>
    <row r="152" spans="1:20" x14ac:dyDescent="0.3">
      <c r="A152">
        <v>1082504</v>
      </c>
      <c r="B152" t="s">
        <v>784</v>
      </c>
      <c r="C152" t="s">
        <v>790</v>
      </c>
      <c r="D152" t="s">
        <v>791</v>
      </c>
      <c r="E152" t="s">
        <v>792</v>
      </c>
      <c r="G152" t="s">
        <v>811</v>
      </c>
      <c r="H152" t="s">
        <v>22</v>
      </c>
      <c r="I152" t="s">
        <v>22</v>
      </c>
      <c r="J152" t="s">
        <v>17</v>
      </c>
      <c r="K152">
        <v>88.9</v>
      </c>
      <c r="L152">
        <v>105.3</v>
      </c>
      <c r="M152" t="s">
        <v>794</v>
      </c>
      <c r="N152" t="s">
        <v>795</v>
      </c>
      <c r="O152" s="14"/>
      <c r="Q152" t="s">
        <v>598</v>
      </c>
      <c r="S152" t="str">
        <f t="shared" si="10"/>
        <v>wrong</v>
      </c>
      <c r="T152" t="str">
        <f t="shared" si="9"/>
        <v>wrong</v>
      </c>
    </row>
    <row r="153" spans="1:20" x14ac:dyDescent="0.3">
      <c r="A153">
        <v>1082504</v>
      </c>
      <c r="B153" t="s">
        <v>784</v>
      </c>
      <c r="C153" t="s">
        <v>790</v>
      </c>
      <c r="D153" t="s">
        <v>791</v>
      </c>
      <c r="E153" t="s">
        <v>792</v>
      </c>
      <c r="G153" t="s">
        <v>812</v>
      </c>
      <c r="H153" t="s">
        <v>22</v>
      </c>
      <c r="I153" t="s">
        <v>22</v>
      </c>
      <c r="J153" t="s">
        <v>17</v>
      </c>
      <c r="K153">
        <v>88.9</v>
      </c>
      <c r="L153">
        <v>105.3</v>
      </c>
      <c r="M153" t="s">
        <v>794</v>
      </c>
      <c r="N153" t="s">
        <v>795</v>
      </c>
      <c r="O153" s="14"/>
      <c r="Q153" t="s">
        <v>598</v>
      </c>
      <c r="S153" t="str">
        <f t="shared" si="10"/>
        <v>wrong</v>
      </c>
      <c r="T153" t="str">
        <f t="shared" si="9"/>
        <v>wrong</v>
      </c>
    </row>
    <row r="154" spans="1:20" x14ac:dyDescent="0.3">
      <c r="A154">
        <v>1082504</v>
      </c>
      <c r="B154" t="s">
        <v>784</v>
      </c>
      <c r="C154" t="s">
        <v>790</v>
      </c>
      <c r="D154" t="s">
        <v>791</v>
      </c>
      <c r="E154" t="s">
        <v>792</v>
      </c>
      <c r="G154" t="s">
        <v>813</v>
      </c>
      <c r="H154" t="s">
        <v>22</v>
      </c>
      <c r="I154" t="s">
        <v>22</v>
      </c>
      <c r="J154" t="s">
        <v>17</v>
      </c>
      <c r="K154">
        <v>88.9</v>
      </c>
      <c r="L154">
        <v>105.3</v>
      </c>
      <c r="M154" t="s">
        <v>794</v>
      </c>
      <c r="N154" t="s">
        <v>795</v>
      </c>
      <c r="O154" s="14"/>
      <c r="Q154" t="s">
        <v>598</v>
      </c>
      <c r="S154" t="str">
        <f t="shared" si="10"/>
        <v>wrong</v>
      </c>
      <c r="T154" t="str">
        <f t="shared" si="9"/>
        <v>wrong</v>
      </c>
    </row>
    <row r="155" spans="1:20" x14ac:dyDescent="0.3">
      <c r="A155">
        <v>1082504</v>
      </c>
      <c r="B155" t="s">
        <v>784</v>
      </c>
      <c r="C155" t="s">
        <v>790</v>
      </c>
      <c r="D155" t="s">
        <v>791</v>
      </c>
      <c r="E155" t="s">
        <v>792</v>
      </c>
      <c r="G155" t="s">
        <v>814</v>
      </c>
      <c r="H155" t="s">
        <v>22</v>
      </c>
      <c r="I155" t="s">
        <v>22</v>
      </c>
      <c r="J155" t="s">
        <v>17</v>
      </c>
      <c r="K155">
        <v>88.9</v>
      </c>
      <c r="L155">
        <v>105.3</v>
      </c>
      <c r="M155" t="s">
        <v>794</v>
      </c>
      <c r="N155" t="s">
        <v>795</v>
      </c>
      <c r="O155" s="14"/>
      <c r="Q155" t="s">
        <v>598</v>
      </c>
      <c r="S155" t="str">
        <f t="shared" si="10"/>
        <v>wrong</v>
      </c>
      <c r="T155" t="str">
        <f t="shared" si="9"/>
        <v>wrong</v>
      </c>
    </row>
    <row r="156" spans="1:20" x14ac:dyDescent="0.3">
      <c r="A156">
        <v>1082504</v>
      </c>
      <c r="B156" t="s">
        <v>784</v>
      </c>
      <c r="C156" t="s">
        <v>790</v>
      </c>
      <c r="D156" t="s">
        <v>791</v>
      </c>
      <c r="E156" t="s">
        <v>792</v>
      </c>
      <c r="G156" t="s">
        <v>815</v>
      </c>
      <c r="H156" t="s">
        <v>22</v>
      </c>
      <c r="I156" t="s">
        <v>22</v>
      </c>
      <c r="J156" t="s">
        <v>17</v>
      </c>
      <c r="K156">
        <v>88.9</v>
      </c>
      <c r="L156">
        <v>105.3</v>
      </c>
      <c r="M156" t="s">
        <v>794</v>
      </c>
      <c r="N156" t="s">
        <v>795</v>
      </c>
      <c r="O156" s="14"/>
      <c r="Q156" t="s">
        <v>598</v>
      </c>
      <c r="S156" t="str">
        <f t="shared" si="10"/>
        <v>wrong</v>
      </c>
      <c r="T156" t="str">
        <f>IF(S156="","",LOWER(TRIM(S156)))</f>
        <v>wrong</v>
      </c>
    </row>
    <row r="157" spans="1:20" x14ac:dyDescent="0.3">
      <c r="A157">
        <v>1082504</v>
      </c>
      <c r="B157" t="s">
        <v>784</v>
      </c>
      <c r="C157" t="s">
        <v>790</v>
      </c>
      <c r="D157" t="s">
        <v>791</v>
      </c>
      <c r="E157" t="s">
        <v>792</v>
      </c>
      <c r="G157" t="s">
        <v>816</v>
      </c>
      <c r="H157" t="s">
        <v>22</v>
      </c>
      <c r="I157" t="s">
        <v>22</v>
      </c>
      <c r="J157" t="s">
        <v>17</v>
      </c>
      <c r="K157">
        <v>88.9</v>
      </c>
      <c r="L157">
        <v>105.3</v>
      </c>
      <c r="M157" t="s">
        <v>794</v>
      </c>
      <c r="N157" t="s">
        <v>795</v>
      </c>
      <c r="O157" s="14"/>
      <c r="Q157" t="s">
        <v>598</v>
      </c>
      <c r="S157" t="str">
        <f t="shared" si="10"/>
        <v>wrong</v>
      </c>
      <c r="T157" t="str">
        <f t="shared" ref="T157:T207" si="11">IF(S157="","",LOWER(TRIM(S157)))</f>
        <v>wrong</v>
      </c>
    </row>
    <row r="158" spans="1:20" x14ac:dyDescent="0.3">
      <c r="A158">
        <v>1082504</v>
      </c>
      <c r="B158" t="s">
        <v>784</v>
      </c>
      <c r="C158" t="s">
        <v>817</v>
      </c>
      <c r="D158" t="s">
        <v>817</v>
      </c>
      <c r="E158" t="s">
        <v>818</v>
      </c>
      <c r="H158" t="s">
        <v>22</v>
      </c>
      <c r="I158" t="s">
        <v>22</v>
      </c>
      <c r="J158" t="s">
        <v>17</v>
      </c>
      <c r="K158">
        <v>100</v>
      </c>
      <c r="L158">
        <v>142</v>
      </c>
      <c r="M158" t="s">
        <v>819</v>
      </c>
      <c r="N158" t="s">
        <v>820</v>
      </c>
      <c r="O158" s="14"/>
      <c r="P158" t="s">
        <v>821</v>
      </c>
      <c r="Q158" t="s">
        <v>598</v>
      </c>
      <c r="S158" t="str">
        <f>LOWER(TRIM(CLEAN(Q158)))</f>
        <v>wrong</v>
      </c>
      <c r="T158" t="str">
        <f t="shared" si="11"/>
        <v>wrong</v>
      </c>
    </row>
    <row r="159" spans="1:20" x14ac:dyDescent="0.3">
      <c r="A159">
        <v>1082504</v>
      </c>
      <c r="B159" t="s">
        <v>784</v>
      </c>
      <c r="C159" t="s">
        <v>822</v>
      </c>
      <c r="H159" t="s">
        <v>16</v>
      </c>
      <c r="I159" t="s">
        <v>16</v>
      </c>
      <c r="J159" t="s">
        <v>17</v>
      </c>
      <c r="K159">
        <v>0</v>
      </c>
      <c r="L159">
        <v>0</v>
      </c>
      <c r="O159" s="12"/>
      <c r="Q159" t="s">
        <v>53</v>
      </c>
      <c r="S159" t="str">
        <f t="shared" ref="S159:S207" si="12">LOWER(TRIM(CLEAN(Q159)))</f>
        <v>yes</v>
      </c>
      <c r="T159" t="str">
        <f t="shared" si="11"/>
        <v>yes</v>
      </c>
    </row>
    <row r="160" spans="1:20" x14ac:dyDescent="0.3">
      <c r="A160">
        <v>1082513</v>
      </c>
      <c r="B160" t="s">
        <v>823</v>
      </c>
      <c r="C160" t="s">
        <v>781</v>
      </c>
      <c r="H160" t="s">
        <v>16</v>
      </c>
      <c r="I160" t="s">
        <v>16</v>
      </c>
      <c r="J160" t="s">
        <v>17</v>
      </c>
      <c r="K160">
        <v>0</v>
      </c>
      <c r="L160">
        <v>0</v>
      </c>
      <c r="O160" s="12"/>
      <c r="Q160" t="s">
        <v>53</v>
      </c>
      <c r="S160" t="str">
        <f t="shared" si="12"/>
        <v>yes</v>
      </c>
      <c r="T160" t="str">
        <f t="shared" si="11"/>
        <v>yes</v>
      </c>
    </row>
    <row r="161" spans="1:20" x14ac:dyDescent="0.3">
      <c r="A161">
        <v>1082513</v>
      </c>
      <c r="B161" t="s">
        <v>823</v>
      </c>
      <c r="C161" t="s">
        <v>824</v>
      </c>
      <c r="D161" t="s">
        <v>825</v>
      </c>
      <c r="E161" t="s">
        <v>826</v>
      </c>
      <c r="G161" t="s">
        <v>827</v>
      </c>
      <c r="H161" t="s">
        <v>22</v>
      </c>
      <c r="I161" t="s">
        <v>22</v>
      </c>
      <c r="J161" t="s">
        <v>17</v>
      </c>
      <c r="K161">
        <v>88.9</v>
      </c>
      <c r="L161">
        <v>111.3</v>
      </c>
      <c r="O161" s="12"/>
      <c r="P161" t="s">
        <v>828</v>
      </c>
      <c r="Q161" t="s">
        <v>53</v>
      </c>
      <c r="S161" t="str">
        <f t="shared" si="12"/>
        <v>yes</v>
      </c>
      <c r="T161" t="str">
        <f t="shared" si="11"/>
        <v>yes</v>
      </c>
    </row>
    <row r="162" spans="1:20" x14ac:dyDescent="0.3">
      <c r="A162">
        <v>1082513</v>
      </c>
      <c r="B162" t="s">
        <v>823</v>
      </c>
      <c r="C162" t="s">
        <v>824</v>
      </c>
      <c r="D162" t="s">
        <v>825</v>
      </c>
      <c r="E162" t="s">
        <v>826</v>
      </c>
      <c r="G162" t="s">
        <v>829</v>
      </c>
      <c r="H162" t="s">
        <v>22</v>
      </c>
      <c r="I162" t="s">
        <v>22</v>
      </c>
      <c r="J162" t="s">
        <v>17</v>
      </c>
      <c r="K162">
        <v>88.9</v>
      </c>
      <c r="L162">
        <v>111.3</v>
      </c>
      <c r="O162" s="12"/>
      <c r="Q162" t="s">
        <v>53</v>
      </c>
      <c r="S162" t="str">
        <f t="shared" si="12"/>
        <v>yes</v>
      </c>
      <c r="T162" t="str">
        <f t="shared" si="11"/>
        <v>yes</v>
      </c>
    </row>
    <row r="163" spans="1:20" x14ac:dyDescent="0.3">
      <c r="A163">
        <v>1082513</v>
      </c>
      <c r="B163" t="s">
        <v>823</v>
      </c>
      <c r="C163" t="s">
        <v>824</v>
      </c>
      <c r="D163" t="s">
        <v>825</v>
      </c>
      <c r="E163" t="s">
        <v>826</v>
      </c>
      <c r="G163" t="s">
        <v>830</v>
      </c>
      <c r="H163" t="s">
        <v>22</v>
      </c>
      <c r="I163" t="s">
        <v>22</v>
      </c>
      <c r="J163" t="s">
        <v>17</v>
      </c>
      <c r="K163">
        <v>88.9</v>
      </c>
      <c r="L163">
        <v>111.3</v>
      </c>
      <c r="O163" s="12"/>
      <c r="Q163" t="s">
        <v>53</v>
      </c>
      <c r="S163" t="str">
        <f t="shared" si="12"/>
        <v>yes</v>
      </c>
      <c r="T163" t="str">
        <f t="shared" si="11"/>
        <v>yes</v>
      </c>
    </row>
    <row r="164" spans="1:20" x14ac:dyDescent="0.3">
      <c r="A164">
        <v>1082513</v>
      </c>
      <c r="B164" t="s">
        <v>823</v>
      </c>
      <c r="C164" t="s">
        <v>824</v>
      </c>
      <c r="D164" t="s">
        <v>825</v>
      </c>
      <c r="E164" t="s">
        <v>826</v>
      </c>
      <c r="G164" t="s">
        <v>831</v>
      </c>
      <c r="H164" t="s">
        <v>22</v>
      </c>
      <c r="I164" t="s">
        <v>22</v>
      </c>
      <c r="J164" t="s">
        <v>17</v>
      </c>
      <c r="K164">
        <v>88.9</v>
      </c>
      <c r="L164">
        <v>111.3</v>
      </c>
      <c r="O164" s="12"/>
      <c r="Q164" t="s">
        <v>53</v>
      </c>
      <c r="S164" t="str">
        <f t="shared" si="12"/>
        <v>yes</v>
      </c>
      <c r="T164" t="str">
        <f t="shared" si="11"/>
        <v>yes</v>
      </c>
    </row>
    <row r="165" spans="1:20" x14ac:dyDescent="0.3">
      <c r="A165">
        <v>1082513</v>
      </c>
      <c r="B165" t="s">
        <v>823</v>
      </c>
      <c r="C165" t="s">
        <v>824</v>
      </c>
      <c r="D165" t="s">
        <v>825</v>
      </c>
      <c r="E165" t="s">
        <v>826</v>
      </c>
      <c r="G165" t="s">
        <v>832</v>
      </c>
      <c r="H165" t="s">
        <v>22</v>
      </c>
      <c r="I165" t="s">
        <v>22</v>
      </c>
      <c r="J165" t="s">
        <v>17</v>
      </c>
      <c r="K165">
        <v>88.9</v>
      </c>
      <c r="L165">
        <v>111.3</v>
      </c>
      <c r="O165" s="12"/>
      <c r="Q165" t="s">
        <v>53</v>
      </c>
      <c r="S165" t="str">
        <f t="shared" si="12"/>
        <v>yes</v>
      </c>
      <c r="T165" t="str">
        <f t="shared" si="11"/>
        <v>yes</v>
      </c>
    </row>
    <row r="166" spans="1:20" x14ac:dyDescent="0.3">
      <c r="A166">
        <v>1082513</v>
      </c>
      <c r="B166" t="s">
        <v>823</v>
      </c>
      <c r="C166" t="s">
        <v>824</v>
      </c>
      <c r="D166" t="s">
        <v>825</v>
      </c>
      <c r="E166" t="s">
        <v>826</v>
      </c>
      <c r="G166" t="s">
        <v>833</v>
      </c>
      <c r="H166" t="s">
        <v>22</v>
      </c>
      <c r="I166" t="s">
        <v>22</v>
      </c>
      <c r="J166" t="s">
        <v>17</v>
      </c>
      <c r="K166">
        <v>88.9</v>
      </c>
      <c r="L166">
        <v>111.3</v>
      </c>
      <c r="O166" s="12"/>
      <c r="Q166" t="s">
        <v>53</v>
      </c>
      <c r="S166" t="str">
        <f t="shared" si="12"/>
        <v>yes</v>
      </c>
      <c r="T166" t="str">
        <f t="shared" si="11"/>
        <v>yes</v>
      </c>
    </row>
    <row r="167" spans="1:20" x14ac:dyDescent="0.3">
      <c r="A167">
        <v>1082513</v>
      </c>
      <c r="B167" t="s">
        <v>823</v>
      </c>
      <c r="C167" t="s">
        <v>824</v>
      </c>
      <c r="D167" t="s">
        <v>825</v>
      </c>
      <c r="E167" t="s">
        <v>826</v>
      </c>
      <c r="G167" t="s">
        <v>834</v>
      </c>
      <c r="H167" t="s">
        <v>22</v>
      </c>
      <c r="I167" t="s">
        <v>22</v>
      </c>
      <c r="J167" t="s">
        <v>17</v>
      </c>
      <c r="K167">
        <v>88.9</v>
      </c>
      <c r="L167">
        <v>111.3</v>
      </c>
      <c r="O167" s="12"/>
      <c r="Q167" t="s">
        <v>53</v>
      </c>
      <c r="S167" t="str">
        <f t="shared" si="12"/>
        <v>yes</v>
      </c>
      <c r="T167" t="str">
        <f t="shared" si="11"/>
        <v>yes</v>
      </c>
    </row>
    <row r="168" spans="1:20" x14ac:dyDescent="0.3">
      <c r="A168">
        <v>1082513</v>
      </c>
      <c r="B168" t="s">
        <v>823</v>
      </c>
      <c r="C168" t="s">
        <v>824</v>
      </c>
      <c r="D168" t="s">
        <v>825</v>
      </c>
      <c r="E168" t="s">
        <v>826</v>
      </c>
      <c r="G168" t="s">
        <v>835</v>
      </c>
      <c r="H168" t="s">
        <v>22</v>
      </c>
      <c r="I168" t="s">
        <v>22</v>
      </c>
      <c r="J168" t="s">
        <v>17</v>
      </c>
      <c r="K168">
        <v>88.9</v>
      </c>
      <c r="L168">
        <v>111.3</v>
      </c>
      <c r="O168" s="12"/>
      <c r="Q168" t="s">
        <v>53</v>
      </c>
      <c r="S168" t="str">
        <f t="shared" si="12"/>
        <v>yes</v>
      </c>
      <c r="T168" t="str">
        <f t="shared" si="11"/>
        <v>yes</v>
      </c>
    </row>
    <row r="169" spans="1:20" x14ac:dyDescent="0.3">
      <c r="A169">
        <v>1082513</v>
      </c>
      <c r="B169" t="s">
        <v>823</v>
      </c>
      <c r="C169" t="s">
        <v>824</v>
      </c>
      <c r="D169" t="s">
        <v>825</v>
      </c>
      <c r="E169" t="s">
        <v>826</v>
      </c>
      <c r="G169" t="s">
        <v>836</v>
      </c>
      <c r="H169" t="s">
        <v>22</v>
      </c>
      <c r="I169" t="s">
        <v>22</v>
      </c>
      <c r="J169" t="s">
        <v>17</v>
      </c>
      <c r="K169">
        <v>88.9</v>
      </c>
      <c r="L169">
        <v>111.3</v>
      </c>
      <c r="O169" s="12"/>
      <c r="Q169" t="s">
        <v>53</v>
      </c>
      <c r="S169" t="str">
        <f t="shared" si="12"/>
        <v>yes</v>
      </c>
      <c r="T169" t="str">
        <f t="shared" si="11"/>
        <v>yes</v>
      </c>
    </row>
    <row r="170" spans="1:20" x14ac:dyDescent="0.3">
      <c r="A170">
        <v>1082513</v>
      </c>
      <c r="B170" t="s">
        <v>823</v>
      </c>
      <c r="C170" t="s">
        <v>824</v>
      </c>
      <c r="D170" t="s">
        <v>825</v>
      </c>
      <c r="E170" t="s">
        <v>826</v>
      </c>
      <c r="G170" t="s">
        <v>837</v>
      </c>
      <c r="H170" t="s">
        <v>22</v>
      </c>
      <c r="I170" t="s">
        <v>22</v>
      </c>
      <c r="J170" t="s">
        <v>17</v>
      </c>
      <c r="K170">
        <v>88.9</v>
      </c>
      <c r="L170">
        <v>111.3</v>
      </c>
      <c r="O170" s="12"/>
      <c r="Q170" t="s">
        <v>53</v>
      </c>
      <c r="S170" t="str">
        <f t="shared" si="12"/>
        <v>yes</v>
      </c>
      <c r="T170" t="str">
        <f t="shared" si="11"/>
        <v>yes</v>
      </c>
    </row>
    <row r="171" spans="1:20" x14ac:dyDescent="0.3">
      <c r="A171">
        <v>1082513</v>
      </c>
      <c r="B171" t="s">
        <v>823</v>
      </c>
      <c r="C171" t="s">
        <v>824</v>
      </c>
      <c r="D171" t="s">
        <v>825</v>
      </c>
      <c r="E171" t="s">
        <v>826</v>
      </c>
      <c r="G171" t="s">
        <v>838</v>
      </c>
      <c r="H171" t="s">
        <v>22</v>
      </c>
      <c r="I171" t="s">
        <v>22</v>
      </c>
      <c r="J171" t="s">
        <v>17</v>
      </c>
      <c r="K171">
        <v>88.9</v>
      </c>
      <c r="L171">
        <v>111.3</v>
      </c>
      <c r="O171" s="12"/>
      <c r="Q171" t="s">
        <v>53</v>
      </c>
      <c r="S171" t="str">
        <f t="shared" si="12"/>
        <v>yes</v>
      </c>
      <c r="T171" t="str">
        <f t="shared" si="11"/>
        <v>yes</v>
      </c>
    </row>
    <row r="172" spans="1:20" x14ac:dyDescent="0.3">
      <c r="A172">
        <v>1082513</v>
      </c>
      <c r="B172" t="s">
        <v>823</v>
      </c>
      <c r="C172" t="s">
        <v>824</v>
      </c>
      <c r="D172" t="s">
        <v>825</v>
      </c>
      <c r="E172" t="s">
        <v>826</v>
      </c>
      <c r="G172" t="s">
        <v>839</v>
      </c>
      <c r="H172" t="s">
        <v>22</v>
      </c>
      <c r="I172" t="s">
        <v>22</v>
      </c>
      <c r="J172" t="s">
        <v>17</v>
      </c>
      <c r="K172">
        <v>88.9</v>
      </c>
      <c r="L172">
        <v>111.3</v>
      </c>
      <c r="O172" s="12"/>
      <c r="Q172" t="s">
        <v>53</v>
      </c>
      <c r="S172" t="str">
        <f t="shared" si="12"/>
        <v>yes</v>
      </c>
      <c r="T172" t="str">
        <f t="shared" si="11"/>
        <v>yes</v>
      </c>
    </row>
    <row r="173" spans="1:20" x14ac:dyDescent="0.3">
      <c r="A173">
        <v>1082513</v>
      </c>
      <c r="B173" t="s">
        <v>823</v>
      </c>
      <c r="C173" t="s">
        <v>840</v>
      </c>
      <c r="H173" t="s">
        <v>16</v>
      </c>
      <c r="I173" t="s">
        <v>16</v>
      </c>
      <c r="J173" t="s">
        <v>17</v>
      </c>
      <c r="K173">
        <v>0</v>
      </c>
      <c r="L173">
        <v>0</v>
      </c>
      <c r="O173" s="12"/>
      <c r="Q173" t="s">
        <v>53</v>
      </c>
      <c r="S173" t="str">
        <f t="shared" si="12"/>
        <v>yes</v>
      </c>
      <c r="T173" t="str">
        <f t="shared" si="11"/>
        <v>yes</v>
      </c>
    </row>
    <row r="174" spans="1:20" x14ac:dyDescent="0.3">
      <c r="A174">
        <v>1082513</v>
      </c>
      <c r="B174" t="s">
        <v>823</v>
      </c>
      <c r="C174" t="s">
        <v>693</v>
      </c>
      <c r="H174" t="s">
        <v>16</v>
      </c>
      <c r="I174" t="s">
        <v>16</v>
      </c>
      <c r="J174" t="s">
        <v>17</v>
      </c>
      <c r="K174">
        <v>0</v>
      </c>
      <c r="L174">
        <v>0</v>
      </c>
      <c r="O174" s="12"/>
      <c r="Q174" t="s">
        <v>53</v>
      </c>
      <c r="S174" t="str">
        <f t="shared" si="12"/>
        <v>yes</v>
      </c>
      <c r="T174" t="str">
        <f t="shared" si="11"/>
        <v>yes</v>
      </c>
    </row>
    <row r="175" spans="1:20" x14ac:dyDescent="0.3">
      <c r="A175">
        <v>1082513</v>
      </c>
      <c r="B175" t="s">
        <v>823</v>
      </c>
      <c r="C175" t="s">
        <v>841</v>
      </c>
      <c r="D175" t="s">
        <v>842</v>
      </c>
      <c r="E175" t="s">
        <v>843</v>
      </c>
      <c r="F175" s="17" t="s">
        <v>844</v>
      </c>
      <c r="G175" t="s">
        <v>845</v>
      </c>
      <c r="H175" t="s">
        <v>22</v>
      </c>
      <c r="I175" t="s">
        <v>22</v>
      </c>
      <c r="J175" t="s">
        <v>17</v>
      </c>
      <c r="K175">
        <v>82.4</v>
      </c>
      <c r="L175">
        <v>102.4</v>
      </c>
      <c r="O175" s="12"/>
      <c r="P175" t="s">
        <v>756</v>
      </c>
      <c r="Q175" t="s">
        <v>53</v>
      </c>
      <c r="S175" t="str">
        <f t="shared" si="12"/>
        <v>yes</v>
      </c>
      <c r="T175" t="str">
        <f t="shared" si="11"/>
        <v>yes</v>
      </c>
    </row>
    <row r="176" spans="1:20" x14ac:dyDescent="0.3">
      <c r="A176">
        <v>1082513</v>
      </c>
      <c r="B176" t="s">
        <v>823</v>
      </c>
      <c r="C176" t="s">
        <v>841</v>
      </c>
      <c r="D176" t="s">
        <v>842</v>
      </c>
      <c r="E176" t="s">
        <v>843</v>
      </c>
      <c r="F176" s="17" t="s">
        <v>844</v>
      </c>
      <c r="G176" t="s">
        <v>846</v>
      </c>
      <c r="H176" t="s">
        <v>22</v>
      </c>
      <c r="I176" t="s">
        <v>22</v>
      </c>
      <c r="J176" t="s">
        <v>17</v>
      </c>
      <c r="K176">
        <v>82.4</v>
      </c>
      <c r="L176">
        <v>102.4</v>
      </c>
      <c r="O176" s="12"/>
      <c r="Q176" t="s">
        <v>53</v>
      </c>
      <c r="S176" t="str">
        <f t="shared" si="12"/>
        <v>yes</v>
      </c>
      <c r="T176" t="str">
        <f t="shared" si="11"/>
        <v>yes</v>
      </c>
    </row>
    <row r="177" spans="1:20" x14ac:dyDescent="0.3">
      <c r="A177">
        <v>1082513</v>
      </c>
      <c r="B177" t="s">
        <v>823</v>
      </c>
      <c r="C177" t="s">
        <v>841</v>
      </c>
      <c r="D177" t="s">
        <v>842</v>
      </c>
      <c r="E177" t="s">
        <v>843</v>
      </c>
      <c r="F177" s="17" t="s">
        <v>844</v>
      </c>
      <c r="G177" t="s">
        <v>847</v>
      </c>
      <c r="H177" t="s">
        <v>22</v>
      </c>
      <c r="I177" t="s">
        <v>22</v>
      </c>
      <c r="J177" t="s">
        <v>17</v>
      </c>
      <c r="K177">
        <v>82.4</v>
      </c>
      <c r="L177">
        <v>102.4</v>
      </c>
      <c r="O177" s="12"/>
      <c r="Q177" t="s">
        <v>53</v>
      </c>
      <c r="S177" t="str">
        <f t="shared" si="12"/>
        <v>yes</v>
      </c>
      <c r="T177" t="str">
        <f t="shared" si="11"/>
        <v>yes</v>
      </c>
    </row>
    <row r="178" spans="1:20" x14ac:dyDescent="0.3">
      <c r="A178">
        <v>1082513</v>
      </c>
      <c r="B178" t="s">
        <v>823</v>
      </c>
      <c r="C178" t="s">
        <v>841</v>
      </c>
      <c r="D178" t="s">
        <v>842</v>
      </c>
      <c r="E178" t="s">
        <v>843</v>
      </c>
      <c r="F178" s="17" t="s">
        <v>844</v>
      </c>
      <c r="G178" t="s">
        <v>848</v>
      </c>
      <c r="H178" t="s">
        <v>22</v>
      </c>
      <c r="I178" t="s">
        <v>22</v>
      </c>
      <c r="J178" t="s">
        <v>17</v>
      </c>
      <c r="K178">
        <v>82.4</v>
      </c>
      <c r="L178">
        <v>102.4</v>
      </c>
      <c r="O178" s="12"/>
      <c r="Q178" t="s">
        <v>53</v>
      </c>
      <c r="S178" t="str">
        <f t="shared" si="12"/>
        <v>yes</v>
      </c>
      <c r="T178" t="str">
        <f t="shared" si="11"/>
        <v>yes</v>
      </c>
    </row>
    <row r="179" spans="1:20" x14ac:dyDescent="0.3">
      <c r="A179">
        <v>1082513</v>
      </c>
      <c r="B179" t="s">
        <v>823</v>
      </c>
      <c r="C179" t="s">
        <v>706</v>
      </c>
      <c r="D179" t="s">
        <v>706</v>
      </c>
      <c r="E179" t="s">
        <v>707</v>
      </c>
      <c r="F179" s="17" t="s">
        <v>708</v>
      </c>
      <c r="H179" t="s">
        <v>22</v>
      </c>
      <c r="I179" t="s">
        <v>22</v>
      </c>
      <c r="J179" t="s">
        <v>17</v>
      </c>
      <c r="K179">
        <v>100</v>
      </c>
      <c r="L179">
        <v>113</v>
      </c>
      <c r="M179" t="s">
        <v>709</v>
      </c>
      <c r="N179" t="s">
        <v>710</v>
      </c>
      <c r="O179" s="12"/>
      <c r="Q179" t="s">
        <v>53</v>
      </c>
      <c r="S179" t="str">
        <f t="shared" si="12"/>
        <v>yes</v>
      </c>
      <c r="T179" t="str">
        <f t="shared" si="11"/>
        <v>yes</v>
      </c>
    </row>
    <row r="180" spans="1:20" x14ac:dyDescent="0.3">
      <c r="A180">
        <v>1082533</v>
      </c>
      <c r="B180" t="s">
        <v>849</v>
      </c>
      <c r="C180" t="s">
        <v>704</v>
      </c>
      <c r="H180" t="s">
        <v>16</v>
      </c>
      <c r="I180" t="s">
        <v>16</v>
      </c>
      <c r="J180" t="s">
        <v>17</v>
      </c>
      <c r="K180">
        <v>0</v>
      </c>
      <c r="L180">
        <v>0</v>
      </c>
      <c r="O180" s="12"/>
      <c r="Q180" t="s">
        <v>53</v>
      </c>
      <c r="S180" t="str">
        <f t="shared" si="12"/>
        <v>yes</v>
      </c>
      <c r="T180" t="str">
        <f>IF(S180="","",LOWER(TRIM(S180)))</f>
        <v>yes</v>
      </c>
    </row>
    <row r="181" spans="1:20" x14ac:dyDescent="0.3">
      <c r="A181">
        <v>1082533</v>
      </c>
      <c r="B181" t="s">
        <v>849</v>
      </c>
      <c r="C181" t="s">
        <v>712</v>
      </c>
      <c r="H181" t="s">
        <v>16</v>
      </c>
      <c r="I181" t="s">
        <v>16</v>
      </c>
      <c r="J181" t="s">
        <v>17</v>
      </c>
      <c r="K181">
        <v>0</v>
      </c>
      <c r="L181">
        <v>0</v>
      </c>
      <c r="O181" s="12"/>
      <c r="Q181" t="s">
        <v>53</v>
      </c>
      <c r="S181" t="str">
        <f t="shared" si="12"/>
        <v>yes</v>
      </c>
      <c r="T181" t="str">
        <f t="shared" si="11"/>
        <v>yes</v>
      </c>
    </row>
    <row r="182" spans="1:20" x14ac:dyDescent="0.3">
      <c r="A182">
        <v>1082533</v>
      </c>
      <c r="B182" t="s">
        <v>849</v>
      </c>
      <c r="C182" t="s">
        <v>722</v>
      </c>
      <c r="D182" t="s">
        <v>723</v>
      </c>
      <c r="E182" t="s">
        <v>724</v>
      </c>
      <c r="G182" t="s">
        <v>725</v>
      </c>
      <c r="H182" t="s">
        <v>22</v>
      </c>
      <c r="I182" t="s">
        <v>22</v>
      </c>
      <c r="J182" t="s">
        <v>17</v>
      </c>
      <c r="K182">
        <v>90.9</v>
      </c>
      <c r="L182">
        <v>114.5</v>
      </c>
      <c r="O182" s="12"/>
      <c r="P182" t="s">
        <v>756</v>
      </c>
      <c r="Q182" t="s">
        <v>53</v>
      </c>
      <c r="S182" t="str">
        <f t="shared" si="12"/>
        <v>yes</v>
      </c>
      <c r="T182" t="str">
        <f t="shared" si="11"/>
        <v>yes</v>
      </c>
    </row>
    <row r="183" spans="1:20" x14ac:dyDescent="0.3">
      <c r="A183">
        <v>1082533</v>
      </c>
      <c r="B183" t="s">
        <v>849</v>
      </c>
      <c r="C183" t="s">
        <v>722</v>
      </c>
      <c r="D183" t="s">
        <v>723</v>
      </c>
      <c r="E183" t="s">
        <v>724</v>
      </c>
      <c r="G183" t="s">
        <v>726</v>
      </c>
      <c r="H183" t="s">
        <v>22</v>
      </c>
      <c r="I183" t="s">
        <v>22</v>
      </c>
      <c r="J183" t="s">
        <v>17</v>
      </c>
      <c r="K183">
        <v>90.9</v>
      </c>
      <c r="L183">
        <v>114.5</v>
      </c>
      <c r="O183" s="12"/>
      <c r="Q183" t="s">
        <v>53</v>
      </c>
      <c r="S183" t="str">
        <f t="shared" si="12"/>
        <v>yes</v>
      </c>
      <c r="T183" t="str">
        <f t="shared" si="11"/>
        <v>yes</v>
      </c>
    </row>
    <row r="184" spans="1:20" x14ac:dyDescent="0.3">
      <c r="A184">
        <v>1082533</v>
      </c>
      <c r="B184" t="s">
        <v>849</v>
      </c>
      <c r="C184" t="s">
        <v>722</v>
      </c>
      <c r="D184" t="s">
        <v>723</v>
      </c>
      <c r="E184" t="s">
        <v>724</v>
      </c>
      <c r="G184" t="s">
        <v>727</v>
      </c>
      <c r="H184" t="s">
        <v>22</v>
      </c>
      <c r="I184" t="s">
        <v>22</v>
      </c>
      <c r="J184" t="s">
        <v>17</v>
      </c>
      <c r="K184">
        <v>90.9</v>
      </c>
      <c r="L184">
        <v>114.5</v>
      </c>
      <c r="O184" s="12"/>
      <c r="Q184" t="s">
        <v>53</v>
      </c>
      <c r="S184" t="str">
        <f>LOWER(TRIM(CLEAN(Q184)))</f>
        <v>yes</v>
      </c>
      <c r="T184" t="str">
        <f t="shared" si="11"/>
        <v>yes</v>
      </c>
    </row>
    <row r="185" spans="1:20" x14ac:dyDescent="0.3">
      <c r="A185">
        <v>1082533</v>
      </c>
      <c r="B185" t="s">
        <v>849</v>
      </c>
      <c r="C185" t="s">
        <v>722</v>
      </c>
      <c r="D185" t="s">
        <v>723</v>
      </c>
      <c r="E185" t="s">
        <v>724</v>
      </c>
      <c r="G185" t="s">
        <v>728</v>
      </c>
      <c r="H185" t="s">
        <v>22</v>
      </c>
      <c r="I185" t="s">
        <v>22</v>
      </c>
      <c r="J185" t="s">
        <v>17</v>
      </c>
      <c r="K185">
        <v>90.9</v>
      </c>
      <c r="L185">
        <v>114.5</v>
      </c>
      <c r="O185" s="12"/>
      <c r="Q185" t="s">
        <v>53</v>
      </c>
      <c r="S185" t="str">
        <f t="shared" si="12"/>
        <v>yes</v>
      </c>
      <c r="T185" t="str">
        <f t="shared" si="11"/>
        <v>yes</v>
      </c>
    </row>
    <row r="186" spans="1:20" x14ac:dyDescent="0.3">
      <c r="A186">
        <v>1082533</v>
      </c>
      <c r="B186" t="s">
        <v>849</v>
      </c>
      <c r="C186" t="s">
        <v>722</v>
      </c>
      <c r="D186" t="s">
        <v>723</v>
      </c>
      <c r="E186" t="s">
        <v>724</v>
      </c>
      <c r="G186" t="s">
        <v>729</v>
      </c>
      <c r="H186" t="s">
        <v>22</v>
      </c>
      <c r="I186" t="s">
        <v>22</v>
      </c>
      <c r="J186" t="s">
        <v>17</v>
      </c>
      <c r="K186">
        <v>90.9</v>
      </c>
      <c r="L186">
        <v>114.5</v>
      </c>
      <c r="O186" s="12"/>
      <c r="Q186" t="s">
        <v>53</v>
      </c>
      <c r="S186" t="str">
        <f t="shared" si="12"/>
        <v>yes</v>
      </c>
      <c r="T186" t="str">
        <f t="shared" si="11"/>
        <v>yes</v>
      </c>
    </row>
    <row r="187" spans="1:20" x14ac:dyDescent="0.3">
      <c r="A187">
        <v>1082533</v>
      </c>
      <c r="B187" t="s">
        <v>849</v>
      </c>
      <c r="C187" t="s">
        <v>722</v>
      </c>
      <c r="D187" t="s">
        <v>723</v>
      </c>
      <c r="E187" t="s">
        <v>724</v>
      </c>
      <c r="G187" t="s">
        <v>730</v>
      </c>
      <c r="H187" t="s">
        <v>22</v>
      </c>
      <c r="I187" t="s">
        <v>22</v>
      </c>
      <c r="J187" t="s">
        <v>17</v>
      </c>
      <c r="K187">
        <v>90.9</v>
      </c>
      <c r="L187">
        <v>114.5</v>
      </c>
      <c r="O187" s="12"/>
      <c r="Q187" t="s">
        <v>53</v>
      </c>
      <c r="S187" t="str">
        <f t="shared" si="12"/>
        <v>yes</v>
      </c>
      <c r="T187" t="str">
        <f t="shared" si="11"/>
        <v>yes</v>
      </c>
    </row>
    <row r="188" spans="1:20" x14ac:dyDescent="0.3">
      <c r="A188">
        <v>1082533</v>
      </c>
      <c r="B188" t="s">
        <v>849</v>
      </c>
      <c r="C188" t="s">
        <v>722</v>
      </c>
      <c r="D188" t="s">
        <v>723</v>
      </c>
      <c r="E188" t="s">
        <v>724</v>
      </c>
      <c r="G188" t="s">
        <v>731</v>
      </c>
      <c r="H188" t="s">
        <v>22</v>
      </c>
      <c r="I188" t="s">
        <v>22</v>
      </c>
      <c r="J188" t="s">
        <v>17</v>
      </c>
      <c r="K188">
        <v>90.9</v>
      </c>
      <c r="L188">
        <v>114.5</v>
      </c>
      <c r="O188" s="12"/>
      <c r="Q188" t="s">
        <v>53</v>
      </c>
      <c r="S188" t="str">
        <f t="shared" si="12"/>
        <v>yes</v>
      </c>
      <c r="T188" t="str">
        <f t="shared" si="11"/>
        <v>yes</v>
      </c>
    </row>
    <row r="189" spans="1:20" x14ac:dyDescent="0.3">
      <c r="A189">
        <v>1082533</v>
      </c>
      <c r="B189" t="s">
        <v>849</v>
      </c>
      <c r="C189" t="s">
        <v>722</v>
      </c>
      <c r="D189" t="s">
        <v>723</v>
      </c>
      <c r="E189" t="s">
        <v>724</v>
      </c>
      <c r="G189" t="s">
        <v>732</v>
      </c>
      <c r="H189" t="s">
        <v>22</v>
      </c>
      <c r="I189" t="s">
        <v>22</v>
      </c>
      <c r="J189" t="s">
        <v>17</v>
      </c>
      <c r="K189">
        <v>90.9</v>
      </c>
      <c r="L189">
        <v>114.5</v>
      </c>
      <c r="O189" s="12"/>
      <c r="Q189" t="s">
        <v>53</v>
      </c>
      <c r="S189" t="str">
        <f t="shared" si="12"/>
        <v>yes</v>
      </c>
      <c r="T189" t="str">
        <f t="shared" si="11"/>
        <v>yes</v>
      </c>
    </row>
    <row r="190" spans="1:20" x14ac:dyDescent="0.3">
      <c r="A190">
        <v>1082533</v>
      </c>
      <c r="B190" t="s">
        <v>849</v>
      </c>
      <c r="C190" t="s">
        <v>722</v>
      </c>
      <c r="D190" t="s">
        <v>723</v>
      </c>
      <c r="E190" t="s">
        <v>724</v>
      </c>
      <c r="G190" t="s">
        <v>733</v>
      </c>
      <c r="H190" t="s">
        <v>22</v>
      </c>
      <c r="I190" t="s">
        <v>22</v>
      </c>
      <c r="J190" t="s">
        <v>17</v>
      </c>
      <c r="K190">
        <v>90.9</v>
      </c>
      <c r="L190">
        <v>114.5</v>
      </c>
      <c r="O190" s="12"/>
      <c r="Q190" t="s">
        <v>53</v>
      </c>
      <c r="S190" t="str">
        <f t="shared" si="12"/>
        <v>yes</v>
      </c>
      <c r="T190" t="str">
        <f t="shared" si="11"/>
        <v>yes</v>
      </c>
    </row>
    <row r="191" spans="1:20" x14ac:dyDescent="0.3">
      <c r="A191">
        <v>1082533</v>
      </c>
      <c r="B191" t="s">
        <v>849</v>
      </c>
      <c r="C191" t="s">
        <v>722</v>
      </c>
      <c r="D191" t="s">
        <v>723</v>
      </c>
      <c r="E191" t="s">
        <v>724</v>
      </c>
      <c r="G191" t="s">
        <v>734</v>
      </c>
      <c r="H191" t="s">
        <v>22</v>
      </c>
      <c r="I191" t="s">
        <v>22</v>
      </c>
      <c r="J191" t="s">
        <v>17</v>
      </c>
      <c r="K191">
        <v>90.9</v>
      </c>
      <c r="L191">
        <v>114.5</v>
      </c>
      <c r="O191" s="12"/>
      <c r="Q191" t="s">
        <v>53</v>
      </c>
      <c r="S191" t="str">
        <f t="shared" si="12"/>
        <v>yes</v>
      </c>
      <c r="T191" t="str">
        <f t="shared" si="11"/>
        <v>yes</v>
      </c>
    </row>
    <row r="192" spans="1:20" x14ac:dyDescent="0.3">
      <c r="A192">
        <v>1082533</v>
      </c>
      <c r="B192" t="s">
        <v>849</v>
      </c>
      <c r="C192" t="s">
        <v>722</v>
      </c>
      <c r="D192" t="s">
        <v>723</v>
      </c>
      <c r="E192" t="s">
        <v>724</v>
      </c>
      <c r="G192" t="s">
        <v>735</v>
      </c>
      <c r="H192" t="s">
        <v>22</v>
      </c>
      <c r="I192" t="s">
        <v>22</v>
      </c>
      <c r="J192" t="s">
        <v>17</v>
      </c>
      <c r="K192">
        <v>90.9</v>
      </c>
      <c r="L192">
        <v>114.5</v>
      </c>
      <c r="O192" s="12"/>
      <c r="Q192" t="s">
        <v>53</v>
      </c>
      <c r="S192" t="str">
        <f t="shared" si="12"/>
        <v>yes</v>
      </c>
      <c r="T192" t="str">
        <f t="shared" si="11"/>
        <v>yes</v>
      </c>
    </row>
    <row r="193" spans="1:20" x14ac:dyDescent="0.3">
      <c r="A193">
        <v>1082533</v>
      </c>
      <c r="B193" t="s">
        <v>849</v>
      </c>
      <c r="C193" t="s">
        <v>722</v>
      </c>
      <c r="D193" t="s">
        <v>723</v>
      </c>
      <c r="E193" t="s">
        <v>724</v>
      </c>
      <c r="G193" t="s">
        <v>736</v>
      </c>
      <c r="H193" t="s">
        <v>22</v>
      </c>
      <c r="I193" t="s">
        <v>22</v>
      </c>
      <c r="J193" t="s">
        <v>17</v>
      </c>
      <c r="K193">
        <v>90.9</v>
      </c>
      <c r="L193">
        <v>114.5</v>
      </c>
      <c r="O193" s="12"/>
      <c r="Q193" t="s">
        <v>53</v>
      </c>
      <c r="S193" t="str">
        <f t="shared" si="12"/>
        <v>yes</v>
      </c>
      <c r="T193" t="str">
        <f t="shared" si="11"/>
        <v>yes</v>
      </c>
    </row>
    <row r="194" spans="1:20" x14ac:dyDescent="0.3">
      <c r="A194">
        <v>1082533</v>
      </c>
      <c r="B194" t="s">
        <v>849</v>
      </c>
      <c r="C194" t="s">
        <v>722</v>
      </c>
      <c r="D194" t="s">
        <v>723</v>
      </c>
      <c r="E194" t="s">
        <v>724</v>
      </c>
      <c r="G194" t="s">
        <v>737</v>
      </c>
      <c r="H194" t="s">
        <v>22</v>
      </c>
      <c r="I194" t="s">
        <v>22</v>
      </c>
      <c r="J194" t="s">
        <v>17</v>
      </c>
      <c r="K194">
        <v>90.9</v>
      </c>
      <c r="L194">
        <v>114.5</v>
      </c>
      <c r="O194" s="12"/>
      <c r="Q194" t="s">
        <v>53</v>
      </c>
      <c r="S194" t="str">
        <f t="shared" si="12"/>
        <v>yes</v>
      </c>
      <c r="T194" t="str">
        <f t="shared" si="11"/>
        <v>yes</v>
      </c>
    </row>
    <row r="195" spans="1:20" x14ac:dyDescent="0.3">
      <c r="A195">
        <v>1082533</v>
      </c>
      <c r="B195" t="s">
        <v>849</v>
      </c>
      <c r="C195" t="s">
        <v>722</v>
      </c>
      <c r="D195" t="s">
        <v>723</v>
      </c>
      <c r="E195" t="s">
        <v>724</v>
      </c>
      <c r="G195" t="s">
        <v>738</v>
      </c>
      <c r="H195" t="s">
        <v>22</v>
      </c>
      <c r="I195" t="s">
        <v>22</v>
      </c>
      <c r="J195" t="s">
        <v>17</v>
      </c>
      <c r="K195">
        <v>90.9</v>
      </c>
      <c r="L195">
        <v>114.5</v>
      </c>
      <c r="O195" s="12"/>
      <c r="Q195" t="s">
        <v>53</v>
      </c>
      <c r="S195" t="str">
        <f t="shared" si="12"/>
        <v>yes</v>
      </c>
      <c r="T195" t="str">
        <f t="shared" si="11"/>
        <v>yes</v>
      </c>
    </row>
    <row r="196" spans="1:20" x14ac:dyDescent="0.3">
      <c r="A196">
        <v>1082533</v>
      </c>
      <c r="B196" t="s">
        <v>849</v>
      </c>
      <c r="C196" t="s">
        <v>722</v>
      </c>
      <c r="D196" t="s">
        <v>723</v>
      </c>
      <c r="E196" t="s">
        <v>724</v>
      </c>
      <c r="G196" t="s">
        <v>739</v>
      </c>
      <c r="H196" t="s">
        <v>22</v>
      </c>
      <c r="I196" t="s">
        <v>22</v>
      </c>
      <c r="J196" t="s">
        <v>17</v>
      </c>
      <c r="K196">
        <v>90.9</v>
      </c>
      <c r="L196">
        <v>114.5</v>
      </c>
      <c r="O196" s="12"/>
      <c r="Q196" t="s">
        <v>53</v>
      </c>
      <c r="S196" t="str">
        <f t="shared" si="12"/>
        <v>yes</v>
      </c>
      <c r="T196" t="str">
        <f t="shared" si="11"/>
        <v>yes</v>
      </c>
    </row>
    <row r="197" spans="1:20" x14ac:dyDescent="0.3">
      <c r="A197">
        <v>1082533</v>
      </c>
      <c r="B197" t="s">
        <v>849</v>
      </c>
      <c r="C197" t="s">
        <v>722</v>
      </c>
      <c r="D197" t="s">
        <v>723</v>
      </c>
      <c r="E197" t="s">
        <v>724</v>
      </c>
      <c r="G197" t="s">
        <v>740</v>
      </c>
      <c r="H197" t="s">
        <v>22</v>
      </c>
      <c r="I197" t="s">
        <v>22</v>
      </c>
      <c r="J197" t="s">
        <v>17</v>
      </c>
      <c r="K197">
        <v>90.9</v>
      </c>
      <c r="L197">
        <v>114.5</v>
      </c>
      <c r="O197" s="12"/>
      <c r="Q197" t="s">
        <v>53</v>
      </c>
      <c r="S197" t="str">
        <f t="shared" si="12"/>
        <v>yes</v>
      </c>
      <c r="T197" t="str">
        <f t="shared" si="11"/>
        <v>yes</v>
      </c>
    </row>
    <row r="198" spans="1:20" x14ac:dyDescent="0.3">
      <c r="A198">
        <v>1082533</v>
      </c>
      <c r="B198" t="s">
        <v>849</v>
      </c>
      <c r="C198" t="s">
        <v>722</v>
      </c>
      <c r="D198" t="s">
        <v>723</v>
      </c>
      <c r="E198" t="s">
        <v>724</v>
      </c>
      <c r="G198" t="s">
        <v>741</v>
      </c>
      <c r="H198" t="s">
        <v>22</v>
      </c>
      <c r="I198" t="s">
        <v>22</v>
      </c>
      <c r="J198" t="s">
        <v>17</v>
      </c>
      <c r="K198">
        <v>90.9</v>
      </c>
      <c r="L198">
        <v>114.5</v>
      </c>
      <c r="O198" s="12"/>
      <c r="Q198" t="s">
        <v>53</v>
      </c>
      <c r="S198" t="str">
        <f t="shared" si="12"/>
        <v>yes</v>
      </c>
      <c r="T198" t="str">
        <f t="shared" si="11"/>
        <v>yes</v>
      </c>
    </row>
    <row r="199" spans="1:20" x14ac:dyDescent="0.3">
      <c r="A199">
        <v>1082533</v>
      </c>
      <c r="B199" t="s">
        <v>849</v>
      </c>
      <c r="C199" t="s">
        <v>722</v>
      </c>
      <c r="D199" t="s">
        <v>723</v>
      </c>
      <c r="E199" t="s">
        <v>724</v>
      </c>
      <c r="G199" t="s">
        <v>742</v>
      </c>
      <c r="H199" t="s">
        <v>22</v>
      </c>
      <c r="I199" t="s">
        <v>22</v>
      </c>
      <c r="J199" t="s">
        <v>17</v>
      </c>
      <c r="K199">
        <v>90.9</v>
      </c>
      <c r="L199">
        <v>114.5</v>
      </c>
      <c r="O199" s="12"/>
      <c r="Q199" t="s">
        <v>53</v>
      </c>
      <c r="S199" t="str">
        <f t="shared" si="12"/>
        <v>yes</v>
      </c>
      <c r="T199" t="str">
        <f t="shared" si="11"/>
        <v>yes</v>
      </c>
    </row>
    <row r="200" spans="1:20" x14ac:dyDescent="0.3">
      <c r="A200">
        <v>1082533</v>
      </c>
      <c r="B200" t="s">
        <v>849</v>
      </c>
      <c r="C200" t="s">
        <v>722</v>
      </c>
      <c r="D200" t="s">
        <v>723</v>
      </c>
      <c r="E200" t="s">
        <v>724</v>
      </c>
      <c r="G200" t="s">
        <v>743</v>
      </c>
      <c r="H200" t="s">
        <v>22</v>
      </c>
      <c r="I200" t="s">
        <v>22</v>
      </c>
      <c r="J200" t="s">
        <v>17</v>
      </c>
      <c r="K200">
        <v>90.9</v>
      </c>
      <c r="L200">
        <v>114.5</v>
      </c>
      <c r="O200" s="12"/>
      <c r="Q200" t="s">
        <v>53</v>
      </c>
      <c r="S200" t="str">
        <f t="shared" si="12"/>
        <v>yes</v>
      </c>
      <c r="T200" t="str">
        <f t="shared" si="11"/>
        <v>yes</v>
      </c>
    </row>
    <row r="201" spans="1:20" x14ac:dyDescent="0.3">
      <c r="A201">
        <v>1082533</v>
      </c>
      <c r="B201" t="s">
        <v>849</v>
      </c>
      <c r="C201" t="s">
        <v>722</v>
      </c>
      <c r="D201" t="s">
        <v>723</v>
      </c>
      <c r="E201" t="s">
        <v>724</v>
      </c>
      <c r="G201" t="s">
        <v>744</v>
      </c>
      <c r="H201" t="s">
        <v>22</v>
      </c>
      <c r="I201" t="s">
        <v>22</v>
      </c>
      <c r="J201" t="s">
        <v>17</v>
      </c>
      <c r="K201">
        <v>90.9</v>
      </c>
      <c r="L201">
        <v>114.5</v>
      </c>
      <c r="O201" s="12"/>
      <c r="Q201" t="s">
        <v>53</v>
      </c>
      <c r="S201" t="str">
        <f t="shared" si="12"/>
        <v>yes</v>
      </c>
      <c r="T201" t="str">
        <f t="shared" si="11"/>
        <v>yes</v>
      </c>
    </row>
    <row r="202" spans="1:20" x14ac:dyDescent="0.3">
      <c r="A202">
        <v>1082533</v>
      </c>
      <c r="B202" t="s">
        <v>849</v>
      </c>
      <c r="C202" t="s">
        <v>722</v>
      </c>
      <c r="D202" t="s">
        <v>723</v>
      </c>
      <c r="E202" t="s">
        <v>724</v>
      </c>
      <c r="G202" t="s">
        <v>745</v>
      </c>
      <c r="H202" t="s">
        <v>22</v>
      </c>
      <c r="I202" t="s">
        <v>22</v>
      </c>
      <c r="J202" t="s">
        <v>17</v>
      </c>
      <c r="K202">
        <v>90.9</v>
      </c>
      <c r="L202">
        <v>114.5</v>
      </c>
      <c r="O202" s="12"/>
      <c r="Q202" t="s">
        <v>53</v>
      </c>
      <c r="S202" t="str">
        <f t="shared" si="12"/>
        <v>yes</v>
      </c>
      <c r="T202" t="str">
        <f t="shared" si="11"/>
        <v>yes</v>
      </c>
    </row>
    <row r="203" spans="1:20" x14ac:dyDescent="0.3">
      <c r="A203">
        <v>1082533</v>
      </c>
      <c r="B203" t="s">
        <v>849</v>
      </c>
      <c r="C203" t="s">
        <v>722</v>
      </c>
      <c r="D203" t="s">
        <v>723</v>
      </c>
      <c r="E203" t="s">
        <v>724</v>
      </c>
      <c r="G203" t="s">
        <v>746</v>
      </c>
      <c r="H203" t="s">
        <v>22</v>
      </c>
      <c r="I203" t="s">
        <v>22</v>
      </c>
      <c r="J203" t="s">
        <v>17</v>
      </c>
      <c r="K203">
        <v>90.9</v>
      </c>
      <c r="L203">
        <v>114.5</v>
      </c>
      <c r="O203" s="12"/>
      <c r="Q203" t="s">
        <v>53</v>
      </c>
      <c r="S203" t="str">
        <f t="shared" si="12"/>
        <v>yes</v>
      </c>
      <c r="T203" t="str">
        <f t="shared" si="11"/>
        <v>yes</v>
      </c>
    </row>
    <row r="204" spans="1:20" x14ac:dyDescent="0.3">
      <c r="A204">
        <v>1082533</v>
      </c>
      <c r="B204" t="s">
        <v>849</v>
      </c>
      <c r="C204" t="s">
        <v>722</v>
      </c>
      <c r="D204" t="s">
        <v>723</v>
      </c>
      <c r="E204" t="s">
        <v>724</v>
      </c>
      <c r="G204" t="s">
        <v>747</v>
      </c>
      <c r="H204" t="s">
        <v>22</v>
      </c>
      <c r="I204" t="s">
        <v>22</v>
      </c>
      <c r="J204" t="s">
        <v>17</v>
      </c>
      <c r="K204">
        <v>90.9</v>
      </c>
      <c r="L204">
        <v>114.5</v>
      </c>
      <c r="O204" s="12"/>
      <c r="Q204" t="s">
        <v>53</v>
      </c>
      <c r="S204" t="str">
        <f>LOWER(TRIM(CLEAN(Q204)))</f>
        <v>yes</v>
      </c>
      <c r="T204" t="str">
        <f>IF(S204="","",LOWER(TRIM(S204)))</f>
        <v>yes</v>
      </c>
    </row>
    <row r="205" spans="1:20" x14ac:dyDescent="0.3">
      <c r="A205">
        <v>1082533</v>
      </c>
      <c r="B205" t="s">
        <v>849</v>
      </c>
      <c r="C205" t="s">
        <v>722</v>
      </c>
      <c r="D205" t="s">
        <v>723</v>
      </c>
      <c r="E205" t="s">
        <v>724</v>
      </c>
      <c r="G205" t="s">
        <v>748</v>
      </c>
      <c r="H205" t="s">
        <v>22</v>
      </c>
      <c r="I205" t="s">
        <v>22</v>
      </c>
      <c r="J205" t="s">
        <v>17</v>
      </c>
      <c r="K205">
        <v>90.9</v>
      </c>
      <c r="L205">
        <v>114.5</v>
      </c>
      <c r="O205" s="12"/>
      <c r="P205" t="s">
        <v>756</v>
      </c>
      <c r="Q205" t="s">
        <v>53</v>
      </c>
      <c r="S205" t="str">
        <f t="shared" si="12"/>
        <v>yes</v>
      </c>
      <c r="T205" t="str">
        <f t="shared" si="11"/>
        <v>yes</v>
      </c>
    </row>
    <row r="206" spans="1:20" x14ac:dyDescent="0.3">
      <c r="A206">
        <v>1082533</v>
      </c>
      <c r="B206" t="s">
        <v>849</v>
      </c>
      <c r="C206" t="s">
        <v>722</v>
      </c>
      <c r="D206" t="s">
        <v>723</v>
      </c>
      <c r="E206" t="s">
        <v>724</v>
      </c>
      <c r="G206" t="s">
        <v>749</v>
      </c>
      <c r="H206" t="s">
        <v>22</v>
      </c>
      <c r="I206" t="s">
        <v>22</v>
      </c>
      <c r="J206" t="s">
        <v>17</v>
      </c>
      <c r="K206">
        <v>90.9</v>
      </c>
      <c r="L206">
        <v>114.5</v>
      </c>
      <c r="O206" s="12"/>
      <c r="Q206" t="s">
        <v>53</v>
      </c>
      <c r="S206" t="str">
        <f t="shared" si="12"/>
        <v>yes</v>
      </c>
      <c r="T206" t="str">
        <f t="shared" si="11"/>
        <v>yes</v>
      </c>
    </row>
    <row r="207" spans="1:20" x14ac:dyDescent="0.3">
      <c r="A207">
        <v>1082533</v>
      </c>
      <c r="B207" t="s">
        <v>849</v>
      </c>
      <c r="C207" t="s">
        <v>850</v>
      </c>
      <c r="H207" t="s">
        <v>16</v>
      </c>
      <c r="I207" t="s">
        <v>16</v>
      </c>
      <c r="J207" t="s">
        <v>17</v>
      </c>
      <c r="K207">
        <v>0</v>
      </c>
      <c r="L207">
        <v>0</v>
      </c>
      <c r="O207" s="12"/>
      <c r="Q207" t="s">
        <v>53</v>
      </c>
      <c r="S207" t="str">
        <f t="shared" si="12"/>
        <v>yes</v>
      </c>
      <c r="T207" t="str">
        <f t="shared" si="11"/>
        <v>yes</v>
      </c>
    </row>
    <row r="208" spans="1:20" x14ac:dyDescent="0.3">
      <c r="A208">
        <v>1082533</v>
      </c>
      <c r="B208" t="s">
        <v>849</v>
      </c>
      <c r="C208" t="s">
        <v>750</v>
      </c>
      <c r="D208" t="s">
        <v>751</v>
      </c>
      <c r="E208" t="s">
        <v>752</v>
      </c>
      <c r="G208" t="s">
        <v>753</v>
      </c>
      <c r="H208" t="s">
        <v>22</v>
      </c>
      <c r="I208" t="s">
        <v>22</v>
      </c>
      <c r="J208" t="s">
        <v>17</v>
      </c>
      <c r="K208">
        <v>91.7</v>
      </c>
      <c r="L208">
        <v>114</v>
      </c>
      <c r="M208" t="s">
        <v>754</v>
      </c>
      <c r="N208" t="s">
        <v>755</v>
      </c>
      <c r="O208" s="12"/>
      <c r="P208" t="s">
        <v>756</v>
      </c>
      <c r="Q208" t="s">
        <v>53</v>
      </c>
      <c r="S208" t="str">
        <f>LOWER(TRIM(CLEAN(Q208)))</f>
        <v>yes</v>
      </c>
      <c r="T208" t="str">
        <f>IF(S208="","",LOWER(TRIM(S208)))</f>
        <v>yes</v>
      </c>
    </row>
    <row r="209" spans="1:20" x14ac:dyDescent="0.3">
      <c r="A209">
        <v>1082533</v>
      </c>
      <c r="B209" t="s">
        <v>849</v>
      </c>
      <c r="C209" t="s">
        <v>750</v>
      </c>
      <c r="D209" t="s">
        <v>751</v>
      </c>
      <c r="E209" t="s">
        <v>752</v>
      </c>
      <c r="G209" t="s">
        <v>757</v>
      </c>
      <c r="H209" t="s">
        <v>22</v>
      </c>
      <c r="I209" t="s">
        <v>22</v>
      </c>
      <c r="J209" t="s">
        <v>17</v>
      </c>
      <c r="K209">
        <v>91.7</v>
      </c>
      <c r="L209">
        <v>114</v>
      </c>
      <c r="M209" t="s">
        <v>754</v>
      </c>
      <c r="N209" t="s">
        <v>755</v>
      </c>
      <c r="O209" s="12"/>
      <c r="Q209" t="s">
        <v>53</v>
      </c>
      <c r="S209" t="str">
        <f t="shared" ref="S209:S255" si="13">LOWER(TRIM(CLEAN(Q209)))</f>
        <v>yes</v>
      </c>
      <c r="T209" t="str">
        <f t="shared" ref="T209:T224" si="14">IF(S209="","",LOWER(TRIM(S209)))</f>
        <v>yes</v>
      </c>
    </row>
    <row r="210" spans="1:20" x14ac:dyDescent="0.3">
      <c r="A210">
        <v>1082533</v>
      </c>
      <c r="B210" t="s">
        <v>849</v>
      </c>
      <c r="C210" t="s">
        <v>750</v>
      </c>
      <c r="D210" t="s">
        <v>751</v>
      </c>
      <c r="E210" t="s">
        <v>752</v>
      </c>
      <c r="G210" t="s">
        <v>758</v>
      </c>
      <c r="H210" t="s">
        <v>22</v>
      </c>
      <c r="I210" t="s">
        <v>22</v>
      </c>
      <c r="J210" t="s">
        <v>17</v>
      </c>
      <c r="K210">
        <v>91.7</v>
      </c>
      <c r="L210">
        <v>114</v>
      </c>
      <c r="M210" t="s">
        <v>754</v>
      </c>
      <c r="N210" t="s">
        <v>755</v>
      </c>
      <c r="O210" s="12"/>
      <c r="Q210" t="s">
        <v>53</v>
      </c>
      <c r="S210" t="str">
        <f t="shared" si="13"/>
        <v>yes</v>
      </c>
      <c r="T210" t="str">
        <f t="shared" si="14"/>
        <v>yes</v>
      </c>
    </row>
    <row r="211" spans="1:20" x14ac:dyDescent="0.3">
      <c r="A211">
        <v>1082533</v>
      </c>
      <c r="B211" t="s">
        <v>849</v>
      </c>
      <c r="C211" t="s">
        <v>750</v>
      </c>
      <c r="D211" t="s">
        <v>751</v>
      </c>
      <c r="E211" t="s">
        <v>752</v>
      </c>
      <c r="G211" t="s">
        <v>759</v>
      </c>
      <c r="H211" t="s">
        <v>22</v>
      </c>
      <c r="I211" t="s">
        <v>22</v>
      </c>
      <c r="J211" t="s">
        <v>17</v>
      </c>
      <c r="K211">
        <v>91.7</v>
      </c>
      <c r="L211">
        <v>114</v>
      </c>
      <c r="M211" t="s">
        <v>754</v>
      </c>
      <c r="N211" t="s">
        <v>755</v>
      </c>
      <c r="O211" s="12"/>
      <c r="Q211" t="s">
        <v>53</v>
      </c>
      <c r="S211" t="str">
        <f t="shared" si="13"/>
        <v>yes</v>
      </c>
      <c r="T211" t="str">
        <f t="shared" si="14"/>
        <v>yes</v>
      </c>
    </row>
    <row r="212" spans="1:20" x14ac:dyDescent="0.3">
      <c r="A212">
        <v>1082533</v>
      </c>
      <c r="B212" t="s">
        <v>849</v>
      </c>
      <c r="C212" t="s">
        <v>750</v>
      </c>
      <c r="D212" t="s">
        <v>751</v>
      </c>
      <c r="E212" t="s">
        <v>752</v>
      </c>
      <c r="G212" t="s">
        <v>760</v>
      </c>
      <c r="H212" t="s">
        <v>22</v>
      </c>
      <c r="I212" t="s">
        <v>22</v>
      </c>
      <c r="J212" t="s">
        <v>17</v>
      </c>
      <c r="K212">
        <v>91.7</v>
      </c>
      <c r="L212">
        <v>114</v>
      </c>
      <c r="M212" t="s">
        <v>754</v>
      </c>
      <c r="N212" t="s">
        <v>755</v>
      </c>
      <c r="O212" s="12"/>
      <c r="Q212" t="s">
        <v>53</v>
      </c>
      <c r="S212" t="str">
        <f t="shared" si="13"/>
        <v>yes</v>
      </c>
      <c r="T212" t="str">
        <f t="shared" si="14"/>
        <v>yes</v>
      </c>
    </row>
    <row r="213" spans="1:20" x14ac:dyDescent="0.3">
      <c r="A213">
        <v>1082539</v>
      </c>
      <c r="B213" t="s">
        <v>851</v>
      </c>
      <c r="C213" t="s">
        <v>852</v>
      </c>
      <c r="H213" t="s">
        <v>16</v>
      </c>
      <c r="I213" t="s">
        <v>16</v>
      </c>
      <c r="J213" t="s">
        <v>17</v>
      </c>
      <c r="K213">
        <v>0</v>
      </c>
      <c r="L213">
        <v>0</v>
      </c>
      <c r="O213" s="12"/>
      <c r="P213" t="s">
        <v>853</v>
      </c>
      <c r="Q213" t="s">
        <v>53</v>
      </c>
      <c r="S213" t="str">
        <f t="shared" si="13"/>
        <v>yes</v>
      </c>
      <c r="T213" t="str">
        <f t="shared" si="14"/>
        <v>yes</v>
      </c>
    </row>
    <row r="214" spans="1:20" x14ac:dyDescent="0.3">
      <c r="A214">
        <v>1082539</v>
      </c>
      <c r="B214" t="s">
        <v>851</v>
      </c>
      <c r="C214" t="s">
        <v>854</v>
      </c>
      <c r="H214" t="s">
        <v>16</v>
      </c>
      <c r="I214" t="s">
        <v>16</v>
      </c>
      <c r="J214" t="s">
        <v>17</v>
      </c>
      <c r="K214">
        <v>0</v>
      </c>
      <c r="L214">
        <v>0</v>
      </c>
      <c r="O214" s="12"/>
      <c r="P214" t="s">
        <v>53</v>
      </c>
      <c r="Q214" t="s">
        <v>53</v>
      </c>
      <c r="S214" t="str">
        <f t="shared" si="13"/>
        <v>yes</v>
      </c>
      <c r="T214" t="str">
        <f t="shared" si="14"/>
        <v>yes</v>
      </c>
    </row>
    <row r="215" spans="1:20" x14ac:dyDescent="0.3">
      <c r="A215">
        <v>1082539</v>
      </c>
      <c r="B215" t="s">
        <v>851</v>
      </c>
      <c r="C215" t="s">
        <v>855</v>
      </c>
      <c r="H215" t="s">
        <v>16</v>
      </c>
      <c r="I215" t="s">
        <v>16</v>
      </c>
      <c r="J215" t="s">
        <v>17</v>
      </c>
      <c r="K215">
        <v>0</v>
      </c>
      <c r="L215">
        <v>0</v>
      </c>
      <c r="O215" s="12"/>
      <c r="P215" t="s">
        <v>53</v>
      </c>
      <c r="Q215" t="s">
        <v>53</v>
      </c>
      <c r="S215" t="str">
        <f t="shared" si="13"/>
        <v>yes</v>
      </c>
      <c r="T215" t="str">
        <f t="shared" si="14"/>
        <v>yes</v>
      </c>
    </row>
    <row r="216" spans="1:20" x14ac:dyDescent="0.3">
      <c r="A216">
        <v>1082539</v>
      </c>
      <c r="B216" t="s">
        <v>851</v>
      </c>
      <c r="C216" t="s">
        <v>856</v>
      </c>
      <c r="H216" t="s">
        <v>16</v>
      </c>
      <c r="I216" t="s">
        <v>16</v>
      </c>
      <c r="J216" t="s">
        <v>17</v>
      </c>
      <c r="K216">
        <v>0</v>
      </c>
      <c r="L216">
        <v>0</v>
      </c>
      <c r="O216" s="12"/>
      <c r="P216" t="s">
        <v>53</v>
      </c>
      <c r="Q216" t="s">
        <v>53</v>
      </c>
      <c r="S216" t="str">
        <f t="shared" si="13"/>
        <v>yes</v>
      </c>
      <c r="T216" t="str">
        <f t="shared" si="14"/>
        <v>yes</v>
      </c>
    </row>
    <row r="217" spans="1:20" x14ac:dyDescent="0.3">
      <c r="A217">
        <v>1082539</v>
      </c>
      <c r="B217" t="s">
        <v>851</v>
      </c>
      <c r="C217" t="s">
        <v>750</v>
      </c>
      <c r="D217" t="s">
        <v>751</v>
      </c>
      <c r="E217" t="s">
        <v>752</v>
      </c>
      <c r="G217" t="s">
        <v>753</v>
      </c>
      <c r="H217" t="s">
        <v>22</v>
      </c>
      <c r="I217" t="s">
        <v>22</v>
      </c>
      <c r="J217" t="s">
        <v>17</v>
      </c>
      <c r="K217">
        <v>91.7</v>
      </c>
      <c r="L217">
        <v>111</v>
      </c>
      <c r="M217" t="s">
        <v>754</v>
      </c>
      <c r="N217" t="s">
        <v>755</v>
      </c>
      <c r="O217" s="12"/>
      <c r="P217" t="s">
        <v>756</v>
      </c>
      <c r="Q217" t="s">
        <v>53</v>
      </c>
      <c r="S217" t="str">
        <f t="shared" si="13"/>
        <v>yes</v>
      </c>
      <c r="T217" t="str">
        <f t="shared" si="14"/>
        <v>yes</v>
      </c>
    </row>
    <row r="218" spans="1:20" x14ac:dyDescent="0.3">
      <c r="A218">
        <v>1082539</v>
      </c>
      <c r="B218" t="s">
        <v>851</v>
      </c>
      <c r="C218" t="s">
        <v>750</v>
      </c>
      <c r="D218" t="s">
        <v>751</v>
      </c>
      <c r="E218" t="s">
        <v>752</v>
      </c>
      <c r="G218" t="s">
        <v>757</v>
      </c>
      <c r="H218" t="s">
        <v>22</v>
      </c>
      <c r="I218" t="s">
        <v>22</v>
      </c>
      <c r="J218" t="s">
        <v>17</v>
      </c>
      <c r="K218">
        <v>91.7</v>
      </c>
      <c r="L218">
        <v>111</v>
      </c>
      <c r="M218" t="s">
        <v>754</v>
      </c>
      <c r="N218" t="s">
        <v>755</v>
      </c>
      <c r="O218" s="12"/>
      <c r="Q218" t="s">
        <v>53</v>
      </c>
      <c r="S218" t="str">
        <f t="shared" si="13"/>
        <v>yes</v>
      </c>
      <c r="T218" t="str">
        <f t="shared" si="14"/>
        <v>yes</v>
      </c>
    </row>
    <row r="219" spans="1:20" x14ac:dyDescent="0.3">
      <c r="A219">
        <v>1082539</v>
      </c>
      <c r="B219" t="s">
        <v>851</v>
      </c>
      <c r="C219" t="s">
        <v>750</v>
      </c>
      <c r="D219" t="s">
        <v>751</v>
      </c>
      <c r="E219" t="s">
        <v>752</v>
      </c>
      <c r="G219" t="s">
        <v>758</v>
      </c>
      <c r="H219" t="s">
        <v>22</v>
      </c>
      <c r="I219" t="s">
        <v>22</v>
      </c>
      <c r="J219" t="s">
        <v>17</v>
      </c>
      <c r="K219">
        <v>91.7</v>
      </c>
      <c r="L219">
        <v>111</v>
      </c>
      <c r="M219" t="s">
        <v>754</v>
      </c>
      <c r="N219" t="s">
        <v>755</v>
      </c>
      <c r="O219" s="12"/>
      <c r="Q219" t="s">
        <v>53</v>
      </c>
      <c r="S219" t="str">
        <f t="shared" si="13"/>
        <v>yes</v>
      </c>
      <c r="T219" t="str">
        <f t="shared" si="14"/>
        <v>yes</v>
      </c>
    </row>
    <row r="220" spans="1:20" x14ac:dyDescent="0.3">
      <c r="A220">
        <v>1082539</v>
      </c>
      <c r="B220" t="s">
        <v>851</v>
      </c>
      <c r="C220" t="s">
        <v>750</v>
      </c>
      <c r="D220" t="s">
        <v>751</v>
      </c>
      <c r="E220" t="s">
        <v>752</v>
      </c>
      <c r="G220" t="s">
        <v>759</v>
      </c>
      <c r="H220" t="s">
        <v>22</v>
      </c>
      <c r="I220" t="s">
        <v>22</v>
      </c>
      <c r="J220" t="s">
        <v>17</v>
      </c>
      <c r="K220">
        <v>91.7</v>
      </c>
      <c r="L220">
        <v>111</v>
      </c>
      <c r="M220" t="s">
        <v>754</v>
      </c>
      <c r="N220" t="s">
        <v>755</v>
      </c>
      <c r="O220" s="12"/>
      <c r="Q220" t="s">
        <v>53</v>
      </c>
      <c r="S220" t="str">
        <f t="shared" si="13"/>
        <v>yes</v>
      </c>
      <c r="T220" t="str">
        <f t="shared" si="14"/>
        <v>yes</v>
      </c>
    </row>
    <row r="221" spans="1:20" x14ac:dyDescent="0.3">
      <c r="A221">
        <v>1082539</v>
      </c>
      <c r="B221" t="s">
        <v>851</v>
      </c>
      <c r="C221" t="s">
        <v>750</v>
      </c>
      <c r="D221" t="s">
        <v>751</v>
      </c>
      <c r="E221" t="s">
        <v>752</v>
      </c>
      <c r="G221" t="s">
        <v>760</v>
      </c>
      <c r="H221" t="s">
        <v>22</v>
      </c>
      <c r="I221" t="s">
        <v>22</v>
      </c>
      <c r="J221" t="s">
        <v>17</v>
      </c>
      <c r="K221">
        <v>91.7</v>
      </c>
      <c r="L221">
        <v>111</v>
      </c>
      <c r="M221" t="s">
        <v>754</v>
      </c>
      <c r="N221" t="s">
        <v>755</v>
      </c>
      <c r="O221" s="12"/>
      <c r="Q221" t="s">
        <v>53</v>
      </c>
      <c r="S221" t="str">
        <f t="shared" si="13"/>
        <v>yes</v>
      </c>
      <c r="T221" t="str">
        <f t="shared" si="14"/>
        <v>yes</v>
      </c>
    </row>
    <row r="222" spans="1:20" x14ac:dyDescent="0.3">
      <c r="A222">
        <v>1082540</v>
      </c>
      <c r="B222" t="s">
        <v>857</v>
      </c>
      <c r="C222" t="s">
        <v>858</v>
      </c>
      <c r="H222" t="s">
        <v>16</v>
      </c>
      <c r="I222" t="s">
        <v>16</v>
      </c>
      <c r="J222" t="s">
        <v>17</v>
      </c>
      <c r="K222">
        <v>0</v>
      </c>
      <c r="L222">
        <v>0</v>
      </c>
      <c r="O222" s="12"/>
      <c r="P222" t="s">
        <v>859</v>
      </c>
      <c r="Q222" t="s">
        <v>53</v>
      </c>
      <c r="S222" t="str">
        <f t="shared" si="13"/>
        <v>yes</v>
      </c>
      <c r="T222" t="str">
        <f t="shared" si="14"/>
        <v>yes</v>
      </c>
    </row>
    <row r="223" spans="1:20" x14ac:dyDescent="0.3">
      <c r="A223">
        <v>1082540</v>
      </c>
      <c r="B223" t="s">
        <v>857</v>
      </c>
      <c r="C223" t="s">
        <v>850</v>
      </c>
      <c r="H223" t="s">
        <v>16</v>
      </c>
      <c r="I223" t="s">
        <v>16</v>
      </c>
      <c r="J223" t="s">
        <v>17</v>
      </c>
      <c r="K223">
        <v>0</v>
      </c>
      <c r="L223">
        <v>0</v>
      </c>
      <c r="O223" s="12"/>
      <c r="P223" t="s">
        <v>860</v>
      </c>
      <c r="Q223" t="s">
        <v>53</v>
      </c>
      <c r="S223" t="str">
        <f t="shared" si="13"/>
        <v>yes</v>
      </c>
      <c r="T223" t="str">
        <f t="shared" si="14"/>
        <v>yes</v>
      </c>
    </row>
    <row r="224" spans="1:20" x14ac:dyDescent="0.3">
      <c r="A224">
        <v>1082540</v>
      </c>
      <c r="B224" t="s">
        <v>857</v>
      </c>
      <c r="C224" t="s">
        <v>861</v>
      </c>
      <c r="H224" t="s">
        <v>16</v>
      </c>
      <c r="I224" t="s">
        <v>16</v>
      </c>
      <c r="J224" t="s">
        <v>17</v>
      </c>
      <c r="K224">
        <v>0</v>
      </c>
      <c r="L224">
        <v>0</v>
      </c>
      <c r="O224" s="12"/>
      <c r="Q224" t="s">
        <v>53</v>
      </c>
      <c r="S224" t="str">
        <f t="shared" si="13"/>
        <v>yes</v>
      </c>
      <c r="T224" t="str">
        <f t="shared" si="14"/>
        <v>yes</v>
      </c>
    </row>
    <row r="225" spans="1:20" x14ac:dyDescent="0.3">
      <c r="A225">
        <v>1082540</v>
      </c>
      <c r="B225" t="s">
        <v>857</v>
      </c>
      <c r="C225" t="s">
        <v>862</v>
      </c>
      <c r="H225" t="s">
        <v>16</v>
      </c>
      <c r="I225" t="s">
        <v>16</v>
      </c>
      <c r="J225" t="s">
        <v>17</v>
      </c>
      <c r="K225">
        <v>0</v>
      </c>
      <c r="L225">
        <v>0</v>
      </c>
      <c r="O225" s="12"/>
      <c r="P225" t="s">
        <v>863</v>
      </c>
      <c r="Q225" t="s">
        <v>53</v>
      </c>
      <c r="S225" t="str">
        <f t="shared" si="13"/>
        <v>yes</v>
      </c>
      <c r="T225" t="str">
        <f>IF(S225="","",LOWER(TRIM(S225)))</f>
        <v>yes</v>
      </c>
    </row>
    <row r="226" spans="1:20" x14ac:dyDescent="0.3">
      <c r="A226">
        <v>1082540</v>
      </c>
      <c r="B226" t="s">
        <v>857</v>
      </c>
      <c r="C226" t="s">
        <v>761</v>
      </c>
      <c r="D226" t="s">
        <v>762</v>
      </c>
      <c r="E226" t="s">
        <v>763</v>
      </c>
      <c r="G226" t="s">
        <v>764</v>
      </c>
      <c r="H226" t="s">
        <v>46</v>
      </c>
      <c r="I226" t="s">
        <v>46</v>
      </c>
      <c r="J226" t="s">
        <v>17</v>
      </c>
      <c r="K226">
        <v>100</v>
      </c>
      <c r="L226">
        <v>50</v>
      </c>
      <c r="O226" s="12"/>
      <c r="P226" t="s">
        <v>864</v>
      </c>
      <c r="Q226" t="s">
        <v>53</v>
      </c>
      <c r="S226" t="str">
        <f t="shared" si="13"/>
        <v>yes</v>
      </c>
      <c r="T226" t="str">
        <f t="shared" ref="T226:T247" si="15">IF(S226="","",LOWER(TRIM(S226)))</f>
        <v>yes</v>
      </c>
    </row>
    <row r="227" spans="1:20" x14ac:dyDescent="0.3">
      <c r="A227">
        <v>1082540</v>
      </c>
      <c r="B227" t="s">
        <v>857</v>
      </c>
      <c r="C227" t="s">
        <v>761</v>
      </c>
      <c r="D227" t="s">
        <v>762</v>
      </c>
      <c r="E227" t="s">
        <v>763</v>
      </c>
      <c r="G227" t="s">
        <v>766</v>
      </c>
      <c r="H227" t="s">
        <v>46</v>
      </c>
      <c r="I227" t="s">
        <v>46</v>
      </c>
      <c r="J227" t="s">
        <v>17</v>
      </c>
      <c r="K227">
        <v>100</v>
      </c>
      <c r="L227">
        <v>50</v>
      </c>
      <c r="O227" s="12"/>
      <c r="Q227" t="s">
        <v>53</v>
      </c>
      <c r="S227" t="str">
        <f t="shared" si="13"/>
        <v>yes</v>
      </c>
      <c r="T227" t="str">
        <f t="shared" si="15"/>
        <v>yes</v>
      </c>
    </row>
    <row r="228" spans="1:20" x14ac:dyDescent="0.3">
      <c r="A228">
        <v>1082540</v>
      </c>
      <c r="B228" t="s">
        <v>857</v>
      </c>
      <c r="C228" t="s">
        <v>761</v>
      </c>
      <c r="D228" t="s">
        <v>762</v>
      </c>
      <c r="E228" t="s">
        <v>763</v>
      </c>
      <c r="G228" t="s">
        <v>767</v>
      </c>
      <c r="H228" t="s">
        <v>46</v>
      </c>
      <c r="I228" t="s">
        <v>46</v>
      </c>
      <c r="J228" t="s">
        <v>17</v>
      </c>
      <c r="K228">
        <v>100</v>
      </c>
      <c r="L228">
        <v>50</v>
      </c>
      <c r="O228" s="12"/>
      <c r="Q228" t="s">
        <v>53</v>
      </c>
      <c r="S228" t="str">
        <f t="shared" si="13"/>
        <v>yes</v>
      </c>
      <c r="T228" t="str">
        <f t="shared" si="15"/>
        <v>yes</v>
      </c>
    </row>
    <row r="229" spans="1:20" x14ac:dyDescent="0.3">
      <c r="A229">
        <v>1082540</v>
      </c>
      <c r="B229" t="s">
        <v>857</v>
      </c>
      <c r="C229" t="s">
        <v>761</v>
      </c>
      <c r="D229" t="s">
        <v>762</v>
      </c>
      <c r="E229" t="s">
        <v>763</v>
      </c>
      <c r="G229" t="s">
        <v>768</v>
      </c>
      <c r="H229" t="s">
        <v>46</v>
      </c>
      <c r="I229" t="s">
        <v>46</v>
      </c>
      <c r="J229" t="s">
        <v>17</v>
      </c>
      <c r="K229">
        <v>100</v>
      </c>
      <c r="L229">
        <v>50</v>
      </c>
      <c r="O229" s="12"/>
      <c r="Q229" t="s">
        <v>53</v>
      </c>
      <c r="S229" t="str">
        <f t="shared" si="13"/>
        <v>yes</v>
      </c>
      <c r="T229" t="str">
        <f t="shared" si="15"/>
        <v>yes</v>
      </c>
    </row>
    <row r="230" spans="1:20" x14ac:dyDescent="0.3">
      <c r="A230">
        <v>1082540</v>
      </c>
      <c r="B230" t="s">
        <v>857</v>
      </c>
      <c r="C230" t="s">
        <v>761</v>
      </c>
      <c r="D230" t="s">
        <v>762</v>
      </c>
      <c r="E230" t="s">
        <v>763</v>
      </c>
      <c r="G230" t="s">
        <v>769</v>
      </c>
      <c r="H230" t="s">
        <v>46</v>
      </c>
      <c r="I230" t="s">
        <v>46</v>
      </c>
      <c r="J230" t="s">
        <v>17</v>
      </c>
      <c r="K230">
        <v>100</v>
      </c>
      <c r="L230">
        <v>50</v>
      </c>
      <c r="O230" s="12"/>
      <c r="Q230" t="s">
        <v>53</v>
      </c>
      <c r="S230" t="str">
        <f t="shared" si="13"/>
        <v>yes</v>
      </c>
      <c r="T230" t="str">
        <f t="shared" si="15"/>
        <v>yes</v>
      </c>
    </row>
    <row r="231" spans="1:20" x14ac:dyDescent="0.3">
      <c r="A231">
        <v>1082540</v>
      </c>
      <c r="B231" t="s">
        <v>857</v>
      </c>
      <c r="C231" t="s">
        <v>761</v>
      </c>
      <c r="D231" t="s">
        <v>762</v>
      </c>
      <c r="E231" t="s">
        <v>763</v>
      </c>
      <c r="G231" t="s">
        <v>770</v>
      </c>
      <c r="H231" t="s">
        <v>46</v>
      </c>
      <c r="I231" t="s">
        <v>46</v>
      </c>
      <c r="J231" t="s">
        <v>17</v>
      </c>
      <c r="K231">
        <v>100</v>
      </c>
      <c r="L231">
        <v>50</v>
      </c>
      <c r="O231" s="12"/>
      <c r="Q231" t="s">
        <v>53</v>
      </c>
      <c r="S231" t="str">
        <f t="shared" si="13"/>
        <v>yes</v>
      </c>
      <c r="T231" t="str">
        <f t="shared" si="15"/>
        <v>yes</v>
      </c>
    </row>
    <row r="232" spans="1:20" x14ac:dyDescent="0.3">
      <c r="A232">
        <v>1082540</v>
      </c>
      <c r="B232" t="s">
        <v>857</v>
      </c>
      <c r="C232" t="s">
        <v>761</v>
      </c>
      <c r="D232" t="s">
        <v>762</v>
      </c>
      <c r="E232" t="s">
        <v>763</v>
      </c>
      <c r="G232" t="s">
        <v>771</v>
      </c>
      <c r="H232" t="s">
        <v>46</v>
      </c>
      <c r="I232" t="s">
        <v>46</v>
      </c>
      <c r="J232" t="s">
        <v>17</v>
      </c>
      <c r="K232">
        <v>100</v>
      </c>
      <c r="L232">
        <v>50</v>
      </c>
      <c r="O232" s="12"/>
      <c r="Q232" t="s">
        <v>53</v>
      </c>
      <c r="S232" t="str">
        <f t="shared" si="13"/>
        <v>yes</v>
      </c>
      <c r="T232" t="str">
        <f t="shared" si="15"/>
        <v>yes</v>
      </c>
    </row>
    <row r="233" spans="1:20" x14ac:dyDescent="0.3">
      <c r="A233">
        <v>1082540</v>
      </c>
      <c r="B233" t="s">
        <v>857</v>
      </c>
      <c r="C233" t="s">
        <v>761</v>
      </c>
      <c r="D233" t="s">
        <v>762</v>
      </c>
      <c r="E233" t="s">
        <v>763</v>
      </c>
      <c r="G233" t="s">
        <v>772</v>
      </c>
      <c r="H233" t="s">
        <v>46</v>
      </c>
      <c r="I233" t="s">
        <v>46</v>
      </c>
      <c r="J233" t="s">
        <v>17</v>
      </c>
      <c r="K233">
        <v>100</v>
      </c>
      <c r="L233">
        <v>50</v>
      </c>
      <c r="O233" s="12"/>
      <c r="Q233" t="s">
        <v>53</v>
      </c>
      <c r="S233" t="str">
        <f t="shared" si="13"/>
        <v>yes</v>
      </c>
      <c r="T233" t="str">
        <f t="shared" si="15"/>
        <v>yes</v>
      </c>
    </row>
    <row r="234" spans="1:20" x14ac:dyDescent="0.3">
      <c r="A234">
        <v>1084567</v>
      </c>
      <c r="B234" t="s">
        <v>865</v>
      </c>
      <c r="C234" t="s">
        <v>866</v>
      </c>
      <c r="D234" t="s">
        <v>866</v>
      </c>
      <c r="E234" t="s">
        <v>867</v>
      </c>
      <c r="G234" t="s">
        <v>868</v>
      </c>
      <c r="H234" t="s">
        <v>22</v>
      </c>
      <c r="I234" t="s">
        <v>22</v>
      </c>
      <c r="J234" t="s">
        <v>17</v>
      </c>
      <c r="K234">
        <v>100</v>
      </c>
      <c r="L234">
        <v>143</v>
      </c>
      <c r="M234" t="s">
        <v>869</v>
      </c>
      <c r="N234" t="s">
        <v>870</v>
      </c>
      <c r="O234" s="14"/>
      <c r="P234" t="s">
        <v>871</v>
      </c>
      <c r="Q234" t="s">
        <v>638</v>
      </c>
      <c r="S234" t="str">
        <f>LOWER(TRIM(CLEAN(Q234)))</f>
        <v>wrong</v>
      </c>
      <c r="T234" t="str">
        <f t="shared" si="15"/>
        <v>wrong</v>
      </c>
    </row>
    <row r="235" spans="1:20" x14ac:dyDescent="0.3">
      <c r="A235">
        <v>1084567</v>
      </c>
      <c r="B235" t="s">
        <v>865</v>
      </c>
      <c r="C235" t="s">
        <v>866</v>
      </c>
      <c r="D235" t="s">
        <v>866</v>
      </c>
      <c r="E235" t="s">
        <v>867</v>
      </c>
      <c r="G235" t="s">
        <v>872</v>
      </c>
      <c r="H235" t="s">
        <v>22</v>
      </c>
      <c r="I235" t="s">
        <v>22</v>
      </c>
      <c r="J235" t="s">
        <v>17</v>
      </c>
      <c r="K235">
        <v>100</v>
      </c>
      <c r="L235">
        <v>143</v>
      </c>
      <c r="M235" t="s">
        <v>869</v>
      </c>
      <c r="N235" t="s">
        <v>870</v>
      </c>
      <c r="O235" s="14"/>
      <c r="Q235" t="s">
        <v>638</v>
      </c>
      <c r="S235" t="str">
        <f t="shared" si="13"/>
        <v>wrong</v>
      </c>
      <c r="T235" t="str">
        <f t="shared" si="15"/>
        <v>wrong</v>
      </c>
    </row>
    <row r="236" spans="1:20" x14ac:dyDescent="0.3">
      <c r="A236">
        <v>1084567</v>
      </c>
      <c r="B236" t="s">
        <v>865</v>
      </c>
      <c r="C236" t="s">
        <v>866</v>
      </c>
      <c r="D236" t="s">
        <v>866</v>
      </c>
      <c r="E236" t="s">
        <v>867</v>
      </c>
      <c r="G236" t="s">
        <v>873</v>
      </c>
      <c r="H236" t="s">
        <v>22</v>
      </c>
      <c r="I236" t="s">
        <v>22</v>
      </c>
      <c r="J236" t="s">
        <v>17</v>
      </c>
      <c r="K236">
        <v>100</v>
      </c>
      <c r="L236">
        <v>143</v>
      </c>
      <c r="M236" t="s">
        <v>869</v>
      </c>
      <c r="N236" t="s">
        <v>870</v>
      </c>
      <c r="O236" s="14"/>
      <c r="Q236" t="s">
        <v>638</v>
      </c>
      <c r="S236" t="str">
        <f t="shared" si="13"/>
        <v>wrong</v>
      </c>
      <c r="T236" t="str">
        <f t="shared" si="15"/>
        <v>wrong</v>
      </c>
    </row>
    <row r="237" spans="1:20" x14ac:dyDescent="0.3">
      <c r="A237">
        <v>1084567</v>
      </c>
      <c r="B237" t="s">
        <v>865</v>
      </c>
      <c r="C237" t="s">
        <v>866</v>
      </c>
      <c r="D237" t="s">
        <v>866</v>
      </c>
      <c r="E237" t="s">
        <v>867</v>
      </c>
      <c r="G237" t="s">
        <v>874</v>
      </c>
      <c r="H237" t="s">
        <v>22</v>
      </c>
      <c r="I237" t="s">
        <v>22</v>
      </c>
      <c r="J237" t="s">
        <v>17</v>
      </c>
      <c r="K237">
        <v>100</v>
      </c>
      <c r="L237">
        <v>143</v>
      </c>
      <c r="M237" t="s">
        <v>869</v>
      </c>
      <c r="N237" t="s">
        <v>870</v>
      </c>
      <c r="O237" s="14"/>
      <c r="Q237" t="s">
        <v>638</v>
      </c>
      <c r="S237" t="str">
        <f t="shared" si="13"/>
        <v>wrong</v>
      </c>
      <c r="T237" t="str">
        <f t="shared" si="15"/>
        <v>wrong</v>
      </c>
    </row>
    <row r="238" spans="1:20" x14ac:dyDescent="0.3">
      <c r="A238">
        <v>1084567</v>
      </c>
      <c r="B238" t="s">
        <v>865</v>
      </c>
      <c r="C238" t="s">
        <v>866</v>
      </c>
      <c r="D238" t="s">
        <v>866</v>
      </c>
      <c r="E238" t="s">
        <v>867</v>
      </c>
      <c r="G238" t="s">
        <v>875</v>
      </c>
      <c r="H238" t="s">
        <v>22</v>
      </c>
      <c r="I238" t="s">
        <v>22</v>
      </c>
      <c r="J238" t="s">
        <v>17</v>
      </c>
      <c r="K238">
        <v>100</v>
      </c>
      <c r="L238">
        <v>143</v>
      </c>
      <c r="M238" t="s">
        <v>869</v>
      </c>
      <c r="N238" t="s">
        <v>870</v>
      </c>
      <c r="O238" s="14"/>
      <c r="Q238" t="s">
        <v>638</v>
      </c>
      <c r="S238" t="str">
        <f t="shared" si="13"/>
        <v>wrong</v>
      </c>
      <c r="T238" t="str">
        <f t="shared" si="15"/>
        <v>wrong</v>
      </c>
    </row>
    <row r="239" spans="1:20" x14ac:dyDescent="0.3">
      <c r="A239">
        <v>1084567</v>
      </c>
      <c r="B239" t="s">
        <v>865</v>
      </c>
      <c r="C239" t="s">
        <v>866</v>
      </c>
      <c r="D239" t="s">
        <v>866</v>
      </c>
      <c r="E239" t="s">
        <v>867</v>
      </c>
      <c r="G239" t="s">
        <v>876</v>
      </c>
      <c r="H239" t="s">
        <v>22</v>
      </c>
      <c r="I239" t="s">
        <v>22</v>
      </c>
      <c r="J239" t="s">
        <v>17</v>
      </c>
      <c r="K239">
        <v>100</v>
      </c>
      <c r="L239">
        <v>143</v>
      </c>
      <c r="M239" t="s">
        <v>869</v>
      </c>
      <c r="N239" t="s">
        <v>870</v>
      </c>
      <c r="O239" s="14"/>
      <c r="Q239" t="s">
        <v>638</v>
      </c>
      <c r="S239" t="str">
        <f t="shared" si="13"/>
        <v>wrong</v>
      </c>
      <c r="T239" t="str">
        <f t="shared" si="15"/>
        <v>wrong</v>
      </c>
    </row>
    <row r="240" spans="1:20" x14ac:dyDescent="0.3">
      <c r="A240">
        <v>1084567</v>
      </c>
      <c r="B240" t="s">
        <v>865</v>
      </c>
      <c r="C240" t="s">
        <v>866</v>
      </c>
      <c r="D240" t="s">
        <v>866</v>
      </c>
      <c r="E240" t="s">
        <v>867</v>
      </c>
      <c r="G240" t="s">
        <v>877</v>
      </c>
      <c r="H240" t="s">
        <v>22</v>
      </c>
      <c r="I240" t="s">
        <v>22</v>
      </c>
      <c r="J240" t="s">
        <v>17</v>
      </c>
      <c r="K240">
        <v>100</v>
      </c>
      <c r="L240">
        <v>143</v>
      </c>
      <c r="M240" t="s">
        <v>869</v>
      </c>
      <c r="N240" t="s">
        <v>870</v>
      </c>
      <c r="O240" s="14"/>
      <c r="Q240" t="s">
        <v>638</v>
      </c>
      <c r="S240" t="str">
        <f t="shared" si="13"/>
        <v>wrong</v>
      </c>
      <c r="T240" t="str">
        <f t="shared" si="15"/>
        <v>wrong</v>
      </c>
    </row>
    <row r="241" spans="1:20" x14ac:dyDescent="0.3">
      <c r="A241">
        <v>1084567</v>
      </c>
      <c r="B241" t="s">
        <v>865</v>
      </c>
      <c r="C241" t="s">
        <v>866</v>
      </c>
      <c r="D241" t="s">
        <v>866</v>
      </c>
      <c r="E241" t="s">
        <v>867</v>
      </c>
      <c r="G241" t="s">
        <v>878</v>
      </c>
      <c r="H241" t="s">
        <v>22</v>
      </c>
      <c r="I241" t="s">
        <v>22</v>
      </c>
      <c r="J241" t="s">
        <v>17</v>
      </c>
      <c r="K241">
        <v>100</v>
      </c>
      <c r="L241">
        <v>143</v>
      </c>
      <c r="M241" t="s">
        <v>869</v>
      </c>
      <c r="N241" t="s">
        <v>870</v>
      </c>
      <c r="O241" s="14"/>
      <c r="Q241" t="s">
        <v>638</v>
      </c>
      <c r="S241" t="str">
        <f t="shared" si="13"/>
        <v>wrong</v>
      </c>
      <c r="T241" t="str">
        <f t="shared" si="15"/>
        <v>wrong</v>
      </c>
    </row>
    <row r="242" spans="1:20" x14ac:dyDescent="0.3">
      <c r="A242">
        <v>1084567</v>
      </c>
      <c r="B242" t="s">
        <v>865</v>
      </c>
      <c r="C242" t="s">
        <v>366</v>
      </c>
      <c r="D242" t="s">
        <v>879</v>
      </c>
      <c r="E242" t="s">
        <v>880</v>
      </c>
      <c r="F242" s="17">
        <v>124869430</v>
      </c>
      <c r="G242" t="s">
        <v>881</v>
      </c>
      <c r="H242" t="s">
        <v>22</v>
      </c>
      <c r="I242" t="s">
        <v>22</v>
      </c>
      <c r="J242" t="s">
        <v>17</v>
      </c>
      <c r="K242">
        <v>87</v>
      </c>
      <c r="L242">
        <v>107.2</v>
      </c>
      <c r="M242" t="s">
        <v>882</v>
      </c>
      <c r="N242" t="s">
        <v>883</v>
      </c>
      <c r="O242" s="14"/>
      <c r="P242" t="s">
        <v>884</v>
      </c>
      <c r="Q242" t="s">
        <v>598</v>
      </c>
      <c r="S242" t="str">
        <f t="shared" si="13"/>
        <v>wrong</v>
      </c>
      <c r="T242" t="str">
        <f t="shared" si="15"/>
        <v>wrong</v>
      </c>
    </row>
    <row r="243" spans="1:20" x14ac:dyDescent="0.3">
      <c r="A243">
        <v>1084567</v>
      </c>
      <c r="B243" t="s">
        <v>865</v>
      </c>
      <c r="C243" t="s">
        <v>366</v>
      </c>
      <c r="D243" t="s">
        <v>879</v>
      </c>
      <c r="E243" t="s">
        <v>880</v>
      </c>
      <c r="F243" s="17">
        <v>124869430</v>
      </c>
      <c r="G243" t="s">
        <v>885</v>
      </c>
      <c r="H243" t="s">
        <v>22</v>
      </c>
      <c r="I243" t="s">
        <v>22</v>
      </c>
      <c r="J243" t="s">
        <v>17</v>
      </c>
      <c r="K243">
        <v>87</v>
      </c>
      <c r="L243">
        <v>107.2</v>
      </c>
      <c r="M243" t="s">
        <v>882</v>
      </c>
      <c r="N243" t="s">
        <v>883</v>
      </c>
      <c r="O243" s="14"/>
      <c r="Q243" t="s">
        <v>598</v>
      </c>
      <c r="S243" t="str">
        <f t="shared" si="13"/>
        <v>wrong</v>
      </c>
      <c r="T243" t="str">
        <f t="shared" si="15"/>
        <v>wrong</v>
      </c>
    </row>
    <row r="244" spans="1:20" x14ac:dyDescent="0.3">
      <c r="A244">
        <v>1084567</v>
      </c>
      <c r="B244" t="s">
        <v>865</v>
      </c>
      <c r="C244" t="s">
        <v>886</v>
      </c>
      <c r="D244" t="s">
        <v>886</v>
      </c>
      <c r="E244" t="s">
        <v>887</v>
      </c>
      <c r="H244" t="s">
        <v>22</v>
      </c>
      <c r="I244" t="s">
        <v>22</v>
      </c>
      <c r="J244" t="s">
        <v>17</v>
      </c>
      <c r="K244">
        <v>100</v>
      </c>
      <c r="L244">
        <v>113</v>
      </c>
      <c r="M244" t="s">
        <v>888</v>
      </c>
      <c r="N244" t="s">
        <v>889</v>
      </c>
      <c r="O244" s="14"/>
      <c r="Q244" t="s">
        <v>598</v>
      </c>
      <c r="S244" t="str">
        <f t="shared" si="13"/>
        <v>wrong</v>
      </c>
      <c r="T244" t="str">
        <f t="shared" si="15"/>
        <v>wrong</v>
      </c>
    </row>
    <row r="245" spans="1:20" x14ac:dyDescent="0.3">
      <c r="A245">
        <v>1084567</v>
      </c>
      <c r="B245" t="s">
        <v>865</v>
      </c>
      <c r="C245" t="s">
        <v>890</v>
      </c>
      <c r="H245" t="s">
        <v>16</v>
      </c>
      <c r="I245" t="s">
        <v>16</v>
      </c>
      <c r="J245" t="s">
        <v>17</v>
      </c>
      <c r="K245">
        <v>0</v>
      </c>
      <c r="L245">
        <v>0</v>
      </c>
      <c r="O245" s="12"/>
      <c r="P245" t="s">
        <v>864</v>
      </c>
      <c r="Q245" t="s">
        <v>53</v>
      </c>
      <c r="S245" t="str">
        <f t="shared" si="13"/>
        <v>yes</v>
      </c>
      <c r="T245" t="str">
        <f t="shared" si="15"/>
        <v>yes</v>
      </c>
    </row>
    <row r="246" spans="1:20" x14ac:dyDescent="0.3">
      <c r="A246">
        <v>1084567</v>
      </c>
      <c r="B246" t="s">
        <v>865</v>
      </c>
      <c r="C246" t="s">
        <v>891</v>
      </c>
      <c r="D246" t="s">
        <v>892</v>
      </c>
      <c r="E246" t="s">
        <v>893</v>
      </c>
      <c r="G246" t="s">
        <v>894</v>
      </c>
      <c r="H246" t="s">
        <v>22</v>
      </c>
      <c r="I246" t="s">
        <v>22</v>
      </c>
      <c r="J246" t="s">
        <v>17</v>
      </c>
      <c r="K246">
        <v>95.7</v>
      </c>
      <c r="L246">
        <v>111.4</v>
      </c>
      <c r="O246" s="12"/>
      <c r="P246" t="s">
        <v>864</v>
      </c>
      <c r="Q246" t="s">
        <v>53</v>
      </c>
      <c r="S246" t="str">
        <f t="shared" si="13"/>
        <v>yes</v>
      </c>
      <c r="T246" t="str">
        <f t="shared" si="15"/>
        <v>yes</v>
      </c>
    </row>
    <row r="247" spans="1:20" x14ac:dyDescent="0.3">
      <c r="A247">
        <v>1084567</v>
      </c>
      <c r="B247" t="s">
        <v>865</v>
      </c>
      <c r="C247" t="s">
        <v>891</v>
      </c>
      <c r="D247" t="s">
        <v>892</v>
      </c>
      <c r="E247" t="s">
        <v>893</v>
      </c>
      <c r="G247" t="s">
        <v>895</v>
      </c>
      <c r="H247" t="s">
        <v>22</v>
      </c>
      <c r="I247" t="s">
        <v>22</v>
      </c>
      <c r="J247" t="s">
        <v>17</v>
      </c>
      <c r="K247">
        <v>95.7</v>
      </c>
      <c r="L247">
        <v>111.4</v>
      </c>
      <c r="O247" s="12"/>
      <c r="Q247" t="s">
        <v>53</v>
      </c>
      <c r="S247" t="str">
        <f t="shared" si="13"/>
        <v>yes</v>
      </c>
      <c r="T247" t="str">
        <f t="shared" si="15"/>
        <v>yes</v>
      </c>
    </row>
    <row r="248" spans="1:20" x14ac:dyDescent="0.3">
      <c r="A248">
        <v>1084567</v>
      </c>
      <c r="B248" t="s">
        <v>865</v>
      </c>
      <c r="C248" t="s">
        <v>891</v>
      </c>
      <c r="D248" t="s">
        <v>892</v>
      </c>
      <c r="E248" t="s">
        <v>893</v>
      </c>
      <c r="G248" t="s">
        <v>896</v>
      </c>
      <c r="H248" t="s">
        <v>22</v>
      </c>
      <c r="I248" t="s">
        <v>22</v>
      </c>
      <c r="J248" t="s">
        <v>17</v>
      </c>
      <c r="K248">
        <v>95.7</v>
      </c>
      <c r="L248">
        <v>111.4</v>
      </c>
      <c r="O248" s="12"/>
      <c r="Q248" t="s">
        <v>53</v>
      </c>
      <c r="S248" t="str">
        <f t="shared" si="13"/>
        <v>yes</v>
      </c>
      <c r="T248" t="str">
        <f>IF(S248="","",LOWER(TRIM(S248)))</f>
        <v>yes</v>
      </c>
    </row>
    <row r="249" spans="1:20" x14ac:dyDescent="0.3">
      <c r="A249">
        <v>1084567</v>
      </c>
      <c r="B249" t="s">
        <v>865</v>
      </c>
      <c r="C249" t="s">
        <v>891</v>
      </c>
      <c r="D249" t="s">
        <v>892</v>
      </c>
      <c r="E249" t="s">
        <v>893</v>
      </c>
      <c r="G249" t="s">
        <v>897</v>
      </c>
      <c r="H249" t="s">
        <v>22</v>
      </c>
      <c r="I249" t="s">
        <v>22</v>
      </c>
      <c r="J249" t="s">
        <v>17</v>
      </c>
      <c r="K249">
        <v>95.7</v>
      </c>
      <c r="L249">
        <v>111.4</v>
      </c>
      <c r="O249" s="12"/>
      <c r="Q249" t="s">
        <v>53</v>
      </c>
      <c r="S249" t="str">
        <f t="shared" si="13"/>
        <v>yes</v>
      </c>
      <c r="T249" t="str">
        <f t="shared" ref="T249:T265" si="16">IF(S249="","",LOWER(TRIM(S249)))</f>
        <v>yes</v>
      </c>
    </row>
    <row r="250" spans="1:20" x14ac:dyDescent="0.3">
      <c r="A250">
        <v>1084567</v>
      </c>
      <c r="B250" t="s">
        <v>865</v>
      </c>
      <c r="C250" t="s">
        <v>891</v>
      </c>
      <c r="D250" t="s">
        <v>892</v>
      </c>
      <c r="E250" t="s">
        <v>893</v>
      </c>
      <c r="G250" t="s">
        <v>898</v>
      </c>
      <c r="H250" t="s">
        <v>22</v>
      </c>
      <c r="I250" t="s">
        <v>22</v>
      </c>
      <c r="J250" t="s">
        <v>17</v>
      </c>
      <c r="K250">
        <v>95.7</v>
      </c>
      <c r="L250">
        <v>111.4</v>
      </c>
      <c r="O250" s="12"/>
      <c r="Q250" t="s">
        <v>53</v>
      </c>
      <c r="S250" t="str">
        <f t="shared" si="13"/>
        <v>yes</v>
      </c>
      <c r="T250" t="str">
        <f t="shared" si="16"/>
        <v>yes</v>
      </c>
    </row>
    <row r="251" spans="1:20" x14ac:dyDescent="0.3">
      <c r="A251">
        <v>1084567</v>
      </c>
      <c r="B251" t="s">
        <v>865</v>
      </c>
      <c r="C251" t="s">
        <v>891</v>
      </c>
      <c r="D251" t="s">
        <v>892</v>
      </c>
      <c r="E251" t="s">
        <v>893</v>
      </c>
      <c r="G251" t="s">
        <v>899</v>
      </c>
      <c r="H251" t="s">
        <v>22</v>
      </c>
      <c r="I251" t="s">
        <v>22</v>
      </c>
      <c r="J251" t="s">
        <v>17</v>
      </c>
      <c r="K251">
        <v>95.7</v>
      </c>
      <c r="L251">
        <v>111.4</v>
      </c>
      <c r="O251" s="12"/>
      <c r="Q251" t="s">
        <v>53</v>
      </c>
      <c r="S251" t="str">
        <f t="shared" si="13"/>
        <v>yes</v>
      </c>
      <c r="T251" t="str">
        <f t="shared" si="16"/>
        <v>yes</v>
      </c>
    </row>
    <row r="252" spans="1:20" x14ac:dyDescent="0.3">
      <c r="A252">
        <v>1084567</v>
      </c>
      <c r="B252" t="s">
        <v>865</v>
      </c>
      <c r="C252" t="s">
        <v>891</v>
      </c>
      <c r="D252" t="s">
        <v>892</v>
      </c>
      <c r="E252" t="s">
        <v>893</v>
      </c>
      <c r="G252" t="s">
        <v>900</v>
      </c>
      <c r="H252" t="s">
        <v>22</v>
      </c>
      <c r="I252" t="s">
        <v>22</v>
      </c>
      <c r="J252" t="s">
        <v>17</v>
      </c>
      <c r="K252">
        <v>95.7</v>
      </c>
      <c r="L252">
        <v>111.4</v>
      </c>
      <c r="O252" s="12"/>
      <c r="Q252" t="s">
        <v>53</v>
      </c>
      <c r="S252" t="str">
        <f t="shared" si="13"/>
        <v>yes</v>
      </c>
      <c r="T252" t="str">
        <f t="shared" si="16"/>
        <v>yes</v>
      </c>
    </row>
    <row r="253" spans="1:20" x14ac:dyDescent="0.3">
      <c r="A253">
        <v>1084567</v>
      </c>
      <c r="B253" t="s">
        <v>865</v>
      </c>
      <c r="C253" t="s">
        <v>891</v>
      </c>
      <c r="D253" t="s">
        <v>892</v>
      </c>
      <c r="E253" t="s">
        <v>893</v>
      </c>
      <c r="G253" t="s">
        <v>901</v>
      </c>
      <c r="H253" t="s">
        <v>22</v>
      </c>
      <c r="I253" t="s">
        <v>22</v>
      </c>
      <c r="J253" t="s">
        <v>17</v>
      </c>
      <c r="K253">
        <v>95.7</v>
      </c>
      <c r="L253">
        <v>111.4</v>
      </c>
      <c r="O253" s="12"/>
      <c r="Q253" t="s">
        <v>53</v>
      </c>
      <c r="S253" t="str">
        <f t="shared" si="13"/>
        <v>yes</v>
      </c>
      <c r="T253" t="str">
        <f t="shared" si="16"/>
        <v>yes</v>
      </c>
    </row>
    <row r="254" spans="1:20" x14ac:dyDescent="0.3">
      <c r="A254">
        <v>1084567</v>
      </c>
      <c r="B254" t="s">
        <v>865</v>
      </c>
      <c r="C254" t="s">
        <v>891</v>
      </c>
      <c r="D254" t="s">
        <v>892</v>
      </c>
      <c r="E254" t="s">
        <v>893</v>
      </c>
      <c r="G254" t="s">
        <v>902</v>
      </c>
      <c r="H254" t="s">
        <v>22</v>
      </c>
      <c r="I254" t="s">
        <v>22</v>
      </c>
      <c r="J254" t="s">
        <v>17</v>
      </c>
      <c r="K254">
        <v>95.7</v>
      </c>
      <c r="L254">
        <v>111.4</v>
      </c>
      <c r="O254" s="12"/>
      <c r="Q254" t="s">
        <v>53</v>
      </c>
      <c r="S254" t="str">
        <f>LOWER(TRIM(CLEAN(Q254)))</f>
        <v>yes</v>
      </c>
      <c r="T254" t="str">
        <f t="shared" si="16"/>
        <v>yes</v>
      </c>
    </row>
    <row r="255" spans="1:20" x14ac:dyDescent="0.3">
      <c r="A255">
        <v>1084567</v>
      </c>
      <c r="B255" t="s">
        <v>865</v>
      </c>
      <c r="C255" t="s">
        <v>891</v>
      </c>
      <c r="D255" t="s">
        <v>892</v>
      </c>
      <c r="E255" t="s">
        <v>893</v>
      </c>
      <c r="G255" t="s">
        <v>903</v>
      </c>
      <c r="H255" t="s">
        <v>22</v>
      </c>
      <c r="I255" t="s">
        <v>22</v>
      </c>
      <c r="J255" t="s">
        <v>17</v>
      </c>
      <c r="K255">
        <v>95.7</v>
      </c>
      <c r="L255">
        <v>111.4</v>
      </c>
      <c r="O255" s="12"/>
      <c r="Q255" t="s">
        <v>53</v>
      </c>
      <c r="S255" t="str">
        <f t="shared" si="13"/>
        <v>yes</v>
      </c>
      <c r="T255" t="str">
        <f t="shared" si="16"/>
        <v>yes</v>
      </c>
    </row>
    <row r="256" spans="1:20" x14ac:dyDescent="0.3">
      <c r="A256">
        <v>1084567</v>
      </c>
      <c r="B256" t="s">
        <v>865</v>
      </c>
      <c r="C256" t="s">
        <v>891</v>
      </c>
      <c r="D256" t="s">
        <v>892</v>
      </c>
      <c r="E256" t="s">
        <v>893</v>
      </c>
      <c r="G256" t="s">
        <v>904</v>
      </c>
      <c r="H256" t="s">
        <v>22</v>
      </c>
      <c r="I256" t="s">
        <v>22</v>
      </c>
      <c r="J256" t="s">
        <v>17</v>
      </c>
      <c r="K256">
        <v>95.7</v>
      </c>
      <c r="L256">
        <v>111.4</v>
      </c>
      <c r="O256" s="12"/>
      <c r="Q256" t="s">
        <v>53</v>
      </c>
      <c r="S256" t="str">
        <f>LOWER(TRIM(CLEAN(Q256)))</f>
        <v>yes</v>
      </c>
      <c r="T256" t="str">
        <f t="shared" si="16"/>
        <v>yes</v>
      </c>
    </row>
    <row r="257" spans="1:20" x14ac:dyDescent="0.3">
      <c r="A257">
        <v>1084567</v>
      </c>
      <c r="B257" t="s">
        <v>865</v>
      </c>
      <c r="C257" t="s">
        <v>891</v>
      </c>
      <c r="D257" t="s">
        <v>892</v>
      </c>
      <c r="E257" t="s">
        <v>893</v>
      </c>
      <c r="G257" t="s">
        <v>905</v>
      </c>
      <c r="H257" t="s">
        <v>22</v>
      </c>
      <c r="I257" t="s">
        <v>22</v>
      </c>
      <c r="J257" t="s">
        <v>17</v>
      </c>
      <c r="K257">
        <v>95.7</v>
      </c>
      <c r="L257">
        <v>111.4</v>
      </c>
      <c r="O257" s="12"/>
      <c r="Q257" t="s">
        <v>53</v>
      </c>
      <c r="S257" t="str">
        <f t="shared" ref="S257:S267" si="17">LOWER(TRIM(CLEAN(Q257)))</f>
        <v>yes</v>
      </c>
      <c r="T257" t="str">
        <f t="shared" si="16"/>
        <v>yes</v>
      </c>
    </row>
    <row r="258" spans="1:20" x14ac:dyDescent="0.3">
      <c r="A258">
        <v>1084567</v>
      </c>
      <c r="B258" t="s">
        <v>865</v>
      </c>
      <c r="C258" t="s">
        <v>891</v>
      </c>
      <c r="D258" t="s">
        <v>892</v>
      </c>
      <c r="E258" t="s">
        <v>893</v>
      </c>
      <c r="G258" t="s">
        <v>906</v>
      </c>
      <c r="H258" t="s">
        <v>22</v>
      </c>
      <c r="I258" t="s">
        <v>22</v>
      </c>
      <c r="J258" t="s">
        <v>17</v>
      </c>
      <c r="K258">
        <v>95.7</v>
      </c>
      <c r="L258">
        <v>111.4</v>
      </c>
      <c r="O258" s="12"/>
      <c r="Q258" t="s">
        <v>53</v>
      </c>
      <c r="S258" t="str">
        <f t="shared" si="17"/>
        <v>yes</v>
      </c>
      <c r="T258" t="str">
        <f t="shared" si="16"/>
        <v>yes</v>
      </c>
    </row>
    <row r="259" spans="1:20" x14ac:dyDescent="0.3">
      <c r="A259">
        <v>1084567</v>
      </c>
      <c r="B259" t="s">
        <v>865</v>
      </c>
      <c r="C259" t="s">
        <v>891</v>
      </c>
      <c r="D259" t="s">
        <v>892</v>
      </c>
      <c r="E259" t="s">
        <v>893</v>
      </c>
      <c r="G259" t="s">
        <v>907</v>
      </c>
      <c r="H259" t="s">
        <v>22</v>
      </c>
      <c r="I259" t="s">
        <v>22</v>
      </c>
      <c r="J259" t="s">
        <v>17</v>
      </c>
      <c r="K259">
        <v>95.7</v>
      </c>
      <c r="L259">
        <v>111.4</v>
      </c>
      <c r="O259" s="12"/>
      <c r="Q259" t="s">
        <v>53</v>
      </c>
      <c r="S259" t="str">
        <f t="shared" si="17"/>
        <v>yes</v>
      </c>
      <c r="T259" t="str">
        <f t="shared" si="16"/>
        <v>yes</v>
      </c>
    </row>
    <row r="260" spans="1:20" x14ac:dyDescent="0.3">
      <c r="A260">
        <v>1084567</v>
      </c>
      <c r="B260" t="s">
        <v>865</v>
      </c>
      <c r="C260" t="s">
        <v>891</v>
      </c>
      <c r="D260" t="s">
        <v>892</v>
      </c>
      <c r="E260" t="s">
        <v>893</v>
      </c>
      <c r="G260" t="s">
        <v>908</v>
      </c>
      <c r="H260" t="s">
        <v>22</v>
      </c>
      <c r="I260" t="s">
        <v>22</v>
      </c>
      <c r="J260" t="s">
        <v>17</v>
      </c>
      <c r="K260">
        <v>95.7</v>
      </c>
      <c r="L260">
        <v>111.4</v>
      </c>
      <c r="O260" s="12"/>
      <c r="Q260" t="s">
        <v>53</v>
      </c>
      <c r="S260" t="str">
        <f t="shared" si="17"/>
        <v>yes</v>
      </c>
      <c r="T260" t="str">
        <f t="shared" si="16"/>
        <v>yes</v>
      </c>
    </row>
    <row r="261" spans="1:20" x14ac:dyDescent="0.3">
      <c r="A261">
        <v>1084567</v>
      </c>
      <c r="B261" t="s">
        <v>865</v>
      </c>
      <c r="C261" t="s">
        <v>891</v>
      </c>
      <c r="D261" t="s">
        <v>892</v>
      </c>
      <c r="E261" t="s">
        <v>893</v>
      </c>
      <c r="G261" t="s">
        <v>909</v>
      </c>
      <c r="H261" t="s">
        <v>22</v>
      </c>
      <c r="I261" t="s">
        <v>22</v>
      </c>
      <c r="J261" t="s">
        <v>17</v>
      </c>
      <c r="K261">
        <v>95.7</v>
      </c>
      <c r="L261">
        <v>111.4</v>
      </c>
      <c r="O261" s="12"/>
      <c r="Q261" t="s">
        <v>53</v>
      </c>
      <c r="S261" t="str">
        <f t="shared" si="17"/>
        <v>yes</v>
      </c>
      <c r="T261" t="str">
        <f t="shared" si="16"/>
        <v>yes</v>
      </c>
    </row>
    <row r="262" spans="1:20" x14ac:dyDescent="0.3">
      <c r="A262">
        <v>1084567</v>
      </c>
      <c r="B262" t="s">
        <v>865</v>
      </c>
      <c r="C262" t="s">
        <v>891</v>
      </c>
      <c r="D262" t="s">
        <v>892</v>
      </c>
      <c r="E262" t="s">
        <v>893</v>
      </c>
      <c r="G262" t="s">
        <v>910</v>
      </c>
      <c r="H262" t="s">
        <v>22</v>
      </c>
      <c r="I262" t="s">
        <v>22</v>
      </c>
      <c r="J262" t="s">
        <v>17</v>
      </c>
      <c r="K262">
        <v>95.7</v>
      </c>
      <c r="L262">
        <v>111.4</v>
      </c>
      <c r="O262" s="12"/>
      <c r="Q262" t="s">
        <v>53</v>
      </c>
      <c r="S262" t="str">
        <f t="shared" si="17"/>
        <v>yes</v>
      </c>
      <c r="T262" t="str">
        <f t="shared" si="16"/>
        <v>yes</v>
      </c>
    </row>
    <row r="263" spans="1:20" x14ac:dyDescent="0.3">
      <c r="A263">
        <v>1084567</v>
      </c>
      <c r="B263" t="s">
        <v>865</v>
      </c>
      <c r="C263" t="s">
        <v>891</v>
      </c>
      <c r="D263" t="s">
        <v>892</v>
      </c>
      <c r="E263" t="s">
        <v>893</v>
      </c>
      <c r="G263" t="s">
        <v>911</v>
      </c>
      <c r="H263" t="s">
        <v>22</v>
      </c>
      <c r="I263" t="s">
        <v>22</v>
      </c>
      <c r="J263" t="s">
        <v>17</v>
      </c>
      <c r="K263">
        <v>95.7</v>
      </c>
      <c r="L263">
        <v>111.4</v>
      </c>
      <c r="O263" s="12"/>
      <c r="Q263" t="s">
        <v>53</v>
      </c>
      <c r="S263" t="str">
        <f t="shared" si="17"/>
        <v>yes</v>
      </c>
      <c r="T263" t="str">
        <f t="shared" si="16"/>
        <v>yes</v>
      </c>
    </row>
    <row r="264" spans="1:20" x14ac:dyDescent="0.3">
      <c r="A264">
        <v>1084567</v>
      </c>
      <c r="B264" t="s">
        <v>865</v>
      </c>
      <c r="C264" t="s">
        <v>891</v>
      </c>
      <c r="D264" t="s">
        <v>892</v>
      </c>
      <c r="E264" t="s">
        <v>893</v>
      </c>
      <c r="G264" t="s">
        <v>912</v>
      </c>
      <c r="H264" t="s">
        <v>22</v>
      </c>
      <c r="I264" t="s">
        <v>22</v>
      </c>
      <c r="J264" t="s">
        <v>17</v>
      </c>
      <c r="K264">
        <v>95.7</v>
      </c>
      <c r="L264">
        <v>111.4</v>
      </c>
      <c r="O264" s="12"/>
      <c r="Q264" t="s">
        <v>53</v>
      </c>
      <c r="S264" t="str">
        <f t="shared" si="17"/>
        <v>yes</v>
      </c>
      <c r="T264" t="str">
        <f t="shared" si="16"/>
        <v>yes</v>
      </c>
    </row>
    <row r="265" spans="1:20" x14ac:dyDescent="0.3">
      <c r="A265">
        <v>1084567</v>
      </c>
      <c r="B265" t="s">
        <v>865</v>
      </c>
      <c r="C265" t="s">
        <v>891</v>
      </c>
      <c r="D265" t="s">
        <v>892</v>
      </c>
      <c r="E265" t="s">
        <v>893</v>
      </c>
      <c r="G265" t="s">
        <v>913</v>
      </c>
      <c r="H265" t="s">
        <v>22</v>
      </c>
      <c r="I265" t="s">
        <v>22</v>
      </c>
      <c r="J265" t="s">
        <v>17</v>
      </c>
      <c r="K265">
        <v>95.7</v>
      </c>
      <c r="L265">
        <v>111.4</v>
      </c>
      <c r="O265" s="12"/>
      <c r="Q265" t="s">
        <v>53</v>
      </c>
      <c r="S265" t="str">
        <f t="shared" si="17"/>
        <v>yes</v>
      </c>
      <c r="T265" t="str">
        <f t="shared" si="16"/>
        <v>yes</v>
      </c>
    </row>
    <row r="266" spans="1:20" x14ac:dyDescent="0.3">
      <c r="A266">
        <v>1084567</v>
      </c>
      <c r="B266" t="s">
        <v>865</v>
      </c>
      <c r="C266" t="s">
        <v>891</v>
      </c>
      <c r="D266" t="s">
        <v>892</v>
      </c>
      <c r="E266" t="s">
        <v>893</v>
      </c>
      <c r="G266" t="s">
        <v>914</v>
      </c>
      <c r="H266" t="s">
        <v>22</v>
      </c>
      <c r="I266" t="s">
        <v>22</v>
      </c>
      <c r="J266" t="s">
        <v>17</v>
      </c>
      <c r="K266">
        <v>95.7</v>
      </c>
      <c r="L266">
        <v>111.4</v>
      </c>
      <c r="O266" s="12"/>
      <c r="Q266" t="s">
        <v>53</v>
      </c>
      <c r="S266" t="str">
        <f t="shared" si="17"/>
        <v>yes</v>
      </c>
      <c r="T266" t="str">
        <f>IF(S266="","",LOWER(TRIM(S266)))</f>
        <v>yes</v>
      </c>
    </row>
    <row r="267" spans="1:20" x14ac:dyDescent="0.3">
      <c r="A267">
        <v>1084567</v>
      </c>
      <c r="B267" t="s">
        <v>865</v>
      </c>
      <c r="C267" t="s">
        <v>891</v>
      </c>
      <c r="D267" t="s">
        <v>892</v>
      </c>
      <c r="E267" t="s">
        <v>893</v>
      </c>
      <c r="G267" t="s">
        <v>915</v>
      </c>
      <c r="H267" t="s">
        <v>22</v>
      </c>
      <c r="I267" t="s">
        <v>22</v>
      </c>
      <c r="J267" t="s">
        <v>17</v>
      </c>
      <c r="K267">
        <v>95.7</v>
      </c>
      <c r="L267">
        <v>111.4</v>
      </c>
      <c r="O267" s="12"/>
      <c r="Q267" t="s">
        <v>53</v>
      </c>
      <c r="S267" t="str">
        <f t="shared" si="17"/>
        <v>yes</v>
      </c>
      <c r="T267" t="str">
        <f t="shared" ref="T267:T282" si="18">IF(S267="","",LOWER(TRIM(S267)))</f>
        <v>yes</v>
      </c>
    </row>
    <row r="268" spans="1:20" x14ac:dyDescent="0.3">
      <c r="A268">
        <v>1084567</v>
      </c>
      <c r="B268" t="s">
        <v>865</v>
      </c>
      <c r="C268" t="s">
        <v>891</v>
      </c>
      <c r="D268" t="s">
        <v>892</v>
      </c>
      <c r="E268" t="s">
        <v>893</v>
      </c>
      <c r="G268" t="s">
        <v>916</v>
      </c>
      <c r="H268" t="s">
        <v>22</v>
      </c>
      <c r="I268" t="s">
        <v>22</v>
      </c>
      <c r="J268" t="s">
        <v>17</v>
      </c>
      <c r="K268">
        <v>95.7</v>
      </c>
      <c r="L268">
        <v>111.4</v>
      </c>
      <c r="O268" s="12"/>
      <c r="Q268" t="s">
        <v>53</v>
      </c>
      <c r="S268" t="str">
        <f>LOWER(TRIM(CLEAN(Q268)))</f>
        <v>yes</v>
      </c>
      <c r="T268" t="str">
        <f t="shared" si="18"/>
        <v>yes</v>
      </c>
    </row>
    <row r="269" spans="1:20" x14ac:dyDescent="0.3">
      <c r="A269">
        <v>1084567</v>
      </c>
      <c r="B269" t="s">
        <v>865</v>
      </c>
      <c r="C269" t="s">
        <v>891</v>
      </c>
      <c r="D269" t="s">
        <v>892</v>
      </c>
      <c r="E269" t="s">
        <v>893</v>
      </c>
      <c r="G269" t="s">
        <v>917</v>
      </c>
      <c r="H269" t="s">
        <v>22</v>
      </c>
      <c r="I269" t="s">
        <v>22</v>
      </c>
      <c r="J269" t="s">
        <v>17</v>
      </c>
      <c r="K269">
        <v>95.7</v>
      </c>
      <c r="L269">
        <v>111.4</v>
      </c>
      <c r="O269" s="12"/>
      <c r="Q269" t="s">
        <v>53</v>
      </c>
      <c r="S269" t="str">
        <f t="shared" ref="S269:S313" si="19">LOWER(TRIM(CLEAN(Q269)))</f>
        <v>yes</v>
      </c>
      <c r="T269" t="str">
        <f t="shared" si="18"/>
        <v>yes</v>
      </c>
    </row>
    <row r="270" spans="1:20" x14ac:dyDescent="0.3">
      <c r="A270">
        <v>1084567</v>
      </c>
      <c r="B270" t="s">
        <v>865</v>
      </c>
      <c r="C270" t="s">
        <v>891</v>
      </c>
      <c r="D270" t="s">
        <v>892</v>
      </c>
      <c r="E270" t="s">
        <v>893</v>
      </c>
      <c r="G270" t="s">
        <v>918</v>
      </c>
      <c r="H270" t="s">
        <v>22</v>
      </c>
      <c r="I270" t="s">
        <v>22</v>
      </c>
      <c r="J270" t="s">
        <v>17</v>
      </c>
      <c r="K270">
        <v>95.7</v>
      </c>
      <c r="L270">
        <v>111.4</v>
      </c>
      <c r="O270" s="12"/>
      <c r="Q270" t="s">
        <v>53</v>
      </c>
      <c r="S270" t="str">
        <f t="shared" si="19"/>
        <v>yes</v>
      </c>
      <c r="T270" t="str">
        <f t="shared" si="18"/>
        <v>yes</v>
      </c>
    </row>
    <row r="271" spans="1:20" x14ac:dyDescent="0.3">
      <c r="A271">
        <v>1084567</v>
      </c>
      <c r="B271" t="s">
        <v>865</v>
      </c>
      <c r="C271" t="s">
        <v>891</v>
      </c>
      <c r="D271" t="s">
        <v>892</v>
      </c>
      <c r="E271" t="s">
        <v>893</v>
      </c>
      <c r="G271" t="s">
        <v>919</v>
      </c>
      <c r="H271" t="s">
        <v>22</v>
      </c>
      <c r="I271" t="s">
        <v>22</v>
      </c>
      <c r="J271" t="s">
        <v>17</v>
      </c>
      <c r="K271">
        <v>95.7</v>
      </c>
      <c r="L271">
        <v>111.4</v>
      </c>
      <c r="O271" s="12"/>
      <c r="Q271" t="s">
        <v>53</v>
      </c>
      <c r="S271" t="str">
        <f t="shared" si="19"/>
        <v>yes</v>
      </c>
      <c r="T271" t="str">
        <f t="shared" si="18"/>
        <v>yes</v>
      </c>
    </row>
    <row r="272" spans="1:20" x14ac:dyDescent="0.3">
      <c r="A272">
        <v>1084567</v>
      </c>
      <c r="B272" t="s">
        <v>865</v>
      </c>
      <c r="C272" t="s">
        <v>891</v>
      </c>
      <c r="D272" t="s">
        <v>892</v>
      </c>
      <c r="E272" t="s">
        <v>893</v>
      </c>
      <c r="G272" t="s">
        <v>920</v>
      </c>
      <c r="H272" t="s">
        <v>22</v>
      </c>
      <c r="I272" t="s">
        <v>22</v>
      </c>
      <c r="J272" t="s">
        <v>17</v>
      </c>
      <c r="K272">
        <v>95.7</v>
      </c>
      <c r="L272">
        <v>111.4</v>
      </c>
      <c r="O272" s="12"/>
      <c r="Q272" t="s">
        <v>53</v>
      </c>
      <c r="S272" t="str">
        <f t="shared" si="19"/>
        <v>yes</v>
      </c>
      <c r="T272" t="str">
        <f t="shared" si="18"/>
        <v>yes</v>
      </c>
    </row>
    <row r="273" spans="1:20" x14ac:dyDescent="0.3">
      <c r="A273">
        <v>1084567</v>
      </c>
      <c r="B273" t="s">
        <v>865</v>
      </c>
      <c r="C273" t="s">
        <v>891</v>
      </c>
      <c r="D273" t="s">
        <v>892</v>
      </c>
      <c r="E273" t="s">
        <v>893</v>
      </c>
      <c r="G273" t="s">
        <v>921</v>
      </c>
      <c r="H273" t="s">
        <v>22</v>
      </c>
      <c r="I273" t="s">
        <v>22</v>
      </c>
      <c r="J273" t="s">
        <v>17</v>
      </c>
      <c r="K273">
        <v>95.7</v>
      </c>
      <c r="L273">
        <v>111.4</v>
      </c>
      <c r="O273" s="12"/>
      <c r="Q273" t="s">
        <v>53</v>
      </c>
      <c r="S273" t="str">
        <f t="shared" si="19"/>
        <v>yes</v>
      </c>
      <c r="T273" t="str">
        <f t="shared" si="18"/>
        <v>yes</v>
      </c>
    </row>
    <row r="274" spans="1:20" x14ac:dyDescent="0.3">
      <c r="A274">
        <v>1084567</v>
      </c>
      <c r="B274" t="s">
        <v>865</v>
      </c>
      <c r="C274" t="s">
        <v>891</v>
      </c>
      <c r="D274" t="s">
        <v>892</v>
      </c>
      <c r="E274" t="s">
        <v>893</v>
      </c>
      <c r="G274" t="s">
        <v>922</v>
      </c>
      <c r="H274" t="s">
        <v>22</v>
      </c>
      <c r="I274" t="s">
        <v>22</v>
      </c>
      <c r="J274" t="s">
        <v>17</v>
      </c>
      <c r="K274">
        <v>95.7</v>
      </c>
      <c r="L274">
        <v>111.4</v>
      </c>
      <c r="O274" s="12"/>
      <c r="Q274" t="s">
        <v>53</v>
      </c>
      <c r="S274" t="str">
        <f t="shared" si="19"/>
        <v>yes</v>
      </c>
      <c r="T274" t="str">
        <f t="shared" si="18"/>
        <v>yes</v>
      </c>
    </row>
    <row r="275" spans="1:20" x14ac:dyDescent="0.3">
      <c r="A275">
        <v>1084567</v>
      </c>
      <c r="B275" t="s">
        <v>865</v>
      </c>
      <c r="C275" t="s">
        <v>891</v>
      </c>
      <c r="D275" t="s">
        <v>892</v>
      </c>
      <c r="E275" t="s">
        <v>893</v>
      </c>
      <c r="G275" t="s">
        <v>923</v>
      </c>
      <c r="H275" t="s">
        <v>22</v>
      </c>
      <c r="I275" t="s">
        <v>22</v>
      </c>
      <c r="J275" t="s">
        <v>17</v>
      </c>
      <c r="K275">
        <v>95.7</v>
      </c>
      <c r="L275">
        <v>111.4</v>
      </c>
      <c r="O275" s="12"/>
      <c r="Q275" t="s">
        <v>53</v>
      </c>
      <c r="S275" t="str">
        <f t="shared" si="19"/>
        <v>yes</v>
      </c>
      <c r="T275" t="str">
        <f t="shared" si="18"/>
        <v>yes</v>
      </c>
    </row>
    <row r="276" spans="1:20" x14ac:dyDescent="0.3">
      <c r="A276">
        <v>1084567</v>
      </c>
      <c r="B276" t="s">
        <v>865</v>
      </c>
      <c r="C276" t="s">
        <v>891</v>
      </c>
      <c r="D276" t="s">
        <v>892</v>
      </c>
      <c r="E276" t="s">
        <v>893</v>
      </c>
      <c r="G276" t="s">
        <v>924</v>
      </c>
      <c r="H276" t="s">
        <v>22</v>
      </c>
      <c r="I276" t="s">
        <v>22</v>
      </c>
      <c r="J276" t="s">
        <v>17</v>
      </c>
      <c r="K276">
        <v>95.7</v>
      </c>
      <c r="L276">
        <v>111.4</v>
      </c>
      <c r="O276" s="12"/>
      <c r="Q276" t="s">
        <v>53</v>
      </c>
      <c r="S276" t="str">
        <f t="shared" si="19"/>
        <v>yes</v>
      </c>
      <c r="T276" t="str">
        <f t="shared" si="18"/>
        <v>yes</v>
      </c>
    </row>
    <row r="277" spans="1:20" x14ac:dyDescent="0.3">
      <c r="A277">
        <v>1084567</v>
      </c>
      <c r="B277" t="s">
        <v>865</v>
      </c>
      <c r="C277" t="s">
        <v>891</v>
      </c>
      <c r="D277" t="s">
        <v>892</v>
      </c>
      <c r="E277" t="s">
        <v>893</v>
      </c>
      <c r="G277" t="s">
        <v>925</v>
      </c>
      <c r="H277" t="s">
        <v>22</v>
      </c>
      <c r="I277" t="s">
        <v>22</v>
      </c>
      <c r="J277" t="s">
        <v>17</v>
      </c>
      <c r="K277">
        <v>95.7</v>
      </c>
      <c r="L277">
        <v>111.4</v>
      </c>
      <c r="O277" s="12"/>
      <c r="Q277" t="s">
        <v>53</v>
      </c>
      <c r="S277" t="str">
        <f t="shared" si="19"/>
        <v>yes</v>
      </c>
      <c r="T277" t="str">
        <f t="shared" si="18"/>
        <v>yes</v>
      </c>
    </row>
    <row r="278" spans="1:20" x14ac:dyDescent="0.3">
      <c r="A278">
        <v>1084567</v>
      </c>
      <c r="B278" t="s">
        <v>865</v>
      </c>
      <c r="C278" t="s">
        <v>891</v>
      </c>
      <c r="D278" t="s">
        <v>892</v>
      </c>
      <c r="E278" t="s">
        <v>893</v>
      </c>
      <c r="G278" t="s">
        <v>926</v>
      </c>
      <c r="H278" t="s">
        <v>22</v>
      </c>
      <c r="I278" t="s">
        <v>22</v>
      </c>
      <c r="J278" t="s">
        <v>17</v>
      </c>
      <c r="K278">
        <v>95.7</v>
      </c>
      <c r="L278">
        <v>111.4</v>
      </c>
      <c r="O278" s="12"/>
      <c r="Q278" t="s">
        <v>53</v>
      </c>
      <c r="S278" t="str">
        <f t="shared" si="19"/>
        <v>yes</v>
      </c>
      <c r="T278" t="str">
        <f t="shared" si="18"/>
        <v>yes</v>
      </c>
    </row>
    <row r="279" spans="1:20" x14ac:dyDescent="0.3">
      <c r="A279">
        <v>1084567</v>
      </c>
      <c r="B279" t="s">
        <v>865</v>
      </c>
      <c r="C279" t="s">
        <v>891</v>
      </c>
      <c r="D279" t="s">
        <v>892</v>
      </c>
      <c r="E279" t="s">
        <v>893</v>
      </c>
      <c r="G279" t="s">
        <v>927</v>
      </c>
      <c r="H279" t="s">
        <v>22</v>
      </c>
      <c r="I279" t="s">
        <v>22</v>
      </c>
      <c r="J279" t="s">
        <v>17</v>
      </c>
      <c r="K279">
        <v>95.7</v>
      </c>
      <c r="L279">
        <v>111.4</v>
      </c>
      <c r="O279" s="12"/>
      <c r="Q279" t="s">
        <v>53</v>
      </c>
      <c r="S279" t="str">
        <f t="shared" si="19"/>
        <v>yes</v>
      </c>
      <c r="T279" t="str">
        <f t="shared" si="18"/>
        <v>yes</v>
      </c>
    </row>
    <row r="280" spans="1:20" x14ac:dyDescent="0.3">
      <c r="A280">
        <v>1084567</v>
      </c>
      <c r="B280" t="s">
        <v>865</v>
      </c>
      <c r="C280" t="s">
        <v>891</v>
      </c>
      <c r="D280" t="s">
        <v>892</v>
      </c>
      <c r="E280" t="s">
        <v>893</v>
      </c>
      <c r="G280" t="s">
        <v>928</v>
      </c>
      <c r="H280" t="s">
        <v>22</v>
      </c>
      <c r="I280" t="s">
        <v>22</v>
      </c>
      <c r="J280" t="s">
        <v>17</v>
      </c>
      <c r="K280">
        <v>95.7</v>
      </c>
      <c r="L280">
        <v>111.4</v>
      </c>
      <c r="O280" s="12"/>
      <c r="Q280" t="s">
        <v>53</v>
      </c>
      <c r="S280" t="str">
        <f t="shared" si="19"/>
        <v>yes</v>
      </c>
      <c r="T280" t="str">
        <f t="shared" si="18"/>
        <v>yes</v>
      </c>
    </row>
    <row r="281" spans="1:20" x14ac:dyDescent="0.3">
      <c r="A281">
        <v>1084567</v>
      </c>
      <c r="B281" t="s">
        <v>865</v>
      </c>
      <c r="C281" t="s">
        <v>929</v>
      </c>
      <c r="H281" t="s">
        <v>16</v>
      </c>
      <c r="I281" t="s">
        <v>16</v>
      </c>
      <c r="J281" t="s">
        <v>17</v>
      </c>
      <c r="K281">
        <v>0</v>
      </c>
      <c r="L281">
        <v>0</v>
      </c>
      <c r="O281" s="12"/>
      <c r="P281" t="s">
        <v>863</v>
      </c>
      <c r="Q281" t="s">
        <v>53</v>
      </c>
      <c r="S281" t="str">
        <f t="shared" si="19"/>
        <v>yes</v>
      </c>
      <c r="T281" t="str">
        <f t="shared" si="18"/>
        <v>yes</v>
      </c>
    </row>
    <row r="282" spans="1:20" x14ac:dyDescent="0.3">
      <c r="A282">
        <v>1084567</v>
      </c>
      <c r="B282" t="s">
        <v>865</v>
      </c>
      <c r="C282" t="s">
        <v>930</v>
      </c>
      <c r="D282" t="s">
        <v>930</v>
      </c>
      <c r="E282" t="s">
        <v>931</v>
      </c>
      <c r="H282" t="s">
        <v>22</v>
      </c>
      <c r="I282" t="s">
        <v>22</v>
      </c>
      <c r="J282" t="s">
        <v>17</v>
      </c>
      <c r="K282">
        <v>100</v>
      </c>
      <c r="L282">
        <v>111</v>
      </c>
      <c r="M282" t="s">
        <v>932</v>
      </c>
      <c r="N282" t="s">
        <v>933</v>
      </c>
      <c r="O282" s="14"/>
      <c r="Q282" t="s">
        <v>598</v>
      </c>
      <c r="S282" t="str">
        <f t="shared" si="19"/>
        <v>wrong</v>
      </c>
      <c r="T282" t="str">
        <f t="shared" si="18"/>
        <v>wrong</v>
      </c>
    </row>
    <row r="283" spans="1:20" x14ac:dyDescent="0.3">
      <c r="A283">
        <v>1084567</v>
      </c>
      <c r="B283" t="s">
        <v>865</v>
      </c>
      <c r="C283" t="s">
        <v>934</v>
      </c>
      <c r="D283" t="s">
        <v>935</v>
      </c>
      <c r="E283" t="s">
        <v>936</v>
      </c>
      <c r="G283" t="s">
        <v>937</v>
      </c>
      <c r="H283" t="s">
        <v>22</v>
      </c>
      <c r="I283" t="s">
        <v>22</v>
      </c>
      <c r="J283" t="s">
        <v>17</v>
      </c>
      <c r="K283">
        <v>90</v>
      </c>
      <c r="L283">
        <v>107</v>
      </c>
      <c r="O283" s="14"/>
      <c r="P283" t="s">
        <v>938</v>
      </c>
      <c r="Q283" t="s">
        <v>598</v>
      </c>
      <c r="S283" t="str">
        <f t="shared" si="19"/>
        <v>wrong</v>
      </c>
      <c r="T283" t="str">
        <f>IF(S283="","",LOWER(TRIM(S283)))</f>
        <v>wrong</v>
      </c>
    </row>
    <row r="284" spans="1:20" x14ac:dyDescent="0.3">
      <c r="A284">
        <v>1084567</v>
      </c>
      <c r="B284" t="s">
        <v>865</v>
      </c>
      <c r="C284" t="s">
        <v>934</v>
      </c>
      <c r="D284" t="s">
        <v>935</v>
      </c>
      <c r="E284" t="s">
        <v>936</v>
      </c>
      <c r="G284" t="s">
        <v>939</v>
      </c>
      <c r="H284" t="s">
        <v>22</v>
      </c>
      <c r="I284" t="s">
        <v>22</v>
      </c>
      <c r="J284" t="s">
        <v>17</v>
      </c>
      <c r="K284">
        <v>90</v>
      </c>
      <c r="L284">
        <v>107</v>
      </c>
      <c r="O284" s="14"/>
      <c r="Q284" t="s">
        <v>598</v>
      </c>
      <c r="S284" t="str">
        <f t="shared" si="19"/>
        <v>wrong</v>
      </c>
      <c r="T284" t="str">
        <f t="shared" ref="T284:T299" si="20">IF(S284="","",LOWER(TRIM(S284)))</f>
        <v>wrong</v>
      </c>
    </row>
    <row r="285" spans="1:20" x14ac:dyDescent="0.3">
      <c r="A285">
        <v>1084567</v>
      </c>
      <c r="B285" t="s">
        <v>865</v>
      </c>
      <c r="C285" t="s">
        <v>934</v>
      </c>
      <c r="D285" t="s">
        <v>935</v>
      </c>
      <c r="E285" t="s">
        <v>936</v>
      </c>
      <c r="G285" t="s">
        <v>940</v>
      </c>
      <c r="H285" t="s">
        <v>22</v>
      </c>
      <c r="I285" t="s">
        <v>22</v>
      </c>
      <c r="J285" t="s">
        <v>17</v>
      </c>
      <c r="K285">
        <v>90</v>
      </c>
      <c r="L285">
        <v>107</v>
      </c>
      <c r="O285" s="14"/>
      <c r="Q285" t="s">
        <v>598</v>
      </c>
      <c r="S285" t="str">
        <f t="shared" si="19"/>
        <v>wrong</v>
      </c>
      <c r="T285" t="str">
        <f t="shared" si="20"/>
        <v>wrong</v>
      </c>
    </row>
    <row r="286" spans="1:20" x14ac:dyDescent="0.3">
      <c r="A286">
        <v>1084567</v>
      </c>
      <c r="B286" t="s">
        <v>865</v>
      </c>
      <c r="C286" t="s">
        <v>934</v>
      </c>
      <c r="D286" t="s">
        <v>935</v>
      </c>
      <c r="E286" t="s">
        <v>936</v>
      </c>
      <c r="G286" t="s">
        <v>941</v>
      </c>
      <c r="H286" t="s">
        <v>22</v>
      </c>
      <c r="I286" t="s">
        <v>22</v>
      </c>
      <c r="J286" t="s">
        <v>17</v>
      </c>
      <c r="K286">
        <v>90</v>
      </c>
      <c r="L286">
        <v>107</v>
      </c>
      <c r="O286" s="14"/>
      <c r="Q286" t="s">
        <v>598</v>
      </c>
      <c r="S286" t="str">
        <f t="shared" si="19"/>
        <v>wrong</v>
      </c>
      <c r="T286" t="str">
        <f t="shared" si="20"/>
        <v>wrong</v>
      </c>
    </row>
    <row r="287" spans="1:20" x14ac:dyDescent="0.3">
      <c r="A287">
        <v>1084567</v>
      </c>
      <c r="B287" t="s">
        <v>865</v>
      </c>
      <c r="C287" t="s">
        <v>934</v>
      </c>
      <c r="D287" t="s">
        <v>935</v>
      </c>
      <c r="E287" t="s">
        <v>936</v>
      </c>
      <c r="G287" t="s">
        <v>942</v>
      </c>
      <c r="H287" t="s">
        <v>22</v>
      </c>
      <c r="I287" t="s">
        <v>22</v>
      </c>
      <c r="J287" t="s">
        <v>17</v>
      </c>
      <c r="K287">
        <v>90</v>
      </c>
      <c r="L287">
        <v>107</v>
      </c>
      <c r="O287" s="14"/>
      <c r="Q287" t="s">
        <v>598</v>
      </c>
      <c r="S287" t="str">
        <f t="shared" si="19"/>
        <v>wrong</v>
      </c>
      <c r="T287" t="str">
        <f t="shared" si="20"/>
        <v>wrong</v>
      </c>
    </row>
    <row r="288" spans="1:20" x14ac:dyDescent="0.3">
      <c r="A288">
        <v>1092881</v>
      </c>
      <c r="B288" t="s">
        <v>943</v>
      </c>
      <c r="C288" t="s">
        <v>944</v>
      </c>
      <c r="D288" t="s">
        <v>945</v>
      </c>
      <c r="E288" t="s">
        <v>946</v>
      </c>
      <c r="F288" s="17">
        <v>119452384</v>
      </c>
      <c r="G288" t="s">
        <v>947</v>
      </c>
      <c r="H288" t="s">
        <v>22</v>
      </c>
      <c r="I288" t="s">
        <v>22</v>
      </c>
      <c r="J288" t="s">
        <v>17</v>
      </c>
      <c r="K288">
        <v>87.5</v>
      </c>
      <c r="L288">
        <v>133.5</v>
      </c>
      <c r="M288" t="s">
        <v>948</v>
      </c>
      <c r="N288" t="s">
        <v>949</v>
      </c>
      <c r="O288" s="14"/>
      <c r="Q288" t="s">
        <v>638</v>
      </c>
      <c r="S288" t="str">
        <f t="shared" si="19"/>
        <v>wrong</v>
      </c>
      <c r="T288" t="str">
        <f t="shared" si="20"/>
        <v>wrong</v>
      </c>
    </row>
    <row r="289" spans="1:20" x14ac:dyDescent="0.3">
      <c r="A289">
        <v>1092881</v>
      </c>
      <c r="B289" t="s">
        <v>943</v>
      </c>
      <c r="C289" t="s">
        <v>944</v>
      </c>
      <c r="D289" t="s">
        <v>945</v>
      </c>
      <c r="E289" t="s">
        <v>946</v>
      </c>
      <c r="F289" s="17">
        <v>119452384</v>
      </c>
      <c r="G289" t="s">
        <v>950</v>
      </c>
      <c r="H289" t="s">
        <v>22</v>
      </c>
      <c r="I289" t="s">
        <v>22</v>
      </c>
      <c r="J289" t="s">
        <v>17</v>
      </c>
      <c r="K289">
        <v>87.5</v>
      </c>
      <c r="L289">
        <v>133.5</v>
      </c>
      <c r="M289" t="s">
        <v>948</v>
      </c>
      <c r="N289" t="s">
        <v>949</v>
      </c>
      <c r="O289" s="14"/>
      <c r="Q289" t="s">
        <v>638</v>
      </c>
      <c r="S289" t="str">
        <f t="shared" si="19"/>
        <v>wrong</v>
      </c>
      <c r="T289" t="str">
        <f t="shared" si="20"/>
        <v>wrong</v>
      </c>
    </row>
    <row r="290" spans="1:20" x14ac:dyDescent="0.3">
      <c r="A290">
        <v>1092881</v>
      </c>
      <c r="B290" t="s">
        <v>943</v>
      </c>
      <c r="C290" t="s">
        <v>951</v>
      </c>
      <c r="D290" t="s">
        <v>952</v>
      </c>
      <c r="E290" t="s">
        <v>953</v>
      </c>
      <c r="F290" s="17" t="s">
        <v>954</v>
      </c>
      <c r="G290" t="s">
        <v>955</v>
      </c>
      <c r="H290" t="s">
        <v>22</v>
      </c>
      <c r="I290" t="s">
        <v>22</v>
      </c>
      <c r="J290" t="s">
        <v>17</v>
      </c>
      <c r="K290">
        <v>85.7</v>
      </c>
      <c r="L290">
        <v>132.4</v>
      </c>
      <c r="M290" t="s">
        <v>956</v>
      </c>
      <c r="N290" t="s">
        <v>957</v>
      </c>
      <c r="O290" s="14"/>
      <c r="Q290" t="s">
        <v>598</v>
      </c>
      <c r="S290" t="str">
        <f t="shared" si="19"/>
        <v>wrong</v>
      </c>
      <c r="T290" t="str">
        <f t="shared" si="20"/>
        <v>wrong</v>
      </c>
    </row>
    <row r="291" spans="1:20" x14ac:dyDescent="0.3">
      <c r="A291">
        <v>1092881</v>
      </c>
      <c r="B291" t="s">
        <v>943</v>
      </c>
      <c r="C291" t="s">
        <v>951</v>
      </c>
      <c r="D291" t="s">
        <v>952</v>
      </c>
      <c r="E291" t="s">
        <v>953</v>
      </c>
      <c r="F291" s="17" t="s">
        <v>954</v>
      </c>
      <c r="G291" t="s">
        <v>958</v>
      </c>
      <c r="H291" t="s">
        <v>22</v>
      </c>
      <c r="I291" t="s">
        <v>22</v>
      </c>
      <c r="J291" t="s">
        <v>17</v>
      </c>
      <c r="K291">
        <v>85.7</v>
      </c>
      <c r="L291">
        <v>132.4</v>
      </c>
      <c r="M291" t="s">
        <v>956</v>
      </c>
      <c r="N291" t="s">
        <v>957</v>
      </c>
      <c r="O291" s="14"/>
      <c r="Q291" t="s">
        <v>598</v>
      </c>
      <c r="S291" t="str">
        <f t="shared" si="19"/>
        <v>wrong</v>
      </c>
      <c r="T291" t="str">
        <f t="shared" si="20"/>
        <v>wrong</v>
      </c>
    </row>
    <row r="292" spans="1:20" x14ac:dyDescent="0.3">
      <c r="A292">
        <v>1092881</v>
      </c>
      <c r="B292" t="s">
        <v>943</v>
      </c>
      <c r="C292" t="s">
        <v>951</v>
      </c>
      <c r="D292" t="s">
        <v>952</v>
      </c>
      <c r="E292" t="s">
        <v>953</v>
      </c>
      <c r="F292" s="17" t="s">
        <v>954</v>
      </c>
      <c r="G292" t="s">
        <v>959</v>
      </c>
      <c r="H292" t="s">
        <v>22</v>
      </c>
      <c r="I292" t="s">
        <v>22</v>
      </c>
      <c r="J292" t="s">
        <v>17</v>
      </c>
      <c r="K292">
        <v>85.7</v>
      </c>
      <c r="L292">
        <v>132.4</v>
      </c>
      <c r="M292" t="s">
        <v>956</v>
      </c>
      <c r="N292" t="s">
        <v>957</v>
      </c>
      <c r="O292" s="14"/>
      <c r="Q292" t="s">
        <v>598</v>
      </c>
      <c r="S292" t="str">
        <f t="shared" si="19"/>
        <v>wrong</v>
      </c>
      <c r="T292" t="str">
        <f t="shared" si="20"/>
        <v>wrong</v>
      </c>
    </row>
    <row r="293" spans="1:20" x14ac:dyDescent="0.3">
      <c r="A293">
        <v>1092881</v>
      </c>
      <c r="B293" t="s">
        <v>943</v>
      </c>
      <c r="C293" t="s">
        <v>951</v>
      </c>
      <c r="D293" t="s">
        <v>952</v>
      </c>
      <c r="E293" t="s">
        <v>953</v>
      </c>
      <c r="F293" s="17" t="s">
        <v>954</v>
      </c>
      <c r="G293" t="s">
        <v>960</v>
      </c>
      <c r="H293" t="s">
        <v>22</v>
      </c>
      <c r="I293" t="s">
        <v>22</v>
      </c>
      <c r="J293" t="s">
        <v>17</v>
      </c>
      <c r="K293">
        <v>85.7</v>
      </c>
      <c r="L293">
        <v>132.4</v>
      </c>
      <c r="M293" t="s">
        <v>956</v>
      </c>
      <c r="N293" t="s">
        <v>957</v>
      </c>
      <c r="O293" s="14"/>
      <c r="Q293" t="s">
        <v>598</v>
      </c>
      <c r="S293" t="str">
        <f t="shared" si="19"/>
        <v>wrong</v>
      </c>
      <c r="T293" t="str">
        <f t="shared" si="20"/>
        <v>wrong</v>
      </c>
    </row>
    <row r="294" spans="1:20" x14ac:dyDescent="0.3">
      <c r="A294">
        <v>1092881</v>
      </c>
      <c r="B294" t="s">
        <v>943</v>
      </c>
      <c r="C294" t="s">
        <v>951</v>
      </c>
      <c r="D294" t="s">
        <v>952</v>
      </c>
      <c r="E294" t="s">
        <v>953</v>
      </c>
      <c r="F294" s="17" t="s">
        <v>954</v>
      </c>
      <c r="G294" t="s">
        <v>961</v>
      </c>
      <c r="H294" t="s">
        <v>22</v>
      </c>
      <c r="I294" t="s">
        <v>22</v>
      </c>
      <c r="J294" t="s">
        <v>17</v>
      </c>
      <c r="K294">
        <v>85.7</v>
      </c>
      <c r="L294">
        <v>132.4</v>
      </c>
      <c r="M294" t="s">
        <v>956</v>
      </c>
      <c r="N294" t="s">
        <v>957</v>
      </c>
      <c r="O294" s="14"/>
      <c r="Q294" t="s">
        <v>598</v>
      </c>
      <c r="S294" t="str">
        <f>LOWER(TRIM(CLEAN(Q294)))</f>
        <v>wrong</v>
      </c>
      <c r="T294" t="str">
        <f t="shared" si="20"/>
        <v>wrong</v>
      </c>
    </row>
    <row r="295" spans="1:20" x14ac:dyDescent="0.3">
      <c r="A295">
        <v>1092881</v>
      </c>
      <c r="B295" t="s">
        <v>943</v>
      </c>
      <c r="C295" t="s">
        <v>951</v>
      </c>
      <c r="D295" t="s">
        <v>952</v>
      </c>
      <c r="E295" t="s">
        <v>953</v>
      </c>
      <c r="F295" s="17" t="s">
        <v>954</v>
      </c>
      <c r="G295" t="s">
        <v>962</v>
      </c>
      <c r="H295" t="s">
        <v>22</v>
      </c>
      <c r="I295" t="s">
        <v>22</v>
      </c>
      <c r="J295" t="s">
        <v>17</v>
      </c>
      <c r="K295">
        <v>85.7</v>
      </c>
      <c r="L295">
        <v>132.4</v>
      </c>
      <c r="M295" t="s">
        <v>956</v>
      </c>
      <c r="N295" t="s">
        <v>957</v>
      </c>
      <c r="O295" s="14"/>
      <c r="Q295" t="s">
        <v>598</v>
      </c>
      <c r="S295" t="str">
        <f t="shared" si="19"/>
        <v>wrong</v>
      </c>
      <c r="T295" t="str">
        <f t="shared" si="20"/>
        <v>wrong</v>
      </c>
    </row>
    <row r="296" spans="1:20" x14ac:dyDescent="0.3">
      <c r="A296">
        <v>1092881</v>
      </c>
      <c r="B296" t="s">
        <v>943</v>
      </c>
      <c r="C296" t="s">
        <v>951</v>
      </c>
      <c r="D296" t="s">
        <v>952</v>
      </c>
      <c r="E296" t="s">
        <v>953</v>
      </c>
      <c r="F296" s="17" t="s">
        <v>954</v>
      </c>
      <c r="G296" t="s">
        <v>963</v>
      </c>
      <c r="H296" t="s">
        <v>22</v>
      </c>
      <c r="I296" t="s">
        <v>22</v>
      </c>
      <c r="J296" t="s">
        <v>17</v>
      </c>
      <c r="K296">
        <v>85.7</v>
      </c>
      <c r="L296">
        <v>132.4</v>
      </c>
      <c r="M296" t="s">
        <v>956</v>
      </c>
      <c r="N296" t="s">
        <v>957</v>
      </c>
      <c r="O296" s="14"/>
      <c r="Q296" t="s">
        <v>598</v>
      </c>
      <c r="S296" t="str">
        <f t="shared" si="19"/>
        <v>wrong</v>
      </c>
      <c r="T296" t="str">
        <f t="shared" si="20"/>
        <v>wrong</v>
      </c>
    </row>
    <row r="297" spans="1:20" x14ac:dyDescent="0.3">
      <c r="A297">
        <v>1092881</v>
      </c>
      <c r="B297" t="s">
        <v>943</v>
      </c>
      <c r="C297" t="s">
        <v>951</v>
      </c>
      <c r="D297" t="s">
        <v>952</v>
      </c>
      <c r="E297" t="s">
        <v>953</v>
      </c>
      <c r="F297" s="17" t="s">
        <v>954</v>
      </c>
      <c r="G297" t="s">
        <v>964</v>
      </c>
      <c r="H297" t="s">
        <v>22</v>
      </c>
      <c r="I297" t="s">
        <v>22</v>
      </c>
      <c r="J297" t="s">
        <v>17</v>
      </c>
      <c r="K297">
        <v>85.7</v>
      </c>
      <c r="L297">
        <v>132.4</v>
      </c>
      <c r="M297" t="s">
        <v>956</v>
      </c>
      <c r="N297" t="s">
        <v>957</v>
      </c>
      <c r="O297" s="14"/>
      <c r="Q297" t="s">
        <v>598</v>
      </c>
      <c r="S297" t="str">
        <f t="shared" si="19"/>
        <v>wrong</v>
      </c>
      <c r="T297" t="str">
        <f t="shared" si="20"/>
        <v>wrong</v>
      </c>
    </row>
    <row r="298" spans="1:20" x14ac:dyDescent="0.3">
      <c r="A298">
        <v>1092881</v>
      </c>
      <c r="B298" t="s">
        <v>943</v>
      </c>
      <c r="C298" t="s">
        <v>951</v>
      </c>
      <c r="D298" t="s">
        <v>952</v>
      </c>
      <c r="E298" t="s">
        <v>953</v>
      </c>
      <c r="F298" s="17" t="s">
        <v>954</v>
      </c>
      <c r="G298" t="s">
        <v>965</v>
      </c>
      <c r="H298" t="s">
        <v>22</v>
      </c>
      <c r="I298" t="s">
        <v>22</v>
      </c>
      <c r="J298" t="s">
        <v>17</v>
      </c>
      <c r="K298">
        <v>85.7</v>
      </c>
      <c r="L298">
        <v>132.4</v>
      </c>
      <c r="M298" t="s">
        <v>956</v>
      </c>
      <c r="N298" t="s">
        <v>957</v>
      </c>
      <c r="O298" s="14"/>
      <c r="Q298" t="s">
        <v>598</v>
      </c>
      <c r="S298" t="str">
        <f t="shared" si="19"/>
        <v>wrong</v>
      </c>
      <c r="T298" t="str">
        <f t="shared" si="20"/>
        <v>wrong</v>
      </c>
    </row>
    <row r="299" spans="1:20" x14ac:dyDescent="0.3">
      <c r="A299">
        <v>1092881</v>
      </c>
      <c r="B299" t="s">
        <v>943</v>
      </c>
      <c r="C299" t="s">
        <v>951</v>
      </c>
      <c r="D299" t="s">
        <v>952</v>
      </c>
      <c r="E299" t="s">
        <v>953</v>
      </c>
      <c r="F299" s="17" t="s">
        <v>954</v>
      </c>
      <c r="G299" t="s">
        <v>966</v>
      </c>
      <c r="H299" t="s">
        <v>22</v>
      </c>
      <c r="I299" t="s">
        <v>22</v>
      </c>
      <c r="J299" t="s">
        <v>17</v>
      </c>
      <c r="K299">
        <v>85.7</v>
      </c>
      <c r="L299">
        <v>132.4</v>
      </c>
      <c r="M299" t="s">
        <v>956</v>
      </c>
      <c r="N299" t="s">
        <v>957</v>
      </c>
      <c r="O299" s="14"/>
      <c r="Q299" t="s">
        <v>598</v>
      </c>
      <c r="S299" t="str">
        <f t="shared" si="19"/>
        <v>wrong</v>
      </c>
      <c r="T299" t="str">
        <f t="shared" si="20"/>
        <v>wrong</v>
      </c>
    </row>
    <row r="300" spans="1:20" x14ac:dyDescent="0.3">
      <c r="A300">
        <v>1092881</v>
      </c>
      <c r="B300" t="s">
        <v>943</v>
      </c>
      <c r="C300" t="s">
        <v>951</v>
      </c>
      <c r="D300" t="s">
        <v>952</v>
      </c>
      <c r="E300" t="s">
        <v>953</v>
      </c>
      <c r="F300" s="17" t="s">
        <v>954</v>
      </c>
      <c r="G300" t="s">
        <v>967</v>
      </c>
      <c r="H300" t="s">
        <v>22</v>
      </c>
      <c r="I300" t="s">
        <v>22</v>
      </c>
      <c r="J300" t="s">
        <v>17</v>
      </c>
      <c r="K300">
        <v>85.7</v>
      </c>
      <c r="L300">
        <v>132.4</v>
      </c>
      <c r="M300" t="s">
        <v>956</v>
      </c>
      <c r="N300" t="s">
        <v>957</v>
      </c>
      <c r="O300" s="14"/>
      <c r="Q300" t="s">
        <v>598</v>
      </c>
      <c r="S300" t="str">
        <f t="shared" si="19"/>
        <v>wrong</v>
      </c>
      <c r="T300" t="str">
        <f>IF(S300="","",LOWER(TRIM(S300)))</f>
        <v>wrong</v>
      </c>
    </row>
    <row r="301" spans="1:20" x14ac:dyDescent="0.3">
      <c r="A301">
        <v>1092881</v>
      </c>
      <c r="B301" t="s">
        <v>943</v>
      </c>
      <c r="C301" t="s">
        <v>951</v>
      </c>
      <c r="D301" t="s">
        <v>952</v>
      </c>
      <c r="E301" t="s">
        <v>953</v>
      </c>
      <c r="F301" s="17" t="s">
        <v>954</v>
      </c>
      <c r="G301" t="s">
        <v>968</v>
      </c>
      <c r="H301" t="s">
        <v>22</v>
      </c>
      <c r="I301" t="s">
        <v>22</v>
      </c>
      <c r="J301" t="s">
        <v>17</v>
      </c>
      <c r="K301">
        <v>85.7</v>
      </c>
      <c r="L301">
        <v>132.4</v>
      </c>
      <c r="M301" t="s">
        <v>956</v>
      </c>
      <c r="N301" t="s">
        <v>957</v>
      </c>
      <c r="O301" s="14"/>
      <c r="Q301" t="s">
        <v>598</v>
      </c>
      <c r="S301" t="str">
        <f t="shared" si="19"/>
        <v>wrong</v>
      </c>
      <c r="T301" t="str">
        <f t="shared" ref="T301:T315" si="21">IF(S301="","",LOWER(TRIM(S301)))</f>
        <v>wrong</v>
      </c>
    </row>
    <row r="302" spans="1:20" x14ac:dyDescent="0.3">
      <c r="A302">
        <v>1092881</v>
      </c>
      <c r="B302" t="s">
        <v>943</v>
      </c>
      <c r="C302" t="s">
        <v>951</v>
      </c>
      <c r="D302" t="s">
        <v>952</v>
      </c>
      <c r="E302" t="s">
        <v>953</v>
      </c>
      <c r="F302" s="17" t="s">
        <v>954</v>
      </c>
      <c r="G302" t="s">
        <v>969</v>
      </c>
      <c r="H302" t="s">
        <v>22</v>
      </c>
      <c r="I302" t="s">
        <v>22</v>
      </c>
      <c r="J302" t="s">
        <v>17</v>
      </c>
      <c r="K302">
        <v>85.7</v>
      </c>
      <c r="L302">
        <v>132.4</v>
      </c>
      <c r="M302" t="s">
        <v>956</v>
      </c>
      <c r="N302" t="s">
        <v>957</v>
      </c>
      <c r="O302" s="14"/>
      <c r="Q302" t="s">
        <v>598</v>
      </c>
      <c r="S302" t="str">
        <f t="shared" si="19"/>
        <v>wrong</v>
      </c>
      <c r="T302" t="str">
        <f t="shared" si="21"/>
        <v>wrong</v>
      </c>
    </row>
    <row r="303" spans="1:20" x14ac:dyDescent="0.3">
      <c r="A303">
        <v>1092881</v>
      </c>
      <c r="B303" t="s">
        <v>943</v>
      </c>
      <c r="C303" t="s">
        <v>951</v>
      </c>
      <c r="D303" t="s">
        <v>952</v>
      </c>
      <c r="E303" t="s">
        <v>953</v>
      </c>
      <c r="F303" s="17" t="s">
        <v>954</v>
      </c>
      <c r="G303" t="s">
        <v>970</v>
      </c>
      <c r="H303" t="s">
        <v>22</v>
      </c>
      <c r="I303" t="s">
        <v>22</v>
      </c>
      <c r="J303" t="s">
        <v>17</v>
      </c>
      <c r="K303">
        <v>85.7</v>
      </c>
      <c r="L303">
        <v>132.4</v>
      </c>
      <c r="M303" t="s">
        <v>956</v>
      </c>
      <c r="N303" t="s">
        <v>957</v>
      </c>
      <c r="O303" s="14"/>
      <c r="Q303" t="s">
        <v>598</v>
      </c>
      <c r="S303" t="str">
        <f t="shared" si="19"/>
        <v>wrong</v>
      </c>
      <c r="T303" t="str">
        <f t="shared" si="21"/>
        <v>wrong</v>
      </c>
    </row>
    <row r="304" spans="1:20" x14ac:dyDescent="0.3">
      <c r="A304">
        <v>1092881</v>
      </c>
      <c r="B304" t="s">
        <v>943</v>
      </c>
      <c r="C304" t="s">
        <v>951</v>
      </c>
      <c r="D304" t="s">
        <v>952</v>
      </c>
      <c r="E304" t="s">
        <v>953</v>
      </c>
      <c r="F304" s="17" t="s">
        <v>954</v>
      </c>
      <c r="G304" t="s">
        <v>971</v>
      </c>
      <c r="H304" t="s">
        <v>22</v>
      </c>
      <c r="I304" t="s">
        <v>22</v>
      </c>
      <c r="J304" t="s">
        <v>17</v>
      </c>
      <c r="K304">
        <v>85.7</v>
      </c>
      <c r="L304">
        <v>132.4</v>
      </c>
      <c r="M304" t="s">
        <v>956</v>
      </c>
      <c r="N304" t="s">
        <v>957</v>
      </c>
      <c r="O304" s="14"/>
      <c r="Q304" t="s">
        <v>598</v>
      </c>
      <c r="S304" t="str">
        <f t="shared" si="19"/>
        <v>wrong</v>
      </c>
      <c r="T304" t="str">
        <f t="shared" si="21"/>
        <v>wrong</v>
      </c>
    </row>
    <row r="305" spans="1:20" x14ac:dyDescent="0.3">
      <c r="A305">
        <v>1092881</v>
      </c>
      <c r="B305" t="s">
        <v>943</v>
      </c>
      <c r="C305" t="s">
        <v>951</v>
      </c>
      <c r="D305" t="s">
        <v>952</v>
      </c>
      <c r="E305" t="s">
        <v>953</v>
      </c>
      <c r="F305" s="17" t="s">
        <v>954</v>
      </c>
      <c r="G305" t="s">
        <v>972</v>
      </c>
      <c r="H305" t="s">
        <v>22</v>
      </c>
      <c r="I305" t="s">
        <v>22</v>
      </c>
      <c r="J305" t="s">
        <v>17</v>
      </c>
      <c r="K305">
        <v>85.7</v>
      </c>
      <c r="L305">
        <v>132.4</v>
      </c>
      <c r="M305" t="s">
        <v>956</v>
      </c>
      <c r="N305" t="s">
        <v>957</v>
      </c>
      <c r="O305" s="14"/>
      <c r="Q305" t="s">
        <v>598</v>
      </c>
      <c r="S305" t="str">
        <f t="shared" si="19"/>
        <v>wrong</v>
      </c>
      <c r="T305" t="str">
        <f t="shared" si="21"/>
        <v>wrong</v>
      </c>
    </row>
    <row r="306" spans="1:20" x14ac:dyDescent="0.3">
      <c r="A306">
        <v>1092881</v>
      </c>
      <c r="B306" t="s">
        <v>943</v>
      </c>
      <c r="C306" t="s">
        <v>951</v>
      </c>
      <c r="D306" t="s">
        <v>952</v>
      </c>
      <c r="E306" t="s">
        <v>953</v>
      </c>
      <c r="F306" s="17" t="s">
        <v>954</v>
      </c>
      <c r="G306" t="s">
        <v>973</v>
      </c>
      <c r="H306" t="s">
        <v>22</v>
      </c>
      <c r="I306" t="s">
        <v>22</v>
      </c>
      <c r="J306" t="s">
        <v>17</v>
      </c>
      <c r="K306">
        <v>85.7</v>
      </c>
      <c r="L306">
        <v>132.4</v>
      </c>
      <c r="M306" t="s">
        <v>956</v>
      </c>
      <c r="N306" t="s">
        <v>957</v>
      </c>
      <c r="O306" s="14"/>
      <c r="Q306" t="s">
        <v>598</v>
      </c>
      <c r="S306" t="str">
        <f t="shared" si="19"/>
        <v>wrong</v>
      </c>
      <c r="T306" t="str">
        <f t="shared" si="21"/>
        <v>wrong</v>
      </c>
    </row>
    <row r="307" spans="1:20" x14ac:dyDescent="0.3">
      <c r="A307">
        <v>1092881</v>
      </c>
      <c r="B307" t="s">
        <v>943</v>
      </c>
      <c r="C307" t="s">
        <v>951</v>
      </c>
      <c r="D307" t="s">
        <v>952</v>
      </c>
      <c r="E307" t="s">
        <v>953</v>
      </c>
      <c r="F307" s="17" t="s">
        <v>954</v>
      </c>
      <c r="G307" t="s">
        <v>974</v>
      </c>
      <c r="H307" t="s">
        <v>22</v>
      </c>
      <c r="I307" t="s">
        <v>22</v>
      </c>
      <c r="J307" t="s">
        <v>17</v>
      </c>
      <c r="K307">
        <v>85.7</v>
      </c>
      <c r="L307">
        <v>132.4</v>
      </c>
      <c r="M307" t="s">
        <v>956</v>
      </c>
      <c r="N307" t="s">
        <v>957</v>
      </c>
      <c r="O307" s="14"/>
      <c r="Q307" t="s">
        <v>598</v>
      </c>
      <c r="S307" t="str">
        <f t="shared" si="19"/>
        <v>wrong</v>
      </c>
      <c r="T307" t="str">
        <f t="shared" si="21"/>
        <v>wrong</v>
      </c>
    </row>
    <row r="308" spans="1:20" x14ac:dyDescent="0.3">
      <c r="A308">
        <v>1092881</v>
      </c>
      <c r="B308" t="s">
        <v>943</v>
      </c>
      <c r="C308" t="s">
        <v>951</v>
      </c>
      <c r="D308" t="s">
        <v>952</v>
      </c>
      <c r="E308" t="s">
        <v>953</v>
      </c>
      <c r="F308" s="17" t="s">
        <v>954</v>
      </c>
      <c r="G308" t="s">
        <v>975</v>
      </c>
      <c r="H308" t="s">
        <v>22</v>
      </c>
      <c r="I308" t="s">
        <v>22</v>
      </c>
      <c r="J308" t="s">
        <v>17</v>
      </c>
      <c r="K308">
        <v>85.7</v>
      </c>
      <c r="L308">
        <v>132.4</v>
      </c>
      <c r="M308" t="s">
        <v>956</v>
      </c>
      <c r="N308" t="s">
        <v>957</v>
      </c>
      <c r="O308" s="14"/>
      <c r="Q308" t="s">
        <v>598</v>
      </c>
      <c r="S308" t="str">
        <f t="shared" si="19"/>
        <v>wrong</v>
      </c>
      <c r="T308" t="str">
        <f t="shared" si="21"/>
        <v>wrong</v>
      </c>
    </row>
    <row r="309" spans="1:20" x14ac:dyDescent="0.3">
      <c r="A309">
        <v>1111761</v>
      </c>
      <c r="B309" t="s">
        <v>976</v>
      </c>
      <c r="C309" t="s">
        <v>977</v>
      </c>
      <c r="H309" t="s">
        <v>16</v>
      </c>
      <c r="I309" t="s">
        <v>16</v>
      </c>
      <c r="J309" t="s">
        <v>17</v>
      </c>
      <c r="K309">
        <v>0</v>
      </c>
      <c r="L309">
        <v>0</v>
      </c>
      <c r="O309" s="12"/>
      <c r="Q309" t="s">
        <v>53</v>
      </c>
      <c r="S309" t="str">
        <f t="shared" si="19"/>
        <v>yes</v>
      </c>
      <c r="T309" t="str">
        <f t="shared" si="21"/>
        <v>yes</v>
      </c>
    </row>
    <row r="310" spans="1:20" x14ac:dyDescent="0.3">
      <c r="A310">
        <v>1111761</v>
      </c>
      <c r="B310" t="s">
        <v>976</v>
      </c>
      <c r="C310" t="s">
        <v>978</v>
      </c>
      <c r="H310" t="s">
        <v>16</v>
      </c>
      <c r="I310" t="s">
        <v>16</v>
      </c>
      <c r="J310" t="s">
        <v>17</v>
      </c>
      <c r="K310">
        <v>0</v>
      </c>
      <c r="L310">
        <v>0</v>
      </c>
      <c r="O310" s="12"/>
      <c r="Q310" t="s">
        <v>53</v>
      </c>
      <c r="S310" t="str">
        <f t="shared" si="19"/>
        <v>yes</v>
      </c>
      <c r="T310" t="str">
        <f t="shared" si="21"/>
        <v>yes</v>
      </c>
    </row>
    <row r="311" spans="1:20" x14ac:dyDescent="0.3">
      <c r="A311">
        <v>1111761</v>
      </c>
      <c r="B311" t="s">
        <v>976</v>
      </c>
      <c r="C311" t="s">
        <v>979</v>
      </c>
      <c r="H311" t="s">
        <v>16</v>
      </c>
      <c r="I311" t="s">
        <v>16</v>
      </c>
      <c r="J311" t="s">
        <v>17</v>
      </c>
      <c r="K311">
        <v>0</v>
      </c>
      <c r="L311">
        <v>0</v>
      </c>
      <c r="O311" s="12"/>
      <c r="Q311" t="s">
        <v>53</v>
      </c>
      <c r="S311" t="str">
        <f t="shared" si="19"/>
        <v>yes</v>
      </c>
      <c r="T311" t="str">
        <f t="shared" si="21"/>
        <v>yes</v>
      </c>
    </row>
    <row r="312" spans="1:20" x14ac:dyDescent="0.3">
      <c r="A312">
        <v>1111761</v>
      </c>
      <c r="B312" t="s">
        <v>976</v>
      </c>
      <c r="C312" t="s">
        <v>980</v>
      </c>
      <c r="H312" t="s">
        <v>16</v>
      </c>
      <c r="I312" t="s">
        <v>16</v>
      </c>
      <c r="J312" t="s">
        <v>17</v>
      </c>
      <c r="K312">
        <v>0</v>
      </c>
      <c r="L312">
        <v>0</v>
      </c>
      <c r="O312" s="12"/>
      <c r="Q312" t="s">
        <v>53</v>
      </c>
      <c r="S312" t="str">
        <f t="shared" si="19"/>
        <v>yes</v>
      </c>
      <c r="T312" t="str">
        <f t="shared" si="21"/>
        <v>yes</v>
      </c>
    </row>
    <row r="313" spans="1:20" x14ac:dyDescent="0.3">
      <c r="A313">
        <v>1111761</v>
      </c>
      <c r="B313" t="s">
        <v>976</v>
      </c>
      <c r="C313" t="s">
        <v>981</v>
      </c>
      <c r="H313" t="s">
        <v>16</v>
      </c>
      <c r="I313" t="s">
        <v>16</v>
      </c>
      <c r="J313" t="s">
        <v>17</v>
      </c>
      <c r="K313">
        <v>0</v>
      </c>
      <c r="L313">
        <v>0</v>
      </c>
      <c r="O313" s="12"/>
      <c r="Q313" t="s">
        <v>53</v>
      </c>
      <c r="S313" t="str">
        <f t="shared" si="19"/>
        <v>yes</v>
      </c>
      <c r="T313" t="str">
        <f t="shared" si="21"/>
        <v>yes</v>
      </c>
    </row>
    <row r="314" spans="1:20" x14ac:dyDescent="0.3">
      <c r="A314">
        <v>1111761</v>
      </c>
      <c r="B314" t="s">
        <v>976</v>
      </c>
      <c r="C314" t="s">
        <v>982</v>
      </c>
      <c r="H314" t="s">
        <v>16</v>
      </c>
      <c r="I314" t="s">
        <v>16</v>
      </c>
      <c r="J314" t="s">
        <v>17</v>
      </c>
      <c r="K314">
        <v>0</v>
      </c>
      <c r="L314">
        <v>0</v>
      </c>
      <c r="O314" s="12"/>
      <c r="Q314" t="s">
        <v>53</v>
      </c>
      <c r="S314" t="str">
        <f>LOWER(TRIM(CLEAN(Q314)))</f>
        <v>yes</v>
      </c>
      <c r="T314" t="str">
        <f t="shared" si="21"/>
        <v>yes</v>
      </c>
    </row>
    <row r="315" spans="1:20" x14ac:dyDescent="0.3">
      <c r="A315">
        <v>1111801</v>
      </c>
      <c r="B315" t="s">
        <v>983</v>
      </c>
      <c r="C315" t="s">
        <v>984</v>
      </c>
      <c r="H315" t="s">
        <v>16</v>
      </c>
      <c r="I315" t="s">
        <v>16</v>
      </c>
      <c r="J315" t="s">
        <v>17</v>
      </c>
      <c r="K315">
        <v>0</v>
      </c>
      <c r="L315">
        <v>0</v>
      </c>
      <c r="O315" s="12"/>
      <c r="Q315" t="s">
        <v>53</v>
      </c>
      <c r="S315" t="str">
        <f>LOWER(TRIM(CLEAN(Q315)))</f>
        <v>yes</v>
      </c>
      <c r="T315" t="str">
        <f t="shared" si="21"/>
        <v>yes</v>
      </c>
    </row>
    <row r="316" spans="1:20" x14ac:dyDescent="0.3">
      <c r="A316">
        <v>1130793</v>
      </c>
      <c r="B316" t="s">
        <v>985</v>
      </c>
      <c r="C316" t="s">
        <v>986</v>
      </c>
      <c r="H316" t="s">
        <v>16</v>
      </c>
      <c r="I316" t="s">
        <v>16</v>
      </c>
      <c r="J316" t="s">
        <v>17</v>
      </c>
      <c r="K316">
        <v>0</v>
      </c>
      <c r="L316">
        <v>0</v>
      </c>
      <c r="O316" s="12"/>
      <c r="Q316" t="s">
        <v>53</v>
      </c>
      <c r="S316" t="str">
        <f t="shared" ref="S316:S329" si="22">LOWER(TRIM(CLEAN(Q316)))</f>
        <v>yes</v>
      </c>
      <c r="T316" t="str">
        <f>IF(S316="","",LOWER(TRIM(S316)))</f>
        <v>yes</v>
      </c>
    </row>
    <row r="317" spans="1:20" x14ac:dyDescent="0.3">
      <c r="A317">
        <v>1130793</v>
      </c>
      <c r="B317" t="s">
        <v>985</v>
      </c>
      <c r="C317" t="s">
        <v>987</v>
      </c>
      <c r="H317" t="s">
        <v>16</v>
      </c>
      <c r="I317" t="s">
        <v>16</v>
      </c>
      <c r="J317" t="s">
        <v>17</v>
      </c>
      <c r="K317">
        <v>0</v>
      </c>
      <c r="L317">
        <v>0</v>
      </c>
      <c r="O317" s="12"/>
      <c r="Q317" t="s">
        <v>53</v>
      </c>
      <c r="S317" t="str">
        <f t="shared" si="22"/>
        <v>yes</v>
      </c>
      <c r="T317" t="str">
        <f t="shared" ref="T317:T329" si="23">IF(S317="","",LOWER(TRIM(S317)))</f>
        <v>yes</v>
      </c>
    </row>
    <row r="318" spans="1:20" x14ac:dyDescent="0.3">
      <c r="A318">
        <v>1130793</v>
      </c>
      <c r="B318" t="s">
        <v>985</v>
      </c>
      <c r="C318" t="s">
        <v>988</v>
      </c>
      <c r="D318" t="s">
        <v>989</v>
      </c>
      <c r="E318" t="s">
        <v>990</v>
      </c>
      <c r="H318" t="s">
        <v>22</v>
      </c>
      <c r="I318" t="s">
        <v>22</v>
      </c>
      <c r="J318" t="s">
        <v>17</v>
      </c>
      <c r="K318">
        <v>71.599999999999994</v>
      </c>
      <c r="L318">
        <v>47</v>
      </c>
      <c r="O318" s="12"/>
      <c r="Q318" t="s">
        <v>53</v>
      </c>
      <c r="S318" t="str">
        <f t="shared" si="22"/>
        <v>yes</v>
      </c>
      <c r="T318" t="str">
        <f t="shared" si="23"/>
        <v>yes</v>
      </c>
    </row>
    <row r="319" spans="1:20" x14ac:dyDescent="0.3">
      <c r="A319">
        <v>1130793</v>
      </c>
      <c r="B319" t="s">
        <v>985</v>
      </c>
      <c r="C319" t="s">
        <v>991</v>
      </c>
      <c r="D319" t="s">
        <v>991</v>
      </c>
      <c r="E319" t="s">
        <v>992</v>
      </c>
      <c r="F319" s="17" t="s">
        <v>993</v>
      </c>
      <c r="H319" t="s">
        <v>22</v>
      </c>
      <c r="I319" t="s">
        <v>22</v>
      </c>
      <c r="J319" t="s">
        <v>17</v>
      </c>
      <c r="K319">
        <v>100</v>
      </c>
      <c r="L319">
        <v>114</v>
      </c>
      <c r="M319" t="s">
        <v>994</v>
      </c>
      <c r="N319" t="s">
        <v>995</v>
      </c>
      <c r="O319" s="14"/>
      <c r="Q319" t="s">
        <v>598</v>
      </c>
      <c r="S319" t="str">
        <f t="shared" si="22"/>
        <v>wrong</v>
      </c>
      <c r="T319" t="str">
        <f t="shared" si="23"/>
        <v>wrong</v>
      </c>
    </row>
    <row r="320" spans="1:20" x14ac:dyDescent="0.3">
      <c r="A320">
        <v>1130793</v>
      </c>
      <c r="B320" t="s">
        <v>985</v>
      </c>
      <c r="C320" t="s">
        <v>996</v>
      </c>
      <c r="D320" t="s">
        <v>997</v>
      </c>
      <c r="E320" t="s">
        <v>998</v>
      </c>
      <c r="H320" t="s">
        <v>22</v>
      </c>
      <c r="I320" t="s">
        <v>22</v>
      </c>
      <c r="J320" t="s">
        <v>17</v>
      </c>
      <c r="K320">
        <v>81.8</v>
      </c>
      <c r="L320">
        <v>99.1</v>
      </c>
      <c r="M320" t="s">
        <v>245</v>
      </c>
      <c r="N320" t="s">
        <v>246</v>
      </c>
      <c r="O320" s="14"/>
      <c r="Q320" t="s">
        <v>598</v>
      </c>
      <c r="S320" t="str">
        <f t="shared" si="22"/>
        <v>wrong</v>
      </c>
      <c r="T320" t="str">
        <f t="shared" si="23"/>
        <v>wrong</v>
      </c>
    </row>
    <row r="321" spans="1:20" x14ac:dyDescent="0.3">
      <c r="A321">
        <v>1130793</v>
      </c>
      <c r="B321" t="s">
        <v>985</v>
      </c>
      <c r="C321" t="s">
        <v>999</v>
      </c>
      <c r="D321" t="s">
        <v>999</v>
      </c>
      <c r="E321" t="s">
        <v>1000</v>
      </c>
      <c r="H321" t="s">
        <v>22</v>
      </c>
      <c r="I321" t="s">
        <v>22</v>
      </c>
      <c r="J321" t="s">
        <v>17</v>
      </c>
      <c r="K321">
        <v>100</v>
      </c>
      <c r="L321">
        <v>110</v>
      </c>
      <c r="M321" t="s">
        <v>182</v>
      </c>
      <c r="N321" t="s">
        <v>183</v>
      </c>
      <c r="O321" s="14"/>
      <c r="P321" t="s">
        <v>1001</v>
      </c>
      <c r="Q321" t="s">
        <v>638</v>
      </c>
      <c r="S321" t="str">
        <f t="shared" si="22"/>
        <v>wrong</v>
      </c>
      <c r="T321" t="str">
        <f t="shared" si="23"/>
        <v>wrong</v>
      </c>
    </row>
    <row r="322" spans="1:20" x14ac:dyDescent="0.3">
      <c r="A322">
        <v>1131112</v>
      </c>
      <c r="B322" t="s">
        <v>1002</v>
      </c>
      <c r="C322" t="s">
        <v>1003</v>
      </c>
      <c r="H322" t="s">
        <v>16</v>
      </c>
      <c r="I322" t="s">
        <v>16</v>
      </c>
      <c r="J322" t="s">
        <v>17</v>
      </c>
      <c r="K322">
        <v>0</v>
      </c>
      <c r="L322">
        <v>0</v>
      </c>
      <c r="O322" s="12"/>
      <c r="P322" t="s">
        <v>863</v>
      </c>
      <c r="Q322" t="s">
        <v>53</v>
      </c>
      <c r="S322" t="str">
        <f t="shared" si="22"/>
        <v>yes</v>
      </c>
      <c r="T322" t="str">
        <f t="shared" si="23"/>
        <v>yes</v>
      </c>
    </row>
    <row r="323" spans="1:20" x14ac:dyDescent="0.3">
      <c r="A323">
        <v>1131112</v>
      </c>
      <c r="B323" t="s">
        <v>1002</v>
      </c>
      <c r="C323" t="s">
        <v>1004</v>
      </c>
      <c r="H323" t="s">
        <v>16</v>
      </c>
      <c r="I323" t="s">
        <v>16</v>
      </c>
      <c r="J323" t="s">
        <v>17</v>
      </c>
      <c r="K323">
        <v>0</v>
      </c>
      <c r="L323">
        <v>0</v>
      </c>
      <c r="O323" s="12"/>
      <c r="P323" t="s">
        <v>863</v>
      </c>
      <c r="Q323" t="s">
        <v>53</v>
      </c>
      <c r="S323" t="str">
        <f t="shared" si="22"/>
        <v>yes</v>
      </c>
      <c r="T323" t="str">
        <f t="shared" si="23"/>
        <v>yes</v>
      </c>
    </row>
    <row r="324" spans="1:20" x14ac:dyDescent="0.3">
      <c r="A324">
        <v>1131112</v>
      </c>
      <c r="B324" t="s">
        <v>1002</v>
      </c>
      <c r="C324" t="s">
        <v>1005</v>
      </c>
      <c r="H324" t="s">
        <v>16</v>
      </c>
      <c r="I324" t="s">
        <v>16</v>
      </c>
      <c r="J324" t="s">
        <v>17</v>
      </c>
      <c r="K324">
        <v>0</v>
      </c>
      <c r="L324">
        <v>0</v>
      </c>
      <c r="O324" s="12"/>
      <c r="P324" t="s">
        <v>863</v>
      </c>
      <c r="Q324" t="s">
        <v>53</v>
      </c>
      <c r="S324" t="str">
        <f t="shared" si="22"/>
        <v>yes</v>
      </c>
      <c r="T324" t="str">
        <f t="shared" si="23"/>
        <v>yes</v>
      </c>
    </row>
    <row r="325" spans="1:20" x14ac:dyDescent="0.3">
      <c r="A325">
        <v>1131112</v>
      </c>
      <c r="B325" t="s">
        <v>1002</v>
      </c>
      <c r="C325" t="s">
        <v>1006</v>
      </c>
      <c r="H325" t="s">
        <v>16</v>
      </c>
      <c r="I325" t="s">
        <v>16</v>
      </c>
      <c r="J325" t="s">
        <v>17</v>
      </c>
      <c r="K325">
        <v>0</v>
      </c>
      <c r="L325">
        <v>0</v>
      </c>
      <c r="O325" s="12"/>
      <c r="P325" t="s">
        <v>863</v>
      </c>
      <c r="Q325" t="s">
        <v>53</v>
      </c>
      <c r="S325" t="str">
        <f t="shared" si="22"/>
        <v>yes</v>
      </c>
      <c r="T325" t="str">
        <f t="shared" si="23"/>
        <v>yes</v>
      </c>
    </row>
    <row r="326" spans="1:20" x14ac:dyDescent="0.3">
      <c r="A326">
        <v>1131112</v>
      </c>
      <c r="B326" t="s">
        <v>1002</v>
      </c>
      <c r="C326" t="s">
        <v>1007</v>
      </c>
      <c r="D326" t="s">
        <v>1008</v>
      </c>
      <c r="E326" t="s">
        <v>1009</v>
      </c>
      <c r="F326" s="17" t="s">
        <v>1010</v>
      </c>
      <c r="G326" t="s">
        <v>1011</v>
      </c>
      <c r="H326" t="s">
        <v>46</v>
      </c>
      <c r="I326" t="s">
        <v>46</v>
      </c>
      <c r="J326" t="s">
        <v>17</v>
      </c>
      <c r="K326">
        <v>100</v>
      </c>
      <c r="L326">
        <v>50</v>
      </c>
      <c r="O326" s="12"/>
      <c r="P326" t="s">
        <v>756</v>
      </c>
      <c r="Q326" t="s">
        <v>53</v>
      </c>
      <c r="S326" t="str">
        <f t="shared" si="22"/>
        <v>yes</v>
      </c>
      <c r="T326" t="str">
        <f t="shared" si="23"/>
        <v>yes</v>
      </c>
    </row>
    <row r="327" spans="1:20" x14ac:dyDescent="0.3">
      <c r="A327">
        <v>1131112</v>
      </c>
      <c r="B327" t="s">
        <v>1002</v>
      </c>
      <c r="C327" t="s">
        <v>1007</v>
      </c>
      <c r="D327" t="s">
        <v>1008</v>
      </c>
      <c r="E327" t="s">
        <v>1009</v>
      </c>
      <c r="F327" s="17" t="s">
        <v>1010</v>
      </c>
      <c r="G327" t="s">
        <v>1012</v>
      </c>
      <c r="H327" t="s">
        <v>46</v>
      </c>
      <c r="I327" t="s">
        <v>46</v>
      </c>
      <c r="J327" t="s">
        <v>17</v>
      </c>
      <c r="K327">
        <v>100</v>
      </c>
      <c r="L327">
        <v>50</v>
      </c>
      <c r="O327" s="12"/>
      <c r="Q327" t="s">
        <v>53</v>
      </c>
      <c r="S327" t="str">
        <f t="shared" si="22"/>
        <v>yes</v>
      </c>
      <c r="T327" t="str">
        <f t="shared" si="23"/>
        <v>yes</v>
      </c>
    </row>
    <row r="328" spans="1:20" x14ac:dyDescent="0.3">
      <c r="A328">
        <v>1131112</v>
      </c>
      <c r="B328" t="s">
        <v>1002</v>
      </c>
      <c r="C328" t="s">
        <v>1007</v>
      </c>
      <c r="D328" t="s">
        <v>1008</v>
      </c>
      <c r="E328" t="s">
        <v>1009</v>
      </c>
      <c r="F328" s="17" t="s">
        <v>1010</v>
      </c>
      <c r="G328" t="s">
        <v>1013</v>
      </c>
      <c r="H328" t="s">
        <v>46</v>
      </c>
      <c r="I328" t="s">
        <v>46</v>
      </c>
      <c r="J328" t="s">
        <v>17</v>
      </c>
      <c r="K328">
        <v>100</v>
      </c>
      <c r="L328">
        <v>50</v>
      </c>
      <c r="O328" s="12"/>
      <c r="Q328" t="s">
        <v>53</v>
      </c>
      <c r="S328" t="str">
        <f t="shared" si="22"/>
        <v>yes</v>
      </c>
      <c r="T328" t="str">
        <f t="shared" si="23"/>
        <v>yes</v>
      </c>
    </row>
    <row r="329" spans="1:20" x14ac:dyDescent="0.3">
      <c r="A329">
        <v>1131112</v>
      </c>
      <c r="B329" t="s">
        <v>1002</v>
      </c>
      <c r="C329" t="s">
        <v>1007</v>
      </c>
      <c r="D329" t="s">
        <v>1008</v>
      </c>
      <c r="E329" t="s">
        <v>1009</v>
      </c>
      <c r="F329" s="17" t="s">
        <v>1010</v>
      </c>
      <c r="G329" t="s">
        <v>1014</v>
      </c>
      <c r="H329" t="s">
        <v>46</v>
      </c>
      <c r="I329" t="s">
        <v>46</v>
      </c>
      <c r="J329" t="s">
        <v>17</v>
      </c>
      <c r="K329">
        <v>100</v>
      </c>
      <c r="L329">
        <v>50</v>
      </c>
      <c r="O329" s="12"/>
      <c r="Q329" t="s">
        <v>53</v>
      </c>
      <c r="S329" t="str">
        <f t="shared" si="22"/>
        <v>yes</v>
      </c>
      <c r="T329" t="str">
        <f t="shared" si="23"/>
        <v>yes</v>
      </c>
    </row>
    <row r="330" spans="1:20" x14ac:dyDescent="0.3">
      <c r="A330">
        <v>1131112</v>
      </c>
      <c r="B330" t="s">
        <v>1002</v>
      </c>
      <c r="C330" t="s">
        <v>1007</v>
      </c>
      <c r="D330" t="s">
        <v>1008</v>
      </c>
      <c r="E330" t="s">
        <v>1009</v>
      </c>
      <c r="F330" s="17" t="s">
        <v>1010</v>
      </c>
      <c r="G330" t="s">
        <v>1015</v>
      </c>
      <c r="H330" t="s">
        <v>46</v>
      </c>
      <c r="I330" t="s">
        <v>46</v>
      </c>
      <c r="J330" t="s">
        <v>17</v>
      </c>
      <c r="K330">
        <v>100</v>
      </c>
      <c r="L330">
        <v>50</v>
      </c>
      <c r="O330" s="12"/>
      <c r="Q330" t="s">
        <v>53</v>
      </c>
      <c r="S330" t="str">
        <f>LOWER(TRIM(CLEAN(Q330)))</f>
        <v>yes</v>
      </c>
      <c r="T330" t="str">
        <f>IF(S330="","",LOWER(TRIM(S330)))</f>
        <v>yes</v>
      </c>
    </row>
    <row r="331" spans="1:20" x14ac:dyDescent="0.3">
      <c r="A331">
        <v>1131112</v>
      </c>
      <c r="B331" t="s">
        <v>1002</v>
      </c>
      <c r="C331" t="s">
        <v>1007</v>
      </c>
      <c r="D331" t="s">
        <v>1008</v>
      </c>
      <c r="E331" t="s">
        <v>1009</v>
      </c>
      <c r="F331" s="17" t="s">
        <v>1010</v>
      </c>
      <c r="G331" t="s">
        <v>1016</v>
      </c>
      <c r="H331" t="s">
        <v>46</v>
      </c>
      <c r="I331" t="s">
        <v>46</v>
      </c>
      <c r="J331" t="s">
        <v>17</v>
      </c>
      <c r="K331">
        <v>100</v>
      </c>
      <c r="L331">
        <v>50</v>
      </c>
      <c r="O331" s="12"/>
      <c r="Q331" t="s">
        <v>53</v>
      </c>
      <c r="S331" t="str">
        <f t="shared" ref="S331:S349" si="24">LOWER(TRIM(CLEAN(Q331)))</f>
        <v>yes</v>
      </c>
      <c r="T331" t="str">
        <f t="shared" ref="T331:T346" si="25">IF(S331="","",LOWER(TRIM(S331)))</f>
        <v>yes</v>
      </c>
    </row>
    <row r="332" spans="1:20" x14ac:dyDescent="0.3">
      <c r="A332">
        <v>1131112</v>
      </c>
      <c r="B332" t="s">
        <v>1002</v>
      </c>
      <c r="C332" t="s">
        <v>1007</v>
      </c>
      <c r="D332" t="s">
        <v>1008</v>
      </c>
      <c r="E332" t="s">
        <v>1009</v>
      </c>
      <c r="F332" s="17" t="s">
        <v>1010</v>
      </c>
      <c r="G332" t="s">
        <v>1017</v>
      </c>
      <c r="H332" t="s">
        <v>46</v>
      </c>
      <c r="I332" t="s">
        <v>46</v>
      </c>
      <c r="J332" t="s">
        <v>17</v>
      </c>
      <c r="K332">
        <v>100</v>
      </c>
      <c r="L332">
        <v>50</v>
      </c>
      <c r="O332" s="12"/>
      <c r="Q332" t="s">
        <v>53</v>
      </c>
      <c r="S332" t="str">
        <f t="shared" si="24"/>
        <v>yes</v>
      </c>
      <c r="T332" t="str">
        <f t="shared" si="25"/>
        <v>yes</v>
      </c>
    </row>
    <row r="333" spans="1:20" x14ac:dyDescent="0.3">
      <c r="A333">
        <v>1131112</v>
      </c>
      <c r="B333" t="s">
        <v>1002</v>
      </c>
      <c r="C333" t="s">
        <v>1007</v>
      </c>
      <c r="D333" t="s">
        <v>1008</v>
      </c>
      <c r="E333" t="s">
        <v>1009</v>
      </c>
      <c r="F333" s="17" t="s">
        <v>1010</v>
      </c>
      <c r="G333" t="s">
        <v>1018</v>
      </c>
      <c r="H333" t="s">
        <v>46</v>
      </c>
      <c r="I333" t="s">
        <v>46</v>
      </c>
      <c r="J333" t="s">
        <v>17</v>
      </c>
      <c r="K333">
        <v>100</v>
      </c>
      <c r="L333">
        <v>50</v>
      </c>
      <c r="O333" s="12"/>
      <c r="Q333" t="s">
        <v>53</v>
      </c>
      <c r="S333" t="str">
        <f t="shared" si="24"/>
        <v>yes</v>
      </c>
      <c r="T333" t="str">
        <f t="shared" si="25"/>
        <v>yes</v>
      </c>
    </row>
    <row r="334" spans="1:20" x14ac:dyDescent="0.3">
      <c r="A334">
        <v>1131112</v>
      </c>
      <c r="B334" t="s">
        <v>1002</v>
      </c>
      <c r="C334" t="s">
        <v>1007</v>
      </c>
      <c r="D334" t="s">
        <v>1008</v>
      </c>
      <c r="E334" t="s">
        <v>1009</v>
      </c>
      <c r="F334" s="17" t="s">
        <v>1010</v>
      </c>
      <c r="G334" t="s">
        <v>1019</v>
      </c>
      <c r="H334" t="s">
        <v>46</v>
      </c>
      <c r="I334" t="s">
        <v>46</v>
      </c>
      <c r="J334" t="s">
        <v>17</v>
      </c>
      <c r="K334">
        <v>100</v>
      </c>
      <c r="L334">
        <v>50</v>
      </c>
      <c r="O334" s="12"/>
      <c r="Q334" t="s">
        <v>53</v>
      </c>
      <c r="S334" t="str">
        <f t="shared" si="24"/>
        <v>yes</v>
      </c>
      <c r="T334" t="str">
        <f t="shared" si="25"/>
        <v>yes</v>
      </c>
    </row>
    <row r="335" spans="1:20" x14ac:dyDescent="0.3">
      <c r="A335">
        <v>1131112</v>
      </c>
      <c r="B335" t="s">
        <v>1002</v>
      </c>
      <c r="C335" t="s">
        <v>1007</v>
      </c>
      <c r="D335" t="s">
        <v>1008</v>
      </c>
      <c r="E335" t="s">
        <v>1009</v>
      </c>
      <c r="F335" s="17" t="s">
        <v>1010</v>
      </c>
      <c r="G335" t="s">
        <v>1020</v>
      </c>
      <c r="H335" t="s">
        <v>46</v>
      </c>
      <c r="I335" t="s">
        <v>46</v>
      </c>
      <c r="J335" t="s">
        <v>17</v>
      </c>
      <c r="K335">
        <v>100</v>
      </c>
      <c r="L335">
        <v>50</v>
      </c>
      <c r="O335" s="12"/>
      <c r="Q335" t="s">
        <v>53</v>
      </c>
      <c r="S335" t="str">
        <f t="shared" si="24"/>
        <v>yes</v>
      </c>
      <c r="T335" t="str">
        <f t="shared" si="25"/>
        <v>yes</v>
      </c>
    </row>
    <row r="336" spans="1:20" x14ac:dyDescent="0.3">
      <c r="A336">
        <v>1131112</v>
      </c>
      <c r="B336" t="s">
        <v>1002</v>
      </c>
      <c r="C336" t="s">
        <v>1007</v>
      </c>
      <c r="D336" t="s">
        <v>1008</v>
      </c>
      <c r="E336" t="s">
        <v>1009</v>
      </c>
      <c r="F336" s="17" t="s">
        <v>1010</v>
      </c>
      <c r="G336" t="s">
        <v>1021</v>
      </c>
      <c r="H336" t="s">
        <v>46</v>
      </c>
      <c r="I336" t="s">
        <v>46</v>
      </c>
      <c r="J336" t="s">
        <v>17</v>
      </c>
      <c r="K336">
        <v>100</v>
      </c>
      <c r="L336">
        <v>50</v>
      </c>
      <c r="O336" s="12"/>
      <c r="Q336" t="s">
        <v>53</v>
      </c>
      <c r="S336" t="str">
        <f t="shared" si="24"/>
        <v>yes</v>
      </c>
      <c r="T336" t="str">
        <f t="shared" si="25"/>
        <v>yes</v>
      </c>
    </row>
    <row r="337" spans="1:20" x14ac:dyDescent="0.3">
      <c r="A337">
        <v>1131112</v>
      </c>
      <c r="B337" t="s">
        <v>1002</v>
      </c>
      <c r="C337" t="s">
        <v>1007</v>
      </c>
      <c r="D337" t="s">
        <v>1008</v>
      </c>
      <c r="E337" t="s">
        <v>1009</v>
      </c>
      <c r="F337" s="17" t="s">
        <v>1010</v>
      </c>
      <c r="G337" t="s">
        <v>1022</v>
      </c>
      <c r="H337" t="s">
        <v>46</v>
      </c>
      <c r="I337" t="s">
        <v>46</v>
      </c>
      <c r="J337" t="s">
        <v>17</v>
      </c>
      <c r="K337">
        <v>100</v>
      </c>
      <c r="L337">
        <v>50</v>
      </c>
      <c r="O337" s="12"/>
      <c r="Q337" t="s">
        <v>53</v>
      </c>
      <c r="S337" t="str">
        <f t="shared" si="24"/>
        <v>yes</v>
      </c>
      <c r="T337" t="str">
        <f t="shared" si="25"/>
        <v>yes</v>
      </c>
    </row>
    <row r="338" spans="1:20" x14ac:dyDescent="0.3">
      <c r="A338">
        <v>1131112</v>
      </c>
      <c r="B338" t="s">
        <v>1002</v>
      </c>
      <c r="C338" t="s">
        <v>1007</v>
      </c>
      <c r="D338" t="s">
        <v>1008</v>
      </c>
      <c r="E338" t="s">
        <v>1009</v>
      </c>
      <c r="F338" s="17" t="s">
        <v>1010</v>
      </c>
      <c r="G338" t="s">
        <v>1023</v>
      </c>
      <c r="H338" t="s">
        <v>46</v>
      </c>
      <c r="I338" t="s">
        <v>46</v>
      </c>
      <c r="J338" t="s">
        <v>17</v>
      </c>
      <c r="K338">
        <v>100</v>
      </c>
      <c r="L338">
        <v>50</v>
      </c>
      <c r="O338" s="12"/>
      <c r="Q338" t="s">
        <v>53</v>
      </c>
      <c r="S338" t="str">
        <f t="shared" si="24"/>
        <v>yes</v>
      </c>
      <c r="T338" t="str">
        <f t="shared" si="25"/>
        <v>yes</v>
      </c>
    </row>
    <row r="339" spans="1:20" x14ac:dyDescent="0.3">
      <c r="A339">
        <v>1131112</v>
      </c>
      <c r="B339" t="s">
        <v>1002</v>
      </c>
      <c r="C339" t="s">
        <v>1007</v>
      </c>
      <c r="D339" t="s">
        <v>1008</v>
      </c>
      <c r="E339" t="s">
        <v>1009</v>
      </c>
      <c r="F339" s="17" t="s">
        <v>1010</v>
      </c>
      <c r="G339" t="s">
        <v>1024</v>
      </c>
      <c r="H339" t="s">
        <v>46</v>
      </c>
      <c r="I339" t="s">
        <v>46</v>
      </c>
      <c r="J339" t="s">
        <v>17</v>
      </c>
      <c r="K339">
        <v>100</v>
      </c>
      <c r="L339">
        <v>50</v>
      </c>
      <c r="O339" s="12"/>
      <c r="Q339" t="s">
        <v>53</v>
      </c>
      <c r="S339" t="str">
        <f t="shared" si="24"/>
        <v>yes</v>
      </c>
      <c r="T339" t="str">
        <f t="shared" si="25"/>
        <v>yes</v>
      </c>
    </row>
    <row r="340" spans="1:20" x14ac:dyDescent="0.3">
      <c r="A340">
        <v>1131112</v>
      </c>
      <c r="B340" t="s">
        <v>1002</v>
      </c>
      <c r="C340" t="s">
        <v>1007</v>
      </c>
      <c r="D340" t="s">
        <v>1008</v>
      </c>
      <c r="E340" t="s">
        <v>1009</v>
      </c>
      <c r="F340" s="17" t="s">
        <v>1010</v>
      </c>
      <c r="G340" t="s">
        <v>1025</v>
      </c>
      <c r="H340" t="s">
        <v>46</v>
      </c>
      <c r="I340" t="s">
        <v>46</v>
      </c>
      <c r="J340" t="s">
        <v>17</v>
      </c>
      <c r="K340">
        <v>100</v>
      </c>
      <c r="L340">
        <v>50</v>
      </c>
      <c r="O340" s="12"/>
      <c r="Q340" t="s">
        <v>53</v>
      </c>
      <c r="S340" t="str">
        <f t="shared" si="24"/>
        <v>yes</v>
      </c>
      <c r="T340" t="str">
        <f t="shared" si="25"/>
        <v>yes</v>
      </c>
    </row>
    <row r="341" spans="1:20" x14ac:dyDescent="0.3">
      <c r="A341">
        <v>1131112</v>
      </c>
      <c r="B341" t="s">
        <v>1002</v>
      </c>
      <c r="C341" t="s">
        <v>1007</v>
      </c>
      <c r="D341" t="s">
        <v>1008</v>
      </c>
      <c r="E341" t="s">
        <v>1009</v>
      </c>
      <c r="F341" s="17" t="s">
        <v>1010</v>
      </c>
      <c r="G341" t="s">
        <v>1026</v>
      </c>
      <c r="H341" t="s">
        <v>46</v>
      </c>
      <c r="I341" t="s">
        <v>46</v>
      </c>
      <c r="J341" t="s">
        <v>17</v>
      </c>
      <c r="K341">
        <v>100</v>
      </c>
      <c r="L341">
        <v>50</v>
      </c>
      <c r="O341" s="12"/>
      <c r="Q341" t="s">
        <v>53</v>
      </c>
      <c r="S341" t="str">
        <f t="shared" si="24"/>
        <v>yes</v>
      </c>
      <c r="T341" t="str">
        <f t="shared" si="25"/>
        <v>yes</v>
      </c>
    </row>
    <row r="342" spans="1:20" x14ac:dyDescent="0.3">
      <c r="A342">
        <v>1131112</v>
      </c>
      <c r="B342" t="s">
        <v>1002</v>
      </c>
      <c r="C342" t="s">
        <v>1007</v>
      </c>
      <c r="D342" t="s">
        <v>1008</v>
      </c>
      <c r="E342" t="s">
        <v>1009</v>
      </c>
      <c r="F342" s="17" t="s">
        <v>1010</v>
      </c>
      <c r="G342" t="s">
        <v>1027</v>
      </c>
      <c r="H342" t="s">
        <v>46</v>
      </c>
      <c r="I342" t="s">
        <v>46</v>
      </c>
      <c r="J342" t="s">
        <v>17</v>
      </c>
      <c r="K342">
        <v>100</v>
      </c>
      <c r="L342">
        <v>50</v>
      </c>
      <c r="O342" s="12"/>
      <c r="Q342" t="s">
        <v>53</v>
      </c>
      <c r="S342" t="str">
        <f t="shared" si="24"/>
        <v>yes</v>
      </c>
      <c r="T342" t="str">
        <f t="shared" si="25"/>
        <v>yes</v>
      </c>
    </row>
    <row r="343" spans="1:20" x14ac:dyDescent="0.3">
      <c r="A343">
        <v>1131112</v>
      </c>
      <c r="B343" t="s">
        <v>1002</v>
      </c>
      <c r="C343" t="s">
        <v>1007</v>
      </c>
      <c r="D343" t="s">
        <v>1008</v>
      </c>
      <c r="E343" t="s">
        <v>1009</v>
      </c>
      <c r="F343" s="17" t="s">
        <v>1010</v>
      </c>
      <c r="G343" t="s">
        <v>1028</v>
      </c>
      <c r="H343" t="s">
        <v>46</v>
      </c>
      <c r="I343" t="s">
        <v>46</v>
      </c>
      <c r="J343" t="s">
        <v>17</v>
      </c>
      <c r="K343">
        <v>100</v>
      </c>
      <c r="L343">
        <v>50</v>
      </c>
      <c r="O343" s="12"/>
      <c r="Q343" t="s">
        <v>53</v>
      </c>
      <c r="S343" t="str">
        <f t="shared" si="24"/>
        <v>yes</v>
      </c>
      <c r="T343" t="str">
        <f t="shared" si="25"/>
        <v>yes</v>
      </c>
    </row>
    <row r="344" spans="1:20" x14ac:dyDescent="0.3">
      <c r="A344">
        <v>1131112</v>
      </c>
      <c r="B344" t="s">
        <v>1002</v>
      </c>
      <c r="C344" t="s">
        <v>1007</v>
      </c>
      <c r="D344" t="s">
        <v>1008</v>
      </c>
      <c r="E344" t="s">
        <v>1009</v>
      </c>
      <c r="F344" s="17" t="s">
        <v>1010</v>
      </c>
      <c r="G344" t="s">
        <v>1029</v>
      </c>
      <c r="H344" t="s">
        <v>46</v>
      </c>
      <c r="I344" t="s">
        <v>46</v>
      </c>
      <c r="J344" t="s">
        <v>17</v>
      </c>
      <c r="K344">
        <v>100</v>
      </c>
      <c r="L344">
        <v>50</v>
      </c>
      <c r="O344" s="12"/>
      <c r="Q344" t="s">
        <v>53</v>
      </c>
      <c r="S344" t="str">
        <f t="shared" si="24"/>
        <v>yes</v>
      </c>
      <c r="T344" t="str">
        <f t="shared" si="25"/>
        <v>yes</v>
      </c>
    </row>
    <row r="345" spans="1:20" x14ac:dyDescent="0.3">
      <c r="A345">
        <v>1131112</v>
      </c>
      <c r="B345" t="s">
        <v>1002</v>
      </c>
      <c r="C345" t="s">
        <v>1007</v>
      </c>
      <c r="D345" t="s">
        <v>1008</v>
      </c>
      <c r="E345" t="s">
        <v>1009</v>
      </c>
      <c r="F345" s="17" t="s">
        <v>1010</v>
      </c>
      <c r="G345" t="s">
        <v>1030</v>
      </c>
      <c r="H345" t="s">
        <v>46</v>
      </c>
      <c r="I345" t="s">
        <v>46</v>
      </c>
      <c r="J345" t="s">
        <v>17</v>
      </c>
      <c r="K345">
        <v>100</v>
      </c>
      <c r="L345">
        <v>50</v>
      </c>
      <c r="O345" s="12"/>
      <c r="Q345" t="s">
        <v>53</v>
      </c>
      <c r="S345" t="str">
        <f t="shared" si="24"/>
        <v>yes</v>
      </c>
      <c r="T345" t="str">
        <f t="shared" si="25"/>
        <v>yes</v>
      </c>
    </row>
    <row r="346" spans="1:20" x14ac:dyDescent="0.3">
      <c r="A346">
        <v>1131112</v>
      </c>
      <c r="B346" t="s">
        <v>1002</v>
      </c>
      <c r="C346" t="s">
        <v>1007</v>
      </c>
      <c r="D346" t="s">
        <v>1008</v>
      </c>
      <c r="E346" t="s">
        <v>1009</v>
      </c>
      <c r="F346" s="17" t="s">
        <v>1010</v>
      </c>
      <c r="G346" t="s">
        <v>1031</v>
      </c>
      <c r="H346" t="s">
        <v>46</v>
      </c>
      <c r="I346" t="s">
        <v>46</v>
      </c>
      <c r="J346" t="s">
        <v>17</v>
      </c>
      <c r="K346">
        <v>100</v>
      </c>
      <c r="L346">
        <v>50</v>
      </c>
      <c r="O346" s="12"/>
      <c r="Q346" t="s">
        <v>53</v>
      </c>
      <c r="S346" t="str">
        <f t="shared" si="24"/>
        <v>yes</v>
      </c>
      <c r="T346" t="str">
        <f t="shared" si="25"/>
        <v>yes</v>
      </c>
    </row>
    <row r="347" spans="1:20" x14ac:dyDescent="0.3">
      <c r="A347">
        <v>1131112</v>
      </c>
      <c r="B347" t="s">
        <v>1002</v>
      </c>
      <c r="C347" t="s">
        <v>1007</v>
      </c>
      <c r="D347" t="s">
        <v>1008</v>
      </c>
      <c r="E347" t="s">
        <v>1009</v>
      </c>
      <c r="F347" s="17" t="s">
        <v>1010</v>
      </c>
      <c r="G347" t="s">
        <v>1032</v>
      </c>
      <c r="H347" t="s">
        <v>46</v>
      </c>
      <c r="I347" t="s">
        <v>46</v>
      </c>
      <c r="J347" t="s">
        <v>17</v>
      </c>
      <c r="K347">
        <v>100</v>
      </c>
      <c r="L347">
        <v>50</v>
      </c>
      <c r="O347" s="12"/>
      <c r="Q347" t="s">
        <v>53</v>
      </c>
      <c r="S347" t="str">
        <f t="shared" si="24"/>
        <v>yes</v>
      </c>
      <c r="T347" t="str">
        <f>IF(S347="","",LOWER(TRIM(S347)))</f>
        <v>yes</v>
      </c>
    </row>
    <row r="348" spans="1:20" x14ac:dyDescent="0.3">
      <c r="A348">
        <v>1131112</v>
      </c>
      <c r="B348" t="s">
        <v>1002</v>
      </c>
      <c r="C348" t="s">
        <v>1007</v>
      </c>
      <c r="D348" t="s">
        <v>1008</v>
      </c>
      <c r="E348" t="s">
        <v>1009</v>
      </c>
      <c r="F348" s="17" t="s">
        <v>1010</v>
      </c>
      <c r="G348" t="s">
        <v>1033</v>
      </c>
      <c r="H348" t="s">
        <v>46</v>
      </c>
      <c r="I348" t="s">
        <v>46</v>
      </c>
      <c r="J348" t="s">
        <v>17</v>
      </c>
      <c r="K348">
        <v>100</v>
      </c>
      <c r="L348">
        <v>50</v>
      </c>
      <c r="O348" s="12"/>
      <c r="Q348" t="s">
        <v>53</v>
      </c>
      <c r="S348" t="str">
        <f t="shared" si="24"/>
        <v>yes</v>
      </c>
      <c r="T348" t="str">
        <f t="shared" ref="T348:T362" si="26">IF(S348="","",LOWER(TRIM(S348)))</f>
        <v>yes</v>
      </c>
    </row>
    <row r="349" spans="1:20" x14ac:dyDescent="0.3">
      <c r="A349">
        <v>1131112</v>
      </c>
      <c r="B349" t="s">
        <v>1002</v>
      </c>
      <c r="C349" t="s">
        <v>1007</v>
      </c>
      <c r="D349" t="s">
        <v>1008</v>
      </c>
      <c r="E349" t="s">
        <v>1009</v>
      </c>
      <c r="F349" s="17" t="s">
        <v>1010</v>
      </c>
      <c r="G349" t="s">
        <v>1034</v>
      </c>
      <c r="H349" t="s">
        <v>46</v>
      </c>
      <c r="I349" t="s">
        <v>46</v>
      </c>
      <c r="J349" t="s">
        <v>17</v>
      </c>
      <c r="K349">
        <v>100</v>
      </c>
      <c r="L349">
        <v>50</v>
      </c>
      <c r="O349" s="12"/>
      <c r="Q349" t="s">
        <v>53</v>
      </c>
      <c r="S349" t="str">
        <f t="shared" si="24"/>
        <v>yes</v>
      </c>
      <c r="T349" t="str">
        <f t="shared" si="26"/>
        <v>yes</v>
      </c>
    </row>
    <row r="350" spans="1:20" x14ac:dyDescent="0.3">
      <c r="A350">
        <v>1131112</v>
      </c>
      <c r="B350" t="s">
        <v>1002</v>
      </c>
      <c r="C350" t="s">
        <v>1007</v>
      </c>
      <c r="D350" t="s">
        <v>1008</v>
      </c>
      <c r="E350" t="s">
        <v>1009</v>
      </c>
      <c r="F350" s="17" t="s">
        <v>1010</v>
      </c>
      <c r="G350" t="s">
        <v>1035</v>
      </c>
      <c r="H350" t="s">
        <v>46</v>
      </c>
      <c r="I350" t="s">
        <v>46</v>
      </c>
      <c r="J350" t="s">
        <v>17</v>
      </c>
      <c r="K350">
        <v>100</v>
      </c>
      <c r="L350">
        <v>50</v>
      </c>
      <c r="O350" s="12"/>
      <c r="Q350" t="s">
        <v>53</v>
      </c>
      <c r="S350" t="str">
        <f>LOWER(TRIM(CLEAN(Q350)))</f>
        <v>yes</v>
      </c>
      <c r="T350" t="str">
        <f t="shared" si="26"/>
        <v>yes</v>
      </c>
    </row>
    <row r="351" spans="1:20" x14ac:dyDescent="0.3">
      <c r="A351">
        <v>1131112</v>
      </c>
      <c r="B351" t="s">
        <v>1002</v>
      </c>
      <c r="C351" t="s">
        <v>1007</v>
      </c>
      <c r="D351" t="s">
        <v>1008</v>
      </c>
      <c r="E351" t="s">
        <v>1009</v>
      </c>
      <c r="F351" s="17" t="s">
        <v>1010</v>
      </c>
      <c r="G351" t="s">
        <v>1036</v>
      </c>
      <c r="H351" t="s">
        <v>46</v>
      </c>
      <c r="I351" t="s">
        <v>46</v>
      </c>
      <c r="J351" t="s">
        <v>17</v>
      </c>
      <c r="K351">
        <v>100</v>
      </c>
      <c r="L351">
        <v>50</v>
      </c>
      <c r="O351" s="12"/>
      <c r="Q351" t="s">
        <v>53</v>
      </c>
      <c r="S351" t="str">
        <f t="shared" ref="S351:S381" si="27">LOWER(TRIM(CLEAN(Q351)))</f>
        <v>yes</v>
      </c>
      <c r="T351" t="str">
        <f t="shared" si="26"/>
        <v>yes</v>
      </c>
    </row>
    <row r="352" spans="1:20" x14ac:dyDescent="0.3">
      <c r="A352">
        <v>1131112</v>
      </c>
      <c r="B352" t="s">
        <v>1002</v>
      </c>
      <c r="C352" t="s">
        <v>1007</v>
      </c>
      <c r="D352" t="s">
        <v>1008</v>
      </c>
      <c r="E352" t="s">
        <v>1009</v>
      </c>
      <c r="F352" s="17" t="s">
        <v>1010</v>
      </c>
      <c r="G352" t="s">
        <v>1037</v>
      </c>
      <c r="H352" t="s">
        <v>46</v>
      </c>
      <c r="I352" t="s">
        <v>46</v>
      </c>
      <c r="J352" t="s">
        <v>17</v>
      </c>
      <c r="K352">
        <v>100</v>
      </c>
      <c r="L352">
        <v>50</v>
      </c>
      <c r="O352" s="12"/>
      <c r="Q352" t="s">
        <v>53</v>
      </c>
      <c r="S352" t="str">
        <f t="shared" si="27"/>
        <v>yes</v>
      </c>
      <c r="T352" t="str">
        <f t="shared" si="26"/>
        <v>yes</v>
      </c>
    </row>
    <row r="353" spans="1:20" x14ac:dyDescent="0.3">
      <c r="A353">
        <v>1131112</v>
      </c>
      <c r="B353" t="s">
        <v>1002</v>
      </c>
      <c r="C353" t="s">
        <v>1007</v>
      </c>
      <c r="D353" t="s">
        <v>1008</v>
      </c>
      <c r="E353" t="s">
        <v>1009</v>
      </c>
      <c r="F353" s="17" t="s">
        <v>1010</v>
      </c>
      <c r="G353" t="s">
        <v>1038</v>
      </c>
      <c r="H353" t="s">
        <v>46</v>
      </c>
      <c r="I353" t="s">
        <v>46</v>
      </c>
      <c r="J353" t="s">
        <v>17</v>
      </c>
      <c r="K353">
        <v>100</v>
      </c>
      <c r="L353">
        <v>50</v>
      </c>
      <c r="O353" s="12"/>
      <c r="Q353" t="s">
        <v>53</v>
      </c>
      <c r="S353" t="str">
        <f t="shared" si="27"/>
        <v>yes</v>
      </c>
      <c r="T353" t="str">
        <f t="shared" si="26"/>
        <v>yes</v>
      </c>
    </row>
    <row r="354" spans="1:20" x14ac:dyDescent="0.3">
      <c r="A354">
        <v>1131112</v>
      </c>
      <c r="B354" t="s">
        <v>1002</v>
      </c>
      <c r="C354" t="s">
        <v>1007</v>
      </c>
      <c r="D354" t="s">
        <v>1008</v>
      </c>
      <c r="E354" t="s">
        <v>1009</v>
      </c>
      <c r="F354" s="17" t="s">
        <v>1010</v>
      </c>
      <c r="G354" t="s">
        <v>1039</v>
      </c>
      <c r="H354" t="s">
        <v>46</v>
      </c>
      <c r="I354" t="s">
        <v>46</v>
      </c>
      <c r="J354" t="s">
        <v>17</v>
      </c>
      <c r="K354">
        <v>100</v>
      </c>
      <c r="L354">
        <v>50</v>
      </c>
      <c r="O354" s="12"/>
      <c r="Q354" t="s">
        <v>53</v>
      </c>
      <c r="S354" t="str">
        <f t="shared" si="27"/>
        <v>yes</v>
      </c>
      <c r="T354" t="str">
        <f t="shared" si="26"/>
        <v>yes</v>
      </c>
    </row>
    <row r="355" spans="1:20" x14ac:dyDescent="0.3">
      <c r="A355">
        <v>1131112</v>
      </c>
      <c r="B355" t="s">
        <v>1002</v>
      </c>
      <c r="C355" t="s">
        <v>1040</v>
      </c>
      <c r="D355" t="s">
        <v>1040</v>
      </c>
      <c r="E355" t="s">
        <v>1041</v>
      </c>
      <c r="H355" t="s">
        <v>22</v>
      </c>
      <c r="I355" t="s">
        <v>22</v>
      </c>
      <c r="J355" t="s">
        <v>17</v>
      </c>
      <c r="K355">
        <v>100</v>
      </c>
      <c r="L355">
        <v>111</v>
      </c>
      <c r="M355" t="s">
        <v>1042</v>
      </c>
      <c r="N355" t="s">
        <v>1043</v>
      </c>
      <c r="O355" s="14"/>
      <c r="P355" t="s">
        <v>1044</v>
      </c>
      <c r="Q355" t="s">
        <v>638</v>
      </c>
      <c r="S355" t="str">
        <f t="shared" si="27"/>
        <v>wrong</v>
      </c>
      <c r="T355" t="str">
        <f t="shared" si="26"/>
        <v>wrong</v>
      </c>
    </row>
    <row r="356" spans="1:20" x14ac:dyDescent="0.3">
      <c r="A356">
        <v>1131112</v>
      </c>
      <c r="B356" t="s">
        <v>1002</v>
      </c>
      <c r="C356" t="s">
        <v>1045</v>
      </c>
      <c r="H356" t="s">
        <v>16</v>
      </c>
      <c r="I356" t="s">
        <v>16</v>
      </c>
      <c r="J356" t="s">
        <v>17</v>
      </c>
      <c r="K356">
        <v>0</v>
      </c>
      <c r="L356">
        <v>0</v>
      </c>
      <c r="O356" s="12"/>
      <c r="P356" t="s">
        <v>863</v>
      </c>
      <c r="Q356" t="s">
        <v>53</v>
      </c>
      <c r="S356" t="str">
        <f t="shared" si="27"/>
        <v>yes</v>
      </c>
      <c r="T356" t="str">
        <f t="shared" si="26"/>
        <v>yes</v>
      </c>
    </row>
    <row r="357" spans="1:20" x14ac:dyDescent="0.3">
      <c r="A357">
        <v>1131112</v>
      </c>
      <c r="B357" t="s">
        <v>1002</v>
      </c>
      <c r="C357" t="s">
        <v>1046</v>
      </c>
      <c r="H357" t="s">
        <v>16</v>
      </c>
      <c r="I357" t="s">
        <v>16</v>
      </c>
      <c r="J357" t="s">
        <v>17</v>
      </c>
      <c r="K357">
        <v>0</v>
      </c>
      <c r="L357">
        <v>0</v>
      </c>
      <c r="O357" s="12"/>
      <c r="P357" t="s">
        <v>863</v>
      </c>
      <c r="Q357" t="s">
        <v>53</v>
      </c>
      <c r="S357" t="str">
        <f t="shared" si="27"/>
        <v>yes</v>
      </c>
      <c r="T357" t="str">
        <f t="shared" si="26"/>
        <v>yes</v>
      </c>
    </row>
    <row r="358" spans="1:20" x14ac:dyDescent="0.3">
      <c r="A358">
        <v>1131112</v>
      </c>
      <c r="B358" t="s">
        <v>1002</v>
      </c>
      <c r="C358" t="s">
        <v>1047</v>
      </c>
      <c r="H358" t="s">
        <v>16</v>
      </c>
      <c r="I358" t="s">
        <v>16</v>
      </c>
      <c r="J358" t="s">
        <v>17</v>
      </c>
      <c r="K358">
        <v>0</v>
      </c>
      <c r="L358">
        <v>0</v>
      </c>
      <c r="O358" s="12"/>
      <c r="P358" t="s">
        <v>863</v>
      </c>
      <c r="Q358" t="s">
        <v>53</v>
      </c>
      <c r="S358" t="str">
        <f t="shared" si="27"/>
        <v>yes</v>
      </c>
      <c r="T358" t="str">
        <f t="shared" si="26"/>
        <v>yes</v>
      </c>
    </row>
    <row r="359" spans="1:20" x14ac:dyDescent="0.3">
      <c r="A359">
        <v>1131112</v>
      </c>
      <c r="B359" t="s">
        <v>1002</v>
      </c>
      <c r="C359" t="s">
        <v>1048</v>
      </c>
      <c r="H359" t="s">
        <v>16</v>
      </c>
      <c r="I359" t="s">
        <v>16</v>
      </c>
      <c r="J359" t="s">
        <v>17</v>
      </c>
      <c r="K359">
        <v>0</v>
      </c>
      <c r="L359">
        <v>0</v>
      </c>
      <c r="O359" s="12"/>
      <c r="P359" t="s">
        <v>863</v>
      </c>
      <c r="Q359" t="s">
        <v>53</v>
      </c>
      <c r="S359" t="str">
        <f t="shared" si="27"/>
        <v>yes</v>
      </c>
      <c r="T359" t="str">
        <f t="shared" si="26"/>
        <v>yes</v>
      </c>
    </row>
    <row r="360" spans="1:20" x14ac:dyDescent="0.3">
      <c r="A360">
        <v>1131112</v>
      </c>
      <c r="B360" t="s">
        <v>1002</v>
      </c>
      <c r="C360" t="s">
        <v>1049</v>
      </c>
      <c r="D360" t="s">
        <v>1008</v>
      </c>
      <c r="E360" t="s">
        <v>1009</v>
      </c>
      <c r="F360" s="17" t="s">
        <v>1010</v>
      </c>
      <c r="G360" t="s">
        <v>1011</v>
      </c>
      <c r="H360" t="s">
        <v>46</v>
      </c>
      <c r="I360" t="s">
        <v>46</v>
      </c>
      <c r="J360" t="s">
        <v>17</v>
      </c>
      <c r="K360">
        <v>100</v>
      </c>
      <c r="L360">
        <v>50</v>
      </c>
      <c r="O360" s="12"/>
      <c r="Q360" t="s">
        <v>53</v>
      </c>
      <c r="S360" t="str">
        <f t="shared" si="27"/>
        <v>yes</v>
      </c>
      <c r="T360" t="str">
        <f t="shared" si="26"/>
        <v>yes</v>
      </c>
    </row>
    <row r="361" spans="1:20" x14ac:dyDescent="0.3">
      <c r="A361">
        <v>1131112</v>
      </c>
      <c r="B361" t="s">
        <v>1002</v>
      </c>
      <c r="C361" t="s">
        <v>1049</v>
      </c>
      <c r="D361" t="s">
        <v>1008</v>
      </c>
      <c r="E361" t="s">
        <v>1009</v>
      </c>
      <c r="F361" s="17" t="s">
        <v>1010</v>
      </c>
      <c r="G361" t="s">
        <v>1012</v>
      </c>
      <c r="H361" t="s">
        <v>46</v>
      </c>
      <c r="I361" t="s">
        <v>46</v>
      </c>
      <c r="J361" t="s">
        <v>17</v>
      </c>
      <c r="K361">
        <v>100</v>
      </c>
      <c r="L361">
        <v>50</v>
      </c>
      <c r="O361" s="12"/>
      <c r="Q361" t="s">
        <v>53</v>
      </c>
      <c r="S361" t="str">
        <f t="shared" si="27"/>
        <v>yes</v>
      </c>
      <c r="T361" t="str">
        <f t="shared" si="26"/>
        <v>yes</v>
      </c>
    </row>
    <row r="362" spans="1:20" x14ac:dyDescent="0.3">
      <c r="A362">
        <v>1131112</v>
      </c>
      <c r="B362" t="s">
        <v>1002</v>
      </c>
      <c r="C362" t="s">
        <v>1049</v>
      </c>
      <c r="D362" t="s">
        <v>1008</v>
      </c>
      <c r="E362" t="s">
        <v>1009</v>
      </c>
      <c r="F362" s="17" t="s">
        <v>1010</v>
      </c>
      <c r="G362" t="s">
        <v>1013</v>
      </c>
      <c r="H362" t="s">
        <v>46</v>
      </c>
      <c r="I362" t="s">
        <v>46</v>
      </c>
      <c r="J362" t="s">
        <v>17</v>
      </c>
      <c r="K362">
        <v>100</v>
      </c>
      <c r="L362">
        <v>50</v>
      </c>
      <c r="O362" s="12"/>
      <c r="Q362" t="s">
        <v>53</v>
      </c>
      <c r="S362" t="str">
        <f t="shared" si="27"/>
        <v>yes</v>
      </c>
      <c r="T362" t="str">
        <f t="shared" si="26"/>
        <v>yes</v>
      </c>
    </row>
    <row r="363" spans="1:20" x14ac:dyDescent="0.3">
      <c r="A363">
        <v>1131112</v>
      </c>
      <c r="B363" t="s">
        <v>1002</v>
      </c>
      <c r="C363" t="s">
        <v>1049</v>
      </c>
      <c r="D363" t="s">
        <v>1008</v>
      </c>
      <c r="E363" t="s">
        <v>1009</v>
      </c>
      <c r="F363" s="17" t="s">
        <v>1010</v>
      </c>
      <c r="G363" t="s">
        <v>1014</v>
      </c>
      <c r="H363" t="s">
        <v>46</v>
      </c>
      <c r="I363" t="s">
        <v>46</v>
      </c>
      <c r="J363" t="s">
        <v>17</v>
      </c>
      <c r="K363">
        <v>100</v>
      </c>
      <c r="L363">
        <v>50</v>
      </c>
      <c r="O363" s="12"/>
      <c r="Q363" t="s">
        <v>53</v>
      </c>
      <c r="S363" t="str">
        <f t="shared" si="27"/>
        <v>yes</v>
      </c>
      <c r="T363" t="str">
        <f>IF(S363="","",LOWER(TRIM(S363)))</f>
        <v>yes</v>
      </c>
    </row>
    <row r="364" spans="1:20" x14ac:dyDescent="0.3">
      <c r="A364">
        <v>1131112</v>
      </c>
      <c r="B364" t="s">
        <v>1002</v>
      </c>
      <c r="C364" t="s">
        <v>1049</v>
      </c>
      <c r="D364" t="s">
        <v>1008</v>
      </c>
      <c r="E364" t="s">
        <v>1009</v>
      </c>
      <c r="F364" s="17" t="s">
        <v>1010</v>
      </c>
      <c r="G364" t="s">
        <v>1015</v>
      </c>
      <c r="H364" t="s">
        <v>46</v>
      </c>
      <c r="I364" t="s">
        <v>46</v>
      </c>
      <c r="J364" t="s">
        <v>17</v>
      </c>
      <c r="K364">
        <v>100</v>
      </c>
      <c r="L364">
        <v>50</v>
      </c>
      <c r="O364" s="12"/>
      <c r="Q364" t="s">
        <v>53</v>
      </c>
      <c r="S364" t="str">
        <f t="shared" si="27"/>
        <v>yes</v>
      </c>
      <c r="T364" t="str">
        <f t="shared" ref="T364:T378" si="28">IF(S364="","",LOWER(TRIM(S364)))</f>
        <v>yes</v>
      </c>
    </row>
    <row r="365" spans="1:20" x14ac:dyDescent="0.3">
      <c r="A365">
        <v>1131112</v>
      </c>
      <c r="B365" t="s">
        <v>1002</v>
      </c>
      <c r="C365" t="s">
        <v>1049</v>
      </c>
      <c r="D365" t="s">
        <v>1008</v>
      </c>
      <c r="E365" t="s">
        <v>1009</v>
      </c>
      <c r="F365" s="17" t="s">
        <v>1010</v>
      </c>
      <c r="G365" t="s">
        <v>1016</v>
      </c>
      <c r="H365" t="s">
        <v>46</v>
      </c>
      <c r="I365" t="s">
        <v>46</v>
      </c>
      <c r="J365" t="s">
        <v>17</v>
      </c>
      <c r="K365">
        <v>100</v>
      </c>
      <c r="L365">
        <v>50</v>
      </c>
      <c r="O365" s="12"/>
      <c r="Q365" t="s">
        <v>53</v>
      </c>
      <c r="S365" t="str">
        <f t="shared" si="27"/>
        <v>yes</v>
      </c>
      <c r="T365" t="str">
        <f t="shared" si="28"/>
        <v>yes</v>
      </c>
    </row>
    <row r="366" spans="1:20" x14ac:dyDescent="0.3">
      <c r="A366">
        <v>1131112</v>
      </c>
      <c r="B366" t="s">
        <v>1002</v>
      </c>
      <c r="C366" t="s">
        <v>1049</v>
      </c>
      <c r="D366" t="s">
        <v>1008</v>
      </c>
      <c r="E366" t="s">
        <v>1009</v>
      </c>
      <c r="F366" s="17" t="s">
        <v>1010</v>
      </c>
      <c r="G366" t="s">
        <v>1017</v>
      </c>
      <c r="H366" t="s">
        <v>46</v>
      </c>
      <c r="I366" t="s">
        <v>46</v>
      </c>
      <c r="J366" t="s">
        <v>17</v>
      </c>
      <c r="K366">
        <v>100</v>
      </c>
      <c r="L366">
        <v>50</v>
      </c>
      <c r="O366" s="12"/>
      <c r="Q366" t="s">
        <v>53</v>
      </c>
      <c r="S366" t="str">
        <f t="shared" si="27"/>
        <v>yes</v>
      </c>
      <c r="T366" t="str">
        <f t="shared" si="28"/>
        <v>yes</v>
      </c>
    </row>
    <row r="367" spans="1:20" x14ac:dyDescent="0.3">
      <c r="A367">
        <v>1131112</v>
      </c>
      <c r="B367" t="s">
        <v>1002</v>
      </c>
      <c r="C367" t="s">
        <v>1049</v>
      </c>
      <c r="D367" t="s">
        <v>1008</v>
      </c>
      <c r="E367" t="s">
        <v>1009</v>
      </c>
      <c r="F367" s="17" t="s">
        <v>1010</v>
      </c>
      <c r="G367" t="s">
        <v>1018</v>
      </c>
      <c r="H367" t="s">
        <v>46</v>
      </c>
      <c r="I367" t="s">
        <v>46</v>
      </c>
      <c r="J367" t="s">
        <v>17</v>
      </c>
      <c r="K367">
        <v>100</v>
      </c>
      <c r="L367">
        <v>50</v>
      </c>
      <c r="O367" s="12"/>
      <c r="Q367" t="s">
        <v>53</v>
      </c>
      <c r="S367" t="str">
        <f t="shared" si="27"/>
        <v>yes</v>
      </c>
      <c r="T367" t="str">
        <f t="shared" si="28"/>
        <v>yes</v>
      </c>
    </row>
    <row r="368" spans="1:20" x14ac:dyDescent="0.3">
      <c r="A368">
        <v>1131112</v>
      </c>
      <c r="B368" t="s">
        <v>1002</v>
      </c>
      <c r="C368" t="s">
        <v>1049</v>
      </c>
      <c r="D368" t="s">
        <v>1008</v>
      </c>
      <c r="E368" t="s">
        <v>1009</v>
      </c>
      <c r="F368" s="17" t="s">
        <v>1010</v>
      </c>
      <c r="G368" t="s">
        <v>1019</v>
      </c>
      <c r="H368" t="s">
        <v>46</v>
      </c>
      <c r="I368" t="s">
        <v>46</v>
      </c>
      <c r="J368" t="s">
        <v>17</v>
      </c>
      <c r="K368">
        <v>100</v>
      </c>
      <c r="L368">
        <v>50</v>
      </c>
      <c r="O368" s="12"/>
      <c r="Q368" t="s">
        <v>53</v>
      </c>
      <c r="S368" t="str">
        <f t="shared" si="27"/>
        <v>yes</v>
      </c>
      <c r="T368" t="str">
        <f t="shared" si="28"/>
        <v>yes</v>
      </c>
    </row>
    <row r="369" spans="1:20" x14ac:dyDescent="0.3">
      <c r="A369">
        <v>1131112</v>
      </c>
      <c r="B369" t="s">
        <v>1002</v>
      </c>
      <c r="C369" t="s">
        <v>1049</v>
      </c>
      <c r="D369" t="s">
        <v>1008</v>
      </c>
      <c r="E369" t="s">
        <v>1009</v>
      </c>
      <c r="F369" s="17" t="s">
        <v>1010</v>
      </c>
      <c r="G369" t="s">
        <v>1020</v>
      </c>
      <c r="H369" t="s">
        <v>46</v>
      </c>
      <c r="I369" t="s">
        <v>46</v>
      </c>
      <c r="J369" t="s">
        <v>17</v>
      </c>
      <c r="K369">
        <v>100</v>
      </c>
      <c r="L369">
        <v>50</v>
      </c>
      <c r="O369" s="12"/>
      <c r="Q369" t="s">
        <v>53</v>
      </c>
      <c r="S369" t="str">
        <f t="shared" si="27"/>
        <v>yes</v>
      </c>
      <c r="T369" t="str">
        <f t="shared" si="28"/>
        <v>yes</v>
      </c>
    </row>
    <row r="370" spans="1:20" x14ac:dyDescent="0.3">
      <c r="A370">
        <v>1131112</v>
      </c>
      <c r="B370" t="s">
        <v>1002</v>
      </c>
      <c r="C370" t="s">
        <v>1049</v>
      </c>
      <c r="D370" t="s">
        <v>1008</v>
      </c>
      <c r="E370" t="s">
        <v>1009</v>
      </c>
      <c r="F370" s="17" t="s">
        <v>1010</v>
      </c>
      <c r="G370" t="s">
        <v>1021</v>
      </c>
      <c r="H370" t="s">
        <v>46</v>
      </c>
      <c r="I370" t="s">
        <v>46</v>
      </c>
      <c r="J370" t="s">
        <v>17</v>
      </c>
      <c r="K370">
        <v>100</v>
      </c>
      <c r="L370">
        <v>50</v>
      </c>
      <c r="O370" s="12"/>
      <c r="Q370" t="s">
        <v>53</v>
      </c>
      <c r="S370" t="str">
        <f t="shared" si="27"/>
        <v>yes</v>
      </c>
      <c r="T370" t="str">
        <f t="shared" si="28"/>
        <v>yes</v>
      </c>
    </row>
    <row r="371" spans="1:20" x14ac:dyDescent="0.3">
      <c r="A371">
        <v>1131112</v>
      </c>
      <c r="B371" t="s">
        <v>1002</v>
      </c>
      <c r="C371" t="s">
        <v>1049</v>
      </c>
      <c r="D371" t="s">
        <v>1008</v>
      </c>
      <c r="E371" t="s">
        <v>1009</v>
      </c>
      <c r="F371" s="17" t="s">
        <v>1010</v>
      </c>
      <c r="G371" t="s">
        <v>1022</v>
      </c>
      <c r="H371" t="s">
        <v>46</v>
      </c>
      <c r="I371" t="s">
        <v>46</v>
      </c>
      <c r="J371" t="s">
        <v>17</v>
      </c>
      <c r="K371">
        <v>100</v>
      </c>
      <c r="L371">
        <v>50</v>
      </c>
      <c r="O371" s="12"/>
      <c r="Q371" t="s">
        <v>53</v>
      </c>
      <c r="S371" t="str">
        <f t="shared" si="27"/>
        <v>yes</v>
      </c>
      <c r="T371" t="str">
        <f t="shared" si="28"/>
        <v>yes</v>
      </c>
    </row>
    <row r="372" spans="1:20" x14ac:dyDescent="0.3">
      <c r="A372">
        <v>1131112</v>
      </c>
      <c r="B372" t="s">
        <v>1002</v>
      </c>
      <c r="C372" t="s">
        <v>1049</v>
      </c>
      <c r="D372" t="s">
        <v>1008</v>
      </c>
      <c r="E372" t="s">
        <v>1009</v>
      </c>
      <c r="F372" s="17" t="s">
        <v>1010</v>
      </c>
      <c r="G372" t="s">
        <v>1023</v>
      </c>
      <c r="H372" t="s">
        <v>46</v>
      </c>
      <c r="I372" t="s">
        <v>46</v>
      </c>
      <c r="J372" t="s">
        <v>17</v>
      </c>
      <c r="K372">
        <v>100</v>
      </c>
      <c r="L372">
        <v>50</v>
      </c>
      <c r="O372" s="12"/>
      <c r="Q372" t="s">
        <v>53</v>
      </c>
      <c r="S372" t="str">
        <f t="shared" si="27"/>
        <v>yes</v>
      </c>
      <c r="T372" t="str">
        <f t="shared" si="28"/>
        <v>yes</v>
      </c>
    </row>
    <row r="373" spans="1:20" x14ac:dyDescent="0.3">
      <c r="A373">
        <v>1131112</v>
      </c>
      <c r="B373" t="s">
        <v>1002</v>
      </c>
      <c r="C373" t="s">
        <v>1049</v>
      </c>
      <c r="D373" t="s">
        <v>1008</v>
      </c>
      <c r="E373" t="s">
        <v>1009</v>
      </c>
      <c r="F373" s="17" t="s">
        <v>1010</v>
      </c>
      <c r="G373" t="s">
        <v>1024</v>
      </c>
      <c r="H373" t="s">
        <v>46</v>
      </c>
      <c r="I373" t="s">
        <v>46</v>
      </c>
      <c r="J373" t="s">
        <v>17</v>
      </c>
      <c r="K373">
        <v>100</v>
      </c>
      <c r="L373">
        <v>50</v>
      </c>
      <c r="O373" s="12"/>
      <c r="Q373" t="s">
        <v>53</v>
      </c>
      <c r="S373" t="str">
        <f t="shared" si="27"/>
        <v>yes</v>
      </c>
      <c r="T373" t="str">
        <f t="shared" si="28"/>
        <v>yes</v>
      </c>
    </row>
    <row r="374" spans="1:20" x14ac:dyDescent="0.3">
      <c r="A374">
        <v>1131112</v>
      </c>
      <c r="B374" t="s">
        <v>1002</v>
      </c>
      <c r="C374" t="s">
        <v>1049</v>
      </c>
      <c r="D374" t="s">
        <v>1008</v>
      </c>
      <c r="E374" t="s">
        <v>1009</v>
      </c>
      <c r="F374" s="17" t="s">
        <v>1010</v>
      </c>
      <c r="G374" t="s">
        <v>1025</v>
      </c>
      <c r="H374" t="s">
        <v>46</v>
      </c>
      <c r="I374" t="s">
        <v>46</v>
      </c>
      <c r="J374" t="s">
        <v>17</v>
      </c>
      <c r="K374">
        <v>100</v>
      </c>
      <c r="L374">
        <v>50</v>
      </c>
      <c r="O374" s="12"/>
      <c r="Q374" t="s">
        <v>53</v>
      </c>
      <c r="S374" t="str">
        <f t="shared" si="27"/>
        <v>yes</v>
      </c>
      <c r="T374" t="str">
        <f t="shared" si="28"/>
        <v>yes</v>
      </c>
    </row>
    <row r="375" spans="1:20" x14ac:dyDescent="0.3">
      <c r="A375">
        <v>1131112</v>
      </c>
      <c r="B375" t="s">
        <v>1002</v>
      </c>
      <c r="C375" t="s">
        <v>1049</v>
      </c>
      <c r="D375" t="s">
        <v>1008</v>
      </c>
      <c r="E375" t="s">
        <v>1009</v>
      </c>
      <c r="F375" s="17" t="s">
        <v>1010</v>
      </c>
      <c r="G375" t="s">
        <v>1026</v>
      </c>
      <c r="H375" t="s">
        <v>46</v>
      </c>
      <c r="I375" t="s">
        <v>46</v>
      </c>
      <c r="J375" t="s">
        <v>17</v>
      </c>
      <c r="K375">
        <v>100</v>
      </c>
      <c r="L375">
        <v>50</v>
      </c>
      <c r="O375" s="12"/>
      <c r="Q375" t="s">
        <v>53</v>
      </c>
      <c r="S375" t="str">
        <f t="shared" si="27"/>
        <v>yes</v>
      </c>
      <c r="T375" t="str">
        <f t="shared" si="28"/>
        <v>yes</v>
      </c>
    </row>
    <row r="376" spans="1:20" x14ac:dyDescent="0.3">
      <c r="A376">
        <v>1131112</v>
      </c>
      <c r="B376" t="s">
        <v>1002</v>
      </c>
      <c r="C376" t="s">
        <v>1049</v>
      </c>
      <c r="D376" t="s">
        <v>1008</v>
      </c>
      <c r="E376" t="s">
        <v>1009</v>
      </c>
      <c r="F376" s="17" t="s">
        <v>1010</v>
      </c>
      <c r="G376" t="s">
        <v>1027</v>
      </c>
      <c r="H376" t="s">
        <v>46</v>
      </c>
      <c r="I376" t="s">
        <v>46</v>
      </c>
      <c r="J376" t="s">
        <v>17</v>
      </c>
      <c r="K376">
        <v>100</v>
      </c>
      <c r="L376">
        <v>50</v>
      </c>
      <c r="O376" s="12"/>
      <c r="Q376" t="s">
        <v>53</v>
      </c>
      <c r="S376" t="str">
        <f>LOWER(TRIM(CLEAN(Q376)))</f>
        <v>yes</v>
      </c>
      <c r="T376" t="str">
        <f t="shared" si="28"/>
        <v>yes</v>
      </c>
    </row>
    <row r="377" spans="1:20" x14ac:dyDescent="0.3">
      <c r="A377">
        <v>1131112</v>
      </c>
      <c r="B377" t="s">
        <v>1002</v>
      </c>
      <c r="C377" t="s">
        <v>1049</v>
      </c>
      <c r="D377" t="s">
        <v>1008</v>
      </c>
      <c r="E377" t="s">
        <v>1009</v>
      </c>
      <c r="F377" s="17" t="s">
        <v>1010</v>
      </c>
      <c r="G377" t="s">
        <v>1028</v>
      </c>
      <c r="H377" t="s">
        <v>46</v>
      </c>
      <c r="I377" t="s">
        <v>46</v>
      </c>
      <c r="J377" t="s">
        <v>17</v>
      </c>
      <c r="K377">
        <v>100</v>
      </c>
      <c r="L377">
        <v>50</v>
      </c>
      <c r="O377" s="12"/>
      <c r="Q377" t="s">
        <v>53</v>
      </c>
      <c r="S377" t="str">
        <f t="shared" si="27"/>
        <v>yes</v>
      </c>
      <c r="T377" t="str">
        <f t="shared" si="28"/>
        <v>yes</v>
      </c>
    </row>
    <row r="378" spans="1:20" x14ac:dyDescent="0.3">
      <c r="A378">
        <v>1131112</v>
      </c>
      <c r="B378" t="s">
        <v>1002</v>
      </c>
      <c r="C378" t="s">
        <v>1049</v>
      </c>
      <c r="D378" t="s">
        <v>1008</v>
      </c>
      <c r="E378" t="s">
        <v>1009</v>
      </c>
      <c r="F378" s="17" t="s">
        <v>1010</v>
      </c>
      <c r="G378" t="s">
        <v>1029</v>
      </c>
      <c r="H378" t="s">
        <v>46</v>
      </c>
      <c r="I378" t="s">
        <v>46</v>
      </c>
      <c r="J378" t="s">
        <v>17</v>
      </c>
      <c r="K378">
        <v>100</v>
      </c>
      <c r="L378">
        <v>50</v>
      </c>
      <c r="O378" s="12"/>
      <c r="Q378" t="s">
        <v>53</v>
      </c>
      <c r="S378" t="str">
        <f t="shared" si="27"/>
        <v>yes</v>
      </c>
      <c r="T378" t="str">
        <f t="shared" si="28"/>
        <v>yes</v>
      </c>
    </row>
    <row r="379" spans="1:20" x14ac:dyDescent="0.3">
      <c r="A379">
        <v>1131112</v>
      </c>
      <c r="B379" t="s">
        <v>1002</v>
      </c>
      <c r="C379" t="s">
        <v>1049</v>
      </c>
      <c r="D379" t="s">
        <v>1008</v>
      </c>
      <c r="E379" t="s">
        <v>1009</v>
      </c>
      <c r="F379" s="17" t="s">
        <v>1010</v>
      </c>
      <c r="G379" t="s">
        <v>1030</v>
      </c>
      <c r="H379" t="s">
        <v>46</v>
      </c>
      <c r="I379" t="s">
        <v>46</v>
      </c>
      <c r="J379" t="s">
        <v>17</v>
      </c>
      <c r="K379">
        <v>100</v>
      </c>
      <c r="L379">
        <v>50</v>
      </c>
      <c r="O379" s="12"/>
      <c r="Q379" t="s">
        <v>53</v>
      </c>
      <c r="S379" t="str">
        <f t="shared" si="27"/>
        <v>yes</v>
      </c>
      <c r="T379" t="str">
        <f>IF(S379="","",LOWER(TRIM(S379)))</f>
        <v>yes</v>
      </c>
    </row>
    <row r="380" spans="1:20" x14ac:dyDescent="0.3">
      <c r="A380">
        <v>1131112</v>
      </c>
      <c r="B380" t="s">
        <v>1002</v>
      </c>
      <c r="C380" t="s">
        <v>1049</v>
      </c>
      <c r="D380" t="s">
        <v>1008</v>
      </c>
      <c r="E380" t="s">
        <v>1009</v>
      </c>
      <c r="F380" s="17" t="s">
        <v>1010</v>
      </c>
      <c r="G380" t="s">
        <v>1031</v>
      </c>
      <c r="H380" t="s">
        <v>46</v>
      </c>
      <c r="I380" t="s">
        <v>46</v>
      </c>
      <c r="J380" t="s">
        <v>17</v>
      </c>
      <c r="K380">
        <v>100</v>
      </c>
      <c r="L380">
        <v>50</v>
      </c>
      <c r="O380" s="12"/>
      <c r="Q380" t="s">
        <v>53</v>
      </c>
      <c r="S380" t="str">
        <f t="shared" si="27"/>
        <v>yes</v>
      </c>
      <c r="T380" t="str">
        <f t="shared" ref="T380:T389" si="29">IF(S380="","",LOWER(TRIM(S380)))</f>
        <v>yes</v>
      </c>
    </row>
    <row r="381" spans="1:20" x14ac:dyDescent="0.3">
      <c r="A381">
        <v>1131112</v>
      </c>
      <c r="B381" t="s">
        <v>1002</v>
      </c>
      <c r="C381" t="s">
        <v>1049</v>
      </c>
      <c r="D381" t="s">
        <v>1008</v>
      </c>
      <c r="E381" t="s">
        <v>1009</v>
      </c>
      <c r="F381" s="17" t="s">
        <v>1010</v>
      </c>
      <c r="G381" t="s">
        <v>1032</v>
      </c>
      <c r="H381" t="s">
        <v>46</v>
      </c>
      <c r="I381" t="s">
        <v>46</v>
      </c>
      <c r="J381" t="s">
        <v>17</v>
      </c>
      <c r="K381">
        <v>100</v>
      </c>
      <c r="L381">
        <v>50</v>
      </c>
      <c r="O381" s="12"/>
      <c r="Q381" t="s">
        <v>53</v>
      </c>
      <c r="S381" t="str">
        <f t="shared" si="27"/>
        <v>yes</v>
      </c>
      <c r="T381" t="str">
        <f t="shared" si="29"/>
        <v>yes</v>
      </c>
    </row>
    <row r="382" spans="1:20" x14ac:dyDescent="0.3">
      <c r="A382">
        <v>1131112</v>
      </c>
      <c r="B382" t="s">
        <v>1002</v>
      </c>
      <c r="C382" t="s">
        <v>1049</v>
      </c>
      <c r="D382" t="s">
        <v>1008</v>
      </c>
      <c r="E382" t="s">
        <v>1009</v>
      </c>
      <c r="F382" s="17" t="s">
        <v>1010</v>
      </c>
      <c r="G382" t="s">
        <v>1033</v>
      </c>
      <c r="H382" t="s">
        <v>46</v>
      </c>
      <c r="I382" t="s">
        <v>46</v>
      </c>
      <c r="J382" t="s">
        <v>17</v>
      </c>
      <c r="K382">
        <v>100</v>
      </c>
      <c r="L382">
        <v>50</v>
      </c>
      <c r="O382" s="12"/>
      <c r="Q382" t="s">
        <v>53</v>
      </c>
      <c r="S382" t="str">
        <f>LOWER(TRIM(CLEAN(Q382)))</f>
        <v>yes</v>
      </c>
      <c r="T382" t="str">
        <f t="shared" si="29"/>
        <v>yes</v>
      </c>
    </row>
    <row r="383" spans="1:20" x14ac:dyDescent="0.3">
      <c r="A383">
        <v>1131112</v>
      </c>
      <c r="B383" t="s">
        <v>1002</v>
      </c>
      <c r="C383" t="s">
        <v>1049</v>
      </c>
      <c r="D383" t="s">
        <v>1008</v>
      </c>
      <c r="E383" t="s">
        <v>1009</v>
      </c>
      <c r="F383" s="17" t="s">
        <v>1010</v>
      </c>
      <c r="G383" t="s">
        <v>1034</v>
      </c>
      <c r="H383" t="s">
        <v>46</v>
      </c>
      <c r="I383" t="s">
        <v>46</v>
      </c>
      <c r="J383" t="s">
        <v>17</v>
      </c>
      <c r="K383">
        <v>100</v>
      </c>
      <c r="L383">
        <v>50</v>
      </c>
      <c r="O383" s="12"/>
      <c r="Q383" t="s">
        <v>53</v>
      </c>
      <c r="S383" t="str">
        <f t="shared" ref="S383:S389" si="30">LOWER(TRIM(CLEAN(Q383)))</f>
        <v>yes</v>
      </c>
      <c r="T383" t="str">
        <f t="shared" si="29"/>
        <v>yes</v>
      </c>
    </row>
    <row r="384" spans="1:20" x14ac:dyDescent="0.3">
      <c r="A384">
        <v>1131112</v>
      </c>
      <c r="B384" t="s">
        <v>1002</v>
      </c>
      <c r="C384" t="s">
        <v>1049</v>
      </c>
      <c r="D384" t="s">
        <v>1008</v>
      </c>
      <c r="E384" t="s">
        <v>1009</v>
      </c>
      <c r="F384" s="17" t="s">
        <v>1010</v>
      </c>
      <c r="G384" t="s">
        <v>1035</v>
      </c>
      <c r="H384" t="s">
        <v>46</v>
      </c>
      <c r="I384" t="s">
        <v>46</v>
      </c>
      <c r="J384" t="s">
        <v>17</v>
      </c>
      <c r="K384">
        <v>100</v>
      </c>
      <c r="L384">
        <v>50</v>
      </c>
      <c r="O384" s="12"/>
      <c r="Q384" t="s">
        <v>53</v>
      </c>
      <c r="S384" t="str">
        <f t="shared" si="30"/>
        <v>yes</v>
      </c>
      <c r="T384" t="str">
        <f t="shared" si="29"/>
        <v>yes</v>
      </c>
    </row>
    <row r="385" spans="1:20" x14ac:dyDescent="0.3">
      <c r="A385">
        <v>1131112</v>
      </c>
      <c r="B385" t="s">
        <v>1002</v>
      </c>
      <c r="C385" t="s">
        <v>1049</v>
      </c>
      <c r="D385" t="s">
        <v>1008</v>
      </c>
      <c r="E385" t="s">
        <v>1009</v>
      </c>
      <c r="F385" s="17" t="s">
        <v>1010</v>
      </c>
      <c r="G385" t="s">
        <v>1036</v>
      </c>
      <c r="H385" t="s">
        <v>46</v>
      </c>
      <c r="I385" t="s">
        <v>46</v>
      </c>
      <c r="J385" t="s">
        <v>17</v>
      </c>
      <c r="K385">
        <v>100</v>
      </c>
      <c r="L385">
        <v>50</v>
      </c>
      <c r="O385" s="12"/>
      <c r="Q385" t="s">
        <v>53</v>
      </c>
      <c r="S385" t="str">
        <f t="shared" si="30"/>
        <v>yes</v>
      </c>
      <c r="T385" t="str">
        <f t="shared" si="29"/>
        <v>yes</v>
      </c>
    </row>
    <row r="386" spans="1:20" x14ac:dyDescent="0.3">
      <c r="A386">
        <v>1131112</v>
      </c>
      <c r="B386" t="s">
        <v>1002</v>
      </c>
      <c r="C386" t="s">
        <v>1049</v>
      </c>
      <c r="D386" t="s">
        <v>1008</v>
      </c>
      <c r="E386" t="s">
        <v>1009</v>
      </c>
      <c r="F386" s="17" t="s">
        <v>1010</v>
      </c>
      <c r="G386" t="s">
        <v>1037</v>
      </c>
      <c r="H386" t="s">
        <v>46</v>
      </c>
      <c r="I386" t="s">
        <v>46</v>
      </c>
      <c r="J386" t="s">
        <v>17</v>
      </c>
      <c r="K386">
        <v>100</v>
      </c>
      <c r="L386">
        <v>50</v>
      </c>
      <c r="O386" s="12"/>
      <c r="Q386" t="s">
        <v>53</v>
      </c>
      <c r="S386" t="str">
        <f t="shared" si="30"/>
        <v>yes</v>
      </c>
      <c r="T386" t="str">
        <f t="shared" si="29"/>
        <v>yes</v>
      </c>
    </row>
    <row r="387" spans="1:20" x14ac:dyDescent="0.3">
      <c r="A387">
        <v>1131112</v>
      </c>
      <c r="B387" t="s">
        <v>1002</v>
      </c>
      <c r="C387" t="s">
        <v>1049</v>
      </c>
      <c r="D387" t="s">
        <v>1008</v>
      </c>
      <c r="E387" t="s">
        <v>1009</v>
      </c>
      <c r="F387" s="17" t="s">
        <v>1010</v>
      </c>
      <c r="G387" t="s">
        <v>1038</v>
      </c>
      <c r="H387" t="s">
        <v>46</v>
      </c>
      <c r="I387" t="s">
        <v>46</v>
      </c>
      <c r="J387" t="s">
        <v>17</v>
      </c>
      <c r="K387">
        <v>100</v>
      </c>
      <c r="L387">
        <v>50</v>
      </c>
      <c r="O387" s="12"/>
      <c r="Q387" t="s">
        <v>53</v>
      </c>
      <c r="S387" t="str">
        <f t="shared" si="30"/>
        <v>yes</v>
      </c>
      <c r="T387" t="str">
        <f t="shared" si="29"/>
        <v>yes</v>
      </c>
    </row>
    <row r="388" spans="1:20" x14ac:dyDescent="0.3">
      <c r="A388">
        <v>1131112</v>
      </c>
      <c r="B388" t="s">
        <v>1002</v>
      </c>
      <c r="C388" t="s">
        <v>1049</v>
      </c>
      <c r="D388" t="s">
        <v>1008</v>
      </c>
      <c r="E388" t="s">
        <v>1009</v>
      </c>
      <c r="F388" s="17" t="s">
        <v>1010</v>
      </c>
      <c r="G388" t="s">
        <v>1039</v>
      </c>
      <c r="H388" t="s">
        <v>46</v>
      </c>
      <c r="I388" t="s">
        <v>46</v>
      </c>
      <c r="J388" t="s">
        <v>17</v>
      </c>
      <c r="K388">
        <v>100</v>
      </c>
      <c r="L388">
        <v>50</v>
      </c>
      <c r="O388" s="12"/>
      <c r="Q388" t="s">
        <v>53</v>
      </c>
      <c r="S388" t="str">
        <f t="shared" si="30"/>
        <v>yes</v>
      </c>
      <c r="T388" t="str">
        <f t="shared" si="29"/>
        <v>yes</v>
      </c>
    </row>
    <row r="389" spans="1:20" x14ac:dyDescent="0.3">
      <c r="A389">
        <v>1131112</v>
      </c>
      <c r="B389" t="s">
        <v>1002</v>
      </c>
      <c r="C389" t="s">
        <v>1050</v>
      </c>
      <c r="D389" t="s">
        <v>1051</v>
      </c>
      <c r="E389" t="s">
        <v>1052</v>
      </c>
      <c r="H389" t="s">
        <v>22</v>
      </c>
      <c r="I389" t="s">
        <v>22</v>
      </c>
      <c r="J389" t="s">
        <v>17</v>
      </c>
      <c r="K389">
        <v>97.1</v>
      </c>
      <c r="L389">
        <v>109.3</v>
      </c>
      <c r="M389" t="s">
        <v>1053</v>
      </c>
      <c r="N389" t="s">
        <v>1054</v>
      </c>
      <c r="O389" s="14"/>
      <c r="Q389" t="s">
        <v>638</v>
      </c>
      <c r="S389" t="str">
        <f t="shared" si="30"/>
        <v>wrong</v>
      </c>
      <c r="T389" t="str">
        <f t="shared" si="29"/>
        <v>wrong</v>
      </c>
    </row>
  </sheetData>
  <autoFilter ref="T1:T389" xr:uid="{00000000-0001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0C66-B5A4-4C27-9B6F-FD7C12BCD5A5}">
  <sheetPr filterMode="1"/>
  <dimension ref="A1:AF764"/>
  <sheetViews>
    <sheetView zoomScale="90" zoomScaleNormal="90" workbookViewId="0">
      <pane xSplit="2" ySplit="1" topLeftCell="S3" activePane="bottomRight" state="frozen"/>
      <selection pane="topRight" activeCell="C1" sqref="C1"/>
      <selection pane="bottomLeft" activeCell="A2" sqref="A2"/>
      <selection pane="bottomRight" activeCell="AA29" sqref="AA29"/>
    </sheetView>
  </sheetViews>
  <sheetFormatPr defaultRowHeight="14.4" x14ac:dyDescent="0.3"/>
  <cols>
    <col min="1" max="1" width="8.88671875" bestFit="1" customWidth="1"/>
    <col min="2" max="2" width="25.77734375" customWidth="1"/>
    <col min="3" max="3" width="34.77734375" bestFit="1" customWidth="1"/>
    <col min="4" max="4" width="23.6640625" bestFit="1" customWidth="1"/>
    <col min="5" max="5" width="11.33203125" bestFit="1" customWidth="1"/>
    <col min="6" max="6" width="10" bestFit="1" customWidth="1"/>
    <col min="7" max="7" width="87.33203125" customWidth="1"/>
    <col min="8" max="8" width="11" hidden="1" customWidth="1"/>
    <col min="9" max="9" width="11.21875" hidden="1" customWidth="1"/>
    <col min="10" max="10" width="15.44140625" hidden="1" customWidth="1"/>
    <col min="11" max="11" width="12.88671875" hidden="1" customWidth="1"/>
    <col min="12" max="12" width="11.44140625" hidden="1" customWidth="1"/>
    <col min="13" max="13" width="21.88671875" customWidth="1"/>
    <col min="14" max="14" width="28.5546875" customWidth="1"/>
    <col min="15" max="15" width="15.33203125" bestFit="1" customWidth="1"/>
    <col min="16" max="16" width="11.109375" bestFit="1" customWidth="1"/>
    <col min="17" max="17" width="35.21875" bestFit="1" customWidth="1"/>
    <col min="18" max="18" width="13.77734375" bestFit="1" customWidth="1"/>
    <col min="19" max="19" width="13.5546875" bestFit="1" customWidth="1"/>
    <col min="20" max="20" width="13.5546875" customWidth="1"/>
    <col min="21" max="21" width="36.77734375" bestFit="1" customWidth="1"/>
    <col min="22" max="22" width="36.77734375" customWidth="1"/>
    <col min="24" max="24" width="31.109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1824</v>
      </c>
      <c r="P1" t="s">
        <v>1823</v>
      </c>
      <c r="Q1" t="s">
        <v>1822</v>
      </c>
      <c r="R1" t="s">
        <v>1821</v>
      </c>
      <c r="S1" t="s">
        <v>1820</v>
      </c>
      <c r="U1" t="s">
        <v>1819</v>
      </c>
      <c r="V1" t="s">
        <v>1818</v>
      </c>
    </row>
    <row r="2" spans="1:32" hidden="1" x14ac:dyDescent="0.3">
      <c r="A2">
        <v>1131185</v>
      </c>
      <c r="B2" t="s">
        <v>1788</v>
      </c>
      <c r="C2" t="s">
        <v>1003</v>
      </c>
      <c r="H2" t="s">
        <v>16</v>
      </c>
      <c r="I2" t="s">
        <v>16</v>
      </c>
      <c r="J2" t="s">
        <v>17</v>
      </c>
      <c r="K2">
        <v>0</v>
      </c>
      <c r="L2">
        <v>0</v>
      </c>
      <c r="O2" t="s">
        <v>1708</v>
      </c>
      <c r="P2" t="s">
        <v>1708</v>
      </c>
      <c r="R2" s="24">
        <f>COUNTIF(O2:O39,"*YES*")/COUNTA(O2:O39)</f>
        <v>0.92105263157894735</v>
      </c>
      <c r="S2" s="24">
        <f>COUNTIF(P2:P39,"*YES*")/COUNTA(P2:P39)</f>
        <v>0.92105263157894735</v>
      </c>
      <c r="T2" s="18"/>
      <c r="U2" s="18" t="str" cm="1">
        <f t="array" ref="U2:U49">_xlfn.UNIQUE(C2:C192)</f>
        <v>French Massif central</v>
      </c>
      <c r="V2" s="21">
        <f t="shared" ref="V2:V49" si="0">COUNTIF(C2:C192, U2)</f>
        <v>1</v>
      </c>
      <c r="X2" s="23" t="s">
        <v>1817</v>
      </c>
      <c r="Y2" s="23" cm="1">
        <f t="array" ref="Y2">COUNTA(_xlfn.UNIQUE(_xlfn._xlws.FILTER(C2:C192,C2:C192&lt;&gt;"")))</f>
        <v>48</v>
      </c>
    </row>
    <row r="3" spans="1:32" x14ac:dyDescent="0.3">
      <c r="A3">
        <v>1131185</v>
      </c>
      <c r="B3" t="s">
        <v>1788</v>
      </c>
      <c r="C3" t="s">
        <v>1040</v>
      </c>
      <c r="D3" t="s">
        <v>1040</v>
      </c>
      <c r="E3" t="s">
        <v>1041</v>
      </c>
      <c r="H3" t="s">
        <v>22</v>
      </c>
      <c r="I3" t="s">
        <v>22</v>
      </c>
      <c r="J3" t="s">
        <v>17</v>
      </c>
      <c r="K3">
        <v>100</v>
      </c>
      <c r="L3">
        <v>110</v>
      </c>
      <c r="M3" t="s">
        <v>1042</v>
      </c>
      <c r="N3" t="s">
        <v>1043</v>
      </c>
      <c r="O3" t="s">
        <v>1795</v>
      </c>
      <c r="P3" t="s">
        <v>1748</v>
      </c>
      <c r="Q3" s="20" t="s">
        <v>1794</v>
      </c>
      <c r="R3" s="24"/>
      <c r="S3" s="24"/>
      <c r="T3" s="18"/>
      <c r="U3" s="18" t="str">
        <v>Blockstream</v>
      </c>
      <c r="V3" s="21">
        <f t="shared" si="0"/>
        <v>1</v>
      </c>
      <c r="X3" s="23" t="s">
        <v>1816</v>
      </c>
      <c r="Y3" s="23" cm="1">
        <f t="array" ref="Y3">COUNTA(_xlfn.UNIQUE(_xlfn._xlws.FILTER(E2:E192,(E2:E192&lt;&gt;"")*(E2:E192&lt;&gt;"none"))))</f>
        <v>17</v>
      </c>
    </row>
    <row r="4" spans="1:32" x14ac:dyDescent="0.3">
      <c r="A4">
        <v>1131185</v>
      </c>
      <c r="B4" t="s">
        <v>1788</v>
      </c>
      <c r="C4" t="s">
        <v>1007</v>
      </c>
      <c r="D4" t="s">
        <v>1008</v>
      </c>
      <c r="E4" t="s">
        <v>1009</v>
      </c>
      <c r="F4" t="s">
        <v>1010</v>
      </c>
      <c r="G4" t="s">
        <v>1011</v>
      </c>
      <c r="H4" t="s">
        <v>46</v>
      </c>
      <c r="I4" t="s">
        <v>46</v>
      </c>
      <c r="J4" t="s">
        <v>17</v>
      </c>
      <c r="K4">
        <v>100</v>
      </c>
      <c r="L4">
        <v>50</v>
      </c>
      <c r="O4" t="s">
        <v>1708</v>
      </c>
      <c r="P4" t="s">
        <v>1769</v>
      </c>
      <c r="R4" s="24"/>
      <c r="S4" s="24"/>
      <c r="T4" s="18"/>
      <c r="U4" s="18" t="str">
        <v>Rock glacier</v>
      </c>
      <c r="V4" s="21">
        <f t="shared" si="0"/>
        <v>29</v>
      </c>
      <c r="X4" s="23" t="s">
        <v>1815</v>
      </c>
      <c r="Y4" s="22" cm="1">
        <f t="array" ref="Y4">COUNTA(_xlfn.UNIQUE(_xlfn._xlws.FILTER(E2:E192,(E2:E192&lt;&gt;"")*(E2:E192&lt;&gt;"none")))) / COUNTA(_xlfn.UNIQUE(_xlfn._xlws.FILTER(C2:C192,C2:C192&lt;&gt;"")))</f>
        <v>0.35416666666666669</v>
      </c>
    </row>
    <row r="5" spans="1:32" x14ac:dyDescent="0.3">
      <c r="A5">
        <v>1131185</v>
      </c>
      <c r="B5" t="s">
        <v>1788</v>
      </c>
      <c r="C5" t="s">
        <v>1007</v>
      </c>
      <c r="D5" t="s">
        <v>1008</v>
      </c>
      <c r="E5" t="s">
        <v>1009</v>
      </c>
      <c r="F5" t="s">
        <v>1010</v>
      </c>
      <c r="G5" t="s">
        <v>1012</v>
      </c>
      <c r="H5" t="s">
        <v>46</v>
      </c>
      <c r="I5" t="s">
        <v>46</v>
      </c>
      <c r="J5" t="s">
        <v>17</v>
      </c>
      <c r="K5">
        <v>100</v>
      </c>
      <c r="L5">
        <v>50</v>
      </c>
      <c r="O5" t="s">
        <v>1708</v>
      </c>
      <c r="P5" t="s">
        <v>1708</v>
      </c>
      <c r="R5" s="24"/>
      <c r="S5" s="24"/>
      <c r="T5" s="18"/>
      <c r="U5" s="18" t="str">
        <v>Periglacial morphology and process</v>
      </c>
      <c r="V5" s="21">
        <f t="shared" si="0"/>
        <v>1</v>
      </c>
      <c r="X5" s="23" t="s">
        <v>1814</v>
      </c>
      <c r="Y5" s="23" cm="1">
        <f t="array" ref="Y5">COUNTA(_xlfn.UNIQUE(_xlfn._xlws.FILTER(F2:F192,(F2:F192&lt;&gt;"")*(F2:F192&lt;&gt;"none"))))</f>
        <v>2</v>
      </c>
    </row>
    <row r="6" spans="1:32" x14ac:dyDescent="0.3">
      <c r="A6">
        <v>1131185</v>
      </c>
      <c r="B6" t="s">
        <v>1788</v>
      </c>
      <c r="C6" t="s">
        <v>1007</v>
      </c>
      <c r="D6" t="s">
        <v>1008</v>
      </c>
      <c r="E6" t="s">
        <v>1009</v>
      </c>
      <c r="F6" t="s">
        <v>1010</v>
      </c>
      <c r="G6" t="s">
        <v>1013</v>
      </c>
      <c r="H6" t="s">
        <v>46</v>
      </c>
      <c r="I6" t="s">
        <v>46</v>
      </c>
      <c r="J6" t="s">
        <v>17</v>
      </c>
      <c r="K6">
        <v>100</v>
      </c>
      <c r="L6">
        <v>50</v>
      </c>
      <c r="O6" t="s">
        <v>1708</v>
      </c>
      <c r="P6" t="s">
        <v>1708</v>
      </c>
      <c r="R6" s="24"/>
      <c r="S6" s="24"/>
      <c r="T6" s="18"/>
      <c r="U6" s="18" t="str">
        <v>Pleistocene</v>
      </c>
      <c r="V6" s="21">
        <f t="shared" si="0"/>
        <v>1</v>
      </c>
      <c r="X6" s="23" t="s">
        <v>1813</v>
      </c>
      <c r="Y6" s="22" cm="1">
        <f t="array" ref="Y6">COUNTA(_xlfn.UNIQUE(_xlfn._xlws.FILTER(E2:F192,(F2:F192&lt;&gt;"")*(F2:F192&lt;&gt;"none")))) / COUNTA(_xlfn.UNIQUE(_xlfn._xlws.FILTER(C2:C192,C2:C192&lt;&gt;"")))</f>
        <v>8.3333333333333329E-2</v>
      </c>
    </row>
    <row r="7" spans="1:32" x14ac:dyDescent="0.3">
      <c r="A7">
        <v>1131185</v>
      </c>
      <c r="B7" t="s">
        <v>1788</v>
      </c>
      <c r="C7" t="s">
        <v>1007</v>
      </c>
      <c r="D7" t="s">
        <v>1008</v>
      </c>
      <c r="E7" t="s">
        <v>1009</v>
      </c>
      <c r="F7" t="s">
        <v>1010</v>
      </c>
      <c r="G7" t="s">
        <v>1014</v>
      </c>
      <c r="H7" t="s">
        <v>46</v>
      </c>
      <c r="I7" t="s">
        <v>46</v>
      </c>
      <c r="J7" t="s">
        <v>17</v>
      </c>
      <c r="K7">
        <v>100</v>
      </c>
      <c r="L7">
        <v>50</v>
      </c>
      <c r="O7" t="s">
        <v>1708</v>
      </c>
      <c r="P7" t="s">
        <v>1708</v>
      </c>
      <c r="R7" s="24"/>
      <c r="S7" s="24"/>
      <c r="T7" s="18"/>
      <c r="U7" s="18" t="str">
        <v>Late Glacial</v>
      </c>
      <c r="V7" s="21">
        <f t="shared" si="0"/>
        <v>1</v>
      </c>
      <c r="X7" s="23" t="s">
        <v>1812</v>
      </c>
      <c r="Y7" s="22">
        <f>COUNTIF(O2:O192,"*YES*")/COUNTA(O2:O192)</f>
        <v>0.95811518324607325</v>
      </c>
    </row>
    <row r="8" spans="1:32" x14ac:dyDescent="0.3">
      <c r="A8">
        <v>1131185</v>
      </c>
      <c r="B8" t="s">
        <v>1788</v>
      </c>
      <c r="C8" t="s">
        <v>1007</v>
      </c>
      <c r="D8" t="s">
        <v>1008</v>
      </c>
      <c r="E8" t="s">
        <v>1009</v>
      </c>
      <c r="F8" t="s">
        <v>1010</v>
      </c>
      <c r="G8" t="s">
        <v>1015</v>
      </c>
      <c r="H8" t="s">
        <v>46</v>
      </c>
      <c r="I8" t="s">
        <v>46</v>
      </c>
      <c r="J8" t="s">
        <v>17</v>
      </c>
      <c r="K8">
        <v>100</v>
      </c>
      <c r="L8">
        <v>50</v>
      </c>
      <c r="O8" t="s">
        <v>1708</v>
      </c>
      <c r="P8" t="s">
        <v>1708</v>
      </c>
      <c r="R8" s="24"/>
      <c r="S8" s="24"/>
      <c r="T8" s="18"/>
      <c r="U8" s="18" t="str">
        <v>Eastern Velay</v>
      </c>
      <c r="V8" s="21">
        <f t="shared" si="0"/>
        <v>1</v>
      </c>
      <c r="X8" s="23" t="s">
        <v>1811</v>
      </c>
      <c r="Y8" s="22">
        <f>COUNTIF(P2:P192,"*YES*")/COUNTA(P2:P192)</f>
        <v>0.98113207547169812</v>
      </c>
    </row>
    <row r="9" spans="1:32" x14ac:dyDescent="0.3">
      <c r="A9">
        <v>1131185</v>
      </c>
      <c r="B9" t="s">
        <v>1788</v>
      </c>
      <c r="C9" t="s">
        <v>1007</v>
      </c>
      <c r="D9" t="s">
        <v>1008</v>
      </c>
      <c r="E9" t="s">
        <v>1009</v>
      </c>
      <c r="F9" t="s">
        <v>1010</v>
      </c>
      <c r="G9" t="s">
        <v>1016</v>
      </c>
      <c r="H9" t="s">
        <v>46</v>
      </c>
      <c r="I9" t="s">
        <v>46</v>
      </c>
      <c r="J9" t="s">
        <v>17</v>
      </c>
      <c r="K9">
        <v>100</v>
      </c>
      <c r="L9">
        <v>50</v>
      </c>
      <c r="O9" t="s">
        <v>1708</v>
      </c>
      <c r="P9" t="s">
        <v>1708</v>
      </c>
      <c r="R9" s="24"/>
      <c r="S9" s="24"/>
      <c r="T9" s="18"/>
      <c r="U9" s="18" t="str">
        <v>MÃ©zenc</v>
      </c>
      <c r="V9" s="21">
        <f t="shared" si="0"/>
        <v>1</v>
      </c>
    </row>
    <row r="10" spans="1:32" x14ac:dyDescent="0.3">
      <c r="A10">
        <v>1131185</v>
      </c>
      <c r="B10" t="s">
        <v>1788</v>
      </c>
      <c r="C10" t="s">
        <v>1007</v>
      </c>
      <c r="D10" t="s">
        <v>1008</v>
      </c>
      <c r="E10" t="s">
        <v>1009</v>
      </c>
      <c r="F10" t="s">
        <v>1010</v>
      </c>
      <c r="G10" t="s">
        <v>1017</v>
      </c>
      <c r="H10" t="s">
        <v>46</v>
      </c>
      <c r="I10" t="s">
        <v>46</v>
      </c>
      <c r="J10" t="s">
        <v>17</v>
      </c>
      <c r="K10">
        <v>100</v>
      </c>
      <c r="L10">
        <v>50</v>
      </c>
      <c r="O10" t="s">
        <v>1708</v>
      </c>
      <c r="P10" t="s">
        <v>1708</v>
      </c>
      <c r="R10" s="24"/>
      <c r="S10" s="24"/>
      <c r="T10" s="18"/>
      <c r="U10" s="18" t="str">
        <v>Morphologie et processus pÃ©riglaciaires</v>
      </c>
      <c r="V10" s="21">
        <f t="shared" si="0"/>
        <v>1</v>
      </c>
    </row>
    <row r="11" spans="1:32" ht="57.6" x14ac:dyDescent="0.3">
      <c r="A11">
        <v>1131185</v>
      </c>
      <c r="B11" t="s">
        <v>1788</v>
      </c>
      <c r="C11" t="s">
        <v>1007</v>
      </c>
      <c r="D11" t="s">
        <v>1008</v>
      </c>
      <c r="E11" t="s">
        <v>1009</v>
      </c>
      <c r="F11" t="s">
        <v>1010</v>
      </c>
      <c r="G11" t="s">
        <v>1018</v>
      </c>
      <c r="H11" t="s">
        <v>46</v>
      </c>
      <c r="I11" t="s">
        <v>46</v>
      </c>
      <c r="J11" t="s">
        <v>17</v>
      </c>
      <c r="K11">
        <v>100</v>
      </c>
      <c r="L11">
        <v>50</v>
      </c>
      <c r="O11" t="s">
        <v>1708</v>
      </c>
      <c r="P11" t="s">
        <v>1708</v>
      </c>
      <c r="R11" s="24"/>
      <c r="S11" s="24"/>
      <c r="T11" s="18"/>
      <c r="U11" s="18" t="str">
        <v>RiviÃ¨re de pierres</v>
      </c>
      <c r="V11" s="21">
        <f t="shared" si="0"/>
        <v>1</v>
      </c>
      <c r="W11" s="5" t="s">
        <v>538</v>
      </c>
      <c r="X11" s="5" t="s">
        <v>539</v>
      </c>
      <c r="Y11" s="5" t="s">
        <v>540</v>
      </c>
      <c r="Z11" s="5" t="s">
        <v>542</v>
      </c>
      <c r="AA11" s="5" t="s">
        <v>544</v>
      </c>
      <c r="AB11" s="5" t="s">
        <v>545</v>
      </c>
      <c r="AC11" s="5" t="s">
        <v>541</v>
      </c>
      <c r="AD11" s="5" t="s">
        <v>543</v>
      </c>
      <c r="AE11" s="5" t="s">
        <v>546</v>
      </c>
      <c r="AF11" s="5" t="s">
        <v>547</v>
      </c>
    </row>
    <row r="12" spans="1:32" x14ac:dyDescent="0.3">
      <c r="A12">
        <v>1131185</v>
      </c>
      <c r="B12" t="s">
        <v>1788</v>
      </c>
      <c r="C12" t="s">
        <v>1007</v>
      </c>
      <c r="D12" t="s">
        <v>1008</v>
      </c>
      <c r="E12" t="s">
        <v>1009</v>
      </c>
      <c r="F12" t="s">
        <v>1010</v>
      </c>
      <c r="G12" t="s">
        <v>1019</v>
      </c>
      <c r="H12" t="s">
        <v>46</v>
      </c>
      <c r="I12" t="s">
        <v>46</v>
      </c>
      <c r="J12" t="s">
        <v>17</v>
      </c>
      <c r="K12">
        <v>100</v>
      </c>
      <c r="L12">
        <v>50</v>
      </c>
      <c r="O12" t="s">
        <v>1708</v>
      </c>
      <c r="P12" t="s">
        <v>1708</v>
      </c>
      <c r="R12" s="24"/>
      <c r="S12" s="24"/>
      <c r="T12" s="18"/>
      <c r="U12" s="18" t="str">
        <v>Glacier rocheux</v>
      </c>
      <c r="V12" s="21">
        <f t="shared" si="0"/>
        <v>29</v>
      </c>
      <c r="W12" s="9" cm="1">
        <f t="array" ref="W12">COUNTA(_xlfn.UNIQUE(_xlfn._xlws.FILTER(B2:B192, B2:B192&lt;&gt;"")))</f>
        <v>9</v>
      </c>
      <c r="X12" s="9" cm="1">
        <f t="array" ref="X12">COUNTA(_xlfn.UNIQUE(_xlfn._xlws.FILTER(C2:C192, C2:C192&lt;&gt;"")))</f>
        <v>48</v>
      </c>
      <c r="Y12" s="9" cm="1">
        <f t="array" ref="Y12">COUNTA(_xlfn.UNIQUE(_xlfn._xlws.FILTER(C2:C192 &amp; E2:E192, O2:O192="YES")))</f>
        <v>41</v>
      </c>
      <c r="Z12" s="9" cm="1">
        <f t="array" ref="Z12">COUNTA(_xlfn.UNIQUE(_xlfn._xlws.FILTER(C2:C192 &amp; E2:E192, O2:O192="NO")))</f>
        <v>7</v>
      </c>
      <c r="AA12" s="9" cm="1">
        <f t="array" ref="AA12">COUNTA(_xlfn.UNIQUE(_xlfn._xlws.FILTER(E2:E192, E2:E192&lt;&gt;"")))</f>
        <v>17</v>
      </c>
      <c r="AB12" s="9" cm="1">
        <f t="array" ref="AB12">COUNTA(_xlfn.UNIQUE(_xlfn._xlws.FILTER(F2:F192, F2:F192&lt;&gt;"")))</f>
        <v>2</v>
      </c>
      <c r="AC12" s="13">
        <f>Y12 / (Y12 + Z12)</f>
        <v>0.85416666666666663</v>
      </c>
      <c r="AD12" s="13">
        <f>Z12 / (Y12 + Z12)</f>
        <v>0.14583333333333334</v>
      </c>
      <c r="AE12" s="13">
        <f>AA12 / X12</f>
        <v>0.35416666666666669</v>
      </c>
      <c r="AF12" s="13">
        <f>AB12 / X12</f>
        <v>4.1666666666666664E-2</v>
      </c>
    </row>
    <row r="13" spans="1:32" x14ac:dyDescent="0.3">
      <c r="A13">
        <v>1131185</v>
      </c>
      <c r="B13" t="s">
        <v>1788</v>
      </c>
      <c r="C13" t="s">
        <v>1007</v>
      </c>
      <c r="D13" t="s">
        <v>1008</v>
      </c>
      <c r="E13" t="s">
        <v>1009</v>
      </c>
      <c r="F13" t="s">
        <v>1010</v>
      </c>
      <c r="G13" t="s">
        <v>1020</v>
      </c>
      <c r="H13" t="s">
        <v>46</v>
      </c>
      <c r="I13" t="s">
        <v>46</v>
      </c>
      <c r="J13" t="s">
        <v>17</v>
      </c>
      <c r="K13">
        <v>100</v>
      </c>
      <c r="L13">
        <v>50</v>
      </c>
      <c r="O13" t="s">
        <v>1708</v>
      </c>
      <c r="P13" t="s">
        <v>1708</v>
      </c>
      <c r="R13" s="24"/>
      <c r="S13" s="24"/>
      <c r="T13" s="18"/>
      <c r="U13" s="18" t="str">
        <v>Velay oriental</v>
      </c>
      <c r="V13" s="21">
        <f t="shared" si="0"/>
        <v>1</v>
      </c>
    </row>
    <row r="14" spans="1:32" x14ac:dyDescent="0.3">
      <c r="A14">
        <v>1131185</v>
      </c>
      <c r="B14" t="s">
        <v>1788</v>
      </c>
      <c r="C14" t="s">
        <v>1007</v>
      </c>
      <c r="D14" t="s">
        <v>1008</v>
      </c>
      <c r="E14" t="s">
        <v>1009</v>
      </c>
      <c r="F14" t="s">
        <v>1010</v>
      </c>
      <c r="G14" t="s">
        <v>1021</v>
      </c>
      <c r="H14" t="s">
        <v>46</v>
      </c>
      <c r="I14" t="s">
        <v>46</v>
      </c>
      <c r="J14" t="s">
        <v>17</v>
      </c>
      <c r="K14">
        <v>100</v>
      </c>
      <c r="L14">
        <v>50</v>
      </c>
      <c r="O14" t="s">
        <v>1708</v>
      </c>
      <c r="P14" t="s">
        <v>1708</v>
      </c>
      <c r="R14" s="24"/>
      <c r="S14" s="24"/>
      <c r="T14" s="18"/>
      <c r="U14" s="18" t="str">
        <v>Massif central franÃ§ais</v>
      </c>
      <c r="V14" s="21">
        <f t="shared" si="0"/>
        <v>1</v>
      </c>
    </row>
    <row r="15" spans="1:32" x14ac:dyDescent="0.3">
      <c r="A15">
        <v>1131185</v>
      </c>
      <c r="B15" t="s">
        <v>1788</v>
      </c>
      <c r="C15" t="s">
        <v>1007</v>
      </c>
      <c r="D15" t="s">
        <v>1008</v>
      </c>
      <c r="E15" t="s">
        <v>1009</v>
      </c>
      <c r="F15" t="s">
        <v>1010</v>
      </c>
      <c r="G15" t="s">
        <v>1022</v>
      </c>
      <c r="H15" t="s">
        <v>46</v>
      </c>
      <c r="I15" t="s">
        <v>46</v>
      </c>
      <c r="J15" t="s">
        <v>17</v>
      </c>
      <c r="K15">
        <v>100</v>
      </c>
      <c r="L15">
        <v>50</v>
      </c>
      <c r="O15" t="s">
        <v>1708</v>
      </c>
      <c r="P15" t="s">
        <v>1708</v>
      </c>
      <c r="R15" s="24"/>
      <c r="S15" s="24"/>
      <c r="T15" s="18"/>
      <c r="U15" s="18" t="str">
        <v>Tardiglaciaire</v>
      </c>
      <c r="V15" s="21">
        <f t="shared" si="0"/>
        <v>1</v>
      </c>
    </row>
    <row r="16" spans="1:32" x14ac:dyDescent="0.3">
      <c r="A16">
        <v>1131185</v>
      </c>
      <c r="B16" t="s">
        <v>1788</v>
      </c>
      <c r="C16" t="s">
        <v>1007</v>
      </c>
      <c r="D16" t="s">
        <v>1008</v>
      </c>
      <c r="E16" t="s">
        <v>1009</v>
      </c>
      <c r="F16" t="s">
        <v>1010</v>
      </c>
      <c r="G16" t="s">
        <v>1023</v>
      </c>
      <c r="H16" t="s">
        <v>46</v>
      </c>
      <c r="I16" t="s">
        <v>46</v>
      </c>
      <c r="J16" t="s">
        <v>17</v>
      </c>
      <c r="K16">
        <v>100</v>
      </c>
      <c r="L16">
        <v>50</v>
      </c>
      <c r="O16" t="s">
        <v>1708</v>
      </c>
      <c r="P16" t="s">
        <v>1708</v>
      </c>
      <c r="R16" s="24"/>
      <c r="S16" s="24"/>
      <c r="T16" s="18"/>
      <c r="U16" s="18" t="str">
        <v>Dunkl kernel</v>
      </c>
      <c r="V16" s="21">
        <f t="shared" si="0"/>
        <v>1</v>
      </c>
    </row>
    <row r="17" spans="1:22" x14ac:dyDescent="0.3">
      <c r="A17">
        <v>1131185</v>
      </c>
      <c r="B17" t="s">
        <v>1788</v>
      </c>
      <c r="C17" t="s">
        <v>1007</v>
      </c>
      <c r="D17" t="s">
        <v>1008</v>
      </c>
      <c r="E17" t="s">
        <v>1009</v>
      </c>
      <c r="F17" t="s">
        <v>1010</v>
      </c>
      <c r="G17" t="s">
        <v>1024</v>
      </c>
      <c r="H17" t="s">
        <v>46</v>
      </c>
      <c r="I17" t="s">
        <v>46</v>
      </c>
      <c r="J17" t="s">
        <v>17</v>
      </c>
      <c r="K17">
        <v>100</v>
      </c>
      <c r="L17">
        <v>50</v>
      </c>
      <c r="O17" t="s">
        <v>1708</v>
      </c>
      <c r="P17" t="s">
        <v>1708</v>
      </c>
      <c r="R17" s="24"/>
      <c r="S17" s="24"/>
      <c r="T17" s="18"/>
      <c r="U17" s="18" t="str">
        <v>Dihedral root systems</v>
      </c>
      <c r="V17" s="21">
        <f t="shared" si="0"/>
        <v>1</v>
      </c>
    </row>
    <row r="18" spans="1:22" x14ac:dyDescent="0.3">
      <c r="A18">
        <v>1131185</v>
      </c>
      <c r="B18" t="s">
        <v>1788</v>
      </c>
      <c r="C18" t="s">
        <v>1007</v>
      </c>
      <c r="D18" t="s">
        <v>1008</v>
      </c>
      <c r="E18" t="s">
        <v>1009</v>
      </c>
      <c r="F18" t="s">
        <v>1010</v>
      </c>
      <c r="G18" t="s">
        <v>1025</v>
      </c>
      <c r="H18" t="s">
        <v>46</v>
      </c>
      <c r="I18" t="s">
        <v>46</v>
      </c>
      <c r="J18" t="s">
        <v>17</v>
      </c>
      <c r="K18">
        <v>100</v>
      </c>
      <c r="L18">
        <v>50</v>
      </c>
      <c r="O18" t="s">
        <v>1708</v>
      </c>
      <c r="P18" t="s">
        <v>1708</v>
      </c>
      <c r="R18" s="24"/>
      <c r="S18" s="24"/>
      <c r="T18" s="18"/>
      <c r="U18" s="18" t="str">
        <v>Generalized Bessel function</v>
      </c>
      <c r="V18" s="21">
        <f t="shared" si="0"/>
        <v>1</v>
      </c>
    </row>
    <row r="19" spans="1:22" x14ac:dyDescent="0.3">
      <c r="A19">
        <v>1131185</v>
      </c>
      <c r="B19" t="s">
        <v>1788</v>
      </c>
      <c r="C19" t="s">
        <v>1007</v>
      </c>
      <c r="D19" t="s">
        <v>1008</v>
      </c>
      <c r="E19" t="s">
        <v>1009</v>
      </c>
      <c r="F19" t="s">
        <v>1010</v>
      </c>
      <c r="G19" t="s">
        <v>1026</v>
      </c>
      <c r="H19" t="s">
        <v>46</v>
      </c>
      <c r="I19" t="s">
        <v>46</v>
      </c>
      <c r="J19" t="s">
        <v>17</v>
      </c>
      <c r="K19">
        <v>100</v>
      </c>
      <c r="L19">
        <v>50</v>
      </c>
      <c r="O19" t="s">
        <v>1708</v>
      </c>
      <c r="P19" t="s">
        <v>1708</v>
      </c>
      <c r="R19" s="24"/>
      <c r="S19" s="24"/>
      <c r="T19" s="18"/>
      <c r="U19" s="18" t="str">
        <v>Structural dynamics</v>
      </c>
      <c r="V19" s="21">
        <f t="shared" si="0"/>
        <v>8</v>
      </c>
    </row>
    <row r="20" spans="1:22" x14ac:dyDescent="0.3">
      <c r="A20">
        <v>1131185</v>
      </c>
      <c r="B20" t="s">
        <v>1788</v>
      </c>
      <c r="C20" t="s">
        <v>1007</v>
      </c>
      <c r="D20" t="s">
        <v>1008</v>
      </c>
      <c r="E20" t="s">
        <v>1009</v>
      </c>
      <c r="F20" t="s">
        <v>1010</v>
      </c>
      <c r="G20" t="s">
        <v>1027</v>
      </c>
      <c r="H20" t="s">
        <v>46</v>
      </c>
      <c r="I20" t="s">
        <v>46</v>
      </c>
      <c r="J20" t="s">
        <v>17</v>
      </c>
      <c r="K20">
        <v>100</v>
      </c>
      <c r="L20">
        <v>50</v>
      </c>
      <c r="O20" t="s">
        <v>1708</v>
      </c>
      <c r="P20" t="s">
        <v>1708</v>
      </c>
      <c r="R20" s="24"/>
      <c r="S20" s="24"/>
      <c r="T20" s="18"/>
      <c r="U20" s="18" t="str">
        <v>Model identification</v>
      </c>
      <c r="V20" s="21">
        <f t="shared" si="0"/>
        <v>1</v>
      </c>
    </row>
    <row r="21" spans="1:22" x14ac:dyDescent="0.3">
      <c r="A21">
        <v>1131185</v>
      </c>
      <c r="B21" t="s">
        <v>1788</v>
      </c>
      <c r="C21" t="s">
        <v>1007</v>
      </c>
      <c r="D21" t="s">
        <v>1008</v>
      </c>
      <c r="E21" t="s">
        <v>1009</v>
      </c>
      <c r="F21" t="s">
        <v>1010</v>
      </c>
      <c r="G21" t="s">
        <v>1028</v>
      </c>
      <c r="H21" t="s">
        <v>46</v>
      </c>
      <c r="I21" t="s">
        <v>46</v>
      </c>
      <c r="J21" t="s">
        <v>17</v>
      </c>
      <c r="K21">
        <v>100</v>
      </c>
      <c r="L21">
        <v>50</v>
      </c>
      <c r="O21" t="s">
        <v>1708</v>
      </c>
      <c r="P21" t="s">
        <v>1708</v>
      </c>
      <c r="R21" s="24"/>
      <c r="S21" s="24"/>
      <c r="T21" s="18"/>
      <c r="U21" s="18" t="str">
        <v>Computational stochastic dynamics</v>
      </c>
      <c r="V21" s="21">
        <f t="shared" si="0"/>
        <v>1</v>
      </c>
    </row>
    <row r="22" spans="1:22" x14ac:dyDescent="0.3">
      <c r="A22">
        <v>1131185</v>
      </c>
      <c r="B22" t="s">
        <v>1788</v>
      </c>
      <c r="C22" t="s">
        <v>1007</v>
      </c>
      <c r="D22" t="s">
        <v>1008</v>
      </c>
      <c r="E22" t="s">
        <v>1009</v>
      </c>
      <c r="F22" t="s">
        <v>1010</v>
      </c>
      <c r="G22" t="s">
        <v>1029</v>
      </c>
      <c r="H22" t="s">
        <v>46</v>
      </c>
      <c r="I22" t="s">
        <v>46</v>
      </c>
      <c r="J22" t="s">
        <v>17</v>
      </c>
      <c r="K22">
        <v>100</v>
      </c>
      <c r="L22">
        <v>50</v>
      </c>
      <c r="O22" t="s">
        <v>1708</v>
      </c>
      <c r="P22" t="s">
        <v>1708</v>
      </c>
      <c r="R22" s="24"/>
      <c r="S22" s="24"/>
      <c r="T22" s="18"/>
      <c r="U22" s="18" t="str">
        <v>Mode crossing</v>
      </c>
      <c r="V22" s="21">
        <f t="shared" si="0"/>
        <v>1</v>
      </c>
    </row>
    <row r="23" spans="1:22" x14ac:dyDescent="0.3">
      <c r="A23">
        <v>1131185</v>
      </c>
      <c r="B23" t="s">
        <v>1788</v>
      </c>
      <c r="C23" t="s">
        <v>1007</v>
      </c>
      <c r="D23" t="s">
        <v>1008</v>
      </c>
      <c r="E23" t="s">
        <v>1009</v>
      </c>
      <c r="F23" t="s">
        <v>1010</v>
      </c>
      <c r="G23" t="s">
        <v>1030</v>
      </c>
      <c r="H23" t="s">
        <v>46</v>
      </c>
      <c r="I23" t="s">
        <v>46</v>
      </c>
      <c r="J23" t="s">
        <v>17</v>
      </c>
      <c r="K23">
        <v>100</v>
      </c>
      <c r="L23">
        <v>50</v>
      </c>
      <c r="O23" t="s">
        <v>1708</v>
      </c>
      <c r="P23" t="s">
        <v>1708</v>
      </c>
      <c r="R23" s="24"/>
      <c r="S23" s="24"/>
      <c r="T23" s="18"/>
      <c r="U23" s="18" t="str">
        <v>Experimental modal analysis</v>
      </c>
      <c r="V23" s="21">
        <f t="shared" si="0"/>
        <v>1</v>
      </c>
    </row>
    <row r="24" spans="1:22" x14ac:dyDescent="0.3">
      <c r="A24">
        <v>1131185</v>
      </c>
      <c r="B24" t="s">
        <v>1788</v>
      </c>
      <c r="C24" t="s">
        <v>1007</v>
      </c>
      <c r="D24" t="s">
        <v>1008</v>
      </c>
      <c r="E24" t="s">
        <v>1009</v>
      </c>
      <c r="F24" t="s">
        <v>1010</v>
      </c>
      <c r="G24" t="s">
        <v>1031</v>
      </c>
      <c r="H24" t="s">
        <v>46</v>
      </c>
      <c r="I24" t="s">
        <v>46</v>
      </c>
      <c r="J24" t="s">
        <v>17</v>
      </c>
      <c r="K24">
        <v>100</v>
      </c>
      <c r="L24">
        <v>50</v>
      </c>
      <c r="O24" t="s">
        <v>1708</v>
      </c>
      <c r="P24" t="s">
        <v>1708</v>
      </c>
      <c r="R24" s="24"/>
      <c r="S24" s="24"/>
      <c r="T24" s="18"/>
      <c r="U24" s="18" t="str">
        <v>Uncertainty Quantification</v>
      </c>
      <c r="V24" s="21">
        <f t="shared" si="0"/>
        <v>36</v>
      </c>
    </row>
    <row r="25" spans="1:22" x14ac:dyDescent="0.3">
      <c r="A25">
        <v>1131185</v>
      </c>
      <c r="B25" t="s">
        <v>1788</v>
      </c>
      <c r="C25" t="s">
        <v>1007</v>
      </c>
      <c r="D25" t="s">
        <v>1008</v>
      </c>
      <c r="E25" t="s">
        <v>1009</v>
      </c>
      <c r="F25" t="s">
        <v>1010</v>
      </c>
      <c r="G25" t="s">
        <v>1032</v>
      </c>
      <c r="H25" t="s">
        <v>46</v>
      </c>
      <c r="I25" t="s">
        <v>46</v>
      </c>
      <c r="J25" t="s">
        <v>17</v>
      </c>
      <c r="K25">
        <v>100</v>
      </c>
      <c r="L25">
        <v>50</v>
      </c>
      <c r="O25" t="s">
        <v>1708</v>
      </c>
      <c r="P25" t="s">
        <v>1708</v>
      </c>
      <c r="R25" s="24"/>
      <c r="S25" s="24"/>
      <c r="T25" s="18"/>
      <c r="U25" s="18" t="str">
        <v>Reduced-order model</v>
      </c>
      <c r="V25" s="21">
        <f t="shared" si="0"/>
        <v>2</v>
      </c>
    </row>
    <row r="26" spans="1:22" x14ac:dyDescent="0.3">
      <c r="A26">
        <v>1131185</v>
      </c>
      <c r="B26" t="s">
        <v>1788</v>
      </c>
      <c r="C26" t="s">
        <v>1007</v>
      </c>
      <c r="D26" t="s">
        <v>1008</v>
      </c>
      <c r="E26" t="s">
        <v>1009</v>
      </c>
      <c r="F26" t="s">
        <v>1010</v>
      </c>
      <c r="G26" t="s">
        <v>1033</v>
      </c>
      <c r="H26" t="s">
        <v>46</v>
      </c>
      <c r="I26" t="s">
        <v>46</v>
      </c>
      <c r="J26" t="s">
        <v>17</v>
      </c>
      <c r="K26">
        <v>100</v>
      </c>
      <c r="L26">
        <v>50</v>
      </c>
      <c r="O26" t="s">
        <v>1708</v>
      </c>
      <c r="P26" t="s">
        <v>1708</v>
      </c>
      <c r="R26" s="24"/>
      <c r="S26" s="24"/>
      <c r="T26" s="18"/>
      <c r="U26" s="18" t="str">
        <v>Global modes</v>
      </c>
      <c r="V26" s="21">
        <f t="shared" si="0"/>
        <v>1</v>
      </c>
    </row>
    <row r="27" spans="1:22" x14ac:dyDescent="0.3">
      <c r="A27">
        <v>1131185</v>
      </c>
      <c r="B27" t="s">
        <v>1788</v>
      </c>
      <c r="C27" t="s">
        <v>1007</v>
      </c>
      <c r="D27" t="s">
        <v>1008</v>
      </c>
      <c r="E27" t="s">
        <v>1009</v>
      </c>
      <c r="F27" t="s">
        <v>1010</v>
      </c>
      <c r="G27" t="s">
        <v>1034</v>
      </c>
      <c r="H27" t="s">
        <v>46</v>
      </c>
      <c r="I27" t="s">
        <v>46</v>
      </c>
      <c r="J27" t="s">
        <v>17</v>
      </c>
      <c r="K27">
        <v>100</v>
      </c>
      <c r="L27">
        <v>50</v>
      </c>
      <c r="O27" t="s">
        <v>1708</v>
      </c>
      <c r="P27" t="s">
        <v>1708</v>
      </c>
      <c r="R27" s="24"/>
      <c r="S27" s="24"/>
      <c r="T27" s="18"/>
      <c r="U27" s="18" t="str">
        <v>Computational model</v>
      </c>
      <c r="V27" s="21">
        <f t="shared" si="0"/>
        <v>29</v>
      </c>
    </row>
    <row r="28" spans="1:22" x14ac:dyDescent="0.3">
      <c r="A28">
        <v>1131185</v>
      </c>
      <c r="B28" t="s">
        <v>1788</v>
      </c>
      <c r="C28" t="s">
        <v>1007</v>
      </c>
      <c r="D28" t="s">
        <v>1008</v>
      </c>
      <c r="E28" t="s">
        <v>1009</v>
      </c>
      <c r="F28" t="s">
        <v>1010</v>
      </c>
      <c r="G28" t="s">
        <v>1035</v>
      </c>
      <c r="H28" t="s">
        <v>46</v>
      </c>
      <c r="I28" t="s">
        <v>46</v>
      </c>
      <c r="J28" t="s">
        <v>17</v>
      </c>
      <c r="K28">
        <v>100</v>
      </c>
      <c r="L28">
        <v>50</v>
      </c>
      <c r="O28" t="s">
        <v>1708</v>
      </c>
      <c r="P28" t="s">
        <v>1708</v>
      </c>
      <c r="R28" s="24"/>
      <c r="S28" s="24"/>
      <c r="T28" s="18"/>
      <c r="U28" s="18" t="str">
        <v>Frequency range</v>
      </c>
      <c r="V28" s="21">
        <f t="shared" si="0"/>
        <v>2</v>
      </c>
    </row>
    <row r="29" spans="1:22" x14ac:dyDescent="0.3">
      <c r="A29">
        <v>1131185</v>
      </c>
      <c r="B29" t="s">
        <v>1788</v>
      </c>
      <c r="C29" t="s">
        <v>1007</v>
      </c>
      <c r="D29" t="s">
        <v>1008</v>
      </c>
      <c r="E29" t="s">
        <v>1009</v>
      </c>
      <c r="F29" t="s">
        <v>1010</v>
      </c>
      <c r="G29" t="s">
        <v>1036</v>
      </c>
      <c r="H29" t="s">
        <v>46</v>
      </c>
      <c r="I29" t="s">
        <v>46</v>
      </c>
      <c r="J29" t="s">
        <v>17</v>
      </c>
      <c r="K29">
        <v>100</v>
      </c>
      <c r="L29">
        <v>50</v>
      </c>
      <c r="O29" t="s">
        <v>1708</v>
      </c>
      <c r="P29" t="s">
        <v>1708</v>
      </c>
      <c r="R29" s="24"/>
      <c r="S29" s="24"/>
      <c r="T29" s="18"/>
      <c r="U29" s="18" t="str">
        <v>Medium-frequency range</v>
      </c>
      <c r="V29" s="21">
        <f t="shared" si="0"/>
        <v>1</v>
      </c>
    </row>
    <row r="30" spans="1:22" x14ac:dyDescent="0.3">
      <c r="A30">
        <v>1131185</v>
      </c>
      <c r="B30" t="s">
        <v>1788</v>
      </c>
      <c r="C30" t="s">
        <v>1007</v>
      </c>
      <c r="D30" t="s">
        <v>1008</v>
      </c>
      <c r="E30" t="s">
        <v>1009</v>
      </c>
      <c r="F30" t="s">
        <v>1010</v>
      </c>
      <c r="G30" t="s">
        <v>1037</v>
      </c>
      <c r="H30" t="s">
        <v>46</v>
      </c>
      <c r="I30" t="s">
        <v>46</v>
      </c>
      <c r="J30" t="s">
        <v>17</v>
      </c>
      <c r="K30">
        <v>100</v>
      </c>
      <c r="L30">
        <v>50</v>
      </c>
      <c r="O30" t="s">
        <v>1708</v>
      </c>
      <c r="P30" t="s">
        <v>1708</v>
      </c>
      <c r="R30" s="24"/>
      <c r="S30" s="24"/>
      <c r="T30" s="18"/>
      <c r="U30" s="18" t="str">
        <v>Vibroacoustic</v>
      </c>
      <c r="V30" s="21">
        <f t="shared" si="0"/>
        <v>8</v>
      </c>
    </row>
    <row r="31" spans="1:22" x14ac:dyDescent="0.3">
      <c r="A31">
        <v>1131185</v>
      </c>
      <c r="B31" t="s">
        <v>1788</v>
      </c>
      <c r="C31" t="s">
        <v>1007</v>
      </c>
      <c r="D31" t="s">
        <v>1008</v>
      </c>
      <c r="E31" t="s">
        <v>1009</v>
      </c>
      <c r="F31" t="s">
        <v>1010</v>
      </c>
      <c r="G31" t="s">
        <v>1038</v>
      </c>
      <c r="H31" t="s">
        <v>46</v>
      </c>
      <c r="I31" t="s">
        <v>46</v>
      </c>
      <c r="J31" t="s">
        <v>17</v>
      </c>
      <c r="K31">
        <v>100</v>
      </c>
      <c r="L31">
        <v>50</v>
      </c>
      <c r="O31" t="s">
        <v>1708</v>
      </c>
      <c r="P31" t="s">
        <v>1708</v>
      </c>
      <c r="R31" s="24"/>
      <c r="S31" s="24"/>
      <c r="T31" s="18"/>
      <c r="U31" s="18" t="str">
        <v>Structural Acoustics</v>
      </c>
      <c r="V31" s="21">
        <f t="shared" si="0"/>
        <v>1</v>
      </c>
    </row>
    <row r="32" spans="1:22" x14ac:dyDescent="0.3">
      <c r="A32">
        <v>1131185</v>
      </c>
      <c r="B32" t="s">
        <v>1788</v>
      </c>
      <c r="C32" t="s">
        <v>1007</v>
      </c>
      <c r="D32" t="s">
        <v>1008</v>
      </c>
      <c r="E32" t="s">
        <v>1009</v>
      </c>
      <c r="F32" t="s">
        <v>1010</v>
      </c>
      <c r="G32" t="s">
        <v>1039</v>
      </c>
      <c r="H32" t="s">
        <v>46</v>
      </c>
      <c r="I32" t="s">
        <v>46</v>
      </c>
      <c r="J32" t="s">
        <v>17</v>
      </c>
      <c r="K32">
        <v>100</v>
      </c>
      <c r="L32">
        <v>50</v>
      </c>
      <c r="O32" t="s">
        <v>1708</v>
      </c>
      <c r="P32" t="s">
        <v>1708</v>
      </c>
      <c r="R32" s="24"/>
      <c r="S32" s="24"/>
      <c r="T32" s="18"/>
      <c r="U32" s="18" t="str">
        <v>Vibration</v>
      </c>
      <c r="V32" s="21">
        <f t="shared" si="0"/>
        <v>1</v>
      </c>
    </row>
    <row r="33" spans="1:22" hidden="1" x14ac:dyDescent="0.3">
      <c r="A33">
        <v>1131185</v>
      </c>
      <c r="B33" t="s">
        <v>1788</v>
      </c>
      <c r="C33" t="s">
        <v>1810</v>
      </c>
      <c r="H33" t="s">
        <v>16</v>
      </c>
      <c r="I33" t="s">
        <v>16</v>
      </c>
      <c r="J33" t="s">
        <v>17</v>
      </c>
      <c r="K33">
        <v>0</v>
      </c>
      <c r="L33">
        <v>0</v>
      </c>
      <c r="O33" t="s">
        <v>1708</v>
      </c>
      <c r="P33" t="s">
        <v>1708</v>
      </c>
      <c r="R33" s="24"/>
      <c r="S33" s="24"/>
      <c r="T33" s="18"/>
      <c r="U33" s="18" t="str">
        <v>Computational Vibroacoustics</v>
      </c>
      <c r="V33" s="21">
        <f t="shared" si="0"/>
        <v>1</v>
      </c>
    </row>
    <row r="34" spans="1:22" x14ac:dyDescent="0.3">
      <c r="A34">
        <v>1131185</v>
      </c>
      <c r="B34" t="s">
        <v>1788</v>
      </c>
      <c r="C34" t="s">
        <v>1809</v>
      </c>
      <c r="D34" t="s">
        <v>1809</v>
      </c>
      <c r="E34" t="s">
        <v>1808</v>
      </c>
      <c r="F34" t="s">
        <v>1807</v>
      </c>
      <c r="H34" t="s">
        <v>22</v>
      </c>
      <c r="I34" t="s">
        <v>22</v>
      </c>
      <c r="J34" t="s">
        <v>17</v>
      </c>
      <c r="K34">
        <v>100</v>
      </c>
      <c r="L34">
        <v>110</v>
      </c>
      <c r="M34" t="s">
        <v>1806</v>
      </c>
      <c r="N34" t="s">
        <v>1805</v>
      </c>
      <c r="O34" t="s">
        <v>1708</v>
      </c>
      <c r="P34" t="s">
        <v>1708</v>
      </c>
      <c r="R34" s="24"/>
      <c r="S34" s="24"/>
      <c r="T34" s="18"/>
      <c r="U34" s="18" t="str">
        <v>Nonlinear structural dynamics</v>
      </c>
      <c r="V34" s="21">
        <f t="shared" si="0"/>
        <v>1</v>
      </c>
    </row>
    <row r="35" spans="1:22" x14ac:dyDescent="0.3">
      <c r="A35">
        <v>1131185</v>
      </c>
      <c r="B35" t="s">
        <v>1788</v>
      </c>
      <c r="C35" t="s">
        <v>1804</v>
      </c>
      <c r="D35" t="s">
        <v>1786</v>
      </c>
      <c r="E35" t="s">
        <v>1785</v>
      </c>
      <c r="H35" t="s">
        <v>22</v>
      </c>
      <c r="I35" t="s">
        <v>22</v>
      </c>
      <c r="J35" t="s">
        <v>17</v>
      </c>
      <c r="K35">
        <v>75</v>
      </c>
      <c r="L35">
        <v>45</v>
      </c>
      <c r="M35" t="s">
        <v>1784</v>
      </c>
      <c r="N35" t="s">
        <v>1783</v>
      </c>
      <c r="O35" t="s">
        <v>1708</v>
      </c>
      <c r="P35" t="s">
        <v>1769</v>
      </c>
      <c r="R35" s="24"/>
      <c r="S35" s="24"/>
      <c r="T35" s="18"/>
      <c r="U35" s="18" t="str">
        <v>Mistuned bladed disk</v>
      </c>
      <c r="V35" s="21">
        <f t="shared" si="0"/>
        <v>1</v>
      </c>
    </row>
    <row r="36" spans="1:22" hidden="1" x14ac:dyDescent="0.3">
      <c r="A36">
        <v>1131185</v>
      </c>
      <c r="B36" t="s">
        <v>1788</v>
      </c>
      <c r="C36" t="s">
        <v>1004</v>
      </c>
      <c r="H36" t="s">
        <v>16</v>
      </c>
      <c r="I36" t="s">
        <v>16</v>
      </c>
      <c r="J36" t="s">
        <v>17</v>
      </c>
      <c r="K36">
        <v>0</v>
      </c>
      <c r="L36">
        <v>0</v>
      </c>
      <c r="O36" t="s">
        <v>1708</v>
      </c>
      <c r="P36" t="s">
        <v>1769</v>
      </c>
      <c r="R36" s="24"/>
      <c r="S36" s="24"/>
      <c r="T36" s="18"/>
      <c r="U36" s="18" t="str">
        <v>Geometrical nonlinearities</v>
      </c>
      <c r="V36" s="21">
        <f t="shared" si="0"/>
        <v>1</v>
      </c>
    </row>
    <row r="37" spans="1:22" ht="187.2" customHeight="1" x14ac:dyDescent="0.3">
      <c r="A37">
        <v>1131185</v>
      </c>
      <c r="B37" t="s">
        <v>1788</v>
      </c>
      <c r="C37" t="s">
        <v>1803</v>
      </c>
      <c r="D37" t="s">
        <v>1802</v>
      </c>
      <c r="E37" t="s">
        <v>1801</v>
      </c>
      <c r="H37" t="s">
        <v>22</v>
      </c>
      <c r="I37" t="s">
        <v>22</v>
      </c>
      <c r="J37" t="s">
        <v>17</v>
      </c>
      <c r="K37">
        <v>100</v>
      </c>
      <c r="L37">
        <v>112</v>
      </c>
      <c r="M37" t="s">
        <v>1800</v>
      </c>
      <c r="N37" t="s">
        <v>1799</v>
      </c>
      <c r="O37" t="s">
        <v>1795</v>
      </c>
      <c r="P37" t="s">
        <v>1748</v>
      </c>
      <c r="Q37" s="19" t="s">
        <v>1798</v>
      </c>
      <c r="R37" s="24"/>
      <c r="S37" s="24"/>
      <c r="T37" s="18"/>
      <c r="U37" s="18" t="str">
        <v>Multiscale methods</v>
      </c>
      <c r="V37" s="21">
        <f t="shared" si="0"/>
        <v>1</v>
      </c>
    </row>
    <row r="38" spans="1:22" hidden="1" x14ac:dyDescent="0.3">
      <c r="A38">
        <v>1131185</v>
      </c>
      <c r="B38" t="s">
        <v>1788</v>
      </c>
      <c r="C38" t="s">
        <v>1797</v>
      </c>
      <c r="H38" t="s">
        <v>16</v>
      </c>
      <c r="I38" t="s">
        <v>16</v>
      </c>
      <c r="J38" t="s">
        <v>17</v>
      </c>
      <c r="K38">
        <v>0</v>
      </c>
      <c r="L38">
        <v>0</v>
      </c>
      <c r="O38" t="s">
        <v>1708</v>
      </c>
      <c r="P38" t="s">
        <v>1769</v>
      </c>
      <c r="Q38" t="s">
        <v>1796</v>
      </c>
      <c r="R38" s="24"/>
      <c r="S38" s="24"/>
      <c r="T38" s="18"/>
      <c r="U38" s="18" t="str">
        <v>Neural Networks</v>
      </c>
      <c r="V38" s="21">
        <f t="shared" si="0"/>
        <v>6</v>
      </c>
    </row>
    <row r="39" spans="1:22" x14ac:dyDescent="0.3">
      <c r="A39">
        <v>1131185</v>
      </c>
      <c r="B39" t="s">
        <v>1788</v>
      </c>
      <c r="C39" t="s">
        <v>1050</v>
      </c>
      <c r="D39" t="s">
        <v>1051</v>
      </c>
      <c r="E39" t="s">
        <v>1052</v>
      </c>
      <c r="H39" t="s">
        <v>22</v>
      </c>
      <c r="I39" t="s">
        <v>22</v>
      </c>
      <c r="J39" t="s">
        <v>17</v>
      </c>
      <c r="K39">
        <v>97.1</v>
      </c>
      <c r="L39">
        <v>109.3</v>
      </c>
      <c r="M39" t="s">
        <v>1053</v>
      </c>
      <c r="N39" t="s">
        <v>1054</v>
      </c>
      <c r="O39" t="s">
        <v>1795</v>
      </c>
      <c r="P39" t="s">
        <v>1748</v>
      </c>
      <c r="Q39" s="20" t="s">
        <v>1794</v>
      </c>
      <c r="R39" s="24"/>
      <c r="S39" s="24"/>
      <c r="T39" s="18"/>
      <c r="U39" s="18" t="str">
        <v>High-dimensional approximation</v>
      </c>
      <c r="V39" s="21">
        <f t="shared" si="0"/>
        <v>1</v>
      </c>
    </row>
    <row r="40" spans="1:22" x14ac:dyDescent="0.3">
      <c r="A40">
        <v>1131185</v>
      </c>
      <c r="B40" t="s">
        <v>1788</v>
      </c>
      <c r="C40" t="s">
        <v>1049</v>
      </c>
      <c r="D40" t="s">
        <v>1008</v>
      </c>
      <c r="E40" t="s">
        <v>1009</v>
      </c>
      <c r="F40" t="s">
        <v>1010</v>
      </c>
      <c r="G40" t="s">
        <v>1011</v>
      </c>
      <c r="H40" t="s">
        <v>46</v>
      </c>
      <c r="I40" t="s">
        <v>46</v>
      </c>
      <c r="J40" t="s">
        <v>17</v>
      </c>
      <c r="K40">
        <v>100</v>
      </c>
      <c r="L40">
        <v>50</v>
      </c>
      <c r="O40" t="s">
        <v>1708</v>
      </c>
      <c r="Q40" s="20" t="s">
        <v>1793</v>
      </c>
      <c r="R40" s="24"/>
      <c r="S40" s="24"/>
      <c r="T40" s="18"/>
      <c r="U40" s="18" t="str">
        <v>Computational homogenization</v>
      </c>
      <c r="V40" s="21">
        <f t="shared" si="0"/>
        <v>1</v>
      </c>
    </row>
    <row r="41" spans="1:22" x14ac:dyDescent="0.3">
      <c r="A41">
        <v>1131185</v>
      </c>
      <c r="B41" t="s">
        <v>1788</v>
      </c>
      <c r="C41" t="s">
        <v>1049</v>
      </c>
      <c r="D41" t="s">
        <v>1008</v>
      </c>
      <c r="E41" t="s">
        <v>1009</v>
      </c>
      <c r="F41" t="s">
        <v>1010</v>
      </c>
      <c r="G41" t="s">
        <v>1012</v>
      </c>
      <c r="H41" t="s">
        <v>46</v>
      </c>
      <c r="I41" t="s">
        <v>46</v>
      </c>
      <c r="J41" t="s">
        <v>17</v>
      </c>
      <c r="K41">
        <v>100</v>
      </c>
      <c r="L41">
        <v>50</v>
      </c>
      <c r="O41" t="s">
        <v>1708</v>
      </c>
      <c r="Q41" s="20" t="s">
        <v>1793</v>
      </c>
      <c r="R41" s="24"/>
      <c r="S41" s="24"/>
      <c r="T41" s="18"/>
      <c r="U41" s="18" t="str">
        <v>Nonlinear homogenization</v>
      </c>
      <c r="V41" s="21">
        <f t="shared" si="0"/>
        <v>1</v>
      </c>
    </row>
    <row r="42" spans="1:22" x14ac:dyDescent="0.3">
      <c r="A42">
        <v>1131185</v>
      </c>
      <c r="B42" t="s">
        <v>1788</v>
      </c>
      <c r="C42" t="s">
        <v>1049</v>
      </c>
      <c r="D42" t="s">
        <v>1008</v>
      </c>
      <c r="E42" t="s">
        <v>1009</v>
      </c>
      <c r="F42" t="s">
        <v>1010</v>
      </c>
      <c r="G42" t="s">
        <v>1013</v>
      </c>
      <c r="H42" t="s">
        <v>46</v>
      </c>
      <c r="I42" t="s">
        <v>46</v>
      </c>
      <c r="J42" t="s">
        <v>17</v>
      </c>
      <c r="K42">
        <v>100</v>
      </c>
      <c r="L42">
        <v>50</v>
      </c>
      <c r="O42" t="s">
        <v>1708</v>
      </c>
      <c r="Q42" s="20" t="s">
        <v>1792</v>
      </c>
      <c r="R42" s="24"/>
      <c r="S42" s="24"/>
      <c r="T42" s="18"/>
      <c r="U42" s="18" t="str">
        <v>Drillstring dynamics</v>
      </c>
      <c r="V42" s="21">
        <f t="shared" si="0"/>
        <v>1</v>
      </c>
    </row>
    <row r="43" spans="1:22" x14ac:dyDescent="0.3">
      <c r="A43">
        <v>1131185</v>
      </c>
      <c r="B43" t="s">
        <v>1788</v>
      </c>
      <c r="C43" t="s">
        <v>1049</v>
      </c>
      <c r="D43" t="s">
        <v>1008</v>
      </c>
      <c r="E43" t="s">
        <v>1009</v>
      </c>
      <c r="F43" t="s">
        <v>1010</v>
      </c>
      <c r="G43" t="s">
        <v>1014</v>
      </c>
      <c r="H43" t="s">
        <v>46</v>
      </c>
      <c r="I43" t="s">
        <v>46</v>
      </c>
      <c r="J43" t="s">
        <v>17</v>
      </c>
      <c r="K43">
        <v>100</v>
      </c>
      <c r="L43">
        <v>50</v>
      </c>
      <c r="O43" t="s">
        <v>1708</v>
      </c>
      <c r="Q43" s="20" t="s">
        <v>1792</v>
      </c>
      <c r="R43" s="24"/>
      <c r="S43" s="24"/>
      <c r="T43" s="18"/>
      <c r="U43" s="18" t="str">
        <v>Horizontal drillstring</v>
      </c>
      <c r="V43" s="21">
        <f t="shared" si="0"/>
        <v>1</v>
      </c>
    </row>
    <row r="44" spans="1:22" x14ac:dyDescent="0.3">
      <c r="A44">
        <v>1131185</v>
      </c>
      <c r="B44" t="s">
        <v>1788</v>
      </c>
      <c r="C44" t="s">
        <v>1049</v>
      </c>
      <c r="D44" t="s">
        <v>1008</v>
      </c>
      <c r="E44" t="s">
        <v>1009</v>
      </c>
      <c r="F44" t="s">
        <v>1010</v>
      </c>
      <c r="G44" t="s">
        <v>1015</v>
      </c>
      <c r="H44" t="s">
        <v>46</v>
      </c>
      <c r="I44" t="s">
        <v>46</v>
      </c>
      <c r="J44" t="s">
        <v>17</v>
      </c>
      <c r="K44">
        <v>100</v>
      </c>
      <c r="L44">
        <v>50</v>
      </c>
      <c r="O44" t="s">
        <v>1708</v>
      </c>
      <c r="Q44" s="20" t="s">
        <v>1791</v>
      </c>
      <c r="R44" s="24"/>
      <c r="S44" s="24"/>
      <c r="T44" s="18"/>
      <c r="U44" s="18" t="str">
        <v>Parametric probabilistic approach</v>
      </c>
      <c r="V44" s="21">
        <f t="shared" si="0"/>
        <v>1</v>
      </c>
    </row>
    <row r="45" spans="1:22" x14ac:dyDescent="0.3">
      <c r="A45">
        <v>1131185</v>
      </c>
      <c r="B45" t="s">
        <v>1788</v>
      </c>
      <c r="C45" t="s">
        <v>1049</v>
      </c>
      <c r="D45" t="s">
        <v>1008</v>
      </c>
      <c r="E45" t="s">
        <v>1009</v>
      </c>
      <c r="F45" t="s">
        <v>1010</v>
      </c>
      <c r="G45" t="s">
        <v>1016</v>
      </c>
      <c r="H45" t="s">
        <v>46</v>
      </c>
      <c r="I45" t="s">
        <v>46</v>
      </c>
      <c r="J45" t="s">
        <v>17</v>
      </c>
      <c r="K45">
        <v>100</v>
      </c>
      <c r="L45">
        <v>50</v>
      </c>
      <c r="O45" t="s">
        <v>1708</v>
      </c>
      <c r="Q45" s="20" t="s">
        <v>1791</v>
      </c>
      <c r="R45" s="24"/>
      <c r="S45" s="24"/>
      <c r="T45" s="18"/>
      <c r="U45" s="18" t="str">
        <v>Robust optimization</v>
      </c>
      <c r="V45" s="21">
        <f t="shared" si="0"/>
        <v>6</v>
      </c>
    </row>
    <row r="46" spans="1:22" x14ac:dyDescent="0.3">
      <c r="A46">
        <v>1131185</v>
      </c>
      <c r="B46" t="s">
        <v>1788</v>
      </c>
      <c r="C46" t="s">
        <v>1049</v>
      </c>
      <c r="D46" t="s">
        <v>1008</v>
      </c>
      <c r="E46" t="s">
        <v>1009</v>
      </c>
      <c r="F46" t="s">
        <v>1010</v>
      </c>
      <c r="G46" t="s">
        <v>1017</v>
      </c>
      <c r="H46" t="s">
        <v>46</v>
      </c>
      <c r="I46" t="s">
        <v>46</v>
      </c>
      <c r="J46" t="s">
        <v>17</v>
      </c>
      <c r="K46">
        <v>100</v>
      </c>
      <c r="L46">
        <v>50</v>
      </c>
      <c r="O46" t="s">
        <v>1708</v>
      </c>
      <c r="Q46" s="20" t="s">
        <v>1791</v>
      </c>
      <c r="R46" s="24"/>
      <c r="S46" s="24"/>
      <c r="T46" s="18"/>
      <c r="U46" s="18" t="str">
        <v>Optimal sensor placement</v>
      </c>
      <c r="V46" s="21">
        <f t="shared" si="0"/>
        <v>1</v>
      </c>
    </row>
    <row r="47" spans="1:22" x14ac:dyDescent="0.3">
      <c r="A47">
        <v>1131185</v>
      </c>
      <c r="B47" t="s">
        <v>1788</v>
      </c>
      <c r="C47" t="s">
        <v>1049</v>
      </c>
      <c r="D47" t="s">
        <v>1008</v>
      </c>
      <c r="E47" t="s">
        <v>1009</v>
      </c>
      <c r="F47" t="s">
        <v>1010</v>
      </c>
      <c r="G47" t="s">
        <v>1018</v>
      </c>
      <c r="H47" t="s">
        <v>46</v>
      </c>
      <c r="I47" t="s">
        <v>46</v>
      </c>
      <c r="J47" t="s">
        <v>17</v>
      </c>
      <c r="K47">
        <v>100</v>
      </c>
      <c r="L47">
        <v>50</v>
      </c>
      <c r="O47" t="s">
        <v>1708</v>
      </c>
      <c r="Q47" s="20" t="s">
        <v>1791</v>
      </c>
      <c r="R47" s="24"/>
      <c r="S47" s="24"/>
      <c r="T47" s="18"/>
      <c r="U47" s="18" t="str">
        <v>Model updating</v>
      </c>
      <c r="V47" s="21">
        <f t="shared" si="0"/>
        <v>1</v>
      </c>
    </row>
    <row r="48" spans="1:22" x14ac:dyDescent="0.3">
      <c r="A48">
        <v>1131185</v>
      </c>
      <c r="B48" t="s">
        <v>1788</v>
      </c>
      <c r="C48" t="s">
        <v>1049</v>
      </c>
      <c r="D48" t="s">
        <v>1008</v>
      </c>
      <c r="E48" t="s">
        <v>1009</v>
      </c>
      <c r="F48" t="s">
        <v>1010</v>
      </c>
      <c r="G48" t="s">
        <v>1019</v>
      </c>
      <c r="H48" t="s">
        <v>46</v>
      </c>
      <c r="I48" t="s">
        <v>46</v>
      </c>
      <c r="J48" t="s">
        <v>17</v>
      </c>
      <c r="K48">
        <v>100</v>
      </c>
      <c r="L48">
        <v>50</v>
      </c>
      <c r="O48" t="s">
        <v>1708</v>
      </c>
      <c r="Q48" s="20" t="s">
        <v>1791</v>
      </c>
      <c r="R48" s="24"/>
      <c r="S48" s="24"/>
      <c r="T48" s="18"/>
      <c r="U48" s="18" t="str">
        <v>Bayesian inference</v>
      </c>
      <c r="V48" s="21">
        <f t="shared" si="0"/>
        <v>8</v>
      </c>
    </row>
    <row r="49" spans="1:22" x14ac:dyDescent="0.3">
      <c r="A49">
        <v>1131185</v>
      </c>
      <c r="B49" t="s">
        <v>1788</v>
      </c>
      <c r="C49" t="s">
        <v>1049</v>
      </c>
      <c r="D49" t="s">
        <v>1008</v>
      </c>
      <c r="E49" t="s">
        <v>1009</v>
      </c>
      <c r="F49" t="s">
        <v>1010</v>
      </c>
      <c r="G49" t="s">
        <v>1020</v>
      </c>
      <c r="H49" t="s">
        <v>46</v>
      </c>
      <c r="I49" t="s">
        <v>46</v>
      </c>
      <c r="J49" t="s">
        <v>17</v>
      </c>
      <c r="K49">
        <v>100</v>
      </c>
      <c r="L49">
        <v>50</v>
      </c>
      <c r="O49" t="s">
        <v>1708</v>
      </c>
      <c r="Q49" s="20" t="s">
        <v>1791</v>
      </c>
      <c r="R49" s="24"/>
      <c r="S49" s="24"/>
      <c r="T49" s="18"/>
      <c r="U49" s="18" t="str">
        <v>Uncertain position</v>
      </c>
      <c r="V49" s="21">
        <f t="shared" si="0"/>
        <v>1</v>
      </c>
    </row>
    <row r="50" spans="1:22" x14ac:dyDescent="0.3">
      <c r="A50">
        <v>1131185</v>
      </c>
      <c r="B50" t="s">
        <v>1788</v>
      </c>
      <c r="C50" t="s">
        <v>1049</v>
      </c>
      <c r="D50" t="s">
        <v>1008</v>
      </c>
      <c r="E50" t="s">
        <v>1009</v>
      </c>
      <c r="F50" t="s">
        <v>1010</v>
      </c>
      <c r="G50" t="s">
        <v>1021</v>
      </c>
      <c r="H50" t="s">
        <v>46</v>
      </c>
      <c r="I50" t="s">
        <v>46</v>
      </c>
      <c r="J50" t="s">
        <v>17</v>
      </c>
      <c r="K50">
        <v>100</v>
      </c>
      <c r="L50">
        <v>50</v>
      </c>
      <c r="O50" t="s">
        <v>1708</v>
      </c>
      <c r="Q50" s="20" t="s">
        <v>1791</v>
      </c>
      <c r="R50" s="24"/>
      <c r="S50" s="24"/>
      <c r="T50" s="18"/>
      <c r="U50" s="18"/>
      <c r="V50" s="18"/>
    </row>
    <row r="51" spans="1:22" x14ac:dyDescent="0.3">
      <c r="A51">
        <v>1131185</v>
      </c>
      <c r="B51" t="s">
        <v>1788</v>
      </c>
      <c r="C51" t="s">
        <v>1049</v>
      </c>
      <c r="D51" t="s">
        <v>1008</v>
      </c>
      <c r="E51" t="s">
        <v>1009</v>
      </c>
      <c r="F51" t="s">
        <v>1010</v>
      </c>
      <c r="G51" t="s">
        <v>1022</v>
      </c>
      <c r="H51" t="s">
        <v>46</v>
      </c>
      <c r="I51" t="s">
        <v>46</v>
      </c>
      <c r="J51" t="s">
        <v>17</v>
      </c>
      <c r="K51">
        <v>100</v>
      </c>
      <c r="L51">
        <v>50</v>
      </c>
      <c r="O51" t="s">
        <v>1708</v>
      </c>
      <c r="Q51" s="20" t="s">
        <v>1791</v>
      </c>
      <c r="R51" s="24"/>
      <c r="S51" s="24"/>
      <c r="T51" s="18"/>
      <c r="U51" s="18"/>
      <c r="V51" s="18"/>
    </row>
    <row r="52" spans="1:22" x14ac:dyDescent="0.3">
      <c r="A52">
        <v>1131185</v>
      </c>
      <c r="B52" t="s">
        <v>1788</v>
      </c>
      <c r="C52" t="s">
        <v>1049</v>
      </c>
      <c r="D52" t="s">
        <v>1008</v>
      </c>
      <c r="E52" t="s">
        <v>1009</v>
      </c>
      <c r="F52" t="s">
        <v>1010</v>
      </c>
      <c r="G52" t="s">
        <v>1023</v>
      </c>
      <c r="H52" t="s">
        <v>46</v>
      </c>
      <c r="I52" t="s">
        <v>46</v>
      </c>
      <c r="J52" t="s">
        <v>17</v>
      </c>
      <c r="K52">
        <v>100</v>
      </c>
      <c r="L52">
        <v>50</v>
      </c>
      <c r="O52" t="s">
        <v>1708</v>
      </c>
      <c r="Q52" s="20" t="s">
        <v>1791</v>
      </c>
      <c r="R52" s="24"/>
      <c r="S52" s="24"/>
      <c r="T52" s="18"/>
      <c r="U52" s="18"/>
      <c r="V52" s="18"/>
    </row>
    <row r="53" spans="1:22" x14ac:dyDescent="0.3">
      <c r="A53">
        <v>1131185</v>
      </c>
      <c r="B53" t="s">
        <v>1788</v>
      </c>
      <c r="C53" t="s">
        <v>1049</v>
      </c>
      <c r="D53" t="s">
        <v>1008</v>
      </c>
      <c r="E53" t="s">
        <v>1009</v>
      </c>
      <c r="F53" t="s">
        <v>1010</v>
      </c>
      <c r="G53" t="s">
        <v>1024</v>
      </c>
      <c r="H53" t="s">
        <v>46</v>
      </c>
      <c r="I53" t="s">
        <v>46</v>
      </c>
      <c r="J53" t="s">
        <v>17</v>
      </c>
      <c r="K53">
        <v>100</v>
      </c>
      <c r="L53">
        <v>50</v>
      </c>
      <c r="O53" t="s">
        <v>1708</v>
      </c>
      <c r="Q53" s="20" t="s">
        <v>1791</v>
      </c>
      <c r="R53" s="24"/>
      <c r="S53" s="24"/>
      <c r="T53" s="18"/>
      <c r="U53" s="18"/>
      <c r="V53" s="18"/>
    </row>
    <row r="54" spans="1:22" x14ac:dyDescent="0.3">
      <c r="A54">
        <v>1131185</v>
      </c>
      <c r="B54" t="s">
        <v>1788</v>
      </c>
      <c r="C54" t="s">
        <v>1049</v>
      </c>
      <c r="D54" t="s">
        <v>1008</v>
      </c>
      <c r="E54" t="s">
        <v>1009</v>
      </c>
      <c r="F54" t="s">
        <v>1010</v>
      </c>
      <c r="G54" t="s">
        <v>1025</v>
      </c>
      <c r="H54" t="s">
        <v>46</v>
      </c>
      <c r="I54" t="s">
        <v>46</v>
      </c>
      <c r="J54" t="s">
        <v>17</v>
      </c>
      <c r="K54">
        <v>100</v>
      </c>
      <c r="L54">
        <v>50</v>
      </c>
      <c r="O54" t="s">
        <v>1708</v>
      </c>
      <c r="Q54" s="20" t="s">
        <v>1791</v>
      </c>
      <c r="R54" s="24"/>
      <c r="S54" s="24"/>
      <c r="T54" s="18"/>
      <c r="U54" s="18"/>
      <c r="V54" s="18"/>
    </row>
    <row r="55" spans="1:22" x14ac:dyDescent="0.3">
      <c r="A55">
        <v>1131185</v>
      </c>
      <c r="B55" t="s">
        <v>1788</v>
      </c>
      <c r="C55" t="s">
        <v>1049</v>
      </c>
      <c r="D55" t="s">
        <v>1008</v>
      </c>
      <c r="E55" t="s">
        <v>1009</v>
      </c>
      <c r="F55" t="s">
        <v>1010</v>
      </c>
      <c r="G55" t="s">
        <v>1026</v>
      </c>
      <c r="H55" t="s">
        <v>46</v>
      </c>
      <c r="I55" t="s">
        <v>46</v>
      </c>
      <c r="J55" t="s">
        <v>17</v>
      </c>
      <c r="K55">
        <v>100</v>
      </c>
      <c r="L55">
        <v>50</v>
      </c>
      <c r="O55" t="s">
        <v>1708</v>
      </c>
      <c r="Q55" s="20" t="s">
        <v>1791</v>
      </c>
      <c r="R55" s="24"/>
      <c r="S55" s="24"/>
      <c r="T55" s="18"/>
      <c r="U55" s="18"/>
      <c r="V55" s="18"/>
    </row>
    <row r="56" spans="1:22" x14ac:dyDescent="0.3">
      <c r="A56">
        <v>1131185</v>
      </c>
      <c r="B56" t="s">
        <v>1788</v>
      </c>
      <c r="C56" t="s">
        <v>1049</v>
      </c>
      <c r="D56" t="s">
        <v>1008</v>
      </c>
      <c r="E56" t="s">
        <v>1009</v>
      </c>
      <c r="F56" t="s">
        <v>1010</v>
      </c>
      <c r="G56" t="s">
        <v>1027</v>
      </c>
      <c r="H56" t="s">
        <v>46</v>
      </c>
      <c r="I56" t="s">
        <v>46</v>
      </c>
      <c r="J56" t="s">
        <v>17</v>
      </c>
      <c r="K56">
        <v>100</v>
      </c>
      <c r="L56">
        <v>50</v>
      </c>
      <c r="O56" t="s">
        <v>1708</v>
      </c>
      <c r="Q56" s="20" t="s">
        <v>1791</v>
      </c>
      <c r="R56" s="24"/>
      <c r="S56" s="24"/>
      <c r="T56" s="18"/>
      <c r="U56" s="18"/>
      <c r="V56" s="18"/>
    </row>
    <row r="57" spans="1:22" x14ac:dyDescent="0.3">
      <c r="A57">
        <v>1131185</v>
      </c>
      <c r="B57" t="s">
        <v>1788</v>
      </c>
      <c r="C57" t="s">
        <v>1049</v>
      </c>
      <c r="D57" t="s">
        <v>1008</v>
      </c>
      <c r="E57" t="s">
        <v>1009</v>
      </c>
      <c r="F57" t="s">
        <v>1010</v>
      </c>
      <c r="G57" t="s">
        <v>1028</v>
      </c>
      <c r="H57" t="s">
        <v>46</v>
      </c>
      <c r="I57" t="s">
        <v>46</v>
      </c>
      <c r="J57" t="s">
        <v>17</v>
      </c>
      <c r="K57">
        <v>100</v>
      </c>
      <c r="L57">
        <v>50</v>
      </c>
      <c r="O57" t="s">
        <v>1708</v>
      </c>
      <c r="Q57" s="20" t="s">
        <v>1791</v>
      </c>
      <c r="R57" s="24"/>
      <c r="S57" s="24"/>
      <c r="T57" s="18"/>
      <c r="U57" s="18"/>
      <c r="V57" s="18"/>
    </row>
    <row r="58" spans="1:22" x14ac:dyDescent="0.3">
      <c r="A58">
        <v>1131185</v>
      </c>
      <c r="B58" t="s">
        <v>1788</v>
      </c>
      <c r="C58" t="s">
        <v>1049</v>
      </c>
      <c r="D58" t="s">
        <v>1008</v>
      </c>
      <c r="E58" t="s">
        <v>1009</v>
      </c>
      <c r="F58" t="s">
        <v>1010</v>
      </c>
      <c r="G58" t="s">
        <v>1029</v>
      </c>
      <c r="H58" t="s">
        <v>46</v>
      </c>
      <c r="I58" t="s">
        <v>46</v>
      </c>
      <c r="J58" t="s">
        <v>17</v>
      </c>
      <c r="K58">
        <v>100</v>
      </c>
      <c r="L58">
        <v>50</v>
      </c>
      <c r="O58" t="s">
        <v>1708</v>
      </c>
      <c r="Q58" s="20" t="s">
        <v>1791</v>
      </c>
      <c r="R58" s="24"/>
      <c r="S58" s="24"/>
      <c r="T58" s="18"/>
      <c r="U58" s="18"/>
      <c r="V58" s="18"/>
    </row>
    <row r="59" spans="1:22" x14ac:dyDescent="0.3">
      <c r="A59">
        <v>1131185</v>
      </c>
      <c r="B59" t="s">
        <v>1788</v>
      </c>
      <c r="C59" t="s">
        <v>1049</v>
      </c>
      <c r="D59" t="s">
        <v>1008</v>
      </c>
      <c r="E59" t="s">
        <v>1009</v>
      </c>
      <c r="F59" t="s">
        <v>1010</v>
      </c>
      <c r="G59" t="s">
        <v>1030</v>
      </c>
      <c r="H59" t="s">
        <v>46</v>
      </c>
      <c r="I59" t="s">
        <v>46</v>
      </c>
      <c r="J59" t="s">
        <v>17</v>
      </c>
      <c r="K59">
        <v>100</v>
      </c>
      <c r="L59">
        <v>50</v>
      </c>
      <c r="O59" t="s">
        <v>1708</v>
      </c>
      <c r="Q59" s="20" t="s">
        <v>1791</v>
      </c>
      <c r="R59" s="24"/>
      <c r="S59" s="24"/>
      <c r="T59" s="18"/>
      <c r="U59" s="18"/>
      <c r="V59" s="18"/>
    </row>
    <row r="60" spans="1:22" x14ac:dyDescent="0.3">
      <c r="A60">
        <v>1131185</v>
      </c>
      <c r="B60" t="s">
        <v>1788</v>
      </c>
      <c r="C60" t="s">
        <v>1049</v>
      </c>
      <c r="D60" t="s">
        <v>1008</v>
      </c>
      <c r="E60" t="s">
        <v>1009</v>
      </c>
      <c r="F60" t="s">
        <v>1010</v>
      </c>
      <c r="G60" t="s">
        <v>1031</v>
      </c>
      <c r="H60" t="s">
        <v>46</v>
      </c>
      <c r="I60" t="s">
        <v>46</v>
      </c>
      <c r="J60" t="s">
        <v>17</v>
      </c>
      <c r="K60">
        <v>100</v>
      </c>
      <c r="L60">
        <v>50</v>
      </c>
      <c r="O60" t="s">
        <v>1708</v>
      </c>
      <c r="Q60" s="20" t="s">
        <v>1791</v>
      </c>
      <c r="R60" s="24"/>
      <c r="S60" s="24"/>
      <c r="T60" s="18"/>
      <c r="U60" s="18"/>
      <c r="V60" s="18"/>
    </row>
    <row r="61" spans="1:22" x14ac:dyDescent="0.3">
      <c r="A61">
        <v>1131185</v>
      </c>
      <c r="B61" t="s">
        <v>1788</v>
      </c>
      <c r="C61" t="s">
        <v>1049</v>
      </c>
      <c r="D61" t="s">
        <v>1008</v>
      </c>
      <c r="E61" t="s">
        <v>1009</v>
      </c>
      <c r="F61" t="s">
        <v>1010</v>
      </c>
      <c r="G61" t="s">
        <v>1032</v>
      </c>
      <c r="H61" t="s">
        <v>46</v>
      </c>
      <c r="I61" t="s">
        <v>46</v>
      </c>
      <c r="J61" t="s">
        <v>17</v>
      </c>
      <c r="K61">
        <v>100</v>
      </c>
      <c r="L61">
        <v>50</v>
      </c>
      <c r="O61" t="s">
        <v>1708</v>
      </c>
      <c r="Q61" s="20" t="s">
        <v>1791</v>
      </c>
      <c r="R61" s="24"/>
      <c r="S61" s="24"/>
      <c r="T61" s="18"/>
      <c r="U61" s="18"/>
      <c r="V61" s="18"/>
    </row>
    <row r="62" spans="1:22" x14ac:dyDescent="0.3">
      <c r="A62">
        <v>1131185</v>
      </c>
      <c r="B62" t="s">
        <v>1788</v>
      </c>
      <c r="C62" t="s">
        <v>1049</v>
      </c>
      <c r="D62" t="s">
        <v>1008</v>
      </c>
      <c r="E62" t="s">
        <v>1009</v>
      </c>
      <c r="F62" t="s">
        <v>1010</v>
      </c>
      <c r="G62" t="s">
        <v>1033</v>
      </c>
      <c r="H62" t="s">
        <v>46</v>
      </c>
      <c r="I62" t="s">
        <v>46</v>
      </c>
      <c r="J62" t="s">
        <v>17</v>
      </c>
      <c r="K62">
        <v>100</v>
      </c>
      <c r="L62">
        <v>50</v>
      </c>
      <c r="O62" t="s">
        <v>1708</v>
      </c>
      <c r="Q62" s="20" t="s">
        <v>1791</v>
      </c>
      <c r="R62" s="24"/>
      <c r="S62" s="24"/>
      <c r="T62" s="18"/>
      <c r="U62" s="18"/>
      <c r="V62" s="18"/>
    </row>
    <row r="63" spans="1:22" x14ac:dyDescent="0.3">
      <c r="A63">
        <v>1131185</v>
      </c>
      <c r="B63" t="s">
        <v>1788</v>
      </c>
      <c r="C63" t="s">
        <v>1049</v>
      </c>
      <c r="D63" t="s">
        <v>1008</v>
      </c>
      <c r="E63" t="s">
        <v>1009</v>
      </c>
      <c r="F63" t="s">
        <v>1010</v>
      </c>
      <c r="G63" t="s">
        <v>1034</v>
      </c>
      <c r="H63" t="s">
        <v>46</v>
      </c>
      <c r="I63" t="s">
        <v>46</v>
      </c>
      <c r="J63" t="s">
        <v>17</v>
      </c>
      <c r="K63">
        <v>100</v>
      </c>
      <c r="L63">
        <v>50</v>
      </c>
      <c r="O63" t="s">
        <v>1708</v>
      </c>
      <c r="Q63" s="20" t="s">
        <v>1791</v>
      </c>
      <c r="R63" s="24"/>
      <c r="S63" s="24"/>
      <c r="T63" s="18"/>
      <c r="U63" s="18"/>
      <c r="V63" s="18"/>
    </row>
    <row r="64" spans="1:22" x14ac:dyDescent="0.3">
      <c r="A64">
        <v>1131185</v>
      </c>
      <c r="B64" t="s">
        <v>1788</v>
      </c>
      <c r="C64" t="s">
        <v>1049</v>
      </c>
      <c r="D64" t="s">
        <v>1008</v>
      </c>
      <c r="E64" t="s">
        <v>1009</v>
      </c>
      <c r="F64" t="s">
        <v>1010</v>
      </c>
      <c r="G64" t="s">
        <v>1035</v>
      </c>
      <c r="H64" t="s">
        <v>46</v>
      </c>
      <c r="I64" t="s">
        <v>46</v>
      </c>
      <c r="J64" t="s">
        <v>17</v>
      </c>
      <c r="K64">
        <v>100</v>
      </c>
      <c r="L64">
        <v>50</v>
      </c>
      <c r="O64" t="s">
        <v>1708</v>
      </c>
      <c r="Q64" s="20" t="s">
        <v>1791</v>
      </c>
      <c r="R64" s="24"/>
      <c r="S64" s="24"/>
      <c r="T64" s="18"/>
      <c r="U64" s="18"/>
      <c r="V64" s="18"/>
    </row>
    <row r="65" spans="1:22" x14ac:dyDescent="0.3">
      <c r="A65">
        <v>1131185</v>
      </c>
      <c r="B65" t="s">
        <v>1788</v>
      </c>
      <c r="C65" t="s">
        <v>1049</v>
      </c>
      <c r="D65" t="s">
        <v>1008</v>
      </c>
      <c r="E65" t="s">
        <v>1009</v>
      </c>
      <c r="F65" t="s">
        <v>1010</v>
      </c>
      <c r="G65" t="s">
        <v>1036</v>
      </c>
      <c r="H65" t="s">
        <v>46</v>
      </c>
      <c r="I65" t="s">
        <v>46</v>
      </c>
      <c r="J65" t="s">
        <v>17</v>
      </c>
      <c r="K65">
        <v>100</v>
      </c>
      <c r="L65">
        <v>50</v>
      </c>
      <c r="O65" t="s">
        <v>1708</v>
      </c>
      <c r="Q65" s="20" t="s">
        <v>1791</v>
      </c>
      <c r="R65" s="24"/>
      <c r="S65" s="24"/>
      <c r="T65" s="18"/>
      <c r="U65" s="18"/>
      <c r="V65" s="18"/>
    </row>
    <row r="66" spans="1:22" x14ac:dyDescent="0.3">
      <c r="A66">
        <v>1131185</v>
      </c>
      <c r="B66" t="s">
        <v>1788</v>
      </c>
      <c r="C66" t="s">
        <v>1049</v>
      </c>
      <c r="D66" t="s">
        <v>1008</v>
      </c>
      <c r="E66" t="s">
        <v>1009</v>
      </c>
      <c r="F66" t="s">
        <v>1010</v>
      </c>
      <c r="G66" t="s">
        <v>1037</v>
      </c>
      <c r="H66" t="s">
        <v>46</v>
      </c>
      <c r="I66" t="s">
        <v>46</v>
      </c>
      <c r="J66" t="s">
        <v>17</v>
      </c>
      <c r="K66">
        <v>100</v>
      </c>
      <c r="L66">
        <v>50</v>
      </c>
      <c r="O66" t="s">
        <v>1708</v>
      </c>
      <c r="Q66" s="20" t="s">
        <v>1791</v>
      </c>
      <c r="R66" s="24"/>
      <c r="S66" s="24"/>
      <c r="T66" s="18"/>
      <c r="U66" s="18"/>
      <c r="V66" s="18"/>
    </row>
    <row r="67" spans="1:22" x14ac:dyDescent="0.3">
      <c r="A67">
        <v>1131185</v>
      </c>
      <c r="B67" t="s">
        <v>1788</v>
      </c>
      <c r="C67" t="s">
        <v>1049</v>
      </c>
      <c r="D67" t="s">
        <v>1008</v>
      </c>
      <c r="E67" t="s">
        <v>1009</v>
      </c>
      <c r="F67" t="s">
        <v>1010</v>
      </c>
      <c r="G67" t="s">
        <v>1038</v>
      </c>
      <c r="H67" t="s">
        <v>46</v>
      </c>
      <c r="I67" t="s">
        <v>46</v>
      </c>
      <c r="J67" t="s">
        <v>17</v>
      </c>
      <c r="K67">
        <v>100</v>
      </c>
      <c r="L67">
        <v>50</v>
      </c>
      <c r="O67" t="s">
        <v>1708</v>
      </c>
      <c r="Q67" s="20" t="s">
        <v>1791</v>
      </c>
      <c r="R67" s="24"/>
      <c r="S67" s="24"/>
      <c r="T67" s="18"/>
      <c r="U67" s="18"/>
      <c r="V67" s="18"/>
    </row>
    <row r="68" spans="1:22" x14ac:dyDescent="0.3">
      <c r="A68">
        <v>1131185</v>
      </c>
      <c r="B68" t="s">
        <v>1788</v>
      </c>
      <c r="C68" t="s">
        <v>1049</v>
      </c>
      <c r="D68" t="s">
        <v>1008</v>
      </c>
      <c r="E68" t="s">
        <v>1009</v>
      </c>
      <c r="F68" t="s">
        <v>1010</v>
      </c>
      <c r="G68" t="s">
        <v>1039</v>
      </c>
      <c r="H68" t="s">
        <v>46</v>
      </c>
      <c r="I68" t="s">
        <v>46</v>
      </c>
      <c r="J68" t="s">
        <v>17</v>
      </c>
      <c r="K68">
        <v>100</v>
      </c>
      <c r="L68">
        <v>50</v>
      </c>
      <c r="O68" t="s">
        <v>1708</v>
      </c>
      <c r="Q68" s="20" t="s">
        <v>1791</v>
      </c>
      <c r="R68" s="24"/>
      <c r="S68" s="24"/>
      <c r="T68" s="18"/>
      <c r="U68" s="18"/>
      <c r="V68" s="18"/>
    </row>
    <row r="69" spans="1:22" hidden="1" x14ac:dyDescent="0.3">
      <c r="A69">
        <v>1131185</v>
      </c>
      <c r="B69" t="s">
        <v>1788</v>
      </c>
      <c r="C69" t="s">
        <v>1046</v>
      </c>
      <c r="H69" t="s">
        <v>16</v>
      </c>
      <c r="I69" t="s">
        <v>16</v>
      </c>
      <c r="J69" t="s">
        <v>17</v>
      </c>
      <c r="K69">
        <v>0</v>
      </c>
      <c r="L69">
        <v>0</v>
      </c>
      <c r="O69" t="s">
        <v>1708</v>
      </c>
      <c r="Q69" s="20" t="s">
        <v>1790</v>
      </c>
      <c r="R69" s="24"/>
      <c r="S69" s="24"/>
      <c r="T69" s="18"/>
      <c r="U69" s="18"/>
      <c r="V69" s="18"/>
    </row>
    <row r="70" spans="1:22" hidden="1" x14ac:dyDescent="0.3">
      <c r="A70">
        <v>1131185</v>
      </c>
      <c r="B70" t="s">
        <v>1788</v>
      </c>
      <c r="C70" t="s">
        <v>1045</v>
      </c>
      <c r="H70" t="s">
        <v>16</v>
      </c>
      <c r="I70" t="s">
        <v>16</v>
      </c>
      <c r="J70" t="s">
        <v>17</v>
      </c>
      <c r="K70">
        <v>0</v>
      </c>
      <c r="L70">
        <v>0</v>
      </c>
      <c r="O70" t="s">
        <v>1708</v>
      </c>
      <c r="Q70" s="20" t="s">
        <v>1789</v>
      </c>
      <c r="R70" s="24"/>
      <c r="S70" s="24"/>
      <c r="T70" s="18"/>
      <c r="U70" s="18"/>
      <c r="V70" s="18"/>
    </row>
    <row r="71" spans="1:22" x14ac:dyDescent="0.3">
      <c r="A71">
        <v>1131185</v>
      </c>
      <c r="B71" t="s">
        <v>1788</v>
      </c>
      <c r="C71" t="s">
        <v>1787</v>
      </c>
      <c r="D71" t="s">
        <v>1786</v>
      </c>
      <c r="E71" t="s">
        <v>1785</v>
      </c>
      <c r="H71" t="s">
        <v>46</v>
      </c>
      <c r="I71" t="s">
        <v>46</v>
      </c>
      <c r="J71" t="s">
        <v>17</v>
      </c>
      <c r="K71">
        <v>100</v>
      </c>
      <c r="L71">
        <v>50</v>
      </c>
      <c r="M71" t="s">
        <v>1784</v>
      </c>
      <c r="N71" t="s">
        <v>1783</v>
      </c>
      <c r="O71" t="s">
        <v>1708</v>
      </c>
      <c r="Q71" s="20" t="s">
        <v>1782</v>
      </c>
      <c r="R71" s="24"/>
      <c r="S71" s="24"/>
      <c r="T71" s="18"/>
      <c r="U71" s="18"/>
      <c r="V71" s="18"/>
    </row>
    <row r="72" spans="1:22" hidden="1" x14ac:dyDescent="0.3">
      <c r="A72">
        <v>1148833</v>
      </c>
      <c r="B72" t="s">
        <v>1779</v>
      </c>
      <c r="C72" t="s">
        <v>1781</v>
      </c>
      <c r="H72" t="s">
        <v>16</v>
      </c>
      <c r="I72" t="s">
        <v>16</v>
      </c>
      <c r="J72" t="s">
        <v>17</v>
      </c>
      <c r="K72">
        <v>0</v>
      </c>
      <c r="L72">
        <v>0</v>
      </c>
      <c r="O72" t="s">
        <v>1708</v>
      </c>
      <c r="P72" t="s">
        <v>1708</v>
      </c>
      <c r="R72" s="24">
        <f>COUNTIF(O72:O74,"*YES*")/COUNTA(O72:O74)</f>
        <v>1</v>
      </c>
      <c r="S72" s="24">
        <f>COUNTIF(P72:P74,"*YES*")/COUNTA(P72:P74)</f>
        <v>1</v>
      </c>
      <c r="T72" s="18"/>
      <c r="U72" s="18"/>
      <c r="V72" s="18"/>
    </row>
    <row r="73" spans="1:22" hidden="1" x14ac:dyDescent="0.3">
      <c r="A73">
        <v>1148833</v>
      </c>
      <c r="B73" t="s">
        <v>1779</v>
      </c>
      <c r="C73" t="s">
        <v>1780</v>
      </c>
      <c r="H73" t="s">
        <v>16</v>
      </c>
      <c r="I73" t="s">
        <v>16</v>
      </c>
      <c r="J73" t="s">
        <v>17</v>
      </c>
      <c r="K73">
        <v>0</v>
      </c>
      <c r="L73">
        <v>0</v>
      </c>
      <c r="O73" t="s">
        <v>1708</v>
      </c>
      <c r="P73" t="s">
        <v>1708</v>
      </c>
      <c r="R73" s="24"/>
      <c r="S73" s="24"/>
      <c r="T73" s="18"/>
      <c r="U73" s="18"/>
      <c r="V73" s="18"/>
    </row>
    <row r="74" spans="1:22" hidden="1" x14ac:dyDescent="0.3">
      <c r="A74">
        <v>1148833</v>
      </c>
      <c r="B74" t="s">
        <v>1779</v>
      </c>
      <c r="C74" t="s">
        <v>1778</v>
      </c>
      <c r="H74" t="s">
        <v>16</v>
      </c>
      <c r="I74" t="s">
        <v>16</v>
      </c>
      <c r="J74" t="s">
        <v>17</v>
      </c>
      <c r="K74">
        <v>0</v>
      </c>
      <c r="L74">
        <v>0</v>
      </c>
      <c r="O74" t="s">
        <v>1708</v>
      </c>
      <c r="P74" t="s">
        <v>1708</v>
      </c>
      <c r="R74" s="24"/>
      <c r="S74" s="24"/>
      <c r="T74" s="18"/>
      <c r="U74" s="18"/>
      <c r="V74" s="18"/>
    </row>
    <row r="75" spans="1:22" x14ac:dyDescent="0.3">
      <c r="A75">
        <v>1158275</v>
      </c>
      <c r="B75" t="s">
        <v>1773</v>
      </c>
      <c r="C75" t="s">
        <v>623</v>
      </c>
      <c r="D75" t="s">
        <v>624</v>
      </c>
      <c r="E75" t="s">
        <v>625</v>
      </c>
      <c r="G75" t="s">
        <v>626</v>
      </c>
      <c r="H75" t="s">
        <v>46</v>
      </c>
      <c r="I75" t="s">
        <v>46</v>
      </c>
      <c r="J75" t="s">
        <v>17</v>
      </c>
      <c r="K75">
        <v>100</v>
      </c>
      <c r="L75">
        <v>80</v>
      </c>
      <c r="M75" t="s">
        <v>627</v>
      </c>
      <c r="N75" t="s">
        <v>628</v>
      </c>
      <c r="O75" t="s">
        <v>1708</v>
      </c>
      <c r="P75" t="s">
        <v>1708</v>
      </c>
      <c r="R75" s="24">
        <f>COUNTIF(O75:O129,"*YES*")/COUNTA(O75:O129)</f>
        <v>0.94545454545454544</v>
      </c>
      <c r="S75" s="24">
        <f>COUNTIF(P75:P129,"*YES*")/COUNTA(P75:P129)</f>
        <v>1</v>
      </c>
      <c r="T75" s="18"/>
      <c r="U75" s="18"/>
      <c r="V75" s="18"/>
    </row>
    <row r="76" spans="1:22" x14ac:dyDescent="0.3">
      <c r="A76">
        <v>1158275</v>
      </c>
      <c r="B76" t="s">
        <v>1773</v>
      </c>
      <c r="C76" t="s">
        <v>623</v>
      </c>
      <c r="D76" t="s">
        <v>624</v>
      </c>
      <c r="E76" t="s">
        <v>625</v>
      </c>
      <c r="G76" t="s">
        <v>629</v>
      </c>
      <c r="H76" t="s">
        <v>46</v>
      </c>
      <c r="I76" t="s">
        <v>46</v>
      </c>
      <c r="J76" t="s">
        <v>17</v>
      </c>
      <c r="K76">
        <v>100</v>
      </c>
      <c r="L76">
        <v>80</v>
      </c>
      <c r="M76" t="s">
        <v>627</v>
      </c>
      <c r="N76" t="s">
        <v>628</v>
      </c>
      <c r="O76" t="s">
        <v>1708</v>
      </c>
      <c r="P76" t="s">
        <v>1708</v>
      </c>
      <c r="R76" s="24"/>
      <c r="S76" s="24"/>
      <c r="T76" s="18"/>
      <c r="U76" s="18"/>
      <c r="V76" s="18"/>
    </row>
    <row r="77" spans="1:22" x14ac:dyDescent="0.3">
      <c r="A77">
        <v>1158275</v>
      </c>
      <c r="B77" t="s">
        <v>1773</v>
      </c>
      <c r="C77" t="s">
        <v>623</v>
      </c>
      <c r="D77" t="s">
        <v>624</v>
      </c>
      <c r="E77" t="s">
        <v>625</v>
      </c>
      <c r="G77" t="s">
        <v>630</v>
      </c>
      <c r="H77" t="s">
        <v>46</v>
      </c>
      <c r="I77" t="s">
        <v>46</v>
      </c>
      <c r="J77" t="s">
        <v>17</v>
      </c>
      <c r="K77">
        <v>100</v>
      </c>
      <c r="L77">
        <v>80</v>
      </c>
      <c r="M77" t="s">
        <v>627</v>
      </c>
      <c r="N77" t="s">
        <v>628</v>
      </c>
      <c r="O77" t="s">
        <v>1708</v>
      </c>
      <c r="P77" t="s">
        <v>1708</v>
      </c>
      <c r="R77" s="24"/>
      <c r="S77" s="24"/>
      <c r="T77" s="18"/>
      <c r="U77" s="18"/>
      <c r="V77" s="18"/>
    </row>
    <row r="78" spans="1:22" x14ac:dyDescent="0.3">
      <c r="A78">
        <v>1158275</v>
      </c>
      <c r="B78" t="s">
        <v>1773</v>
      </c>
      <c r="C78" t="s">
        <v>623</v>
      </c>
      <c r="D78" t="s">
        <v>624</v>
      </c>
      <c r="E78" t="s">
        <v>625</v>
      </c>
      <c r="G78" t="s">
        <v>631</v>
      </c>
      <c r="H78" t="s">
        <v>46</v>
      </c>
      <c r="I78" t="s">
        <v>46</v>
      </c>
      <c r="J78" t="s">
        <v>17</v>
      </c>
      <c r="K78">
        <v>100</v>
      </c>
      <c r="L78">
        <v>80</v>
      </c>
      <c r="M78" t="s">
        <v>627</v>
      </c>
      <c r="N78" t="s">
        <v>628</v>
      </c>
      <c r="O78" t="s">
        <v>1708</v>
      </c>
      <c r="P78" t="s">
        <v>1708</v>
      </c>
      <c r="R78" s="24"/>
      <c r="S78" s="24"/>
      <c r="T78" s="18"/>
      <c r="U78" s="18"/>
      <c r="V78" s="18"/>
    </row>
    <row r="79" spans="1:22" hidden="1" x14ac:dyDescent="0.3">
      <c r="A79">
        <v>1158275</v>
      </c>
      <c r="B79" t="s">
        <v>1773</v>
      </c>
      <c r="C79" t="s">
        <v>1777</v>
      </c>
      <c r="H79" t="s">
        <v>16</v>
      </c>
      <c r="I79" t="s">
        <v>16</v>
      </c>
      <c r="J79" t="s">
        <v>17</v>
      </c>
      <c r="K79">
        <v>0</v>
      </c>
      <c r="L79">
        <v>0</v>
      </c>
      <c r="O79" t="s">
        <v>1708</v>
      </c>
      <c r="P79" t="s">
        <v>1708</v>
      </c>
      <c r="R79" s="24"/>
      <c r="S79" s="24"/>
      <c r="T79" s="18"/>
      <c r="U79" s="18"/>
      <c r="V79" s="18"/>
    </row>
    <row r="80" spans="1:22" hidden="1" x14ac:dyDescent="0.3">
      <c r="A80">
        <v>1158275</v>
      </c>
      <c r="B80" t="s">
        <v>1773</v>
      </c>
      <c r="C80" t="s">
        <v>1776</v>
      </c>
      <c r="H80" t="s">
        <v>16</v>
      </c>
      <c r="I80" t="s">
        <v>16</v>
      </c>
      <c r="J80" t="s">
        <v>17</v>
      </c>
      <c r="K80">
        <v>0</v>
      </c>
      <c r="L80">
        <v>0</v>
      </c>
      <c r="O80" t="s">
        <v>1708</v>
      </c>
      <c r="P80" t="s">
        <v>1708</v>
      </c>
      <c r="R80" s="24"/>
      <c r="S80" s="24"/>
      <c r="T80" s="18"/>
      <c r="U80" s="18"/>
      <c r="V80" s="18"/>
    </row>
    <row r="81" spans="1:22" hidden="1" x14ac:dyDescent="0.3">
      <c r="A81">
        <v>1158275</v>
      </c>
      <c r="B81" t="s">
        <v>1773</v>
      </c>
      <c r="C81" t="s">
        <v>1775</v>
      </c>
      <c r="H81" t="s">
        <v>16</v>
      </c>
      <c r="I81" t="s">
        <v>16</v>
      </c>
      <c r="J81" t="s">
        <v>17</v>
      </c>
      <c r="K81">
        <v>0</v>
      </c>
      <c r="L81">
        <v>0</v>
      </c>
      <c r="O81" t="s">
        <v>1708</v>
      </c>
      <c r="P81" t="s">
        <v>1708</v>
      </c>
      <c r="R81" s="24"/>
      <c r="S81" s="24"/>
      <c r="T81" s="18"/>
      <c r="U81" s="18"/>
      <c r="V81" s="18"/>
    </row>
    <row r="82" spans="1:22" hidden="1" x14ac:dyDescent="0.3">
      <c r="A82">
        <v>1158275</v>
      </c>
      <c r="B82" t="s">
        <v>1773</v>
      </c>
      <c r="C82" t="s">
        <v>1774</v>
      </c>
      <c r="H82" t="s">
        <v>16</v>
      </c>
      <c r="I82" t="s">
        <v>16</v>
      </c>
      <c r="J82" t="s">
        <v>17</v>
      </c>
      <c r="K82">
        <v>0</v>
      </c>
      <c r="L82">
        <v>0</v>
      </c>
      <c r="O82" t="s">
        <v>1708</v>
      </c>
      <c r="P82" t="s">
        <v>1708</v>
      </c>
      <c r="R82" s="24"/>
      <c r="S82" s="24"/>
      <c r="T82" s="18"/>
      <c r="U82" s="18"/>
      <c r="V82" s="18"/>
    </row>
    <row r="83" spans="1:22" x14ac:dyDescent="0.3">
      <c r="A83">
        <v>1158275</v>
      </c>
      <c r="B83" t="s">
        <v>1773</v>
      </c>
      <c r="C83" t="s">
        <v>1745</v>
      </c>
      <c r="D83" t="s">
        <v>1094</v>
      </c>
      <c r="E83" t="s">
        <v>1093</v>
      </c>
      <c r="G83" t="s">
        <v>1103</v>
      </c>
      <c r="H83" t="s">
        <v>22</v>
      </c>
      <c r="I83" t="s">
        <v>22</v>
      </c>
      <c r="J83" t="s">
        <v>17</v>
      </c>
      <c r="K83">
        <v>92.3</v>
      </c>
      <c r="L83">
        <v>110.4</v>
      </c>
      <c r="O83" t="s">
        <v>1708</v>
      </c>
      <c r="P83" t="s">
        <v>1708</v>
      </c>
      <c r="R83" s="24"/>
      <c r="S83" s="24"/>
      <c r="T83" s="18"/>
      <c r="U83" s="18"/>
      <c r="V83" s="18"/>
    </row>
    <row r="84" spans="1:22" x14ac:dyDescent="0.3">
      <c r="A84">
        <v>1158275</v>
      </c>
      <c r="B84" t="s">
        <v>1773</v>
      </c>
      <c r="C84" t="s">
        <v>1745</v>
      </c>
      <c r="D84" t="s">
        <v>1094</v>
      </c>
      <c r="E84" t="s">
        <v>1093</v>
      </c>
      <c r="G84" t="s">
        <v>1102</v>
      </c>
      <c r="H84" t="s">
        <v>22</v>
      </c>
      <c r="I84" t="s">
        <v>22</v>
      </c>
      <c r="J84" t="s">
        <v>17</v>
      </c>
      <c r="K84">
        <v>92.3</v>
      </c>
      <c r="L84">
        <v>110.4</v>
      </c>
      <c r="O84" t="s">
        <v>1708</v>
      </c>
      <c r="P84" t="s">
        <v>1708</v>
      </c>
      <c r="R84" s="24"/>
      <c r="S84" s="24"/>
      <c r="T84" s="18"/>
      <c r="U84" s="18"/>
      <c r="V84" s="18"/>
    </row>
    <row r="85" spans="1:22" x14ac:dyDescent="0.3">
      <c r="A85">
        <v>1158275</v>
      </c>
      <c r="B85" t="s">
        <v>1773</v>
      </c>
      <c r="C85" t="s">
        <v>1745</v>
      </c>
      <c r="D85" t="s">
        <v>1094</v>
      </c>
      <c r="E85" t="s">
        <v>1093</v>
      </c>
      <c r="G85" t="s">
        <v>1101</v>
      </c>
      <c r="H85" t="s">
        <v>22</v>
      </c>
      <c r="I85" t="s">
        <v>22</v>
      </c>
      <c r="J85" t="s">
        <v>17</v>
      </c>
      <c r="K85">
        <v>92.3</v>
      </c>
      <c r="L85">
        <v>110.4</v>
      </c>
      <c r="O85" t="s">
        <v>1708</v>
      </c>
      <c r="P85" t="s">
        <v>1769</v>
      </c>
      <c r="R85" s="24"/>
      <c r="S85" s="24"/>
      <c r="T85" s="18"/>
      <c r="U85" s="18"/>
      <c r="V85" s="18"/>
    </row>
    <row r="86" spans="1:22" x14ac:dyDescent="0.3">
      <c r="A86">
        <v>1158275</v>
      </c>
      <c r="B86" t="s">
        <v>1773</v>
      </c>
      <c r="C86" t="s">
        <v>1745</v>
      </c>
      <c r="D86" t="s">
        <v>1094</v>
      </c>
      <c r="E86" t="s">
        <v>1093</v>
      </c>
      <c r="G86" t="s">
        <v>1100</v>
      </c>
      <c r="H86" t="s">
        <v>22</v>
      </c>
      <c r="I86" t="s">
        <v>22</v>
      </c>
      <c r="J86" t="s">
        <v>17</v>
      </c>
      <c r="K86">
        <v>92.3</v>
      </c>
      <c r="L86">
        <v>110.4</v>
      </c>
      <c r="O86" t="s">
        <v>1708</v>
      </c>
      <c r="P86" t="s">
        <v>1708</v>
      </c>
      <c r="R86" s="24"/>
      <c r="S86" s="24"/>
      <c r="T86" s="18"/>
      <c r="U86" s="18"/>
      <c r="V86" s="18"/>
    </row>
    <row r="87" spans="1:22" x14ac:dyDescent="0.3">
      <c r="A87">
        <v>1158275</v>
      </c>
      <c r="B87" t="s">
        <v>1773</v>
      </c>
      <c r="C87" t="s">
        <v>1745</v>
      </c>
      <c r="D87" t="s">
        <v>1094</v>
      </c>
      <c r="E87" t="s">
        <v>1093</v>
      </c>
      <c r="G87" t="s">
        <v>1099</v>
      </c>
      <c r="H87" t="s">
        <v>22</v>
      </c>
      <c r="I87" t="s">
        <v>22</v>
      </c>
      <c r="J87" t="s">
        <v>17</v>
      </c>
      <c r="K87">
        <v>92.3</v>
      </c>
      <c r="L87">
        <v>110.4</v>
      </c>
      <c r="O87" t="s">
        <v>1708</v>
      </c>
      <c r="P87" t="s">
        <v>1708</v>
      </c>
      <c r="R87" s="24"/>
      <c r="S87" s="24"/>
      <c r="T87" s="18"/>
      <c r="U87" s="18"/>
      <c r="V87" s="18"/>
    </row>
    <row r="88" spans="1:22" x14ac:dyDescent="0.3">
      <c r="A88">
        <v>1158275</v>
      </c>
      <c r="B88" t="s">
        <v>1773</v>
      </c>
      <c r="C88" t="s">
        <v>1745</v>
      </c>
      <c r="D88" t="s">
        <v>1094</v>
      </c>
      <c r="E88" t="s">
        <v>1093</v>
      </c>
      <c r="G88" t="s">
        <v>1098</v>
      </c>
      <c r="H88" t="s">
        <v>22</v>
      </c>
      <c r="I88" t="s">
        <v>22</v>
      </c>
      <c r="J88" t="s">
        <v>17</v>
      </c>
      <c r="K88">
        <v>92.3</v>
      </c>
      <c r="L88">
        <v>110.4</v>
      </c>
      <c r="O88" t="s">
        <v>1708</v>
      </c>
      <c r="P88" t="s">
        <v>1708</v>
      </c>
      <c r="R88" s="24"/>
      <c r="S88" s="24"/>
      <c r="T88" s="18"/>
      <c r="U88" s="18"/>
      <c r="V88" s="18"/>
    </row>
    <row r="89" spans="1:22" x14ac:dyDescent="0.3">
      <c r="A89">
        <v>1158275</v>
      </c>
      <c r="B89" t="s">
        <v>1773</v>
      </c>
      <c r="C89" t="s">
        <v>1745</v>
      </c>
      <c r="D89" t="s">
        <v>1094</v>
      </c>
      <c r="E89" t="s">
        <v>1093</v>
      </c>
      <c r="G89" t="s">
        <v>1097</v>
      </c>
      <c r="H89" t="s">
        <v>22</v>
      </c>
      <c r="I89" t="s">
        <v>22</v>
      </c>
      <c r="J89" t="s">
        <v>17</v>
      </c>
      <c r="K89">
        <v>92.3</v>
      </c>
      <c r="L89">
        <v>110.4</v>
      </c>
      <c r="O89" t="s">
        <v>1708</v>
      </c>
      <c r="P89" t="s">
        <v>1708</v>
      </c>
      <c r="R89" s="24"/>
      <c r="S89" s="24"/>
      <c r="T89" s="18"/>
      <c r="U89" s="18"/>
      <c r="V89" s="18"/>
    </row>
    <row r="90" spans="1:22" x14ac:dyDescent="0.3">
      <c r="A90">
        <v>1158275</v>
      </c>
      <c r="B90" t="s">
        <v>1773</v>
      </c>
      <c r="C90" t="s">
        <v>1745</v>
      </c>
      <c r="D90" t="s">
        <v>1094</v>
      </c>
      <c r="E90" t="s">
        <v>1093</v>
      </c>
      <c r="G90" t="s">
        <v>1096</v>
      </c>
      <c r="H90" t="s">
        <v>22</v>
      </c>
      <c r="I90" t="s">
        <v>22</v>
      </c>
      <c r="J90" t="s">
        <v>17</v>
      </c>
      <c r="K90">
        <v>92.3</v>
      </c>
      <c r="L90">
        <v>110.4</v>
      </c>
      <c r="O90" t="s">
        <v>1708</v>
      </c>
      <c r="P90" t="s">
        <v>1708</v>
      </c>
      <c r="R90" s="24"/>
      <c r="S90" s="24"/>
      <c r="T90" s="18"/>
      <c r="U90" s="18"/>
      <c r="V90" s="18"/>
    </row>
    <row r="91" spans="1:22" x14ac:dyDescent="0.3">
      <c r="A91">
        <v>1158275</v>
      </c>
      <c r="B91" t="s">
        <v>1773</v>
      </c>
      <c r="C91" t="s">
        <v>1745</v>
      </c>
      <c r="D91" t="s">
        <v>1094</v>
      </c>
      <c r="E91" t="s">
        <v>1093</v>
      </c>
      <c r="G91" t="s">
        <v>1092</v>
      </c>
      <c r="H91" t="s">
        <v>22</v>
      </c>
      <c r="I91" t="s">
        <v>22</v>
      </c>
      <c r="J91" t="s">
        <v>17</v>
      </c>
      <c r="K91">
        <v>92.3</v>
      </c>
      <c r="L91">
        <v>110.4</v>
      </c>
      <c r="O91" t="s">
        <v>1708</v>
      </c>
      <c r="P91" t="s">
        <v>1769</v>
      </c>
      <c r="R91" s="24"/>
      <c r="S91" s="24"/>
      <c r="T91" s="18"/>
      <c r="U91" s="18"/>
      <c r="V91" s="18"/>
    </row>
    <row r="92" spans="1:22" x14ac:dyDescent="0.3">
      <c r="A92">
        <v>1158278</v>
      </c>
      <c r="B92" t="s">
        <v>1768</v>
      </c>
      <c r="C92" t="s">
        <v>623</v>
      </c>
      <c r="D92" t="s">
        <v>624</v>
      </c>
      <c r="E92" t="s">
        <v>625</v>
      </c>
      <c r="G92" t="s">
        <v>626</v>
      </c>
      <c r="H92" t="s">
        <v>46</v>
      </c>
      <c r="I92" t="s">
        <v>46</v>
      </c>
      <c r="J92" t="s">
        <v>17</v>
      </c>
      <c r="K92">
        <v>100</v>
      </c>
      <c r="L92">
        <v>80</v>
      </c>
      <c r="M92" t="s">
        <v>627</v>
      </c>
      <c r="N92" t="s">
        <v>628</v>
      </c>
      <c r="O92" t="s">
        <v>1708</v>
      </c>
      <c r="P92" t="s">
        <v>1708</v>
      </c>
      <c r="R92" s="24"/>
      <c r="S92" s="24"/>
      <c r="T92" s="18"/>
      <c r="U92" s="18"/>
      <c r="V92" s="18"/>
    </row>
    <row r="93" spans="1:22" x14ac:dyDescent="0.3">
      <c r="A93">
        <v>1158278</v>
      </c>
      <c r="B93" t="s">
        <v>1768</v>
      </c>
      <c r="C93" t="s">
        <v>623</v>
      </c>
      <c r="D93" t="s">
        <v>624</v>
      </c>
      <c r="E93" t="s">
        <v>625</v>
      </c>
      <c r="G93" t="s">
        <v>629</v>
      </c>
      <c r="H93" t="s">
        <v>46</v>
      </c>
      <c r="I93" t="s">
        <v>46</v>
      </c>
      <c r="J93" t="s">
        <v>17</v>
      </c>
      <c r="K93">
        <v>100</v>
      </c>
      <c r="L93">
        <v>80</v>
      </c>
      <c r="M93" t="s">
        <v>627</v>
      </c>
      <c r="N93" t="s">
        <v>628</v>
      </c>
      <c r="O93" t="s">
        <v>1708</v>
      </c>
      <c r="P93" t="s">
        <v>1708</v>
      </c>
      <c r="R93" s="24"/>
      <c r="S93" s="24"/>
      <c r="T93" s="18"/>
      <c r="U93" s="18"/>
      <c r="V93" s="18"/>
    </row>
    <row r="94" spans="1:22" x14ac:dyDescent="0.3">
      <c r="A94">
        <v>1158278</v>
      </c>
      <c r="B94" t="s">
        <v>1768</v>
      </c>
      <c r="C94" t="s">
        <v>623</v>
      </c>
      <c r="D94" t="s">
        <v>624</v>
      </c>
      <c r="E94" t="s">
        <v>625</v>
      </c>
      <c r="G94" t="s">
        <v>630</v>
      </c>
      <c r="H94" t="s">
        <v>46</v>
      </c>
      <c r="I94" t="s">
        <v>46</v>
      </c>
      <c r="J94" t="s">
        <v>17</v>
      </c>
      <c r="K94">
        <v>100</v>
      </c>
      <c r="L94">
        <v>80</v>
      </c>
      <c r="M94" t="s">
        <v>627</v>
      </c>
      <c r="N94" t="s">
        <v>628</v>
      </c>
      <c r="O94" t="s">
        <v>1708</v>
      </c>
      <c r="P94" t="s">
        <v>1708</v>
      </c>
      <c r="R94" s="24"/>
      <c r="S94" s="24"/>
      <c r="T94" s="18"/>
      <c r="U94" s="18"/>
      <c r="V94" s="18"/>
    </row>
    <row r="95" spans="1:22" x14ac:dyDescent="0.3">
      <c r="A95">
        <v>1158278</v>
      </c>
      <c r="B95" t="s">
        <v>1768</v>
      </c>
      <c r="C95" t="s">
        <v>623</v>
      </c>
      <c r="D95" t="s">
        <v>624</v>
      </c>
      <c r="E95" t="s">
        <v>625</v>
      </c>
      <c r="G95" t="s">
        <v>631</v>
      </c>
      <c r="H95" t="s">
        <v>46</v>
      </c>
      <c r="I95" t="s">
        <v>46</v>
      </c>
      <c r="J95" t="s">
        <v>17</v>
      </c>
      <c r="K95">
        <v>100</v>
      </c>
      <c r="L95">
        <v>80</v>
      </c>
      <c r="M95" t="s">
        <v>627</v>
      </c>
      <c r="N95" t="s">
        <v>628</v>
      </c>
      <c r="O95" t="s">
        <v>1708</v>
      </c>
      <c r="P95" t="s">
        <v>1708</v>
      </c>
      <c r="R95" s="24"/>
      <c r="S95" s="24"/>
      <c r="T95" s="18"/>
      <c r="U95" s="18"/>
      <c r="V95" s="18"/>
    </row>
    <row r="96" spans="1:22" hidden="1" x14ac:dyDescent="0.3">
      <c r="A96">
        <v>1158278</v>
      </c>
      <c r="B96" t="s">
        <v>1768</v>
      </c>
      <c r="C96" t="s">
        <v>622</v>
      </c>
      <c r="H96" t="s">
        <v>16</v>
      </c>
      <c r="I96" t="s">
        <v>16</v>
      </c>
      <c r="J96" t="s">
        <v>17</v>
      </c>
      <c r="K96">
        <v>0</v>
      </c>
      <c r="L96">
        <v>0</v>
      </c>
      <c r="O96" t="s">
        <v>1708</v>
      </c>
      <c r="P96" t="s">
        <v>1708</v>
      </c>
      <c r="R96" s="24"/>
      <c r="S96" s="24"/>
      <c r="T96" s="18"/>
      <c r="U96" s="18"/>
      <c r="V96" s="18"/>
    </row>
    <row r="97" spans="1:22" x14ac:dyDescent="0.3">
      <c r="A97">
        <v>1158278</v>
      </c>
      <c r="B97" t="s">
        <v>1768</v>
      </c>
      <c r="C97" t="s">
        <v>1772</v>
      </c>
      <c r="D97" t="s">
        <v>1771</v>
      </c>
      <c r="E97" t="s">
        <v>1770</v>
      </c>
      <c r="H97" t="s">
        <v>22</v>
      </c>
      <c r="I97" t="s">
        <v>22</v>
      </c>
      <c r="J97" t="s">
        <v>17</v>
      </c>
      <c r="K97">
        <v>95.7</v>
      </c>
      <c r="L97">
        <v>108.4</v>
      </c>
      <c r="O97" t="s">
        <v>1795</v>
      </c>
      <c r="P97" t="s">
        <v>1708</v>
      </c>
      <c r="Q97" s="20" t="s">
        <v>1753</v>
      </c>
      <c r="R97" s="24"/>
      <c r="S97" s="24"/>
      <c r="T97" s="18"/>
      <c r="U97" s="18"/>
      <c r="V97" s="18"/>
    </row>
    <row r="98" spans="1:22" x14ac:dyDescent="0.3">
      <c r="A98">
        <v>1158278</v>
      </c>
      <c r="B98" t="s">
        <v>1768</v>
      </c>
      <c r="C98" t="s">
        <v>1628</v>
      </c>
      <c r="D98" t="s">
        <v>1627</v>
      </c>
      <c r="E98" t="s">
        <v>1626</v>
      </c>
      <c r="G98" t="s">
        <v>101</v>
      </c>
      <c r="H98" t="s">
        <v>22</v>
      </c>
      <c r="I98" t="s">
        <v>22</v>
      </c>
      <c r="J98" t="s">
        <v>17</v>
      </c>
      <c r="K98">
        <v>94.7</v>
      </c>
      <c r="L98">
        <v>110.8</v>
      </c>
      <c r="O98" t="s">
        <v>1708</v>
      </c>
      <c r="P98" t="s">
        <v>1708</v>
      </c>
      <c r="R98" s="24"/>
      <c r="S98" s="24"/>
      <c r="T98" s="18"/>
      <c r="U98" s="18"/>
      <c r="V98" s="18"/>
    </row>
    <row r="99" spans="1:22" x14ac:dyDescent="0.3">
      <c r="A99">
        <v>1158278</v>
      </c>
      <c r="B99" t="s">
        <v>1768</v>
      </c>
      <c r="C99" t="s">
        <v>1628</v>
      </c>
      <c r="D99" t="s">
        <v>1627</v>
      </c>
      <c r="E99" t="s">
        <v>1626</v>
      </c>
      <c r="G99" t="s">
        <v>102</v>
      </c>
      <c r="H99" t="s">
        <v>22</v>
      </c>
      <c r="I99" t="s">
        <v>22</v>
      </c>
      <c r="J99" t="s">
        <v>17</v>
      </c>
      <c r="K99">
        <v>94.7</v>
      </c>
      <c r="L99">
        <v>110.8</v>
      </c>
      <c r="O99" t="s">
        <v>1708</v>
      </c>
      <c r="P99" t="s">
        <v>1708</v>
      </c>
      <c r="R99" s="24"/>
      <c r="S99" s="24"/>
      <c r="T99" s="18"/>
      <c r="U99" s="18"/>
      <c r="V99" s="18"/>
    </row>
    <row r="100" spans="1:22" x14ac:dyDescent="0.3">
      <c r="A100">
        <v>1158278</v>
      </c>
      <c r="B100" t="s">
        <v>1768</v>
      </c>
      <c r="C100" t="s">
        <v>1628</v>
      </c>
      <c r="D100" t="s">
        <v>1627</v>
      </c>
      <c r="E100" t="s">
        <v>1626</v>
      </c>
      <c r="G100" t="s">
        <v>103</v>
      </c>
      <c r="H100" t="s">
        <v>22</v>
      </c>
      <c r="I100" t="s">
        <v>22</v>
      </c>
      <c r="J100" t="s">
        <v>17</v>
      </c>
      <c r="K100">
        <v>94.7</v>
      </c>
      <c r="L100">
        <v>110.8</v>
      </c>
      <c r="O100" t="s">
        <v>1708</v>
      </c>
      <c r="P100" t="s">
        <v>1708</v>
      </c>
      <c r="R100" s="24"/>
      <c r="S100" s="24"/>
      <c r="T100" s="18"/>
      <c r="U100" s="18"/>
      <c r="V100" s="18"/>
    </row>
    <row r="101" spans="1:22" x14ac:dyDescent="0.3">
      <c r="A101">
        <v>1158278</v>
      </c>
      <c r="B101" t="s">
        <v>1768</v>
      </c>
      <c r="C101" t="s">
        <v>1628</v>
      </c>
      <c r="D101" t="s">
        <v>1627</v>
      </c>
      <c r="E101" t="s">
        <v>1626</v>
      </c>
      <c r="G101" t="s">
        <v>104</v>
      </c>
      <c r="H101" t="s">
        <v>22</v>
      </c>
      <c r="I101" t="s">
        <v>22</v>
      </c>
      <c r="J101" t="s">
        <v>17</v>
      </c>
      <c r="K101">
        <v>94.7</v>
      </c>
      <c r="L101">
        <v>110.8</v>
      </c>
      <c r="O101" t="s">
        <v>1708</v>
      </c>
      <c r="P101" t="s">
        <v>1708</v>
      </c>
      <c r="R101" s="24"/>
      <c r="S101" s="24"/>
      <c r="T101" s="18"/>
      <c r="U101" s="18"/>
      <c r="V101" s="18"/>
    </row>
    <row r="102" spans="1:22" x14ac:dyDescent="0.3">
      <c r="A102">
        <v>1158278</v>
      </c>
      <c r="B102" t="s">
        <v>1768</v>
      </c>
      <c r="C102" t="s">
        <v>1628</v>
      </c>
      <c r="D102" t="s">
        <v>1627</v>
      </c>
      <c r="E102" t="s">
        <v>1626</v>
      </c>
      <c r="G102" t="s">
        <v>105</v>
      </c>
      <c r="H102" t="s">
        <v>22</v>
      </c>
      <c r="I102" t="s">
        <v>22</v>
      </c>
      <c r="J102" t="s">
        <v>17</v>
      </c>
      <c r="K102">
        <v>94.7</v>
      </c>
      <c r="L102">
        <v>110.8</v>
      </c>
      <c r="O102" t="s">
        <v>1708</v>
      </c>
      <c r="P102" t="s">
        <v>1708</v>
      </c>
      <c r="R102" s="24"/>
      <c r="S102" s="24"/>
      <c r="T102" s="18"/>
      <c r="U102" s="18"/>
      <c r="V102" s="18"/>
    </row>
    <row r="103" spans="1:22" x14ac:dyDescent="0.3">
      <c r="A103">
        <v>1158278</v>
      </c>
      <c r="B103" t="s">
        <v>1768</v>
      </c>
      <c r="C103" t="s">
        <v>1628</v>
      </c>
      <c r="D103" t="s">
        <v>1627</v>
      </c>
      <c r="E103" t="s">
        <v>1626</v>
      </c>
      <c r="G103" t="s">
        <v>106</v>
      </c>
      <c r="H103" t="s">
        <v>22</v>
      </c>
      <c r="I103" t="s">
        <v>22</v>
      </c>
      <c r="J103" t="s">
        <v>17</v>
      </c>
      <c r="K103">
        <v>94.7</v>
      </c>
      <c r="L103">
        <v>110.8</v>
      </c>
      <c r="O103" t="s">
        <v>1708</v>
      </c>
      <c r="P103" t="s">
        <v>1708</v>
      </c>
      <c r="R103" s="24"/>
      <c r="S103" s="24"/>
      <c r="T103" s="18"/>
      <c r="U103" s="18"/>
      <c r="V103" s="18"/>
    </row>
    <row r="104" spans="1:22" x14ac:dyDescent="0.3">
      <c r="A104">
        <v>1158278</v>
      </c>
      <c r="B104" t="s">
        <v>1768</v>
      </c>
      <c r="C104" t="s">
        <v>1628</v>
      </c>
      <c r="D104" t="s">
        <v>1627</v>
      </c>
      <c r="E104" t="s">
        <v>1626</v>
      </c>
      <c r="G104" t="s">
        <v>107</v>
      </c>
      <c r="H104" t="s">
        <v>22</v>
      </c>
      <c r="I104" t="s">
        <v>22</v>
      </c>
      <c r="J104" t="s">
        <v>17</v>
      </c>
      <c r="K104">
        <v>94.7</v>
      </c>
      <c r="L104">
        <v>110.8</v>
      </c>
      <c r="O104" t="s">
        <v>1708</v>
      </c>
      <c r="P104" t="s">
        <v>1708</v>
      </c>
      <c r="R104" s="24"/>
      <c r="S104" s="24"/>
      <c r="T104" s="18"/>
      <c r="U104" s="18"/>
      <c r="V104" s="18"/>
    </row>
    <row r="105" spans="1:22" x14ac:dyDescent="0.3">
      <c r="A105">
        <v>1158278</v>
      </c>
      <c r="B105" t="s">
        <v>1768</v>
      </c>
      <c r="C105" t="s">
        <v>1628</v>
      </c>
      <c r="D105" t="s">
        <v>1627</v>
      </c>
      <c r="E105" t="s">
        <v>1626</v>
      </c>
      <c r="G105" t="s">
        <v>108</v>
      </c>
      <c r="H105" t="s">
        <v>22</v>
      </c>
      <c r="I105" t="s">
        <v>22</v>
      </c>
      <c r="J105" t="s">
        <v>17</v>
      </c>
      <c r="K105">
        <v>94.7</v>
      </c>
      <c r="L105">
        <v>110.8</v>
      </c>
      <c r="O105" t="s">
        <v>1708</v>
      </c>
      <c r="P105" t="s">
        <v>1708</v>
      </c>
      <c r="R105" s="24"/>
      <c r="S105" s="24"/>
      <c r="T105" s="18"/>
      <c r="U105" s="18"/>
      <c r="V105" s="18"/>
    </row>
    <row r="106" spans="1:22" x14ac:dyDescent="0.3">
      <c r="A106">
        <v>1158278</v>
      </c>
      <c r="B106" t="s">
        <v>1768</v>
      </c>
      <c r="C106" t="s">
        <v>1628</v>
      </c>
      <c r="D106" t="s">
        <v>1627</v>
      </c>
      <c r="E106" t="s">
        <v>1626</v>
      </c>
      <c r="G106" t="s">
        <v>109</v>
      </c>
      <c r="H106" t="s">
        <v>22</v>
      </c>
      <c r="I106" t="s">
        <v>22</v>
      </c>
      <c r="J106" t="s">
        <v>17</v>
      </c>
      <c r="K106">
        <v>94.7</v>
      </c>
      <c r="L106">
        <v>110.8</v>
      </c>
      <c r="O106" t="s">
        <v>1708</v>
      </c>
      <c r="P106" t="s">
        <v>1708</v>
      </c>
      <c r="R106" s="24"/>
      <c r="S106" s="24"/>
      <c r="T106" s="18"/>
      <c r="U106" s="18"/>
      <c r="V106" s="18"/>
    </row>
    <row r="107" spans="1:22" x14ac:dyDescent="0.3">
      <c r="A107">
        <v>1158278</v>
      </c>
      <c r="B107" t="s">
        <v>1768</v>
      </c>
      <c r="C107" t="s">
        <v>1628</v>
      </c>
      <c r="D107" t="s">
        <v>1627</v>
      </c>
      <c r="E107" t="s">
        <v>1626</v>
      </c>
      <c r="G107" t="s">
        <v>110</v>
      </c>
      <c r="H107" t="s">
        <v>22</v>
      </c>
      <c r="I107" t="s">
        <v>22</v>
      </c>
      <c r="J107" t="s">
        <v>17</v>
      </c>
      <c r="K107">
        <v>94.7</v>
      </c>
      <c r="L107">
        <v>110.8</v>
      </c>
      <c r="O107" t="s">
        <v>1708</v>
      </c>
      <c r="P107" t="s">
        <v>1708</v>
      </c>
      <c r="R107" s="24"/>
      <c r="S107" s="24"/>
      <c r="T107" s="18"/>
      <c r="U107" s="18"/>
      <c r="V107" s="18"/>
    </row>
    <row r="108" spans="1:22" x14ac:dyDescent="0.3">
      <c r="A108">
        <v>1158278</v>
      </c>
      <c r="B108" t="s">
        <v>1768</v>
      </c>
      <c r="C108" t="s">
        <v>1628</v>
      </c>
      <c r="D108" t="s">
        <v>1627</v>
      </c>
      <c r="E108" t="s">
        <v>1626</v>
      </c>
      <c r="G108" t="s">
        <v>111</v>
      </c>
      <c r="H108" t="s">
        <v>22</v>
      </c>
      <c r="I108" t="s">
        <v>22</v>
      </c>
      <c r="J108" t="s">
        <v>17</v>
      </c>
      <c r="K108">
        <v>94.7</v>
      </c>
      <c r="L108">
        <v>110.8</v>
      </c>
      <c r="O108" t="s">
        <v>1708</v>
      </c>
      <c r="P108" t="s">
        <v>1708</v>
      </c>
      <c r="R108" s="24"/>
      <c r="S108" s="24"/>
      <c r="T108" s="18"/>
      <c r="U108" s="18"/>
      <c r="V108" s="18"/>
    </row>
    <row r="109" spans="1:22" x14ac:dyDescent="0.3">
      <c r="A109">
        <v>1158278</v>
      </c>
      <c r="B109" t="s">
        <v>1768</v>
      </c>
      <c r="C109" t="s">
        <v>1628</v>
      </c>
      <c r="D109" t="s">
        <v>1627</v>
      </c>
      <c r="E109" t="s">
        <v>1626</v>
      </c>
      <c r="G109" t="s">
        <v>112</v>
      </c>
      <c r="H109" t="s">
        <v>22</v>
      </c>
      <c r="I109" t="s">
        <v>22</v>
      </c>
      <c r="J109" t="s">
        <v>17</v>
      </c>
      <c r="K109">
        <v>94.7</v>
      </c>
      <c r="L109">
        <v>110.8</v>
      </c>
      <c r="O109" t="s">
        <v>1708</v>
      </c>
      <c r="P109" t="s">
        <v>1708</v>
      </c>
      <c r="R109" s="24"/>
      <c r="S109" s="24"/>
      <c r="T109" s="18"/>
      <c r="U109" s="18"/>
      <c r="V109" s="18"/>
    </row>
    <row r="110" spans="1:22" x14ac:dyDescent="0.3">
      <c r="A110">
        <v>1158278</v>
      </c>
      <c r="B110" t="s">
        <v>1768</v>
      </c>
      <c r="C110" t="s">
        <v>1628</v>
      </c>
      <c r="D110" t="s">
        <v>1627</v>
      </c>
      <c r="E110" t="s">
        <v>1626</v>
      </c>
      <c r="G110" t="s">
        <v>113</v>
      </c>
      <c r="H110" t="s">
        <v>22</v>
      </c>
      <c r="I110" t="s">
        <v>22</v>
      </c>
      <c r="J110" t="s">
        <v>17</v>
      </c>
      <c r="K110">
        <v>94.7</v>
      </c>
      <c r="L110">
        <v>110.8</v>
      </c>
      <c r="O110" t="s">
        <v>1708</v>
      </c>
      <c r="P110" t="s">
        <v>1708</v>
      </c>
      <c r="R110" s="24"/>
      <c r="S110" s="24"/>
      <c r="T110" s="18"/>
      <c r="U110" s="18"/>
      <c r="V110" s="18"/>
    </row>
    <row r="111" spans="1:22" x14ac:dyDescent="0.3">
      <c r="A111">
        <v>1158278</v>
      </c>
      <c r="B111" t="s">
        <v>1768</v>
      </c>
      <c r="C111" t="s">
        <v>1628</v>
      </c>
      <c r="D111" t="s">
        <v>1627</v>
      </c>
      <c r="E111" t="s">
        <v>1626</v>
      </c>
      <c r="G111" t="s">
        <v>114</v>
      </c>
      <c r="H111" t="s">
        <v>22</v>
      </c>
      <c r="I111" t="s">
        <v>22</v>
      </c>
      <c r="J111" t="s">
        <v>17</v>
      </c>
      <c r="K111">
        <v>94.7</v>
      </c>
      <c r="L111">
        <v>110.8</v>
      </c>
      <c r="O111" t="s">
        <v>1708</v>
      </c>
      <c r="P111" t="s">
        <v>1708</v>
      </c>
      <c r="R111" s="24"/>
      <c r="S111" s="24"/>
      <c r="T111" s="18"/>
      <c r="U111" s="18"/>
      <c r="V111" s="18"/>
    </row>
    <row r="112" spans="1:22" x14ac:dyDescent="0.3">
      <c r="A112">
        <v>1158278</v>
      </c>
      <c r="B112" t="s">
        <v>1768</v>
      </c>
      <c r="C112" t="s">
        <v>1628</v>
      </c>
      <c r="D112" t="s">
        <v>1627</v>
      </c>
      <c r="E112" t="s">
        <v>1626</v>
      </c>
      <c r="G112" t="s">
        <v>115</v>
      </c>
      <c r="H112" t="s">
        <v>22</v>
      </c>
      <c r="I112" t="s">
        <v>22</v>
      </c>
      <c r="J112" t="s">
        <v>17</v>
      </c>
      <c r="K112">
        <v>94.7</v>
      </c>
      <c r="L112">
        <v>110.8</v>
      </c>
      <c r="O112" t="s">
        <v>1708</v>
      </c>
      <c r="P112" t="s">
        <v>1708</v>
      </c>
      <c r="R112" s="24"/>
      <c r="S112" s="24"/>
      <c r="T112" s="18"/>
      <c r="U112" s="18"/>
      <c r="V112" s="18"/>
    </row>
    <row r="113" spans="1:22" x14ac:dyDescent="0.3">
      <c r="A113">
        <v>1158278</v>
      </c>
      <c r="B113" t="s">
        <v>1768</v>
      </c>
      <c r="C113" t="s">
        <v>1628</v>
      </c>
      <c r="D113" t="s">
        <v>1627</v>
      </c>
      <c r="E113" t="s">
        <v>1626</v>
      </c>
      <c r="G113" t="s">
        <v>116</v>
      </c>
      <c r="H113" t="s">
        <v>22</v>
      </c>
      <c r="I113" t="s">
        <v>22</v>
      </c>
      <c r="J113" t="s">
        <v>17</v>
      </c>
      <c r="K113">
        <v>94.7</v>
      </c>
      <c r="L113">
        <v>110.8</v>
      </c>
      <c r="O113" t="s">
        <v>1708</v>
      </c>
      <c r="P113" t="s">
        <v>1708</v>
      </c>
      <c r="R113" s="24"/>
      <c r="S113" s="24"/>
      <c r="T113" s="18"/>
      <c r="U113" s="18"/>
      <c r="V113" s="18"/>
    </row>
    <row r="114" spans="1:22" x14ac:dyDescent="0.3">
      <c r="A114">
        <v>1158278</v>
      </c>
      <c r="B114" t="s">
        <v>1768</v>
      </c>
      <c r="C114" t="s">
        <v>1628</v>
      </c>
      <c r="D114" t="s">
        <v>1627</v>
      </c>
      <c r="E114" t="s">
        <v>1626</v>
      </c>
      <c r="G114" t="s">
        <v>117</v>
      </c>
      <c r="H114" t="s">
        <v>22</v>
      </c>
      <c r="I114" t="s">
        <v>22</v>
      </c>
      <c r="J114" t="s">
        <v>17</v>
      </c>
      <c r="K114">
        <v>94.7</v>
      </c>
      <c r="L114">
        <v>110.8</v>
      </c>
      <c r="O114" t="s">
        <v>1708</v>
      </c>
      <c r="P114" t="s">
        <v>1708</v>
      </c>
      <c r="R114" s="24"/>
      <c r="S114" s="24"/>
      <c r="T114" s="18"/>
      <c r="U114" s="18"/>
      <c r="V114" s="18"/>
    </row>
    <row r="115" spans="1:22" x14ac:dyDescent="0.3">
      <c r="A115">
        <v>1158278</v>
      </c>
      <c r="B115" t="s">
        <v>1768</v>
      </c>
      <c r="C115" t="s">
        <v>1628</v>
      </c>
      <c r="D115" t="s">
        <v>1627</v>
      </c>
      <c r="E115" t="s">
        <v>1626</v>
      </c>
      <c r="G115" t="s">
        <v>118</v>
      </c>
      <c r="H115" t="s">
        <v>22</v>
      </c>
      <c r="I115" t="s">
        <v>22</v>
      </c>
      <c r="J115" t="s">
        <v>17</v>
      </c>
      <c r="K115">
        <v>94.7</v>
      </c>
      <c r="L115">
        <v>110.8</v>
      </c>
      <c r="O115" t="s">
        <v>1708</v>
      </c>
      <c r="P115" t="s">
        <v>1708</v>
      </c>
      <c r="R115" s="24"/>
      <c r="S115" s="24"/>
      <c r="T115" s="18"/>
      <c r="U115" s="18"/>
      <c r="V115" s="18"/>
    </row>
    <row r="116" spans="1:22" x14ac:dyDescent="0.3">
      <c r="A116">
        <v>1158278</v>
      </c>
      <c r="B116" t="s">
        <v>1768</v>
      </c>
      <c r="C116" t="s">
        <v>1628</v>
      </c>
      <c r="D116" t="s">
        <v>1627</v>
      </c>
      <c r="E116" t="s">
        <v>1626</v>
      </c>
      <c r="G116" t="s">
        <v>119</v>
      </c>
      <c r="H116" t="s">
        <v>22</v>
      </c>
      <c r="I116" t="s">
        <v>22</v>
      </c>
      <c r="J116" t="s">
        <v>17</v>
      </c>
      <c r="K116">
        <v>94.7</v>
      </c>
      <c r="L116">
        <v>110.8</v>
      </c>
      <c r="O116" t="s">
        <v>1708</v>
      </c>
      <c r="P116" t="s">
        <v>1708</v>
      </c>
      <c r="R116" s="24"/>
      <c r="S116" s="24"/>
      <c r="T116" s="18"/>
      <c r="U116" s="18"/>
      <c r="V116" s="18"/>
    </row>
    <row r="117" spans="1:22" x14ac:dyDescent="0.3">
      <c r="A117">
        <v>1158278</v>
      </c>
      <c r="B117" t="s">
        <v>1768</v>
      </c>
      <c r="C117" t="s">
        <v>1628</v>
      </c>
      <c r="D117" t="s">
        <v>1627</v>
      </c>
      <c r="E117" t="s">
        <v>1626</v>
      </c>
      <c r="G117" t="s">
        <v>120</v>
      </c>
      <c r="H117" t="s">
        <v>22</v>
      </c>
      <c r="I117" t="s">
        <v>22</v>
      </c>
      <c r="J117" t="s">
        <v>17</v>
      </c>
      <c r="K117">
        <v>94.7</v>
      </c>
      <c r="L117">
        <v>110.8</v>
      </c>
      <c r="O117" t="s">
        <v>1708</v>
      </c>
      <c r="P117" t="s">
        <v>1708</v>
      </c>
      <c r="R117" s="24"/>
      <c r="S117" s="24"/>
      <c r="T117" s="18"/>
      <c r="U117" s="18"/>
      <c r="V117" s="18"/>
    </row>
    <row r="118" spans="1:22" x14ac:dyDescent="0.3">
      <c r="A118">
        <v>1158278</v>
      </c>
      <c r="B118" t="s">
        <v>1768</v>
      </c>
      <c r="C118" t="s">
        <v>1628</v>
      </c>
      <c r="D118" t="s">
        <v>1627</v>
      </c>
      <c r="E118" t="s">
        <v>1626</v>
      </c>
      <c r="G118" t="s">
        <v>121</v>
      </c>
      <c r="H118" t="s">
        <v>22</v>
      </c>
      <c r="I118" t="s">
        <v>22</v>
      </c>
      <c r="J118" t="s">
        <v>17</v>
      </c>
      <c r="K118">
        <v>94.7</v>
      </c>
      <c r="L118">
        <v>110.8</v>
      </c>
      <c r="O118" t="s">
        <v>1708</v>
      </c>
      <c r="P118" t="s">
        <v>1708</v>
      </c>
      <c r="R118" s="24"/>
      <c r="S118" s="24"/>
      <c r="T118" s="18"/>
      <c r="U118" s="18"/>
      <c r="V118" s="18"/>
    </row>
    <row r="119" spans="1:22" x14ac:dyDescent="0.3">
      <c r="A119">
        <v>1158278</v>
      </c>
      <c r="B119" t="s">
        <v>1768</v>
      </c>
      <c r="C119" t="s">
        <v>1628</v>
      </c>
      <c r="D119" t="s">
        <v>1627</v>
      </c>
      <c r="E119" t="s">
        <v>1626</v>
      </c>
      <c r="G119" t="s">
        <v>122</v>
      </c>
      <c r="H119" t="s">
        <v>22</v>
      </c>
      <c r="I119" t="s">
        <v>22</v>
      </c>
      <c r="J119" t="s">
        <v>17</v>
      </c>
      <c r="K119">
        <v>94.7</v>
      </c>
      <c r="L119">
        <v>110.8</v>
      </c>
      <c r="O119" t="s">
        <v>1708</v>
      </c>
      <c r="P119" t="s">
        <v>1708</v>
      </c>
      <c r="R119" s="24"/>
      <c r="S119" s="24"/>
      <c r="T119" s="18"/>
      <c r="U119" s="18"/>
      <c r="V119" s="18"/>
    </row>
    <row r="120" spans="1:22" x14ac:dyDescent="0.3">
      <c r="A120">
        <v>1158278</v>
      </c>
      <c r="B120" t="s">
        <v>1768</v>
      </c>
      <c r="C120" t="s">
        <v>1628</v>
      </c>
      <c r="D120" t="s">
        <v>1627</v>
      </c>
      <c r="E120" t="s">
        <v>1626</v>
      </c>
      <c r="G120" t="s">
        <v>123</v>
      </c>
      <c r="H120" t="s">
        <v>22</v>
      </c>
      <c r="I120" t="s">
        <v>22</v>
      </c>
      <c r="J120" t="s">
        <v>17</v>
      </c>
      <c r="K120">
        <v>94.7</v>
      </c>
      <c r="L120">
        <v>110.8</v>
      </c>
      <c r="O120" t="s">
        <v>1708</v>
      </c>
      <c r="P120" t="s">
        <v>1708</v>
      </c>
      <c r="R120" s="24"/>
      <c r="S120" s="24"/>
      <c r="T120" s="18"/>
      <c r="U120" s="18"/>
      <c r="V120" s="18"/>
    </row>
    <row r="121" spans="1:22" x14ac:dyDescent="0.3">
      <c r="A121">
        <v>1158278</v>
      </c>
      <c r="B121" t="s">
        <v>1768</v>
      </c>
      <c r="C121" t="s">
        <v>1628</v>
      </c>
      <c r="D121" t="s">
        <v>1627</v>
      </c>
      <c r="E121" t="s">
        <v>1626</v>
      </c>
      <c r="G121" t="s">
        <v>124</v>
      </c>
      <c r="H121" t="s">
        <v>22</v>
      </c>
      <c r="I121" t="s">
        <v>22</v>
      </c>
      <c r="J121" t="s">
        <v>17</v>
      </c>
      <c r="K121">
        <v>94.7</v>
      </c>
      <c r="L121">
        <v>110.8</v>
      </c>
      <c r="O121" t="s">
        <v>1708</v>
      </c>
      <c r="P121" t="s">
        <v>1708</v>
      </c>
      <c r="R121" s="24"/>
      <c r="S121" s="24"/>
      <c r="T121" s="18"/>
      <c r="U121" s="18"/>
      <c r="V121" s="18"/>
    </row>
    <row r="122" spans="1:22" x14ac:dyDescent="0.3">
      <c r="A122">
        <v>1158278</v>
      </c>
      <c r="B122" t="s">
        <v>1768</v>
      </c>
      <c r="C122" t="s">
        <v>1628</v>
      </c>
      <c r="D122" t="s">
        <v>1627</v>
      </c>
      <c r="E122" t="s">
        <v>1626</v>
      </c>
      <c r="G122" t="s">
        <v>125</v>
      </c>
      <c r="H122" t="s">
        <v>22</v>
      </c>
      <c r="I122" t="s">
        <v>22</v>
      </c>
      <c r="J122" t="s">
        <v>17</v>
      </c>
      <c r="K122">
        <v>94.7</v>
      </c>
      <c r="L122">
        <v>110.8</v>
      </c>
      <c r="O122" t="s">
        <v>1708</v>
      </c>
      <c r="P122" t="s">
        <v>1708</v>
      </c>
      <c r="R122" s="24"/>
      <c r="S122" s="24"/>
      <c r="T122" s="18"/>
      <c r="U122" s="18"/>
      <c r="V122" s="18"/>
    </row>
    <row r="123" spans="1:22" x14ac:dyDescent="0.3">
      <c r="A123">
        <v>1158278</v>
      </c>
      <c r="B123" t="s">
        <v>1768</v>
      </c>
      <c r="C123" t="s">
        <v>1628</v>
      </c>
      <c r="D123" t="s">
        <v>1627</v>
      </c>
      <c r="E123" t="s">
        <v>1626</v>
      </c>
      <c r="G123" t="s">
        <v>126</v>
      </c>
      <c r="H123" t="s">
        <v>22</v>
      </c>
      <c r="I123" t="s">
        <v>22</v>
      </c>
      <c r="J123" t="s">
        <v>17</v>
      </c>
      <c r="K123">
        <v>94.7</v>
      </c>
      <c r="L123">
        <v>110.8</v>
      </c>
      <c r="O123" t="s">
        <v>1708</v>
      </c>
      <c r="P123" t="s">
        <v>1708</v>
      </c>
      <c r="R123" s="24"/>
      <c r="S123" s="24"/>
      <c r="T123" s="18"/>
      <c r="U123" s="18"/>
      <c r="V123" s="18"/>
    </row>
    <row r="124" spans="1:22" x14ac:dyDescent="0.3">
      <c r="A124">
        <v>1158278</v>
      </c>
      <c r="B124" t="s">
        <v>1768</v>
      </c>
      <c r="C124" t="s">
        <v>1628</v>
      </c>
      <c r="D124" t="s">
        <v>1627</v>
      </c>
      <c r="E124" t="s">
        <v>1626</v>
      </c>
      <c r="G124" t="s">
        <v>127</v>
      </c>
      <c r="H124" t="s">
        <v>22</v>
      </c>
      <c r="I124" t="s">
        <v>22</v>
      </c>
      <c r="J124" t="s">
        <v>17</v>
      </c>
      <c r="K124">
        <v>94.7</v>
      </c>
      <c r="L124">
        <v>110.8</v>
      </c>
      <c r="O124" t="s">
        <v>1708</v>
      </c>
      <c r="P124" t="s">
        <v>1708</v>
      </c>
      <c r="R124" s="24"/>
      <c r="S124" s="24"/>
      <c r="T124" s="18"/>
      <c r="U124" s="18"/>
      <c r="V124" s="18"/>
    </row>
    <row r="125" spans="1:22" x14ac:dyDescent="0.3">
      <c r="A125">
        <v>1158278</v>
      </c>
      <c r="B125" t="s">
        <v>1768</v>
      </c>
      <c r="C125" t="s">
        <v>1628</v>
      </c>
      <c r="D125" t="s">
        <v>1627</v>
      </c>
      <c r="E125" t="s">
        <v>1626</v>
      </c>
      <c r="G125" t="s">
        <v>128</v>
      </c>
      <c r="H125" t="s">
        <v>22</v>
      </c>
      <c r="I125" t="s">
        <v>22</v>
      </c>
      <c r="J125" t="s">
        <v>17</v>
      </c>
      <c r="K125">
        <v>94.7</v>
      </c>
      <c r="L125">
        <v>110.8</v>
      </c>
      <c r="O125" t="s">
        <v>1708</v>
      </c>
      <c r="P125" t="s">
        <v>1708</v>
      </c>
      <c r="R125" s="24"/>
      <c r="S125" s="24"/>
      <c r="T125" s="18"/>
      <c r="U125" s="18"/>
      <c r="V125" s="18"/>
    </row>
    <row r="126" spans="1:22" x14ac:dyDescent="0.3">
      <c r="A126">
        <v>1158278</v>
      </c>
      <c r="B126" t="s">
        <v>1768</v>
      </c>
      <c r="C126" t="s">
        <v>1628</v>
      </c>
      <c r="D126" t="s">
        <v>1627</v>
      </c>
      <c r="E126" t="s">
        <v>1626</v>
      </c>
      <c r="G126" t="s">
        <v>129</v>
      </c>
      <c r="H126" t="s">
        <v>22</v>
      </c>
      <c r="I126" t="s">
        <v>22</v>
      </c>
      <c r="J126" t="s">
        <v>17</v>
      </c>
      <c r="K126">
        <v>94.7</v>
      </c>
      <c r="L126">
        <v>110.8</v>
      </c>
      <c r="O126" t="s">
        <v>1708</v>
      </c>
      <c r="P126" t="s">
        <v>1708</v>
      </c>
      <c r="R126" s="24"/>
      <c r="S126" s="24"/>
      <c r="T126" s="18"/>
      <c r="U126" s="18"/>
      <c r="V126" s="18"/>
    </row>
    <row r="127" spans="1:22" x14ac:dyDescent="0.3">
      <c r="A127">
        <v>1158278</v>
      </c>
      <c r="B127" t="s">
        <v>1768</v>
      </c>
      <c r="C127" t="s">
        <v>1625</v>
      </c>
      <c r="D127" t="s">
        <v>1624</v>
      </c>
      <c r="E127" t="s">
        <v>1623</v>
      </c>
      <c r="G127" t="s">
        <v>1622</v>
      </c>
      <c r="H127" t="s">
        <v>22</v>
      </c>
      <c r="I127" t="s">
        <v>22</v>
      </c>
      <c r="J127" t="s">
        <v>17</v>
      </c>
      <c r="K127">
        <v>93.3</v>
      </c>
      <c r="L127">
        <v>107</v>
      </c>
      <c r="O127" t="s">
        <v>1795</v>
      </c>
      <c r="P127" t="s">
        <v>1708</v>
      </c>
      <c r="Q127" s="20" t="s">
        <v>1753</v>
      </c>
      <c r="R127" s="24"/>
      <c r="S127" s="24"/>
      <c r="T127" s="18"/>
      <c r="U127" s="18"/>
      <c r="V127" s="18"/>
    </row>
    <row r="128" spans="1:22" x14ac:dyDescent="0.3">
      <c r="A128">
        <v>1158278</v>
      </c>
      <c r="B128" t="s">
        <v>1768</v>
      </c>
      <c r="C128" t="s">
        <v>1625</v>
      </c>
      <c r="D128" t="s">
        <v>1624</v>
      </c>
      <c r="E128" t="s">
        <v>1623</v>
      </c>
      <c r="G128" t="s">
        <v>1622</v>
      </c>
      <c r="H128" t="s">
        <v>22</v>
      </c>
      <c r="I128" t="s">
        <v>22</v>
      </c>
      <c r="J128" t="s">
        <v>17</v>
      </c>
      <c r="K128">
        <v>93.3</v>
      </c>
      <c r="L128">
        <v>107</v>
      </c>
      <c r="O128" t="s">
        <v>1795</v>
      </c>
      <c r="P128" t="s">
        <v>1708</v>
      </c>
      <c r="Q128" s="20" t="s">
        <v>1753</v>
      </c>
      <c r="R128" s="24"/>
      <c r="S128" s="24"/>
      <c r="T128" s="18"/>
      <c r="U128" s="18"/>
      <c r="V128" s="18"/>
    </row>
    <row r="129" spans="1:22" hidden="1" x14ac:dyDescent="0.3">
      <c r="A129">
        <v>1158278</v>
      </c>
      <c r="B129" t="s">
        <v>1768</v>
      </c>
      <c r="C129" t="s">
        <v>1620</v>
      </c>
      <c r="H129" t="s">
        <v>16</v>
      </c>
      <c r="I129" t="s">
        <v>16</v>
      </c>
      <c r="J129" t="s">
        <v>17</v>
      </c>
      <c r="K129">
        <v>0</v>
      </c>
      <c r="L129">
        <v>0</v>
      </c>
      <c r="O129" t="s">
        <v>1708</v>
      </c>
      <c r="P129" t="s">
        <v>1708</v>
      </c>
      <c r="R129" s="24"/>
      <c r="S129" s="24"/>
      <c r="T129" s="18"/>
      <c r="U129" s="18"/>
      <c r="V129" s="18"/>
    </row>
    <row r="130" spans="1:22" x14ac:dyDescent="0.3">
      <c r="A130">
        <v>1162161</v>
      </c>
      <c r="B130" t="s">
        <v>1743</v>
      </c>
      <c r="C130" t="s">
        <v>1760</v>
      </c>
      <c r="D130" t="s">
        <v>1759</v>
      </c>
      <c r="E130" t="s">
        <v>1758</v>
      </c>
      <c r="G130" t="s">
        <v>1767</v>
      </c>
      <c r="H130" t="s">
        <v>22</v>
      </c>
      <c r="I130" t="s">
        <v>22</v>
      </c>
      <c r="J130" t="s">
        <v>17</v>
      </c>
      <c r="K130">
        <v>88.9</v>
      </c>
      <c r="L130">
        <v>54.3</v>
      </c>
      <c r="O130" t="s">
        <v>1708</v>
      </c>
      <c r="P130" t="s">
        <v>1708</v>
      </c>
      <c r="R130" s="24">
        <f>COUNTIF(O130:O150,"*YES*")/COUNTA(O130:O150)</f>
        <v>0.90476190476190477</v>
      </c>
      <c r="S130" s="24">
        <f>COUNTIF(P130:P150,"*YES*")/COUNTA(P130:P150)</f>
        <v>1</v>
      </c>
    </row>
    <row r="131" spans="1:22" x14ac:dyDescent="0.3">
      <c r="A131">
        <v>1162161</v>
      </c>
      <c r="B131" t="s">
        <v>1743</v>
      </c>
      <c r="C131" t="s">
        <v>1760</v>
      </c>
      <c r="D131" t="s">
        <v>1759</v>
      </c>
      <c r="E131" t="s">
        <v>1758</v>
      </c>
      <c r="G131" t="s">
        <v>1766</v>
      </c>
      <c r="H131" t="s">
        <v>22</v>
      </c>
      <c r="I131" t="s">
        <v>22</v>
      </c>
      <c r="J131" t="s">
        <v>17</v>
      </c>
      <c r="K131">
        <v>88.9</v>
      </c>
      <c r="L131">
        <v>54.3</v>
      </c>
      <c r="O131" t="s">
        <v>1708</v>
      </c>
      <c r="P131" t="s">
        <v>1708</v>
      </c>
      <c r="R131" s="24"/>
      <c r="S131" s="24"/>
    </row>
    <row r="132" spans="1:22" x14ac:dyDescent="0.3">
      <c r="A132">
        <v>1162161</v>
      </c>
      <c r="B132" t="s">
        <v>1743</v>
      </c>
      <c r="C132" t="s">
        <v>1760</v>
      </c>
      <c r="D132" t="s">
        <v>1759</v>
      </c>
      <c r="E132" t="s">
        <v>1758</v>
      </c>
      <c r="G132" t="s">
        <v>1765</v>
      </c>
      <c r="H132" t="s">
        <v>22</v>
      </c>
      <c r="I132" t="s">
        <v>22</v>
      </c>
      <c r="J132" t="s">
        <v>17</v>
      </c>
      <c r="K132">
        <v>88.9</v>
      </c>
      <c r="L132">
        <v>54.3</v>
      </c>
      <c r="O132" t="s">
        <v>1708</v>
      </c>
      <c r="P132" t="s">
        <v>1708</v>
      </c>
      <c r="R132" s="24"/>
      <c r="S132" s="24"/>
    </row>
    <row r="133" spans="1:22" x14ac:dyDescent="0.3">
      <c r="A133">
        <v>1162161</v>
      </c>
      <c r="B133" t="s">
        <v>1743</v>
      </c>
      <c r="C133" t="s">
        <v>1760</v>
      </c>
      <c r="D133" t="s">
        <v>1759</v>
      </c>
      <c r="E133" t="s">
        <v>1758</v>
      </c>
      <c r="G133" t="s">
        <v>1764</v>
      </c>
      <c r="H133" t="s">
        <v>22</v>
      </c>
      <c r="I133" t="s">
        <v>22</v>
      </c>
      <c r="J133" t="s">
        <v>17</v>
      </c>
      <c r="K133">
        <v>88.9</v>
      </c>
      <c r="L133">
        <v>54.3</v>
      </c>
      <c r="O133" t="s">
        <v>1708</v>
      </c>
      <c r="P133" t="s">
        <v>1708</v>
      </c>
      <c r="R133" s="24"/>
      <c r="S133" s="24"/>
    </row>
    <row r="134" spans="1:22" x14ac:dyDescent="0.3">
      <c r="A134">
        <v>1162161</v>
      </c>
      <c r="B134" t="s">
        <v>1743</v>
      </c>
      <c r="C134" t="s">
        <v>1760</v>
      </c>
      <c r="D134" t="s">
        <v>1759</v>
      </c>
      <c r="E134" t="s">
        <v>1758</v>
      </c>
      <c r="G134" t="s">
        <v>1763</v>
      </c>
      <c r="H134" t="s">
        <v>22</v>
      </c>
      <c r="I134" t="s">
        <v>22</v>
      </c>
      <c r="J134" t="s">
        <v>17</v>
      </c>
      <c r="K134">
        <v>88.9</v>
      </c>
      <c r="L134">
        <v>54.3</v>
      </c>
      <c r="O134" t="s">
        <v>1708</v>
      </c>
      <c r="P134" t="s">
        <v>1708</v>
      </c>
      <c r="R134" s="24"/>
      <c r="S134" s="24"/>
    </row>
    <row r="135" spans="1:22" x14ac:dyDescent="0.3">
      <c r="A135">
        <v>1162161</v>
      </c>
      <c r="B135" t="s">
        <v>1743</v>
      </c>
      <c r="C135" t="s">
        <v>1760</v>
      </c>
      <c r="D135" t="s">
        <v>1759</v>
      </c>
      <c r="E135" t="s">
        <v>1758</v>
      </c>
      <c r="G135" t="s">
        <v>1762</v>
      </c>
      <c r="H135" t="s">
        <v>22</v>
      </c>
      <c r="I135" t="s">
        <v>22</v>
      </c>
      <c r="J135" t="s">
        <v>17</v>
      </c>
      <c r="K135">
        <v>88.9</v>
      </c>
      <c r="L135">
        <v>54.3</v>
      </c>
      <c r="O135" t="s">
        <v>1708</v>
      </c>
      <c r="P135" t="s">
        <v>1708</v>
      </c>
      <c r="R135" s="24"/>
      <c r="S135" s="24"/>
    </row>
    <row r="136" spans="1:22" x14ac:dyDescent="0.3">
      <c r="A136">
        <v>1162161</v>
      </c>
      <c r="B136" t="s">
        <v>1743</v>
      </c>
      <c r="C136" t="s">
        <v>1760</v>
      </c>
      <c r="D136" t="s">
        <v>1759</v>
      </c>
      <c r="E136" t="s">
        <v>1758</v>
      </c>
      <c r="G136" t="s">
        <v>1761</v>
      </c>
      <c r="H136" t="s">
        <v>22</v>
      </c>
      <c r="I136" t="s">
        <v>22</v>
      </c>
      <c r="J136" t="s">
        <v>17</v>
      </c>
      <c r="K136">
        <v>88.9</v>
      </c>
      <c r="L136">
        <v>54.3</v>
      </c>
      <c r="O136" t="s">
        <v>1708</v>
      </c>
      <c r="P136" t="s">
        <v>1708</v>
      </c>
      <c r="R136" s="24"/>
      <c r="S136" s="24"/>
    </row>
    <row r="137" spans="1:22" x14ac:dyDescent="0.3">
      <c r="A137">
        <v>1162161</v>
      </c>
      <c r="B137" t="s">
        <v>1743</v>
      </c>
      <c r="C137" t="s">
        <v>1760</v>
      </c>
      <c r="D137" t="s">
        <v>1759</v>
      </c>
      <c r="E137" t="s">
        <v>1758</v>
      </c>
      <c r="G137" t="s">
        <v>1757</v>
      </c>
      <c r="H137" t="s">
        <v>22</v>
      </c>
      <c r="I137" t="s">
        <v>22</v>
      </c>
      <c r="J137" t="s">
        <v>17</v>
      </c>
      <c r="K137">
        <v>88.9</v>
      </c>
      <c r="L137">
        <v>54.3</v>
      </c>
      <c r="O137" t="s">
        <v>1708</v>
      </c>
      <c r="P137" t="s">
        <v>1708</v>
      </c>
      <c r="R137" s="24"/>
      <c r="S137" s="24"/>
    </row>
    <row r="138" spans="1:22" x14ac:dyDescent="0.3">
      <c r="A138">
        <v>1162161</v>
      </c>
      <c r="B138" t="s">
        <v>1743</v>
      </c>
      <c r="C138" t="s">
        <v>1756</v>
      </c>
      <c r="D138" t="s">
        <v>1755</v>
      </c>
      <c r="E138" t="s">
        <v>1754</v>
      </c>
      <c r="H138" t="s">
        <v>46</v>
      </c>
      <c r="I138" t="s">
        <v>46</v>
      </c>
      <c r="J138" t="s">
        <v>17</v>
      </c>
      <c r="K138">
        <v>100</v>
      </c>
      <c r="L138">
        <v>50</v>
      </c>
      <c r="O138" t="s">
        <v>1795</v>
      </c>
      <c r="P138" t="s">
        <v>1708</v>
      </c>
      <c r="Q138" s="20" t="s">
        <v>1753</v>
      </c>
      <c r="R138" s="24"/>
      <c r="S138" s="24"/>
    </row>
    <row r="139" spans="1:22" ht="43.2" x14ac:dyDescent="0.3">
      <c r="A139">
        <v>1162161</v>
      </c>
      <c r="B139" t="s">
        <v>1743</v>
      </c>
      <c r="C139" t="s">
        <v>1752</v>
      </c>
      <c r="D139" t="s">
        <v>1752</v>
      </c>
      <c r="E139" t="s">
        <v>1751</v>
      </c>
      <c r="H139" t="s">
        <v>22</v>
      </c>
      <c r="I139" t="s">
        <v>22</v>
      </c>
      <c r="J139" t="s">
        <v>17</v>
      </c>
      <c r="K139">
        <v>100</v>
      </c>
      <c r="L139">
        <v>111</v>
      </c>
      <c r="M139" t="s">
        <v>1750</v>
      </c>
      <c r="N139" t="s">
        <v>1749</v>
      </c>
      <c r="O139" t="s">
        <v>1795</v>
      </c>
      <c r="P139" t="s">
        <v>1708</v>
      </c>
      <c r="Q139" s="19" t="s">
        <v>1747</v>
      </c>
      <c r="R139" s="24"/>
      <c r="S139" s="24"/>
    </row>
    <row r="140" spans="1:22" ht="28.8" x14ac:dyDescent="0.3">
      <c r="A140">
        <v>1162161</v>
      </c>
      <c r="B140" t="s">
        <v>1743</v>
      </c>
      <c r="C140" t="s">
        <v>1745</v>
      </c>
      <c r="D140" t="s">
        <v>1094</v>
      </c>
      <c r="E140" t="s">
        <v>1093</v>
      </c>
      <c r="G140" t="s">
        <v>1103</v>
      </c>
      <c r="H140" t="s">
        <v>22</v>
      </c>
      <c r="I140" t="s">
        <v>22</v>
      </c>
      <c r="J140" t="s">
        <v>17</v>
      </c>
      <c r="K140">
        <v>92.3</v>
      </c>
      <c r="L140">
        <v>111.4</v>
      </c>
      <c r="O140" t="s">
        <v>1708</v>
      </c>
      <c r="P140" t="s">
        <v>1708</v>
      </c>
      <c r="Q140" s="4" t="s">
        <v>1746</v>
      </c>
      <c r="R140" s="24"/>
      <c r="S140" s="24"/>
    </row>
    <row r="141" spans="1:22" x14ac:dyDescent="0.3">
      <c r="A141">
        <v>1162161</v>
      </c>
      <c r="B141" t="s">
        <v>1743</v>
      </c>
      <c r="C141" t="s">
        <v>1745</v>
      </c>
      <c r="D141" t="s">
        <v>1094</v>
      </c>
      <c r="E141" t="s">
        <v>1093</v>
      </c>
      <c r="G141" t="s">
        <v>1102</v>
      </c>
      <c r="H141" t="s">
        <v>22</v>
      </c>
      <c r="I141" t="s">
        <v>22</v>
      </c>
      <c r="J141" t="s">
        <v>17</v>
      </c>
      <c r="K141">
        <v>92.3</v>
      </c>
      <c r="L141">
        <v>111.4</v>
      </c>
      <c r="O141" t="s">
        <v>1708</v>
      </c>
      <c r="P141" t="s">
        <v>1708</v>
      </c>
      <c r="R141" s="24"/>
      <c r="S141" s="24"/>
    </row>
    <row r="142" spans="1:22" ht="15" customHeight="1" x14ac:dyDescent="0.3">
      <c r="A142">
        <v>1162161</v>
      </c>
      <c r="B142" t="s">
        <v>1743</v>
      </c>
      <c r="C142" t="s">
        <v>1745</v>
      </c>
      <c r="D142" t="s">
        <v>1094</v>
      </c>
      <c r="E142" t="s">
        <v>1093</v>
      </c>
      <c r="G142" t="s">
        <v>1101</v>
      </c>
      <c r="H142" t="s">
        <v>22</v>
      </c>
      <c r="I142" t="s">
        <v>22</v>
      </c>
      <c r="J142" t="s">
        <v>17</v>
      </c>
      <c r="K142">
        <v>92.3</v>
      </c>
      <c r="L142">
        <v>111.4</v>
      </c>
      <c r="O142" t="s">
        <v>1708</v>
      </c>
      <c r="P142" t="s">
        <v>1708</v>
      </c>
      <c r="R142" s="24"/>
      <c r="S142" s="24"/>
    </row>
    <row r="143" spans="1:22" x14ac:dyDescent="0.3">
      <c r="A143">
        <v>1162161</v>
      </c>
      <c r="B143" t="s">
        <v>1743</v>
      </c>
      <c r="C143" t="s">
        <v>1745</v>
      </c>
      <c r="D143" t="s">
        <v>1094</v>
      </c>
      <c r="E143" t="s">
        <v>1093</v>
      </c>
      <c r="G143" t="s">
        <v>1100</v>
      </c>
      <c r="H143" t="s">
        <v>22</v>
      </c>
      <c r="I143" t="s">
        <v>22</v>
      </c>
      <c r="J143" t="s">
        <v>17</v>
      </c>
      <c r="K143">
        <v>92.3</v>
      </c>
      <c r="L143">
        <v>111.4</v>
      </c>
      <c r="O143" t="s">
        <v>1708</v>
      </c>
      <c r="P143" t="s">
        <v>1708</v>
      </c>
      <c r="R143" s="24"/>
      <c r="S143" s="24"/>
    </row>
    <row r="144" spans="1:22" x14ac:dyDescent="0.3">
      <c r="A144">
        <v>1162161</v>
      </c>
      <c r="B144" t="s">
        <v>1743</v>
      </c>
      <c r="C144" t="s">
        <v>1745</v>
      </c>
      <c r="D144" t="s">
        <v>1094</v>
      </c>
      <c r="E144" t="s">
        <v>1093</v>
      </c>
      <c r="G144" t="s">
        <v>1099</v>
      </c>
      <c r="H144" t="s">
        <v>22</v>
      </c>
      <c r="I144" t="s">
        <v>22</v>
      </c>
      <c r="J144" t="s">
        <v>17</v>
      </c>
      <c r="K144">
        <v>92.3</v>
      </c>
      <c r="L144">
        <v>111.4</v>
      </c>
      <c r="O144" t="s">
        <v>1708</v>
      </c>
      <c r="P144" t="s">
        <v>1708</v>
      </c>
      <c r="R144" s="24"/>
      <c r="S144" s="24"/>
    </row>
    <row r="145" spans="1:19" x14ac:dyDescent="0.3">
      <c r="A145">
        <v>1162161</v>
      </c>
      <c r="B145" t="s">
        <v>1743</v>
      </c>
      <c r="C145" t="s">
        <v>1745</v>
      </c>
      <c r="D145" t="s">
        <v>1094</v>
      </c>
      <c r="E145" t="s">
        <v>1093</v>
      </c>
      <c r="G145" t="s">
        <v>1098</v>
      </c>
      <c r="H145" t="s">
        <v>22</v>
      </c>
      <c r="I145" t="s">
        <v>22</v>
      </c>
      <c r="J145" t="s">
        <v>17</v>
      </c>
      <c r="K145">
        <v>92.3</v>
      </c>
      <c r="L145">
        <v>111.4</v>
      </c>
      <c r="O145" t="s">
        <v>1708</v>
      </c>
      <c r="P145" t="s">
        <v>1708</v>
      </c>
      <c r="R145" s="24"/>
      <c r="S145" s="24"/>
    </row>
    <row r="146" spans="1:19" x14ac:dyDescent="0.3">
      <c r="A146">
        <v>1162161</v>
      </c>
      <c r="B146" t="s">
        <v>1743</v>
      </c>
      <c r="C146" t="s">
        <v>1745</v>
      </c>
      <c r="D146" t="s">
        <v>1094</v>
      </c>
      <c r="E146" t="s">
        <v>1093</v>
      </c>
      <c r="G146" t="s">
        <v>1097</v>
      </c>
      <c r="H146" t="s">
        <v>22</v>
      </c>
      <c r="I146" t="s">
        <v>22</v>
      </c>
      <c r="J146" t="s">
        <v>17</v>
      </c>
      <c r="K146">
        <v>92.3</v>
      </c>
      <c r="L146">
        <v>111.4</v>
      </c>
      <c r="O146" t="s">
        <v>1708</v>
      </c>
      <c r="P146" t="s">
        <v>1708</v>
      </c>
      <c r="R146" s="24"/>
      <c r="S146" s="24"/>
    </row>
    <row r="147" spans="1:19" x14ac:dyDescent="0.3">
      <c r="A147">
        <v>1162161</v>
      </c>
      <c r="B147" t="s">
        <v>1743</v>
      </c>
      <c r="C147" t="s">
        <v>1745</v>
      </c>
      <c r="D147" t="s">
        <v>1094</v>
      </c>
      <c r="E147" t="s">
        <v>1093</v>
      </c>
      <c r="G147" t="s">
        <v>1096</v>
      </c>
      <c r="H147" t="s">
        <v>22</v>
      </c>
      <c r="I147" t="s">
        <v>22</v>
      </c>
      <c r="J147" t="s">
        <v>17</v>
      </c>
      <c r="K147">
        <v>92.3</v>
      </c>
      <c r="L147">
        <v>111.4</v>
      </c>
      <c r="O147" t="s">
        <v>1708</v>
      </c>
      <c r="P147" t="s">
        <v>1708</v>
      </c>
      <c r="R147" s="24"/>
      <c r="S147" s="24"/>
    </row>
    <row r="148" spans="1:19" x14ac:dyDescent="0.3">
      <c r="A148">
        <v>1162161</v>
      </c>
      <c r="B148" t="s">
        <v>1743</v>
      </c>
      <c r="C148" t="s">
        <v>1745</v>
      </c>
      <c r="D148" t="s">
        <v>1094</v>
      </c>
      <c r="E148" t="s">
        <v>1093</v>
      </c>
      <c r="G148" t="s">
        <v>1092</v>
      </c>
      <c r="H148" t="s">
        <v>22</v>
      </c>
      <c r="I148" t="s">
        <v>22</v>
      </c>
      <c r="J148" t="s">
        <v>17</v>
      </c>
      <c r="K148">
        <v>92.3</v>
      </c>
      <c r="L148">
        <v>111.4</v>
      </c>
      <c r="O148" t="s">
        <v>1708</v>
      </c>
      <c r="P148" t="s">
        <v>1708</v>
      </c>
      <c r="R148" s="24"/>
      <c r="S148" s="24"/>
    </row>
    <row r="149" spans="1:19" hidden="1" x14ac:dyDescent="0.3">
      <c r="A149">
        <v>1162161</v>
      </c>
      <c r="B149" t="s">
        <v>1743</v>
      </c>
      <c r="C149" t="s">
        <v>1744</v>
      </c>
      <c r="H149" t="s">
        <v>16</v>
      </c>
      <c r="I149" t="s">
        <v>16</v>
      </c>
      <c r="J149" t="s">
        <v>17</v>
      </c>
      <c r="K149">
        <v>0</v>
      </c>
      <c r="L149">
        <v>0</v>
      </c>
      <c r="O149" t="s">
        <v>1708</v>
      </c>
      <c r="P149" t="s">
        <v>1708</v>
      </c>
      <c r="R149" s="24"/>
      <c r="S149" s="24"/>
    </row>
    <row r="150" spans="1:19" hidden="1" x14ac:dyDescent="0.3">
      <c r="A150">
        <v>1162161</v>
      </c>
      <c r="B150" t="s">
        <v>1743</v>
      </c>
      <c r="C150" t="s">
        <v>622</v>
      </c>
      <c r="H150" t="s">
        <v>16</v>
      </c>
      <c r="I150" t="s">
        <v>16</v>
      </c>
      <c r="J150" t="s">
        <v>17</v>
      </c>
      <c r="K150">
        <v>0</v>
      </c>
      <c r="L150">
        <v>0</v>
      </c>
      <c r="O150" t="s">
        <v>1708</v>
      </c>
      <c r="P150" t="s">
        <v>1708</v>
      </c>
      <c r="R150" s="24"/>
      <c r="S150" s="24"/>
    </row>
    <row r="151" spans="1:19" x14ac:dyDescent="0.3">
      <c r="A151">
        <v>1164483</v>
      </c>
      <c r="B151" t="s">
        <v>1740</v>
      </c>
      <c r="C151" t="s">
        <v>1095</v>
      </c>
      <c r="D151" t="s">
        <v>1094</v>
      </c>
      <c r="E151" t="s">
        <v>1093</v>
      </c>
      <c r="G151" t="s">
        <v>1103</v>
      </c>
      <c r="H151" t="s">
        <v>46</v>
      </c>
      <c r="I151" t="s">
        <v>46</v>
      </c>
      <c r="J151" t="s">
        <v>17</v>
      </c>
      <c r="K151">
        <v>100</v>
      </c>
      <c r="L151">
        <v>50</v>
      </c>
      <c r="O151" t="s">
        <v>1708</v>
      </c>
      <c r="P151" t="s">
        <v>1708</v>
      </c>
      <c r="R151" s="24">
        <f>COUNTIF(O151:O162,"*YES*")/COUNTA(O151:O162)</f>
        <v>1</v>
      </c>
      <c r="S151" s="24">
        <f>COUNTIF(P151:P162,"*YES*")/COUNTA(P151:P162)</f>
        <v>1</v>
      </c>
    </row>
    <row r="152" spans="1:19" x14ac:dyDescent="0.3">
      <c r="A152">
        <v>1164483</v>
      </c>
      <c r="B152" t="s">
        <v>1740</v>
      </c>
      <c r="C152" t="s">
        <v>1095</v>
      </c>
      <c r="D152" t="s">
        <v>1094</v>
      </c>
      <c r="E152" t="s">
        <v>1093</v>
      </c>
      <c r="G152" t="s">
        <v>1102</v>
      </c>
      <c r="H152" t="s">
        <v>46</v>
      </c>
      <c r="I152" t="s">
        <v>46</v>
      </c>
      <c r="J152" t="s">
        <v>17</v>
      </c>
      <c r="K152">
        <v>100</v>
      </c>
      <c r="L152">
        <v>50</v>
      </c>
      <c r="O152" t="s">
        <v>1708</v>
      </c>
      <c r="P152" t="s">
        <v>1708</v>
      </c>
      <c r="R152" s="24"/>
      <c r="S152" s="24"/>
    </row>
    <row r="153" spans="1:19" x14ac:dyDescent="0.3">
      <c r="A153">
        <v>1164483</v>
      </c>
      <c r="B153" t="s">
        <v>1740</v>
      </c>
      <c r="C153" t="s">
        <v>1095</v>
      </c>
      <c r="D153" t="s">
        <v>1094</v>
      </c>
      <c r="E153" t="s">
        <v>1093</v>
      </c>
      <c r="G153" t="s">
        <v>1101</v>
      </c>
      <c r="H153" t="s">
        <v>46</v>
      </c>
      <c r="I153" t="s">
        <v>46</v>
      </c>
      <c r="J153" t="s">
        <v>17</v>
      </c>
      <c r="K153">
        <v>100</v>
      </c>
      <c r="L153">
        <v>50</v>
      </c>
      <c r="O153" t="s">
        <v>1708</v>
      </c>
      <c r="P153" t="s">
        <v>1708</v>
      </c>
      <c r="R153" s="24"/>
      <c r="S153" s="24"/>
    </row>
    <row r="154" spans="1:19" x14ac:dyDescent="0.3">
      <c r="A154">
        <v>1164483</v>
      </c>
      <c r="B154" t="s">
        <v>1740</v>
      </c>
      <c r="C154" t="s">
        <v>1095</v>
      </c>
      <c r="D154" t="s">
        <v>1094</v>
      </c>
      <c r="E154" t="s">
        <v>1093</v>
      </c>
      <c r="G154" t="s">
        <v>1100</v>
      </c>
      <c r="H154" t="s">
        <v>46</v>
      </c>
      <c r="I154" t="s">
        <v>46</v>
      </c>
      <c r="J154" t="s">
        <v>17</v>
      </c>
      <c r="K154">
        <v>100</v>
      </c>
      <c r="L154">
        <v>50</v>
      </c>
      <c r="O154" t="s">
        <v>1708</v>
      </c>
      <c r="P154" t="s">
        <v>1708</v>
      </c>
      <c r="R154" s="24"/>
      <c r="S154" s="24"/>
    </row>
    <row r="155" spans="1:19" x14ac:dyDescent="0.3">
      <c r="A155">
        <v>1164483</v>
      </c>
      <c r="B155" t="s">
        <v>1740</v>
      </c>
      <c r="C155" t="s">
        <v>1095</v>
      </c>
      <c r="D155" t="s">
        <v>1094</v>
      </c>
      <c r="E155" t="s">
        <v>1093</v>
      </c>
      <c r="G155" t="s">
        <v>1099</v>
      </c>
      <c r="H155" t="s">
        <v>46</v>
      </c>
      <c r="I155" t="s">
        <v>46</v>
      </c>
      <c r="J155" t="s">
        <v>17</v>
      </c>
      <c r="K155">
        <v>100</v>
      </c>
      <c r="L155">
        <v>50</v>
      </c>
      <c r="O155" t="s">
        <v>1708</v>
      </c>
      <c r="P155" t="s">
        <v>1708</v>
      </c>
      <c r="R155" s="24"/>
      <c r="S155" s="24"/>
    </row>
    <row r="156" spans="1:19" x14ac:dyDescent="0.3">
      <c r="A156">
        <v>1164483</v>
      </c>
      <c r="B156" t="s">
        <v>1740</v>
      </c>
      <c r="C156" t="s">
        <v>1095</v>
      </c>
      <c r="D156" t="s">
        <v>1094</v>
      </c>
      <c r="E156" t="s">
        <v>1093</v>
      </c>
      <c r="G156" t="s">
        <v>1098</v>
      </c>
      <c r="H156" t="s">
        <v>46</v>
      </c>
      <c r="I156" t="s">
        <v>46</v>
      </c>
      <c r="J156" t="s">
        <v>17</v>
      </c>
      <c r="K156">
        <v>100</v>
      </c>
      <c r="L156">
        <v>50</v>
      </c>
      <c r="O156" t="s">
        <v>1708</v>
      </c>
      <c r="P156" t="s">
        <v>1708</v>
      </c>
      <c r="R156" s="24"/>
      <c r="S156" s="24"/>
    </row>
    <row r="157" spans="1:19" x14ac:dyDescent="0.3">
      <c r="A157">
        <v>1164483</v>
      </c>
      <c r="B157" t="s">
        <v>1740</v>
      </c>
      <c r="C157" t="s">
        <v>1095</v>
      </c>
      <c r="D157" t="s">
        <v>1094</v>
      </c>
      <c r="E157" t="s">
        <v>1093</v>
      </c>
      <c r="G157" t="s">
        <v>1097</v>
      </c>
      <c r="H157" t="s">
        <v>46</v>
      </c>
      <c r="I157" t="s">
        <v>46</v>
      </c>
      <c r="J157" t="s">
        <v>17</v>
      </c>
      <c r="K157">
        <v>100</v>
      </c>
      <c r="L157">
        <v>50</v>
      </c>
      <c r="O157" t="s">
        <v>1708</v>
      </c>
      <c r="P157" t="s">
        <v>1708</v>
      </c>
      <c r="R157" s="24"/>
      <c r="S157" s="24"/>
    </row>
    <row r="158" spans="1:19" x14ac:dyDescent="0.3">
      <c r="A158">
        <v>1164483</v>
      </c>
      <c r="B158" t="s">
        <v>1740</v>
      </c>
      <c r="C158" t="s">
        <v>1095</v>
      </c>
      <c r="D158" t="s">
        <v>1094</v>
      </c>
      <c r="E158" t="s">
        <v>1093</v>
      </c>
      <c r="G158" t="s">
        <v>1096</v>
      </c>
      <c r="H158" t="s">
        <v>46</v>
      </c>
      <c r="I158" t="s">
        <v>46</v>
      </c>
      <c r="J158" t="s">
        <v>17</v>
      </c>
      <c r="K158">
        <v>100</v>
      </c>
      <c r="L158">
        <v>50</v>
      </c>
      <c r="O158" t="s">
        <v>1708</v>
      </c>
      <c r="P158" t="s">
        <v>1708</v>
      </c>
      <c r="R158" s="24"/>
      <c r="S158" s="24"/>
    </row>
    <row r="159" spans="1:19" x14ac:dyDescent="0.3">
      <c r="A159">
        <v>1164483</v>
      </c>
      <c r="B159" t="s">
        <v>1740</v>
      </c>
      <c r="C159" t="s">
        <v>1095</v>
      </c>
      <c r="D159" t="s">
        <v>1094</v>
      </c>
      <c r="E159" t="s">
        <v>1093</v>
      </c>
      <c r="G159" t="s">
        <v>1092</v>
      </c>
      <c r="H159" t="s">
        <v>46</v>
      </c>
      <c r="I159" t="s">
        <v>46</v>
      </c>
      <c r="J159" t="s">
        <v>17</v>
      </c>
      <c r="K159">
        <v>100</v>
      </c>
      <c r="L159">
        <v>50</v>
      </c>
      <c r="O159" t="s">
        <v>1708</v>
      </c>
      <c r="P159" t="s">
        <v>1708</v>
      </c>
      <c r="R159" s="24"/>
      <c r="S159" s="24"/>
    </row>
    <row r="160" spans="1:19" hidden="1" x14ac:dyDescent="0.3">
      <c r="A160">
        <v>1164483</v>
      </c>
      <c r="B160" t="s">
        <v>1740</v>
      </c>
      <c r="C160" t="s">
        <v>1742</v>
      </c>
      <c r="H160" t="s">
        <v>16</v>
      </c>
      <c r="I160" t="s">
        <v>16</v>
      </c>
      <c r="J160" t="s">
        <v>17</v>
      </c>
      <c r="K160">
        <v>0</v>
      </c>
      <c r="L160">
        <v>0</v>
      </c>
      <c r="O160" t="s">
        <v>1708</v>
      </c>
      <c r="P160" t="s">
        <v>1708</v>
      </c>
      <c r="R160" s="24"/>
      <c r="S160" s="24"/>
    </row>
    <row r="161" spans="1:19" hidden="1" x14ac:dyDescent="0.3">
      <c r="A161">
        <v>1164483</v>
      </c>
      <c r="B161" t="s">
        <v>1740</v>
      </c>
      <c r="C161" t="s">
        <v>1741</v>
      </c>
      <c r="H161" t="s">
        <v>16</v>
      </c>
      <c r="I161" t="s">
        <v>16</v>
      </c>
      <c r="J161" t="s">
        <v>17</v>
      </c>
      <c r="K161">
        <v>0</v>
      </c>
      <c r="L161">
        <v>0</v>
      </c>
      <c r="O161" t="s">
        <v>1708</v>
      </c>
      <c r="P161" t="s">
        <v>1708</v>
      </c>
      <c r="R161" s="24"/>
      <c r="S161" s="24"/>
    </row>
    <row r="162" spans="1:19" hidden="1" x14ac:dyDescent="0.3">
      <c r="A162">
        <v>1164483</v>
      </c>
      <c r="B162" t="s">
        <v>1740</v>
      </c>
      <c r="C162" t="s">
        <v>1739</v>
      </c>
      <c r="H162" t="s">
        <v>16</v>
      </c>
      <c r="I162" t="s">
        <v>16</v>
      </c>
      <c r="J162" t="s">
        <v>17</v>
      </c>
      <c r="K162">
        <v>0</v>
      </c>
      <c r="L162">
        <v>0</v>
      </c>
      <c r="O162" t="s">
        <v>1708</v>
      </c>
      <c r="P162" t="s">
        <v>1708</v>
      </c>
      <c r="R162" s="24"/>
      <c r="S162" s="24"/>
    </row>
    <row r="163" spans="1:19" hidden="1" x14ac:dyDescent="0.3">
      <c r="A163">
        <v>1165987</v>
      </c>
      <c r="B163" t="s">
        <v>1726</v>
      </c>
      <c r="C163" t="s">
        <v>1738</v>
      </c>
      <c r="H163" t="s">
        <v>16</v>
      </c>
      <c r="I163" t="s">
        <v>16</v>
      </c>
      <c r="J163" t="s">
        <v>17</v>
      </c>
      <c r="K163">
        <v>0</v>
      </c>
      <c r="L163">
        <v>0</v>
      </c>
      <c r="O163" t="s">
        <v>1708</v>
      </c>
      <c r="P163" t="s">
        <v>1708</v>
      </c>
      <c r="R163" s="24">
        <f>COUNTIF(O163:O181,"*YES*")/COUNTA(O163:O181)</f>
        <v>1</v>
      </c>
      <c r="S163" s="24">
        <f>COUNTIF(P163:P181,"*YES*")/COUNTA(P163:P181)</f>
        <v>1</v>
      </c>
    </row>
    <row r="164" spans="1:19" x14ac:dyDescent="0.3">
      <c r="A164">
        <v>1165987</v>
      </c>
      <c r="B164" t="s">
        <v>1726</v>
      </c>
      <c r="C164" t="s">
        <v>1732</v>
      </c>
      <c r="D164" t="s">
        <v>1731</v>
      </c>
      <c r="E164" t="s">
        <v>1730</v>
      </c>
      <c r="G164" t="s">
        <v>1737</v>
      </c>
      <c r="H164" t="s">
        <v>22</v>
      </c>
      <c r="I164" t="s">
        <v>22</v>
      </c>
      <c r="J164" t="s">
        <v>17</v>
      </c>
      <c r="K164">
        <v>82.8</v>
      </c>
      <c r="L164">
        <v>103.7</v>
      </c>
      <c r="O164" t="s">
        <v>1708</v>
      </c>
      <c r="P164" t="s">
        <v>1708</v>
      </c>
      <c r="R164" s="24"/>
      <c r="S164" s="24"/>
    </row>
    <row r="165" spans="1:19" x14ac:dyDescent="0.3">
      <c r="A165">
        <v>1165987</v>
      </c>
      <c r="B165" t="s">
        <v>1726</v>
      </c>
      <c r="C165" t="s">
        <v>1732</v>
      </c>
      <c r="D165" t="s">
        <v>1731</v>
      </c>
      <c r="E165" t="s">
        <v>1730</v>
      </c>
      <c r="G165" t="s">
        <v>1736</v>
      </c>
      <c r="H165" t="s">
        <v>22</v>
      </c>
      <c r="I165" t="s">
        <v>22</v>
      </c>
      <c r="J165" t="s">
        <v>17</v>
      </c>
      <c r="K165">
        <v>82.8</v>
      </c>
      <c r="L165">
        <v>103.7</v>
      </c>
      <c r="O165" t="s">
        <v>1708</v>
      </c>
      <c r="P165" t="s">
        <v>1708</v>
      </c>
      <c r="R165" s="24"/>
      <c r="S165" s="24"/>
    </row>
    <row r="166" spans="1:19" x14ac:dyDescent="0.3">
      <c r="A166">
        <v>1165987</v>
      </c>
      <c r="B166" t="s">
        <v>1726</v>
      </c>
      <c r="C166" t="s">
        <v>1732</v>
      </c>
      <c r="D166" t="s">
        <v>1731</v>
      </c>
      <c r="E166" t="s">
        <v>1730</v>
      </c>
      <c r="G166" t="s">
        <v>1735</v>
      </c>
      <c r="H166" t="s">
        <v>22</v>
      </c>
      <c r="I166" t="s">
        <v>22</v>
      </c>
      <c r="J166" t="s">
        <v>17</v>
      </c>
      <c r="K166">
        <v>82.8</v>
      </c>
      <c r="L166">
        <v>103.7</v>
      </c>
      <c r="O166" t="s">
        <v>1708</v>
      </c>
      <c r="P166" t="s">
        <v>1708</v>
      </c>
      <c r="R166" s="24"/>
      <c r="S166" s="24"/>
    </row>
    <row r="167" spans="1:19" x14ac:dyDescent="0.3">
      <c r="A167">
        <v>1165987</v>
      </c>
      <c r="B167" t="s">
        <v>1726</v>
      </c>
      <c r="C167" t="s">
        <v>1732</v>
      </c>
      <c r="D167" t="s">
        <v>1731</v>
      </c>
      <c r="E167" t="s">
        <v>1730</v>
      </c>
      <c r="G167" t="s">
        <v>1734</v>
      </c>
      <c r="H167" t="s">
        <v>22</v>
      </c>
      <c r="I167" t="s">
        <v>22</v>
      </c>
      <c r="J167" t="s">
        <v>17</v>
      </c>
      <c r="K167">
        <v>82.8</v>
      </c>
      <c r="L167">
        <v>103.7</v>
      </c>
      <c r="O167" t="s">
        <v>1708</v>
      </c>
      <c r="P167" t="s">
        <v>1708</v>
      </c>
      <c r="R167" s="24"/>
      <c r="S167" s="24"/>
    </row>
    <row r="168" spans="1:19" x14ac:dyDescent="0.3">
      <c r="A168">
        <v>1165987</v>
      </c>
      <c r="B168" t="s">
        <v>1726</v>
      </c>
      <c r="C168" t="s">
        <v>1732</v>
      </c>
      <c r="D168" t="s">
        <v>1731</v>
      </c>
      <c r="E168" t="s">
        <v>1730</v>
      </c>
      <c r="G168" t="s">
        <v>1733</v>
      </c>
      <c r="H168" t="s">
        <v>22</v>
      </c>
      <c r="I168" t="s">
        <v>22</v>
      </c>
      <c r="J168" t="s">
        <v>17</v>
      </c>
      <c r="K168">
        <v>82.8</v>
      </c>
      <c r="L168">
        <v>103.7</v>
      </c>
      <c r="O168" t="s">
        <v>1708</v>
      </c>
      <c r="P168" t="s">
        <v>1708</v>
      </c>
      <c r="R168" s="24"/>
      <c r="S168" s="24"/>
    </row>
    <row r="169" spans="1:19" x14ac:dyDescent="0.3">
      <c r="A169">
        <v>1165987</v>
      </c>
      <c r="B169" t="s">
        <v>1726</v>
      </c>
      <c r="C169" t="s">
        <v>1732</v>
      </c>
      <c r="D169" t="s">
        <v>1731</v>
      </c>
      <c r="E169" t="s">
        <v>1730</v>
      </c>
      <c r="G169" t="s">
        <v>1729</v>
      </c>
      <c r="H169" t="s">
        <v>22</v>
      </c>
      <c r="I169" t="s">
        <v>22</v>
      </c>
      <c r="J169" t="s">
        <v>17</v>
      </c>
      <c r="K169">
        <v>82.8</v>
      </c>
      <c r="L169">
        <v>103.7</v>
      </c>
      <c r="O169" t="s">
        <v>1708</v>
      </c>
      <c r="P169" t="s">
        <v>1708</v>
      </c>
      <c r="R169" s="24"/>
      <c r="S169" s="24"/>
    </row>
    <row r="170" spans="1:19" hidden="1" x14ac:dyDescent="0.3">
      <c r="A170">
        <v>1165987</v>
      </c>
      <c r="B170" t="s">
        <v>1726</v>
      </c>
      <c r="C170" t="s">
        <v>1728</v>
      </c>
      <c r="H170" t="s">
        <v>16</v>
      </c>
      <c r="I170" t="s">
        <v>16</v>
      </c>
      <c r="J170" t="s">
        <v>17</v>
      </c>
      <c r="K170">
        <v>0</v>
      </c>
      <c r="L170">
        <v>0</v>
      </c>
      <c r="O170" t="s">
        <v>1708</v>
      </c>
      <c r="P170" t="s">
        <v>1708</v>
      </c>
      <c r="R170" s="24"/>
      <c r="S170" s="24"/>
    </row>
    <row r="171" spans="1:19" hidden="1" x14ac:dyDescent="0.3">
      <c r="A171">
        <v>1165987</v>
      </c>
      <c r="B171" t="s">
        <v>1726</v>
      </c>
      <c r="C171" t="s">
        <v>1727</v>
      </c>
      <c r="H171" t="s">
        <v>16</v>
      </c>
      <c r="I171" t="s">
        <v>16</v>
      </c>
      <c r="J171" t="s">
        <v>17</v>
      </c>
      <c r="K171">
        <v>0</v>
      </c>
      <c r="L171">
        <v>0</v>
      </c>
      <c r="O171" t="s">
        <v>1708</v>
      </c>
      <c r="P171" t="s">
        <v>1708</v>
      </c>
      <c r="R171" s="24"/>
      <c r="S171" s="24"/>
    </row>
    <row r="172" spans="1:19" hidden="1" x14ac:dyDescent="0.3">
      <c r="A172">
        <v>1165987</v>
      </c>
      <c r="B172" t="s">
        <v>1726</v>
      </c>
      <c r="C172" t="s">
        <v>1725</v>
      </c>
      <c r="H172" t="s">
        <v>16</v>
      </c>
      <c r="I172" t="s">
        <v>16</v>
      </c>
      <c r="J172" t="s">
        <v>17</v>
      </c>
      <c r="K172">
        <v>0</v>
      </c>
      <c r="L172">
        <v>0</v>
      </c>
      <c r="O172" t="s">
        <v>1708</v>
      </c>
      <c r="P172" t="s">
        <v>1708</v>
      </c>
      <c r="R172" s="24"/>
      <c r="S172" s="24"/>
    </row>
    <row r="173" spans="1:19" hidden="1" x14ac:dyDescent="0.3">
      <c r="A173">
        <v>1169135</v>
      </c>
      <c r="B173" t="s">
        <v>1723</v>
      </c>
      <c r="C173" t="s">
        <v>1108</v>
      </c>
      <c r="H173" t="s">
        <v>16</v>
      </c>
      <c r="I173" t="s">
        <v>16</v>
      </c>
      <c r="J173" t="s">
        <v>17</v>
      </c>
      <c r="K173">
        <v>0</v>
      </c>
      <c r="L173">
        <v>0</v>
      </c>
      <c r="O173" t="s">
        <v>1708</v>
      </c>
      <c r="P173" t="s">
        <v>1708</v>
      </c>
      <c r="R173" s="24"/>
      <c r="S173" s="24"/>
    </row>
    <row r="174" spans="1:19" hidden="1" x14ac:dyDescent="0.3">
      <c r="A174">
        <v>1169135</v>
      </c>
      <c r="B174" t="s">
        <v>1723</v>
      </c>
      <c r="C174" t="s">
        <v>1724</v>
      </c>
      <c r="H174" t="s">
        <v>16</v>
      </c>
      <c r="I174" t="s">
        <v>16</v>
      </c>
      <c r="J174" t="s">
        <v>17</v>
      </c>
      <c r="K174">
        <v>0</v>
      </c>
      <c r="L174">
        <v>0</v>
      </c>
      <c r="O174" t="s">
        <v>1708</v>
      </c>
      <c r="P174" t="s">
        <v>1708</v>
      </c>
      <c r="R174" s="24"/>
      <c r="S174" s="24"/>
    </row>
    <row r="175" spans="1:19" hidden="1" x14ac:dyDescent="0.3">
      <c r="A175">
        <v>1169135</v>
      </c>
      <c r="B175" t="s">
        <v>1723</v>
      </c>
      <c r="C175" t="s">
        <v>1616</v>
      </c>
      <c r="H175" t="s">
        <v>16</v>
      </c>
      <c r="I175" t="s">
        <v>16</v>
      </c>
      <c r="J175" t="s">
        <v>17</v>
      </c>
      <c r="K175">
        <v>0</v>
      </c>
      <c r="L175">
        <v>0</v>
      </c>
      <c r="O175" t="s">
        <v>1708</v>
      </c>
      <c r="P175" t="s">
        <v>1708</v>
      </c>
      <c r="R175" s="24"/>
      <c r="S175" s="24"/>
    </row>
    <row r="176" spans="1:19" x14ac:dyDescent="0.3">
      <c r="A176">
        <v>1169135</v>
      </c>
      <c r="B176" t="s">
        <v>1723</v>
      </c>
      <c r="C176" t="s">
        <v>1609</v>
      </c>
      <c r="D176" t="s">
        <v>1608</v>
      </c>
      <c r="E176" t="s">
        <v>1607</v>
      </c>
      <c r="G176" t="s">
        <v>1615</v>
      </c>
      <c r="H176" t="s">
        <v>46</v>
      </c>
      <c r="I176" t="s">
        <v>46</v>
      </c>
      <c r="J176" t="s">
        <v>17</v>
      </c>
      <c r="K176">
        <v>100</v>
      </c>
      <c r="L176">
        <v>50</v>
      </c>
      <c r="O176" t="s">
        <v>1708</v>
      </c>
      <c r="P176" t="s">
        <v>1708</v>
      </c>
      <c r="R176" s="24"/>
      <c r="S176" s="24"/>
    </row>
    <row r="177" spans="1:19" x14ac:dyDescent="0.3">
      <c r="A177">
        <v>1169135</v>
      </c>
      <c r="B177" t="s">
        <v>1723</v>
      </c>
      <c r="C177" t="s">
        <v>1609</v>
      </c>
      <c r="D177" t="s">
        <v>1608</v>
      </c>
      <c r="E177" t="s">
        <v>1607</v>
      </c>
      <c r="G177" t="s">
        <v>1614</v>
      </c>
      <c r="H177" t="s">
        <v>46</v>
      </c>
      <c r="I177" t="s">
        <v>46</v>
      </c>
      <c r="J177" t="s">
        <v>17</v>
      </c>
      <c r="K177">
        <v>100</v>
      </c>
      <c r="L177">
        <v>50</v>
      </c>
      <c r="O177" t="s">
        <v>1708</v>
      </c>
      <c r="P177" t="s">
        <v>1708</v>
      </c>
      <c r="R177" s="24"/>
      <c r="S177" s="24"/>
    </row>
    <row r="178" spans="1:19" x14ac:dyDescent="0.3">
      <c r="A178">
        <v>1169135</v>
      </c>
      <c r="B178" t="s">
        <v>1723</v>
      </c>
      <c r="C178" t="s">
        <v>1609</v>
      </c>
      <c r="D178" t="s">
        <v>1608</v>
      </c>
      <c r="E178" t="s">
        <v>1607</v>
      </c>
      <c r="G178" t="s">
        <v>1613</v>
      </c>
      <c r="H178" t="s">
        <v>46</v>
      </c>
      <c r="I178" t="s">
        <v>46</v>
      </c>
      <c r="J178" t="s">
        <v>17</v>
      </c>
      <c r="K178">
        <v>100</v>
      </c>
      <c r="L178">
        <v>50</v>
      </c>
      <c r="O178" t="s">
        <v>1708</v>
      </c>
      <c r="P178" t="s">
        <v>1708</v>
      </c>
      <c r="R178" s="24"/>
      <c r="S178" s="24"/>
    </row>
    <row r="179" spans="1:19" x14ac:dyDescent="0.3">
      <c r="A179">
        <v>1169135</v>
      </c>
      <c r="B179" t="s">
        <v>1723</v>
      </c>
      <c r="C179" t="s">
        <v>1609</v>
      </c>
      <c r="D179" t="s">
        <v>1608</v>
      </c>
      <c r="E179" t="s">
        <v>1607</v>
      </c>
      <c r="G179" t="s">
        <v>1612</v>
      </c>
      <c r="H179" t="s">
        <v>46</v>
      </c>
      <c r="I179" t="s">
        <v>46</v>
      </c>
      <c r="J179" t="s">
        <v>17</v>
      </c>
      <c r="K179">
        <v>100</v>
      </c>
      <c r="L179">
        <v>50</v>
      </c>
      <c r="O179" t="s">
        <v>1708</v>
      </c>
      <c r="P179" t="s">
        <v>1708</v>
      </c>
      <c r="R179" s="24"/>
      <c r="S179" s="24"/>
    </row>
    <row r="180" spans="1:19" x14ac:dyDescent="0.3">
      <c r="A180">
        <v>1169135</v>
      </c>
      <c r="B180" t="s">
        <v>1723</v>
      </c>
      <c r="C180" t="s">
        <v>1609</v>
      </c>
      <c r="D180" t="s">
        <v>1608</v>
      </c>
      <c r="E180" t="s">
        <v>1607</v>
      </c>
      <c r="G180" t="s">
        <v>1611</v>
      </c>
      <c r="H180" t="s">
        <v>46</v>
      </c>
      <c r="I180" t="s">
        <v>46</v>
      </c>
      <c r="J180" t="s">
        <v>17</v>
      </c>
      <c r="K180">
        <v>100</v>
      </c>
      <c r="L180">
        <v>50</v>
      </c>
      <c r="O180" t="s">
        <v>1708</v>
      </c>
      <c r="P180" t="s">
        <v>1708</v>
      </c>
      <c r="R180" s="24"/>
      <c r="S180" s="24"/>
    </row>
    <row r="181" spans="1:19" x14ac:dyDescent="0.3">
      <c r="A181">
        <v>1169135</v>
      </c>
      <c r="B181" t="s">
        <v>1723</v>
      </c>
      <c r="C181" t="s">
        <v>1609</v>
      </c>
      <c r="D181" t="s">
        <v>1608</v>
      </c>
      <c r="E181" t="s">
        <v>1607</v>
      </c>
      <c r="G181" t="s">
        <v>1606</v>
      </c>
      <c r="H181" t="s">
        <v>46</v>
      </c>
      <c r="I181" t="s">
        <v>46</v>
      </c>
      <c r="J181" t="s">
        <v>17</v>
      </c>
      <c r="K181">
        <v>100</v>
      </c>
      <c r="L181">
        <v>50</v>
      </c>
      <c r="O181" t="s">
        <v>1708</v>
      </c>
      <c r="P181" t="s">
        <v>1708</v>
      </c>
      <c r="R181" s="24"/>
      <c r="S181" s="24"/>
    </row>
    <row r="182" spans="1:19" hidden="1" x14ac:dyDescent="0.3">
      <c r="A182">
        <v>1178296</v>
      </c>
      <c r="B182" t="s">
        <v>1710</v>
      </c>
      <c r="C182" t="s">
        <v>1722</v>
      </c>
      <c r="H182" t="s">
        <v>16</v>
      </c>
      <c r="I182" t="s">
        <v>16</v>
      </c>
      <c r="J182" t="s">
        <v>17</v>
      </c>
      <c r="K182">
        <v>0</v>
      </c>
      <c r="L182">
        <v>0</v>
      </c>
      <c r="O182" t="s">
        <v>1708</v>
      </c>
      <c r="P182" t="s">
        <v>1708</v>
      </c>
      <c r="R182" s="24">
        <f>COUNTIF(O182:O192,"*YES*")/COUNTA(O182:O192)</f>
        <v>1</v>
      </c>
      <c r="S182" s="24">
        <f>COUNTIF(P182:P192,"*YES*")/COUNTA(P182:P192)</f>
        <v>1</v>
      </c>
    </row>
    <row r="183" spans="1:19" hidden="1" x14ac:dyDescent="0.3">
      <c r="A183">
        <v>1178296</v>
      </c>
      <c r="B183" t="s">
        <v>1710</v>
      </c>
      <c r="C183" t="s">
        <v>1721</v>
      </c>
      <c r="H183" t="s">
        <v>16</v>
      </c>
      <c r="I183" t="s">
        <v>16</v>
      </c>
      <c r="J183" t="s">
        <v>17</v>
      </c>
      <c r="K183">
        <v>0</v>
      </c>
      <c r="L183">
        <v>0</v>
      </c>
      <c r="O183" t="s">
        <v>1708</v>
      </c>
      <c r="P183" t="s">
        <v>1708</v>
      </c>
      <c r="R183" s="24"/>
      <c r="S183" s="24"/>
    </row>
    <row r="184" spans="1:19" x14ac:dyDescent="0.3">
      <c r="A184">
        <v>1178296</v>
      </c>
      <c r="B184" t="s">
        <v>1710</v>
      </c>
      <c r="C184" t="s">
        <v>1713</v>
      </c>
      <c r="D184" t="s">
        <v>1713</v>
      </c>
      <c r="E184" t="s">
        <v>1712</v>
      </c>
      <c r="G184" t="s">
        <v>1720</v>
      </c>
      <c r="H184" t="s">
        <v>22</v>
      </c>
      <c r="I184" t="s">
        <v>22</v>
      </c>
      <c r="J184" t="s">
        <v>17</v>
      </c>
      <c r="K184">
        <v>100</v>
      </c>
      <c r="L184">
        <v>118</v>
      </c>
      <c r="O184" t="s">
        <v>1708</v>
      </c>
      <c r="P184" t="s">
        <v>1708</v>
      </c>
      <c r="R184" s="24"/>
      <c r="S184" s="24"/>
    </row>
    <row r="185" spans="1:19" x14ac:dyDescent="0.3">
      <c r="A185">
        <v>1178296</v>
      </c>
      <c r="B185" t="s">
        <v>1710</v>
      </c>
      <c r="C185" t="s">
        <v>1713</v>
      </c>
      <c r="D185" t="s">
        <v>1713</v>
      </c>
      <c r="E185" t="s">
        <v>1712</v>
      </c>
      <c r="G185" t="s">
        <v>1719</v>
      </c>
      <c r="H185" t="s">
        <v>22</v>
      </c>
      <c r="I185" t="s">
        <v>22</v>
      </c>
      <c r="J185" t="s">
        <v>17</v>
      </c>
      <c r="K185">
        <v>100</v>
      </c>
      <c r="L185">
        <v>118</v>
      </c>
      <c r="O185" t="s">
        <v>1708</v>
      </c>
      <c r="P185" t="s">
        <v>1708</v>
      </c>
      <c r="R185" s="24"/>
      <c r="S185" s="24"/>
    </row>
    <row r="186" spans="1:19" x14ac:dyDescent="0.3">
      <c r="A186">
        <v>1178296</v>
      </c>
      <c r="B186" t="s">
        <v>1710</v>
      </c>
      <c r="C186" t="s">
        <v>1713</v>
      </c>
      <c r="D186" t="s">
        <v>1713</v>
      </c>
      <c r="E186" t="s">
        <v>1712</v>
      </c>
      <c r="G186" t="s">
        <v>1718</v>
      </c>
      <c r="H186" t="s">
        <v>22</v>
      </c>
      <c r="I186" t="s">
        <v>22</v>
      </c>
      <c r="J186" t="s">
        <v>17</v>
      </c>
      <c r="K186">
        <v>100</v>
      </c>
      <c r="L186">
        <v>118</v>
      </c>
      <c r="O186" t="s">
        <v>1708</v>
      </c>
      <c r="P186" t="s">
        <v>1708</v>
      </c>
      <c r="R186" s="24"/>
      <c r="S186" s="24"/>
    </row>
    <row r="187" spans="1:19" x14ac:dyDescent="0.3">
      <c r="A187">
        <v>1178296</v>
      </c>
      <c r="B187" t="s">
        <v>1710</v>
      </c>
      <c r="C187" t="s">
        <v>1713</v>
      </c>
      <c r="D187" t="s">
        <v>1713</v>
      </c>
      <c r="E187" t="s">
        <v>1712</v>
      </c>
      <c r="G187" t="s">
        <v>1717</v>
      </c>
      <c r="H187" t="s">
        <v>22</v>
      </c>
      <c r="I187" t="s">
        <v>22</v>
      </c>
      <c r="J187" t="s">
        <v>17</v>
      </c>
      <c r="K187">
        <v>100</v>
      </c>
      <c r="L187">
        <v>118</v>
      </c>
      <c r="O187" t="s">
        <v>1708</v>
      </c>
      <c r="P187" t="s">
        <v>1708</v>
      </c>
      <c r="R187" s="24"/>
      <c r="S187" s="24"/>
    </row>
    <row r="188" spans="1:19" x14ac:dyDescent="0.3">
      <c r="A188">
        <v>1178296</v>
      </c>
      <c r="B188" t="s">
        <v>1710</v>
      </c>
      <c r="C188" t="s">
        <v>1713</v>
      </c>
      <c r="D188" t="s">
        <v>1713</v>
      </c>
      <c r="E188" t="s">
        <v>1712</v>
      </c>
      <c r="G188" t="s">
        <v>1716</v>
      </c>
      <c r="H188" t="s">
        <v>22</v>
      </c>
      <c r="I188" t="s">
        <v>22</v>
      </c>
      <c r="J188" t="s">
        <v>17</v>
      </c>
      <c r="K188">
        <v>100</v>
      </c>
      <c r="L188">
        <v>118</v>
      </c>
      <c r="O188" t="s">
        <v>1708</v>
      </c>
      <c r="P188" t="s">
        <v>1708</v>
      </c>
      <c r="R188" s="24"/>
      <c r="S188" s="24"/>
    </row>
    <row r="189" spans="1:19" x14ac:dyDescent="0.3">
      <c r="A189">
        <v>1178296</v>
      </c>
      <c r="B189" t="s">
        <v>1710</v>
      </c>
      <c r="C189" t="s">
        <v>1713</v>
      </c>
      <c r="D189" t="s">
        <v>1713</v>
      </c>
      <c r="E189" t="s">
        <v>1712</v>
      </c>
      <c r="G189" t="s">
        <v>1715</v>
      </c>
      <c r="H189" t="s">
        <v>22</v>
      </c>
      <c r="I189" t="s">
        <v>22</v>
      </c>
      <c r="J189" t="s">
        <v>17</v>
      </c>
      <c r="K189">
        <v>100</v>
      </c>
      <c r="L189">
        <v>118</v>
      </c>
      <c r="O189" t="s">
        <v>1708</v>
      </c>
      <c r="P189" t="s">
        <v>1708</v>
      </c>
      <c r="R189" s="24"/>
      <c r="S189" s="24"/>
    </row>
    <row r="190" spans="1:19" x14ac:dyDescent="0.3">
      <c r="A190">
        <v>1178296</v>
      </c>
      <c r="B190" t="s">
        <v>1710</v>
      </c>
      <c r="C190" t="s">
        <v>1713</v>
      </c>
      <c r="D190" t="s">
        <v>1713</v>
      </c>
      <c r="E190" t="s">
        <v>1712</v>
      </c>
      <c r="G190" t="s">
        <v>1714</v>
      </c>
      <c r="H190" t="s">
        <v>22</v>
      </c>
      <c r="I190" t="s">
        <v>22</v>
      </c>
      <c r="J190" t="s">
        <v>17</v>
      </c>
      <c r="K190">
        <v>100</v>
      </c>
      <c r="L190">
        <v>118</v>
      </c>
      <c r="O190" t="s">
        <v>1708</v>
      </c>
      <c r="P190" t="s">
        <v>1708</v>
      </c>
      <c r="R190" s="24"/>
      <c r="S190" s="24"/>
    </row>
    <row r="191" spans="1:19" x14ac:dyDescent="0.3">
      <c r="A191">
        <v>1178296</v>
      </c>
      <c r="B191" t="s">
        <v>1710</v>
      </c>
      <c r="C191" t="s">
        <v>1713</v>
      </c>
      <c r="D191" t="s">
        <v>1713</v>
      </c>
      <c r="E191" t="s">
        <v>1712</v>
      </c>
      <c r="G191" t="s">
        <v>1711</v>
      </c>
      <c r="H191" t="s">
        <v>22</v>
      </c>
      <c r="I191" t="s">
        <v>22</v>
      </c>
      <c r="J191" t="s">
        <v>17</v>
      </c>
      <c r="K191">
        <v>100</v>
      </c>
      <c r="L191">
        <v>118</v>
      </c>
      <c r="O191" t="s">
        <v>1708</v>
      </c>
      <c r="P191" t="s">
        <v>1708</v>
      </c>
      <c r="R191" s="24"/>
      <c r="S191" s="24"/>
    </row>
    <row r="192" spans="1:19" hidden="1" x14ac:dyDescent="0.3">
      <c r="A192">
        <v>1178296</v>
      </c>
      <c r="B192" t="s">
        <v>1710</v>
      </c>
      <c r="C192" t="s">
        <v>1709</v>
      </c>
      <c r="H192" t="s">
        <v>16</v>
      </c>
      <c r="I192" t="s">
        <v>16</v>
      </c>
      <c r="J192" t="s">
        <v>17</v>
      </c>
      <c r="K192">
        <v>0</v>
      </c>
      <c r="L192">
        <v>0</v>
      </c>
      <c r="O192" t="s">
        <v>1708</v>
      </c>
      <c r="P192" t="s">
        <v>1708</v>
      </c>
      <c r="R192" s="24"/>
      <c r="S192" s="24"/>
    </row>
    <row r="193" spans="1:12" x14ac:dyDescent="0.3">
      <c r="A193">
        <v>1178297</v>
      </c>
      <c r="B193" t="s">
        <v>1706</v>
      </c>
      <c r="C193" t="s">
        <v>1095</v>
      </c>
      <c r="D193" t="s">
        <v>1094</v>
      </c>
      <c r="E193" t="s">
        <v>1093</v>
      </c>
      <c r="G193" t="s">
        <v>1103</v>
      </c>
      <c r="H193" t="s">
        <v>46</v>
      </c>
      <c r="I193" t="s">
        <v>46</v>
      </c>
      <c r="J193" t="s">
        <v>17</v>
      </c>
      <c r="K193">
        <v>100</v>
      </c>
      <c r="L193">
        <v>50</v>
      </c>
    </row>
    <row r="194" spans="1:12" x14ac:dyDescent="0.3">
      <c r="A194">
        <v>1178297</v>
      </c>
      <c r="B194" t="s">
        <v>1706</v>
      </c>
      <c r="C194" t="s">
        <v>1095</v>
      </c>
      <c r="D194" t="s">
        <v>1094</v>
      </c>
      <c r="E194" t="s">
        <v>1093</v>
      </c>
      <c r="G194" t="s">
        <v>1102</v>
      </c>
      <c r="H194" t="s">
        <v>46</v>
      </c>
      <c r="I194" t="s">
        <v>46</v>
      </c>
      <c r="J194" t="s">
        <v>17</v>
      </c>
      <c r="K194">
        <v>100</v>
      </c>
      <c r="L194">
        <v>50</v>
      </c>
    </row>
    <row r="195" spans="1:12" x14ac:dyDescent="0.3">
      <c r="A195">
        <v>1178297</v>
      </c>
      <c r="B195" t="s">
        <v>1706</v>
      </c>
      <c r="C195" t="s">
        <v>1095</v>
      </c>
      <c r="D195" t="s">
        <v>1094</v>
      </c>
      <c r="E195" t="s">
        <v>1093</v>
      </c>
      <c r="G195" t="s">
        <v>1101</v>
      </c>
      <c r="H195" t="s">
        <v>46</v>
      </c>
      <c r="I195" t="s">
        <v>46</v>
      </c>
      <c r="J195" t="s">
        <v>17</v>
      </c>
      <c r="K195">
        <v>100</v>
      </c>
      <c r="L195">
        <v>50</v>
      </c>
    </row>
    <row r="196" spans="1:12" x14ac:dyDescent="0.3">
      <c r="A196">
        <v>1178297</v>
      </c>
      <c r="B196" t="s">
        <v>1706</v>
      </c>
      <c r="C196" t="s">
        <v>1095</v>
      </c>
      <c r="D196" t="s">
        <v>1094</v>
      </c>
      <c r="E196" t="s">
        <v>1093</v>
      </c>
      <c r="G196" t="s">
        <v>1100</v>
      </c>
      <c r="H196" t="s">
        <v>46</v>
      </c>
      <c r="I196" t="s">
        <v>46</v>
      </c>
      <c r="J196" t="s">
        <v>17</v>
      </c>
      <c r="K196">
        <v>100</v>
      </c>
      <c r="L196">
        <v>50</v>
      </c>
    </row>
    <row r="197" spans="1:12" x14ac:dyDescent="0.3">
      <c r="A197">
        <v>1178297</v>
      </c>
      <c r="B197" t="s">
        <v>1706</v>
      </c>
      <c r="C197" t="s">
        <v>1095</v>
      </c>
      <c r="D197" t="s">
        <v>1094</v>
      </c>
      <c r="E197" t="s">
        <v>1093</v>
      </c>
      <c r="G197" t="s">
        <v>1099</v>
      </c>
      <c r="H197" t="s">
        <v>46</v>
      </c>
      <c r="I197" t="s">
        <v>46</v>
      </c>
      <c r="J197" t="s">
        <v>17</v>
      </c>
      <c r="K197">
        <v>100</v>
      </c>
      <c r="L197">
        <v>50</v>
      </c>
    </row>
    <row r="198" spans="1:12" x14ac:dyDescent="0.3">
      <c r="A198">
        <v>1178297</v>
      </c>
      <c r="B198" t="s">
        <v>1706</v>
      </c>
      <c r="C198" t="s">
        <v>1095</v>
      </c>
      <c r="D198" t="s">
        <v>1094</v>
      </c>
      <c r="E198" t="s">
        <v>1093</v>
      </c>
      <c r="G198" t="s">
        <v>1098</v>
      </c>
      <c r="H198" t="s">
        <v>46</v>
      </c>
      <c r="I198" t="s">
        <v>46</v>
      </c>
      <c r="J198" t="s">
        <v>17</v>
      </c>
      <c r="K198">
        <v>100</v>
      </c>
      <c r="L198">
        <v>50</v>
      </c>
    </row>
    <row r="199" spans="1:12" x14ac:dyDescent="0.3">
      <c r="A199">
        <v>1178297</v>
      </c>
      <c r="B199" t="s">
        <v>1706</v>
      </c>
      <c r="C199" t="s">
        <v>1095</v>
      </c>
      <c r="D199" t="s">
        <v>1094</v>
      </c>
      <c r="E199" t="s">
        <v>1093</v>
      </c>
      <c r="G199" t="s">
        <v>1097</v>
      </c>
      <c r="H199" t="s">
        <v>46</v>
      </c>
      <c r="I199" t="s">
        <v>46</v>
      </c>
      <c r="J199" t="s">
        <v>17</v>
      </c>
      <c r="K199">
        <v>100</v>
      </c>
      <c r="L199">
        <v>50</v>
      </c>
    </row>
    <row r="200" spans="1:12" x14ac:dyDescent="0.3">
      <c r="A200">
        <v>1178297</v>
      </c>
      <c r="B200" t="s">
        <v>1706</v>
      </c>
      <c r="C200" t="s">
        <v>1095</v>
      </c>
      <c r="D200" t="s">
        <v>1094</v>
      </c>
      <c r="E200" t="s">
        <v>1093</v>
      </c>
      <c r="G200" t="s">
        <v>1096</v>
      </c>
      <c r="H200" t="s">
        <v>46</v>
      </c>
      <c r="I200" t="s">
        <v>46</v>
      </c>
      <c r="J200" t="s">
        <v>17</v>
      </c>
      <c r="K200">
        <v>100</v>
      </c>
      <c r="L200">
        <v>50</v>
      </c>
    </row>
    <row r="201" spans="1:12" x14ac:dyDescent="0.3">
      <c r="A201">
        <v>1178297</v>
      </c>
      <c r="B201" t="s">
        <v>1706</v>
      </c>
      <c r="C201" t="s">
        <v>1095</v>
      </c>
      <c r="D201" t="s">
        <v>1094</v>
      </c>
      <c r="E201" t="s">
        <v>1093</v>
      </c>
      <c r="G201" t="s">
        <v>1092</v>
      </c>
      <c r="H201" t="s">
        <v>46</v>
      </c>
      <c r="I201" t="s">
        <v>46</v>
      </c>
      <c r="J201" t="s">
        <v>17</v>
      </c>
      <c r="K201">
        <v>100</v>
      </c>
      <c r="L201">
        <v>50</v>
      </c>
    </row>
    <row r="202" spans="1:12" hidden="1" x14ac:dyDescent="0.3">
      <c r="A202">
        <v>1178297</v>
      </c>
      <c r="B202" t="s">
        <v>1706</v>
      </c>
      <c r="C202" t="s">
        <v>1707</v>
      </c>
      <c r="H202" t="s">
        <v>16</v>
      </c>
      <c r="I202" t="s">
        <v>16</v>
      </c>
      <c r="J202" t="s">
        <v>17</v>
      </c>
      <c r="K202">
        <v>0</v>
      </c>
      <c r="L202">
        <v>0</v>
      </c>
    </row>
    <row r="203" spans="1:12" hidden="1" x14ac:dyDescent="0.3">
      <c r="A203">
        <v>1178297</v>
      </c>
      <c r="B203" t="s">
        <v>1706</v>
      </c>
      <c r="C203" t="s">
        <v>632</v>
      </c>
      <c r="H203" t="s">
        <v>16</v>
      </c>
      <c r="I203" t="s">
        <v>16</v>
      </c>
      <c r="J203" t="s">
        <v>17</v>
      </c>
      <c r="K203">
        <v>0</v>
      </c>
      <c r="L203">
        <v>0</v>
      </c>
    </row>
    <row r="204" spans="1:12" hidden="1" x14ac:dyDescent="0.3">
      <c r="A204">
        <v>1178297</v>
      </c>
      <c r="B204" t="s">
        <v>1706</v>
      </c>
      <c r="C204" t="s">
        <v>1705</v>
      </c>
      <c r="H204" t="s">
        <v>16</v>
      </c>
      <c r="I204" t="s">
        <v>16</v>
      </c>
      <c r="J204" t="s">
        <v>17</v>
      </c>
      <c r="K204">
        <v>0</v>
      </c>
      <c r="L204">
        <v>0</v>
      </c>
    </row>
    <row r="205" spans="1:12" hidden="1" x14ac:dyDescent="0.3">
      <c r="A205">
        <v>1183655</v>
      </c>
      <c r="B205" t="s">
        <v>1632</v>
      </c>
      <c r="C205" t="s">
        <v>1704</v>
      </c>
      <c r="H205" t="s">
        <v>16</v>
      </c>
      <c r="I205" t="s">
        <v>16</v>
      </c>
      <c r="J205" t="s">
        <v>17</v>
      </c>
      <c r="K205">
        <v>0</v>
      </c>
      <c r="L205">
        <v>0</v>
      </c>
    </row>
    <row r="206" spans="1:12" hidden="1" x14ac:dyDescent="0.3">
      <c r="A206">
        <v>1183655</v>
      </c>
      <c r="B206" t="s">
        <v>1632</v>
      </c>
      <c r="C206" t="s">
        <v>1703</v>
      </c>
      <c r="H206" t="s">
        <v>16</v>
      </c>
      <c r="I206" t="s">
        <v>16</v>
      </c>
      <c r="J206" t="s">
        <v>17</v>
      </c>
      <c r="K206">
        <v>0</v>
      </c>
      <c r="L206">
        <v>0</v>
      </c>
    </row>
    <row r="207" spans="1:12" hidden="1" x14ac:dyDescent="0.3">
      <c r="A207">
        <v>1183655</v>
      </c>
      <c r="B207" t="s">
        <v>1632</v>
      </c>
      <c r="C207" t="s">
        <v>1702</v>
      </c>
      <c r="H207" t="s">
        <v>16</v>
      </c>
      <c r="I207" t="s">
        <v>16</v>
      </c>
      <c r="J207" t="s">
        <v>17</v>
      </c>
      <c r="K207">
        <v>0</v>
      </c>
      <c r="L207">
        <v>0</v>
      </c>
    </row>
    <row r="208" spans="1:12" hidden="1" x14ac:dyDescent="0.3">
      <c r="A208">
        <v>1183655</v>
      </c>
      <c r="B208" t="s">
        <v>1632</v>
      </c>
      <c r="C208" t="s">
        <v>1701</v>
      </c>
      <c r="H208" t="s">
        <v>16</v>
      </c>
      <c r="I208" t="s">
        <v>16</v>
      </c>
      <c r="J208" t="s">
        <v>17</v>
      </c>
      <c r="K208">
        <v>0</v>
      </c>
      <c r="L208">
        <v>0</v>
      </c>
    </row>
    <row r="209" spans="1:14" hidden="1" x14ac:dyDescent="0.3">
      <c r="A209">
        <v>1183655</v>
      </c>
      <c r="B209" t="s">
        <v>1632</v>
      </c>
      <c r="C209" t="s">
        <v>1700</v>
      </c>
      <c r="H209" t="s">
        <v>16</v>
      </c>
      <c r="I209" t="s">
        <v>16</v>
      </c>
      <c r="J209" t="s">
        <v>17</v>
      </c>
      <c r="K209">
        <v>0</v>
      </c>
      <c r="L209">
        <v>0</v>
      </c>
    </row>
    <row r="210" spans="1:14" x14ac:dyDescent="0.3">
      <c r="A210">
        <v>1183655</v>
      </c>
      <c r="B210" t="s">
        <v>1632</v>
      </c>
      <c r="C210" t="s">
        <v>1684</v>
      </c>
      <c r="D210" t="s">
        <v>1683</v>
      </c>
      <c r="E210" t="s">
        <v>1682</v>
      </c>
      <c r="G210" t="s">
        <v>1699</v>
      </c>
      <c r="H210" t="s">
        <v>46</v>
      </c>
      <c r="I210" t="s">
        <v>46</v>
      </c>
      <c r="J210" t="s">
        <v>17</v>
      </c>
      <c r="K210">
        <v>100</v>
      </c>
      <c r="L210">
        <v>50</v>
      </c>
      <c r="M210" t="s">
        <v>1680</v>
      </c>
      <c r="N210" t="s">
        <v>1679</v>
      </c>
    </row>
    <row r="211" spans="1:14" x14ac:dyDescent="0.3">
      <c r="A211">
        <v>1183655</v>
      </c>
      <c r="B211" t="s">
        <v>1632</v>
      </c>
      <c r="C211" t="s">
        <v>1684</v>
      </c>
      <c r="D211" t="s">
        <v>1683</v>
      </c>
      <c r="E211" t="s">
        <v>1682</v>
      </c>
      <c r="G211" t="s">
        <v>1698</v>
      </c>
      <c r="H211" t="s">
        <v>46</v>
      </c>
      <c r="I211" t="s">
        <v>46</v>
      </c>
      <c r="J211" t="s">
        <v>17</v>
      </c>
      <c r="K211">
        <v>100</v>
      </c>
      <c r="L211">
        <v>50</v>
      </c>
      <c r="M211" t="s">
        <v>1680</v>
      </c>
      <c r="N211" t="s">
        <v>1679</v>
      </c>
    </row>
    <row r="212" spans="1:14" x14ac:dyDescent="0.3">
      <c r="A212">
        <v>1183655</v>
      </c>
      <c r="B212" t="s">
        <v>1632</v>
      </c>
      <c r="C212" t="s">
        <v>1684</v>
      </c>
      <c r="D212" t="s">
        <v>1683</v>
      </c>
      <c r="E212" t="s">
        <v>1682</v>
      </c>
      <c r="G212" t="s">
        <v>1697</v>
      </c>
      <c r="H212" t="s">
        <v>46</v>
      </c>
      <c r="I212" t="s">
        <v>46</v>
      </c>
      <c r="J212" t="s">
        <v>17</v>
      </c>
      <c r="K212">
        <v>100</v>
      </c>
      <c r="L212">
        <v>50</v>
      </c>
      <c r="M212" t="s">
        <v>1680</v>
      </c>
      <c r="N212" t="s">
        <v>1679</v>
      </c>
    </row>
    <row r="213" spans="1:14" x14ac:dyDescent="0.3">
      <c r="A213">
        <v>1183655</v>
      </c>
      <c r="B213" t="s">
        <v>1632</v>
      </c>
      <c r="C213" t="s">
        <v>1684</v>
      </c>
      <c r="D213" t="s">
        <v>1683</v>
      </c>
      <c r="E213" t="s">
        <v>1682</v>
      </c>
      <c r="G213" t="s">
        <v>1696</v>
      </c>
      <c r="H213" t="s">
        <v>46</v>
      </c>
      <c r="I213" t="s">
        <v>46</v>
      </c>
      <c r="J213" t="s">
        <v>17</v>
      </c>
      <c r="K213">
        <v>100</v>
      </c>
      <c r="L213">
        <v>50</v>
      </c>
      <c r="M213" t="s">
        <v>1680</v>
      </c>
      <c r="N213" t="s">
        <v>1679</v>
      </c>
    </row>
    <row r="214" spans="1:14" x14ac:dyDescent="0.3">
      <c r="A214">
        <v>1183655</v>
      </c>
      <c r="B214" t="s">
        <v>1632</v>
      </c>
      <c r="C214" t="s">
        <v>1684</v>
      </c>
      <c r="D214" t="s">
        <v>1683</v>
      </c>
      <c r="E214" t="s">
        <v>1682</v>
      </c>
      <c r="G214" t="s">
        <v>1695</v>
      </c>
      <c r="H214" t="s">
        <v>46</v>
      </c>
      <c r="I214" t="s">
        <v>46</v>
      </c>
      <c r="J214" t="s">
        <v>17</v>
      </c>
      <c r="K214">
        <v>100</v>
      </c>
      <c r="L214">
        <v>50</v>
      </c>
      <c r="M214" t="s">
        <v>1680</v>
      </c>
      <c r="N214" t="s">
        <v>1679</v>
      </c>
    </row>
    <row r="215" spans="1:14" x14ac:dyDescent="0.3">
      <c r="A215">
        <v>1183655</v>
      </c>
      <c r="B215" t="s">
        <v>1632</v>
      </c>
      <c r="C215" t="s">
        <v>1684</v>
      </c>
      <c r="D215" t="s">
        <v>1683</v>
      </c>
      <c r="E215" t="s">
        <v>1682</v>
      </c>
      <c r="G215" t="s">
        <v>1694</v>
      </c>
      <c r="H215" t="s">
        <v>46</v>
      </c>
      <c r="I215" t="s">
        <v>46</v>
      </c>
      <c r="J215" t="s">
        <v>17</v>
      </c>
      <c r="K215">
        <v>100</v>
      </c>
      <c r="L215">
        <v>50</v>
      </c>
      <c r="M215" t="s">
        <v>1680</v>
      </c>
      <c r="N215" t="s">
        <v>1679</v>
      </c>
    </row>
    <row r="216" spans="1:14" x14ac:dyDescent="0.3">
      <c r="A216">
        <v>1183655</v>
      </c>
      <c r="B216" t="s">
        <v>1632</v>
      </c>
      <c r="C216" t="s">
        <v>1684</v>
      </c>
      <c r="D216" t="s">
        <v>1683</v>
      </c>
      <c r="E216" t="s">
        <v>1682</v>
      </c>
      <c r="G216" t="s">
        <v>1693</v>
      </c>
      <c r="H216" t="s">
        <v>46</v>
      </c>
      <c r="I216" t="s">
        <v>46</v>
      </c>
      <c r="J216" t="s">
        <v>17</v>
      </c>
      <c r="K216">
        <v>100</v>
      </c>
      <c r="L216">
        <v>50</v>
      </c>
      <c r="M216" t="s">
        <v>1680</v>
      </c>
      <c r="N216" t="s">
        <v>1679</v>
      </c>
    </row>
    <row r="217" spans="1:14" x14ac:dyDescent="0.3">
      <c r="A217">
        <v>1183655</v>
      </c>
      <c r="B217" t="s">
        <v>1632</v>
      </c>
      <c r="C217" t="s">
        <v>1684</v>
      </c>
      <c r="D217" t="s">
        <v>1683</v>
      </c>
      <c r="E217" t="s">
        <v>1682</v>
      </c>
      <c r="G217" t="s">
        <v>1692</v>
      </c>
      <c r="H217" t="s">
        <v>46</v>
      </c>
      <c r="I217" t="s">
        <v>46</v>
      </c>
      <c r="J217" t="s">
        <v>17</v>
      </c>
      <c r="K217">
        <v>100</v>
      </c>
      <c r="L217">
        <v>50</v>
      </c>
      <c r="M217" t="s">
        <v>1680</v>
      </c>
      <c r="N217" t="s">
        <v>1679</v>
      </c>
    </row>
    <row r="218" spans="1:14" x14ac:dyDescent="0.3">
      <c r="A218">
        <v>1183655</v>
      </c>
      <c r="B218" t="s">
        <v>1632</v>
      </c>
      <c r="C218" t="s">
        <v>1684</v>
      </c>
      <c r="D218" t="s">
        <v>1683</v>
      </c>
      <c r="E218" t="s">
        <v>1682</v>
      </c>
      <c r="G218" t="s">
        <v>1691</v>
      </c>
      <c r="H218" t="s">
        <v>46</v>
      </c>
      <c r="I218" t="s">
        <v>46</v>
      </c>
      <c r="J218" t="s">
        <v>17</v>
      </c>
      <c r="K218">
        <v>100</v>
      </c>
      <c r="L218">
        <v>50</v>
      </c>
      <c r="M218" t="s">
        <v>1680</v>
      </c>
      <c r="N218" t="s">
        <v>1679</v>
      </c>
    </row>
    <row r="219" spans="1:14" x14ac:dyDescent="0.3">
      <c r="A219">
        <v>1183655</v>
      </c>
      <c r="B219" t="s">
        <v>1632</v>
      </c>
      <c r="C219" t="s">
        <v>1684</v>
      </c>
      <c r="D219" t="s">
        <v>1683</v>
      </c>
      <c r="E219" t="s">
        <v>1682</v>
      </c>
      <c r="G219" t="s">
        <v>1690</v>
      </c>
      <c r="H219" t="s">
        <v>46</v>
      </c>
      <c r="I219" t="s">
        <v>46</v>
      </c>
      <c r="J219" t="s">
        <v>17</v>
      </c>
      <c r="K219">
        <v>100</v>
      </c>
      <c r="L219">
        <v>50</v>
      </c>
      <c r="M219" t="s">
        <v>1680</v>
      </c>
      <c r="N219" t="s">
        <v>1679</v>
      </c>
    </row>
    <row r="220" spans="1:14" x14ac:dyDescent="0.3">
      <c r="A220">
        <v>1183655</v>
      </c>
      <c r="B220" t="s">
        <v>1632</v>
      </c>
      <c r="C220" t="s">
        <v>1684</v>
      </c>
      <c r="D220" t="s">
        <v>1683</v>
      </c>
      <c r="E220" t="s">
        <v>1682</v>
      </c>
      <c r="G220" t="s">
        <v>1689</v>
      </c>
      <c r="H220" t="s">
        <v>46</v>
      </c>
      <c r="I220" t="s">
        <v>46</v>
      </c>
      <c r="J220" t="s">
        <v>17</v>
      </c>
      <c r="K220">
        <v>100</v>
      </c>
      <c r="L220">
        <v>50</v>
      </c>
      <c r="M220" t="s">
        <v>1680</v>
      </c>
      <c r="N220" t="s">
        <v>1679</v>
      </c>
    </row>
    <row r="221" spans="1:14" x14ac:dyDescent="0.3">
      <c r="A221">
        <v>1183655</v>
      </c>
      <c r="B221" t="s">
        <v>1632</v>
      </c>
      <c r="C221" t="s">
        <v>1684</v>
      </c>
      <c r="D221" t="s">
        <v>1683</v>
      </c>
      <c r="E221" t="s">
        <v>1682</v>
      </c>
      <c r="G221" t="s">
        <v>1688</v>
      </c>
      <c r="H221" t="s">
        <v>46</v>
      </c>
      <c r="I221" t="s">
        <v>46</v>
      </c>
      <c r="J221" t="s">
        <v>17</v>
      </c>
      <c r="K221">
        <v>100</v>
      </c>
      <c r="L221">
        <v>50</v>
      </c>
      <c r="M221" t="s">
        <v>1680</v>
      </c>
      <c r="N221" t="s">
        <v>1679</v>
      </c>
    </row>
    <row r="222" spans="1:14" x14ac:dyDescent="0.3">
      <c r="A222">
        <v>1183655</v>
      </c>
      <c r="B222" t="s">
        <v>1632</v>
      </c>
      <c r="C222" t="s">
        <v>1684</v>
      </c>
      <c r="D222" t="s">
        <v>1683</v>
      </c>
      <c r="E222" t="s">
        <v>1682</v>
      </c>
      <c r="G222" t="s">
        <v>1687</v>
      </c>
      <c r="H222" t="s">
        <v>46</v>
      </c>
      <c r="I222" t="s">
        <v>46</v>
      </c>
      <c r="J222" t="s">
        <v>17</v>
      </c>
      <c r="K222">
        <v>100</v>
      </c>
      <c r="L222">
        <v>50</v>
      </c>
      <c r="M222" t="s">
        <v>1680</v>
      </c>
      <c r="N222" t="s">
        <v>1679</v>
      </c>
    </row>
    <row r="223" spans="1:14" x14ac:dyDescent="0.3">
      <c r="A223">
        <v>1183655</v>
      </c>
      <c r="B223" t="s">
        <v>1632</v>
      </c>
      <c r="C223" t="s">
        <v>1684</v>
      </c>
      <c r="D223" t="s">
        <v>1683</v>
      </c>
      <c r="E223" t="s">
        <v>1682</v>
      </c>
      <c r="G223" t="s">
        <v>1686</v>
      </c>
      <c r="H223" t="s">
        <v>46</v>
      </c>
      <c r="I223" t="s">
        <v>46</v>
      </c>
      <c r="J223" t="s">
        <v>17</v>
      </c>
      <c r="K223">
        <v>100</v>
      </c>
      <c r="L223">
        <v>50</v>
      </c>
      <c r="M223" t="s">
        <v>1680</v>
      </c>
      <c r="N223" t="s">
        <v>1679</v>
      </c>
    </row>
    <row r="224" spans="1:14" x14ac:dyDescent="0.3">
      <c r="A224">
        <v>1183655</v>
      </c>
      <c r="B224" t="s">
        <v>1632</v>
      </c>
      <c r="C224" t="s">
        <v>1684</v>
      </c>
      <c r="D224" t="s">
        <v>1683</v>
      </c>
      <c r="E224" t="s">
        <v>1682</v>
      </c>
      <c r="G224" t="s">
        <v>1685</v>
      </c>
      <c r="H224" t="s">
        <v>46</v>
      </c>
      <c r="I224" t="s">
        <v>46</v>
      </c>
      <c r="J224" t="s">
        <v>17</v>
      </c>
      <c r="K224">
        <v>100</v>
      </c>
      <c r="L224">
        <v>50</v>
      </c>
      <c r="M224" t="s">
        <v>1680</v>
      </c>
      <c r="N224" t="s">
        <v>1679</v>
      </c>
    </row>
    <row r="225" spans="1:14" x14ac:dyDescent="0.3">
      <c r="A225">
        <v>1183655</v>
      </c>
      <c r="B225" t="s">
        <v>1632</v>
      </c>
      <c r="C225" t="s">
        <v>1684</v>
      </c>
      <c r="D225" t="s">
        <v>1683</v>
      </c>
      <c r="E225" t="s">
        <v>1682</v>
      </c>
      <c r="G225" t="s">
        <v>1681</v>
      </c>
      <c r="H225" t="s">
        <v>46</v>
      </c>
      <c r="I225" t="s">
        <v>46</v>
      </c>
      <c r="J225" t="s">
        <v>17</v>
      </c>
      <c r="K225">
        <v>100</v>
      </c>
      <c r="L225">
        <v>50</v>
      </c>
      <c r="M225" t="s">
        <v>1680</v>
      </c>
      <c r="N225" t="s">
        <v>1679</v>
      </c>
    </row>
    <row r="226" spans="1:14" x14ac:dyDescent="0.3">
      <c r="A226">
        <v>1183655</v>
      </c>
      <c r="B226" t="s">
        <v>1632</v>
      </c>
      <c r="C226" t="s">
        <v>1646</v>
      </c>
      <c r="D226" t="s">
        <v>1645</v>
      </c>
      <c r="E226" t="s">
        <v>1644</v>
      </c>
      <c r="F226" t="s">
        <v>1643</v>
      </c>
      <c r="G226" t="s">
        <v>1678</v>
      </c>
      <c r="H226" t="s">
        <v>46</v>
      </c>
      <c r="I226" t="s">
        <v>46</v>
      </c>
      <c r="J226" t="s">
        <v>17</v>
      </c>
      <c r="K226">
        <v>100</v>
      </c>
      <c r="L226">
        <v>80</v>
      </c>
      <c r="M226" t="s">
        <v>1641</v>
      </c>
      <c r="N226" t="s">
        <v>1640</v>
      </c>
    </row>
    <row r="227" spans="1:14" x14ac:dyDescent="0.3">
      <c r="A227">
        <v>1183655</v>
      </c>
      <c r="B227" t="s">
        <v>1632</v>
      </c>
      <c r="C227" t="s">
        <v>1646</v>
      </c>
      <c r="D227" t="s">
        <v>1645</v>
      </c>
      <c r="E227" t="s">
        <v>1644</v>
      </c>
      <c r="F227" t="s">
        <v>1643</v>
      </c>
      <c r="G227" t="s">
        <v>1677</v>
      </c>
      <c r="H227" t="s">
        <v>46</v>
      </c>
      <c r="I227" t="s">
        <v>46</v>
      </c>
      <c r="J227" t="s">
        <v>17</v>
      </c>
      <c r="K227">
        <v>100</v>
      </c>
      <c r="L227">
        <v>80</v>
      </c>
      <c r="M227" t="s">
        <v>1641</v>
      </c>
      <c r="N227" t="s">
        <v>1640</v>
      </c>
    </row>
    <row r="228" spans="1:14" x14ac:dyDescent="0.3">
      <c r="A228">
        <v>1183655</v>
      </c>
      <c r="B228" t="s">
        <v>1632</v>
      </c>
      <c r="C228" t="s">
        <v>1646</v>
      </c>
      <c r="D228" t="s">
        <v>1645</v>
      </c>
      <c r="E228" t="s">
        <v>1644</v>
      </c>
      <c r="F228" t="s">
        <v>1643</v>
      </c>
      <c r="G228" t="s">
        <v>1676</v>
      </c>
      <c r="H228" t="s">
        <v>46</v>
      </c>
      <c r="I228" t="s">
        <v>46</v>
      </c>
      <c r="J228" t="s">
        <v>17</v>
      </c>
      <c r="K228">
        <v>100</v>
      </c>
      <c r="L228">
        <v>80</v>
      </c>
      <c r="M228" t="s">
        <v>1641</v>
      </c>
      <c r="N228" t="s">
        <v>1640</v>
      </c>
    </row>
    <row r="229" spans="1:14" x14ac:dyDescent="0.3">
      <c r="A229">
        <v>1183655</v>
      </c>
      <c r="B229" t="s">
        <v>1632</v>
      </c>
      <c r="C229" t="s">
        <v>1646</v>
      </c>
      <c r="D229" t="s">
        <v>1645</v>
      </c>
      <c r="E229" t="s">
        <v>1644</v>
      </c>
      <c r="F229" t="s">
        <v>1643</v>
      </c>
      <c r="G229" t="s">
        <v>1675</v>
      </c>
      <c r="H229" t="s">
        <v>46</v>
      </c>
      <c r="I229" t="s">
        <v>46</v>
      </c>
      <c r="J229" t="s">
        <v>17</v>
      </c>
      <c r="K229">
        <v>100</v>
      </c>
      <c r="L229">
        <v>80</v>
      </c>
      <c r="M229" t="s">
        <v>1641</v>
      </c>
      <c r="N229" t="s">
        <v>1640</v>
      </c>
    </row>
    <row r="230" spans="1:14" x14ac:dyDescent="0.3">
      <c r="A230">
        <v>1183655</v>
      </c>
      <c r="B230" t="s">
        <v>1632</v>
      </c>
      <c r="C230" t="s">
        <v>1646</v>
      </c>
      <c r="D230" t="s">
        <v>1645</v>
      </c>
      <c r="E230" t="s">
        <v>1644</v>
      </c>
      <c r="F230" t="s">
        <v>1643</v>
      </c>
      <c r="G230" t="s">
        <v>1674</v>
      </c>
      <c r="H230" t="s">
        <v>46</v>
      </c>
      <c r="I230" t="s">
        <v>46</v>
      </c>
      <c r="J230" t="s">
        <v>17</v>
      </c>
      <c r="K230">
        <v>100</v>
      </c>
      <c r="L230">
        <v>80</v>
      </c>
      <c r="M230" t="s">
        <v>1641</v>
      </c>
      <c r="N230" t="s">
        <v>1640</v>
      </c>
    </row>
    <row r="231" spans="1:14" x14ac:dyDescent="0.3">
      <c r="A231">
        <v>1183655</v>
      </c>
      <c r="B231" t="s">
        <v>1632</v>
      </c>
      <c r="C231" t="s">
        <v>1646</v>
      </c>
      <c r="D231" t="s">
        <v>1645</v>
      </c>
      <c r="E231" t="s">
        <v>1644</v>
      </c>
      <c r="F231" t="s">
        <v>1643</v>
      </c>
      <c r="G231" t="s">
        <v>1673</v>
      </c>
      <c r="H231" t="s">
        <v>46</v>
      </c>
      <c r="I231" t="s">
        <v>46</v>
      </c>
      <c r="J231" t="s">
        <v>17</v>
      </c>
      <c r="K231">
        <v>100</v>
      </c>
      <c r="L231">
        <v>80</v>
      </c>
      <c r="M231" t="s">
        <v>1641</v>
      </c>
      <c r="N231" t="s">
        <v>1640</v>
      </c>
    </row>
    <row r="232" spans="1:14" x14ac:dyDescent="0.3">
      <c r="A232">
        <v>1183655</v>
      </c>
      <c r="B232" t="s">
        <v>1632</v>
      </c>
      <c r="C232" t="s">
        <v>1646</v>
      </c>
      <c r="D232" t="s">
        <v>1645</v>
      </c>
      <c r="E232" t="s">
        <v>1644</v>
      </c>
      <c r="F232" t="s">
        <v>1643</v>
      </c>
      <c r="G232" t="s">
        <v>1672</v>
      </c>
      <c r="H232" t="s">
        <v>46</v>
      </c>
      <c r="I232" t="s">
        <v>46</v>
      </c>
      <c r="J232" t="s">
        <v>17</v>
      </c>
      <c r="K232">
        <v>100</v>
      </c>
      <c r="L232">
        <v>80</v>
      </c>
      <c r="M232" t="s">
        <v>1641</v>
      </c>
      <c r="N232" t="s">
        <v>1640</v>
      </c>
    </row>
    <row r="233" spans="1:14" x14ac:dyDescent="0.3">
      <c r="A233">
        <v>1183655</v>
      </c>
      <c r="B233" t="s">
        <v>1632</v>
      </c>
      <c r="C233" t="s">
        <v>1646</v>
      </c>
      <c r="D233" t="s">
        <v>1645</v>
      </c>
      <c r="E233" t="s">
        <v>1644</v>
      </c>
      <c r="F233" t="s">
        <v>1643</v>
      </c>
      <c r="G233" t="s">
        <v>1671</v>
      </c>
      <c r="H233" t="s">
        <v>46</v>
      </c>
      <c r="I233" t="s">
        <v>46</v>
      </c>
      <c r="J233" t="s">
        <v>17</v>
      </c>
      <c r="K233">
        <v>100</v>
      </c>
      <c r="L233">
        <v>80</v>
      </c>
      <c r="M233" t="s">
        <v>1641</v>
      </c>
      <c r="N233" t="s">
        <v>1640</v>
      </c>
    </row>
    <row r="234" spans="1:14" x14ac:dyDescent="0.3">
      <c r="A234">
        <v>1183655</v>
      </c>
      <c r="B234" t="s">
        <v>1632</v>
      </c>
      <c r="C234" t="s">
        <v>1646</v>
      </c>
      <c r="D234" t="s">
        <v>1645</v>
      </c>
      <c r="E234" t="s">
        <v>1644</v>
      </c>
      <c r="F234" t="s">
        <v>1643</v>
      </c>
      <c r="G234" t="s">
        <v>1670</v>
      </c>
      <c r="H234" t="s">
        <v>46</v>
      </c>
      <c r="I234" t="s">
        <v>46</v>
      </c>
      <c r="J234" t="s">
        <v>17</v>
      </c>
      <c r="K234">
        <v>100</v>
      </c>
      <c r="L234">
        <v>80</v>
      </c>
      <c r="M234" t="s">
        <v>1641</v>
      </c>
      <c r="N234" t="s">
        <v>1640</v>
      </c>
    </row>
    <row r="235" spans="1:14" x14ac:dyDescent="0.3">
      <c r="A235">
        <v>1183655</v>
      </c>
      <c r="B235" t="s">
        <v>1632</v>
      </c>
      <c r="C235" t="s">
        <v>1646</v>
      </c>
      <c r="D235" t="s">
        <v>1645</v>
      </c>
      <c r="E235" t="s">
        <v>1644</v>
      </c>
      <c r="F235" t="s">
        <v>1643</v>
      </c>
      <c r="G235" t="s">
        <v>1669</v>
      </c>
      <c r="H235" t="s">
        <v>46</v>
      </c>
      <c r="I235" t="s">
        <v>46</v>
      </c>
      <c r="J235" t="s">
        <v>17</v>
      </c>
      <c r="K235">
        <v>100</v>
      </c>
      <c r="L235">
        <v>80</v>
      </c>
      <c r="M235" t="s">
        <v>1641</v>
      </c>
      <c r="N235" t="s">
        <v>1640</v>
      </c>
    </row>
    <row r="236" spans="1:14" x14ac:dyDescent="0.3">
      <c r="A236">
        <v>1183655</v>
      </c>
      <c r="B236" t="s">
        <v>1632</v>
      </c>
      <c r="C236" t="s">
        <v>1646</v>
      </c>
      <c r="D236" t="s">
        <v>1645</v>
      </c>
      <c r="E236" t="s">
        <v>1644</v>
      </c>
      <c r="F236" t="s">
        <v>1643</v>
      </c>
      <c r="G236" t="s">
        <v>1668</v>
      </c>
      <c r="H236" t="s">
        <v>46</v>
      </c>
      <c r="I236" t="s">
        <v>46</v>
      </c>
      <c r="J236" t="s">
        <v>17</v>
      </c>
      <c r="K236">
        <v>100</v>
      </c>
      <c r="L236">
        <v>80</v>
      </c>
      <c r="M236" t="s">
        <v>1641</v>
      </c>
      <c r="N236" t="s">
        <v>1640</v>
      </c>
    </row>
    <row r="237" spans="1:14" x14ac:dyDescent="0.3">
      <c r="A237">
        <v>1183655</v>
      </c>
      <c r="B237" t="s">
        <v>1632</v>
      </c>
      <c r="C237" t="s">
        <v>1646</v>
      </c>
      <c r="D237" t="s">
        <v>1645</v>
      </c>
      <c r="E237" t="s">
        <v>1644</v>
      </c>
      <c r="F237" t="s">
        <v>1643</v>
      </c>
      <c r="G237" t="s">
        <v>1667</v>
      </c>
      <c r="H237" t="s">
        <v>46</v>
      </c>
      <c r="I237" t="s">
        <v>46</v>
      </c>
      <c r="J237" t="s">
        <v>17</v>
      </c>
      <c r="K237">
        <v>100</v>
      </c>
      <c r="L237">
        <v>80</v>
      </c>
      <c r="M237" t="s">
        <v>1641</v>
      </c>
      <c r="N237" t="s">
        <v>1640</v>
      </c>
    </row>
    <row r="238" spans="1:14" x14ac:dyDescent="0.3">
      <c r="A238">
        <v>1183655</v>
      </c>
      <c r="B238" t="s">
        <v>1632</v>
      </c>
      <c r="C238" t="s">
        <v>1646</v>
      </c>
      <c r="D238" t="s">
        <v>1645</v>
      </c>
      <c r="E238" t="s">
        <v>1644</v>
      </c>
      <c r="F238" t="s">
        <v>1643</v>
      </c>
      <c r="G238" t="s">
        <v>1666</v>
      </c>
      <c r="H238" t="s">
        <v>46</v>
      </c>
      <c r="I238" t="s">
        <v>46</v>
      </c>
      <c r="J238" t="s">
        <v>17</v>
      </c>
      <c r="K238">
        <v>100</v>
      </c>
      <c r="L238">
        <v>80</v>
      </c>
      <c r="M238" t="s">
        <v>1641</v>
      </c>
      <c r="N238" t="s">
        <v>1640</v>
      </c>
    </row>
    <row r="239" spans="1:14" x14ac:dyDescent="0.3">
      <c r="A239">
        <v>1183655</v>
      </c>
      <c r="B239" t="s">
        <v>1632</v>
      </c>
      <c r="C239" t="s">
        <v>1646</v>
      </c>
      <c r="D239" t="s">
        <v>1645</v>
      </c>
      <c r="E239" t="s">
        <v>1644</v>
      </c>
      <c r="F239" t="s">
        <v>1643</v>
      </c>
      <c r="G239" t="s">
        <v>1665</v>
      </c>
      <c r="H239" t="s">
        <v>46</v>
      </c>
      <c r="I239" t="s">
        <v>46</v>
      </c>
      <c r="J239" t="s">
        <v>17</v>
      </c>
      <c r="K239">
        <v>100</v>
      </c>
      <c r="L239">
        <v>80</v>
      </c>
      <c r="M239" t="s">
        <v>1641</v>
      </c>
      <c r="N239" t="s">
        <v>1640</v>
      </c>
    </row>
    <row r="240" spans="1:14" x14ac:dyDescent="0.3">
      <c r="A240">
        <v>1183655</v>
      </c>
      <c r="B240" t="s">
        <v>1632</v>
      </c>
      <c r="C240" t="s">
        <v>1646</v>
      </c>
      <c r="D240" t="s">
        <v>1645</v>
      </c>
      <c r="E240" t="s">
        <v>1644</v>
      </c>
      <c r="F240" t="s">
        <v>1643</v>
      </c>
      <c r="G240" t="s">
        <v>1664</v>
      </c>
      <c r="H240" t="s">
        <v>46</v>
      </c>
      <c r="I240" t="s">
        <v>46</v>
      </c>
      <c r="J240" t="s">
        <v>17</v>
      </c>
      <c r="K240">
        <v>100</v>
      </c>
      <c r="L240">
        <v>80</v>
      </c>
      <c r="M240" t="s">
        <v>1641</v>
      </c>
      <c r="N240" t="s">
        <v>1640</v>
      </c>
    </row>
    <row r="241" spans="1:14" x14ac:dyDescent="0.3">
      <c r="A241">
        <v>1183655</v>
      </c>
      <c r="B241" t="s">
        <v>1632</v>
      </c>
      <c r="C241" t="s">
        <v>1646</v>
      </c>
      <c r="D241" t="s">
        <v>1645</v>
      </c>
      <c r="E241" t="s">
        <v>1644</v>
      </c>
      <c r="F241" t="s">
        <v>1643</v>
      </c>
      <c r="G241" t="s">
        <v>1663</v>
      </c>
      <c r="H241" t="s">
        <v>46</v>
      </c>
      <c r="I241" t="s">
        <v>46</v>
      </c>
      <c r="J241" t="s">
        <v>17</v>
      </c>
      <c r="K241">
        <v>100</v>
      </c>
      <c r="L241">
        <v>80</v>
      </c>
      <c r="M241" t="s">
        <v>1641</v>
      </c>
      <c r="N241" t="s">
        <v>1640</v>
      </c>
    </row>
    <row r="242" spans="1:14" x14ac:dyDescent="0.3">
      <c r="A242">
        <v>1183655</v>
      </c>
      <c r="B242" t="s">
        <v>1632</v>
      </c>
      <c r="C242" t="s">
        <v>1646</v>
      </c>
      <c r="D242" t="s">
        <v>1645</v>
      </c>
      <c r="E242" t="s">
        <v>1644</v>
      </c>
      <c r="F242" t="s">
        <v>1643</v>
      </c>
      <c r="G242" t="s">
        <v>1662</v>
      </c>
      <c r="H242" t="s">
        <v>46</v>
      </c>
      <c r="I242" t="s">
        <v>46</v>
      </c>
      <c r="J242" t="s">
        <v>17</v>
      </c>
      <c r="K242">
        <v>100</v>
      </c>
      <c r="L242">
        <v>80</v>
      </c>
      <c r="M242" t="s">
        <v>1641</v>
      </c>
      <c r="N242" t="s">
        <v>1640</v>
      </c>
    </row>
    <row r="243" spans="1:14" x14ac:dyDescent="0.3">
      <c r="A243">
        <v>1183655</v>
      </c>
      <c r="B243" t="s">
        <v>1632</v>
      </c>
      <c r="C243" t="s">
        <v>1646</v>
      </c>
      <c r="D243" t="s">
        <v>1645</v>
      </c>
      <c r="E243" t="s">
        <v>1644</v>
      </c>
      <c r="F243" t="s">
        <v>1643</v>
      </c>
      <c r="G243" t="s">
        <v>1661</v>
      </c>
      <c r="H243" t="s">
        <v>46</v>
      </c>
      <c r="I243" t="s">
        <v>46</v>
      </c>
      <c r="J243" t="s">
        <v>17</v>
      </c>
      <c r="K243">
        <v>100</v>
      </c>
      <c r="L243">
        <v>80</v>
      </c>
      <c r="M243" t="s">
        <v>1641</v>
      </c>
      <c r="N243" t="s">
        <v>1640</v>
      </c>
    </row>
    <row r="244" spans="1:14" x14ac:dyDescent="0.3">
      <c r="A244">
        <v>1183655</v>
      </c>
      <c r="B244" t="s">
        <v>1632</v>
      </c>
      <c r="C244" t="s">
        <v>1646</v>
      </c>
      <c r="D244" t="s">
        <v>1645</v>
      </c>
      <c r="E244" t="s">
        <v>1644</v>
      </c>
      <c r="F244" t="s">
        <v>1643</v>
      </c>
      <c r="G244" t="s">
        <v>1660</v>
      </c>
      <c r="H244" t="s">
        <v>46</v>
      </c>
      <c r="I244" t="s">
        <v>46</v>
      </c>
      <c r="J244" t="s">
        <v>17</v>
      </c>
      <c r="K244">
        <v>100</v>
      </c>
      <c r="L244">
        <v>80</v>
      </c>
      <c r="M244" t="s">
        <v>1641</v>
      </c>
      <c r="N244" t="s">
        <v>1640</v>
      </c>
    </row>
    <row r="245" spans="1:14" x14ac:dyDescent="0.3">
      <c r="A245">
        <v>1183655</v>
      </c>
      <c r="B245" t="s">
        <v>1632</v>
      </c>
      <c r="C245" t="s">
        <v>1646</v>
      </c>
      <c r="D245" t="s">
        <v>1645</v>
      </c>
      <c r="E245" t="s">
        <v>1644</v>
      </c>
      <c r="F245" t="s">
        <v>1643</v>
      </c>
      <c r="G245" t="s">
        <v>1659</v>
      </c>
      <c r="H245" t="s">
        <v>46</v>
      </c>
      <c r="I245" t="s">
        <v>46</v>
      </c>
      <c r="J245" t="s">
        <v>17</v>
      </c>
      <c r="K245">
        <v>100</v>
      </c>
      <c r="L245">
        <v>80</v>
      </c>
      <c r="M245" t="s">
        <v>1641</v>
      </c>
      <c r="N245" t="s">
        <v>1640</v>
      </c>
    </row>
    <row r="246" spans="1:14" x14ac:dyDescent="0.3">
      <c r="A246">
        <v>1183655</v>
      </c>
      <c r="B246" t="s">
        <v>1632</v>
      </c>
      <c r="C246" t="s">
        <v>1646</v>
      </c>
      <c r="D246" t="s">
        <v>1645</v>
      </c>
      <c r="E246" t="s">
        <v>1644</v>
      </c>
      <c r="F246" t="s">
        <v>1643</v>
      </c>
      <c r="G246" t="s">
        <v>1658</v>
      </c>
      <c r="H246" t="s">
        <v>46</v>
      </c>
      <c r="I246" t="s">
        <v>46</v>
      </c>
      <c r="J246" t="s">
        <v>17</v>
      </c>
      <c r="K246">
        <v>100</v>
      </c>
      <c r="L246">
        <v>80</v>
      </c>
      <c r="M246" t="s">
        <v>1641</v>
      </c>
      <c r="N246" t="s">
        <v>1640</v>
      </c>
    </row>
    <row r="247" spans="1:14" x14ac:dyDescent="0.3">
      <c r="A247">
        <v>1183655</v>
      </c>
      <c r="B247" t="s">
        <v>1632</v>
      </c>
      <c r="C247" t="s">
        <v>1646</v>
      </c>
      <c r="D247" t="s">
        <v>1645</v>
      </c>
      <c r="E247" t="s">
        <v>1644</v>
      </c>
      <c r="F247" t="s">
        <v>1643</v>
      </c>
      <c r="G247" t="s">
        <v>1657</v>
      </c>
      <c r="H247" t="s">
        <v>46</v>
      </c>
      <c r="I247" t="s">
        <v>46</v>
      </c>
      <c r="J247" t="s">
        <v>17</v>
      </c>
      <c r="K247">
        <v>100</v>
      </c>
      <c r="L247">
        <v>80</v>
      </c>
      <c r="M247" t="s">
        <v>1641</v>
      </c>
      <c r="N247" t="s">
        <v>1640</v>
      </c>
    </row>
    <row r="248" spans="1:14" x14ac:dyDescent="0.3">
      <c r="A248">
        <v>1183655</v>
      </c>
      <c r="B248" t="s">
        <v>1632</v>
      </c>
      <c r="C248" t="s">
        <v>1646</v>
      </c>
      <c r="D248" t="s">
        <v>1645</v>
      </c>
      <c r="E248" t="s">
        <v>1644</v>
      </c>
      <c r="F248" t="s">
        <v>1643</v>
      </c>
      <c r="G248" t="s">
        <v>1656</v>
      </c>
      <c r="H248" t="s">
        <v>46</v>
      </c>
      <c r="I248" t="s">
        <v>46</v>
      </c>
      <c r="J248" t="s">
        <v>17</v>
      </c>
      <c r="K248">
        <v>100</v>
      </c>
      <c r="L248">
        <v>80</v>
      </c>
      <c r="M248" t="s">
        <v>1641</v>
      </c>
      <c r="N248" t="s">
        <v>1640</v>
      </c>
    </row>
    <row r="249" spans="1:14" x14ac:dyDescent="0.3">
      <c r="A249">
        <v>1183655</v>
      </c>
      <c r="B249" t="s">
        <v>1632</v>
      </c>
      <c r="C249" t="s">
        <v>1646</v>
      </c>
      <c r="D249" t="s">
        <v>1645</v>
      </c>
      <c r="E249" t="s">
        <v>1644</v>
      </c>
      <c r="F249" t="s">
        <v>1643</v>
      </c>
      <c r="G249" t="s">
        <v>1655</v>
      </c>
      <c r="H249" t="s">
        <v>46</v>
      </c>
      <c r="I249" t="s">
        <v>46</v>
      </c>
      <c r="J249" t="s">
        <v>17</v>
      </c>
      <c r="K249">
        <v>100</v>
      </c>
      <c r="L249">
        <v>80</v>
      </c>
      <c r="M249" t="s">
        <v>1641</v>
      </c>
      <c r="N249" t="s">
        <v>1640</v>
      </c>
    </row>
    <row r="250" spans="1:14" x14ac:dyDescent="0.3">
      <c r="A250">
        <v>1183655</v>
      </c>
      <c r="B250" t="s">
        <v>1632</v>
      </c>
      <c r="C250" t="s">
        <v>1646</v>
      </c>
      <c r="D250" t="s">
        <v>1645</v>
      </c>
      <c r="E250" t="s">
        <v>1644</v>
      </c>
      <c r="F250" t="s">
        <v>1643</v>
      </c>
      <c r="G250" t="s">
        <v>1654</v>
      </c>
      <c r="H250" t="s">
        <v>46</v>
      </c>
      <c r="I250" t="s">
        <v>46</v>
      </c>
      <c r="J250" t="s">
        <v>17</v>
      </c>
      <c r="K250">
        <v>100</v>
      </c>
      <c r="L250">
        <v>80</v>
      </c>
      <c r="M250" t="s">
        <v>1641</v>
      </c>
      <c r="N250" t="s">
        <v>1640</v>
      </c>
    </row>
    <row r="251" spans="1:14" x14ac:dyDescent="0.3">
      <c r="A251">
        <v>1183655</v>
      </c>
      <c r="B251" t="s">
        <v>1632</v>
      </c>
      <c r="C251" t="s">
        <v>1646</v>
      </c>
      <c r="D251" t="s">
        <v>1645</v>
      </c>
      <c r="E251" t="s">
        <v>1644</v>
      </c>
      <c r="F251" t="s">
        <v>1643</v>
      </c>
      <c r="G251" t="s">
        <v>1653</v>
      </c>
      <c r="H251" t="s">
        <v>46</v>
      </c>
      <c r="I251" t="s">
        <v>46</v>
      </c>
      <c r="J251" t="s">
        <v>17</v>
      </c>
      <c r="K251">
        <v>100</v>
      </c>
      <c r="L251">
        <v>80</v>
      </c>
      <c r="M251" t="s">
        <v>1641</v>
      </c>
      <c r="N251" t="s">
        <v>1640</v>
      </c>
    </row>
    <row r="252" spans="1:14" x14ac:dyDescent="0.3">
      <c r="A252">
        <v>1183655</v>
      </c>
      <c r="B252" t="s">
        <v>1632</v>
      </c>
      <c r="C252" t="s">
        <v>1646</v>
      </c>
      <c r="D252" t="s">
        <v>1645</v>
      </c>
      <c r="E252" t="s">
        <v>1644</v>
      </c>
      <c r="F252" t="s">
        <v>1643</v>
      </c>
      <c r="G252" t="s">
        <v>1652</v>
      </c>
      <c r="H252" t="s">
        <v>46</v>
      </c>
      <c r="I252" t="s">
        <v>46</v>
      </c>
      <c r="J252" t="s">
        <v>17</v>
      </c>
      <c r="K252">
        <v>100</v>
      </c>
      <c r="L252">
        <v>80</v>
      </c>
      <c r="M252" t="s">
        <v>1641</v>
      </c>
      <c r="N252" t="s">
        <v>1640</v>
      </c>
    </row>
    <row r="253" spans="1:14" x14ac:dyDescent="0.3">
      <c r="A253">
        <v>1183655</v>
      </c>
      <c r="B253" t="s">
        <v>1632</v>
      </c>
      <c r="C253" t="s">
        <v>1646</v>
      </c>
      <c r="D253" t="s">
        <v>1645</v>
      </c>
      <c r="E253" t="s">
        <v>1644</v>
      </c>
      <c r="F253" t="s">
        <v>1643</v>
      </c>
      <c r="G253" t="s">
        <v>1651</v>
      </c>
      <c r="H253" t="s">
        <v>46</v>
      </c>
      <c r="I253" t="s">
        <v>46</v>
      </c>
      <c r="J253" t="s">
        <v>17</v>
      </c>
      <c r="K253">
        <v>100</v>
      </c>
      <c r="L253">
        <v>80</v>
      </c>
      <c r="M253" t="s">
        <v>1641</v>
      </c>
      <c r="N253" t="s">
        <v>1640</v>
      </c>
    </row>
    <row r="254" spans="1:14" x14ac:dyDescent="0.3">
      <c r="A254">
        <v>1183655</v>
      </c>
      <c r="B254" t="s">
        <v>1632</v>
      </c>
      <c r="C254" t="s">
        <v>1646</v>
      </c>
      <c r="D254" t="s">
        <v>1645</v>
      </c>
      <c r="E254" t="s">
        <v>1644</v>
      </c>
      <c r="F254" t="s">
        <v>1643</v>
      </c>
      <c r="G254" t="s">
        <v>1650</v>
      </c>
      <c r="H254" t="s">
        <v>46</v>
      </c>
      <c r="I254" t="s">
        <v>46</v>
      </c>
      <c r="J254" t="s">
        <v>17</v>
      </c>
      <c r="K254">
        <v>100</v>
      </c>
      <c r="L254">
        <v>80</v>
      </c>
      <c r="M254" t="s">
        <v>1641</v>
      </c>
      <c r="N254" t="s">
        <v>1640</v>
      </c>
    </row>
    <row r="255" spans="1:14" x14ac:dyDescent="0.3">
      <c r="A255">
        <v>1183655</v>
      </c>
      <c r="B255" t="s">
        <v>1632</v>
      </c>
      <c r="C255" t="s">
        <v>1646</v>
      </c>
      <c r="D255" t="s">
        <v>1645</v>
      </c>
      <c r="E255" t="s">
        <v>1644</v>
      </c>
      <c r="F255" t="s">
        <v>1643</v>
      </c>
      <c r="G255" t="s">
        <v>1649</v>
      </c>
      <c r="H255" t="s">
        <v>46</v>
      </c>
      <c r="I255" t="s">
        <v>46</v>
      </c>
      <c r="J255" t="s">
        <v>17</v>
      </c>
      <c r="K255">
        <v>100</v>
      </c>
      <c r="L255">
        <v>80</v>
      </c>
      <c r="M255" t="s">
        <v>1641</v>
      </c>
      <c r="N255" t="s">
        <v>1640</v>
      </c>
    </row>
    <row r="256" spans="1:14" x14ac:dyDescent="0.3">
      <c r="A256">
        <v>1183655</v>
      </c>
      <c r="B256" t="s">
        <v>1632</v>
      </c>
      <c r="C256" t="s">
        <v>1646</v>
      </c>
      <c r="D256" t="s">
        <v>1645</v>
      </c>
      <c r="E256" t="s">
        <v>1644</v>
      </c>
      <c r="F256" t="s">
        <v>1643</v>
      </c>
      <c r="G256" t="s">
        <v>1648</v>
      </c>
      <c r="H256" t="s">
        <v>46</v>
      </c>
      <c r="I256" t="s">
        <v>46</v>
      </c>
      <c r="J256" t="s">
        <v>17</v>
      </c>
      <c r="K256">
        <v>100</v>
      </c>
      <c r="L256">
        <v>80</v>
      </c>
      <c r="M256" t="s">
        <v>1641</v>
      </c>
      <c r="N256" t="s">
        <v>1640</v>
      </c>
    </row>
    <row r="257" spans="1:14" x14ac:dyDescent="0.3">
      <c r="A257">
        <v>1183655</v>
      </c>
      <c r="B257" t="s">
        <v>1632</v>
      </c>
      <c r="C257" t="s">
        <v>1646</v>
      </c>
      <c r="D257" t="s">
        <v>1645</v>
      </c>
      <c r="E257" t="s">
        <v>1644</v>
      </c>
      <c r="F257" t="s">
        <v>1643</v>
      </c>
      <c r="G257" t="s">
        <v>1647</v>
      </c>
      <c r="H257" t="s">
        <v>46</v>
      </c>
      <c r="I257" t="s">
        <v>46</v>
      </c>
      <c r="J257" t="s">
        <v>17</v>
      </c>
      <c r="K257">
        <v>100</v>
      </c>
      <c r="L257">
        <v>80</v>
      </c>
      <c r="M257" t="s">
        <v>1641</v>
      </c>
      <c r="N257" t="s">
        <v>1640</v>
      </c>
    </row>
    <row r="258" spans="1:14" x14ac:dyDescent="0.3">
      <c r="A258">
        <v>1183655</v>
      </c>
      <c r="B258" t="s">
        <v>1632</v>
      </c>
      <c r="C258" t="s">
        <v>1646</v>
      </c>
      <c r="D258" t="s">
        <v>1645</v>
      </c>
      <c r="E258" t="s">
        <v>1644</v>
      </c>
      <c r="F258" t="s">
        <v>1643</v>
      </c>
      <c r="G258" t="s">
        <v>1642</v>
      </c>
      <c r="H258" t="s">
        <v>46</v>
      </c>
      <c r="I258" t="s">
        <v>46</v>
      </c>
      <c r="J258" t="s">
        <v>17</v>
      </c>
      <c r="K258">
        <v>100</v>
      </c>
      <c r="L258">
        <v>80</v>
      </c>
      <c r="M258" t="s">
        <v>1641</v>
      </c>
      <c r="N258" t="s">
        <v>1640</v>
      </c>
    </row>
    <row r="259" spans="1:14" hidden="1" x14ac:dyDescent="0.3">
      <c r="A259">
        <v>1183655</v>
      </c>
      <c r="B259" t="s">
        <v>1632</v>
      </c>
      <c r="C259" t="s">
        <v>1639</v>
      </c>
      <c r="H259" t="s">
        <v>16</v>
      </c>
      <c r="I259" t="s">
        <v>16</v>
      </c>
      <c r="J259" t="s">
        <v>17</v>
      </c>
      <c r="K259">
        <v>0</v>
      </c>
      <c r="L259">
        <v>0</v>
      </c>
    </row>
    <row r="260" spans="1:14" hidden="1" x14ac:dyDescent="0.3">
      <c r="A260">
        <v>1183655</v>
      </c>
      <c r="B260" t="s">
        <v>1632</v>
      </c>
      <c r="C260" t="s">
        <v>1638</v>
      </c>
      <c r="H260" t="s">
        <v>16</v>
      </c>
      <c r="I260" t="s">
        <v>16</v>
      </c>
      <c r="J260" t="s">
        <v>17</v>
      </c>
      <c r="K260">
        <v>0</v>
      </c>
      <c r="L260">
        <v>0</v>
      </c>
    </row>
    <row r="261" spans="1:14" x14ac:dyDescent="0.3">
      <c r="A261">
        <v>1183655</v>
      </c>
      <c r="B261" t="s">
        <v>1632</v>
      </c>
      <c r="C261" t="s">
        <v>1637</v>
      </c>
      <c r="D261" t="s">
        <v>1636</v>
      </c>
      <c r="E261" t="s">
        <v>1635</v>
      </c>
      <c r="H261" t="s">
        <v>46</v>
      </c>
      <c r="I261" t="s">
        <v>46</v>
      </c>
      <c r="J261" t="s">
        <v>17</v>
      </c>
      <c r="K261">
        <v>100</v>
      </c>
      <c r="L261">
        <v>50</v>
      </c>
      <c r="M261" t="s">
        <v>1634</v>
      </c>
      <c r="N261" t="s">
        <v>1633</v>
      </c>
    </row>
    <row r="262" spans="1:14" hidden="1" x14ac:dyDescent="0.3">
      <c r="A262">
        <v>1183655</v>
      </c>
      <c r="B262" t="s">
        <v>1632</v>
      </c>
      <c r="C262" t="s">
        <v>1631</v>
      </c>
      <c r="H262" t="s">
        <v>16</v>
      </c>
      <c r="I262" t="s">
        <v>16</v>
      </c>
      <c r="J262" t="s">
        <v>17</v>
      </c>
      <c r="K262">
        <v>0</v>
      </c>
      <c r="L262">
        <v>0</v>
      </c>
    </row>
    <row r="263" spans="1:14" x14ac:dyDescent="0.3">
      <c r="A263">
        <v>1188399</v>
      </c>
      <c r="B263" t="s">
        <v>1621</v>
      </c>
      <c r="C263" t="s">
        <v>623</v>
      </c>
      <c r="D263" t="s">
        <v>624</v>
      </c>
      <c r="E263" t="s">
        <v>625</v>
      </c>
      <c r="G263" t="s">
        <v>626</v>
      </c>
      <c r="H263" t="s">
        <v>46</v>
      </c>
      <c r="I263" t="s">
        <v>46</v>
      </c>
      <c r="J263" t="s">
        <v>17</v>
      </c>
      <c r="K263">
        <v>100</v>
      </c>
      <c r="L263">
        <v>80</v>
      </c>
      <c r="M263" t="s">
        <v>627</v>
      </c>
      <c r="N263" t="s">
        <v>628</v>
      </c>
    </row>
    <row r="264" spans="1:14" x14ac:dyDescent="0.3">
      <c r="A264">
        <v>1188399</v>
      </c>
      <c r="B264" t="s">
        <v>1621</v>
      </c>
      <c r="C264" t="s">
        <v>623</v>
      </c>
      <c r="D264" t="s">
        <v>624</v>
      </c>
      <c r="E264" t="s">
        <v>625</v>
      </c>
      <c r="G264" t="s">
        <v>629</v>
      </c>
      <c r="H264" t="s">
        <v>46</v>
      </c>
      <c r="I264" t="s">
        <v>46</v>
      </c>
      <c r="J264" t="s">
        <v>17</v>
      </c>
      <c r="K264">
        <v>100</v>
      </c>
      <c r="L264">
        <v>80</v>
      </c>
      <c r="M264" t="s">
        <v>627</v>
      </c>
      <c r="N264" t="s">
        <v>628</v>
      </c>
    </row>
    <row r="265" spans="1:14" x14ac:dyDescent="0.3">
      <c r="A265">
        <v>1188399</v>
      </c>
      <c r="B265" t="s">
        <v>1621</v>
      </c>
      <c r="C265" t="s">
        <v>623</v>
      </c>
      <c r="D265" t="s">
        <v>624</v>
      </c>
      <c r="E265" t="s">
        <v>625</v>
      </c>
      <c r="G265" t="s">
        <v>630</v>
      </c>
      <c r="H265" t="s">
        <v>46</v>
      </c>
      <c r="I265" t="s">
        <v>46</v>
      </c>
      <c r="J265" t="s">
        <v>17</v>
      </c>
      <c r="K265">
        <v>100</v>
      </c>
      <c r="L265">
        <v>80</v>
      </c>
      <c r="M265" t="s">
        <v>627</v>
      </c>
      <c r="N265" t="s">
        <v>628</v>
      </c>
    </row>
    <row r="266" spans="1:14" x14ac:dyDescent="0.3">
      <c r="A266">
        <v>1188399</v>
      </c>
      <c r="B266" t="s">
        <v>1621</v>
      </c>
      <c r="C266" t="s">
        <v>623</v>
      </c>
      <c r="D266" t="s">
        <v>624</v>
      </c>
      <c r="E266" t="s">
        <v>625</v>
      </c>
      <c r="G266" t="s">
        <v>631</v>
      </c>
      <c r="H266" t="s">
        <v>46</v>
      </c>
      <c r="I266" t="s">
        <v>46</v>
      </c>
      <c r="J266" t="s">
        <v>17</v>
      </c>
      <c r="K266">
        <v>100</v>
      </c>
      <c r="L266">
        <v>80</v>
      </c>
      <c r="M266" t="s">
        <v>627</v>
      </c>
      <c r="N266" t="s">
        <v>628</v>
      </c>
    </row>
    <row r="267" spans="1:14" hidden="1" x14ac:dyDescent="0.3">
      <c r="A267">
        <v>1188399</v>
      </c>
      <c r="B267" t="s">
        <v>1621</v>
      </c>
      <c r="C267" t="s">
        <v>1630</v>
      </c>
      <c r="H267" t="s">
        <v>16</v>
      </c>
      <c r="I267" t="s">
        <v>16</v>
      </c>
      <c r="J267" t="s">
        <v>17</v>
      </c>
      <c r="K267">
        <v>0</v>
      </c>
      <c r="L267">
        <v>0</v>
      </c>
    </row>
    <row r="268" spans="1:14" hidden="1" x14ac:dyDescent="0.3">
      <c r="A268">
        <v>1188399</v>
      </c>
      <c r="B268" t="s">
        <v>1621</v>
      </c>
      <c r="C268" t="s">
        <v>1629</v>
      </c>
      <c r="H268" t="s">
        <v>16</v>
      </c>
      <c r="I268" t="s">
        <v>16</v>
      </c>
      <c r="J268" t="s">
        <v>17</v>
      </c>
      <c r="K268">
        <v>0</v>
      </c>
      <c r="L268">
        <v>0</v>
      </c>
    </row>
    <row r="269" spans="1:14" x14ac:dyDescent="0.3">
      <c r="A269">
        <v>1188399</v>
      </c>
      <c r="B269" t="s">
        <v>1621</v>
      </c>
      <c r="C269" t="s">
        <v>1628</v>
      </c>
      <c r="D269" t="s">
        <v>1627</v>
      </c>
      <c r="E269" t="s">
        <v>1626</v>
      </c>
      <c r="G269" t="s">
        <v>101</v>
      </c>
      <c r="H269" t="s">
        <v>22</v>
      </c>
      <c r="I269" t="s">
        <v>22</v>
      </c>
      <c r="J269" t="s">
        <v>17</v>
      </c>
      <c r="K269">
        <v>94.7</v>
      </c>
      <c r="L269">
        <v>111.8</v>
      </c>
    </row>
    <row r="270" spans="1:14" x14ac:dyDescent="0.3">
      <c r="A270">
        <v>1188399</v>
      </c>
      <c r="B270" t="s">
        <v>1621</v>
      </c>
      <c r="C270" t="s">
        <v>1628</v>
      </c>
      <c r="D270" t="s">
        <v>1627</v>
      </c>
      <c r="E270" t="s">
        <v>1626</v>
      </c>
      <c r="G270" t="s">
        <v>102</v>
      </c>
      <c r="H270" t="s">
        <v>22</v>
      </c>
      <c r="I270" t="s">
        <v>22</v>
      </c>
      <c r="J270" t="s">
        <v>17</v>
      </c>
      <c r="K270">
        <v>94.7</v>
      </c>
      <c r="L270">
        <v>111.8</v>
      </c>
    </row>
    <row r="271" spans="1:14" x14ac:dyDescent="0.3">
      <c r="A271">
        <v>1188399</v>
      </c>
      <c r="B271" t="s">
        <v>1621</v>
      </c>
      <c r="C271" t="s">
        <v>1628</v>
      </c>
      <c r="D271" t="s">
        <v>1627</v>
      </c>
      <c r="E271" t="s">
        <v>1626</v>
      </c>
      <c r="G271" t="s">
        <v>103</v>
      </c>
      <c r="H271" t="s">
        <v>22</v>
      </c>
      <c r="I271" t="s">
        <v>22</v>
      </c>
      <c r="J271" t="s">
        <v>17</v>
      </c>
      <c r="K271">
        <v>94.7</v>
      </c>
      <c r="L271">
        <v>111.8</v>
      </c>
    </row>
    <row r="272" spans="1:14" x14ac:dyDescent="0.3">
      <c r="A272">
        <v>1188399</v>
      </c>
      <c r="B272" t="s">
        <v>1621</v>
      </c>
      <c r="C272" t="s">
        <v>1628</v>
      </c>
      <c r="D272" t="s">
        <v>1627</v>
      </c>
      <c r="E272" t="s">
        <v>1626</v>
      </c>
      <c r="G272" t="s">
        <v>104</v>
      </c>
      <c r="H272" t="s">
        <v>22</v>
      </c>
      <c r="I272" t="s">
        <v>22</v>
      </c>
      <c r="J272" t="s">
        <v>17</v>
      </c>
      <c r="K272">
        <v>94.7</v>
      </c>
      <c r="L272">
        <v>111.8</v>
      </c>
    </row>
    <row r="273" spans="1:12" x14ac:dyDescent="0.3">
      <c r="A273">
        <v>1188399</v>
      </c>
      <c r="B273" t="s">
        <v>1621</v>
      </c>
      <c r="C273" t="s">
        <v>1628</v>
      </c>
      <c r="D273" t="s">
        <v>1627</v>
      </c>
      <c r="E273" t="s">
        <v>1626</v>
      </c>
      <c r="G273" t="s">
        <v>105</v>
      </c>
      <c r="H273" t="s">
        <v>22</v>
      </c>
      <c r="I273" t="s">
        <v>22</v>
      </c>
      <c r="J273" t="s">
        <v>17</v>
      </c>
      <c r="K273">
        <v>94.7</v>
      </c>
      <c r="L273">
        <v>111.8</v>
      </c>
    </row>
    <row r="274" spans="1:12" x14ac:dyDescent="0.3">
      <c r="A274">
        <v>1188399</v>
      </c>
      <c r="B274" t="s">
        <v>1621</v>
      </c>
      <c r="C274" t="s">
        <v>1628</v>
      </c>
      <c r="D274" t="s">
        <v>1627</v>
      </c>
      <c r="E274" t="s">
        <v>1626</v>
      </c>
      <c r="G274" t="s">
        <v>106</v>
      </c>
      <c r="H274" t="s">
        <v>22</v>
      </c>
      <c r="I274" t="s">
        <v>22</v>
      </c>
      <c r="J274" t="s">
        <v>17</v>
      </c>
      <c r="K274">
        <v>94.7</v>
      </c>
      <c r="L274">
        <v>111.8</v>
      </c>
    </row>
    <row r="275" spans="1:12" x14ac:dyDescent="0.3">
      <c r="A275">
        <v>1188399</v>
      </c>
      <c r="B275" t="s">
        <v>1621</v>
      </c>
      <c r="C275" t="s">
        <v>1628</v>
      </c>
      <c r="D275" t="s">
        <v>1627</v>
      </c>
      <c r="E275" t="s">
        <v>1626</v>
      </c>
      <c r="G275" t="s">
        <v>107</v>
      </c>
      <c r="H275" t="s">
        <v>22</v>
      </c>
      <c r="I275" t="s">
        <v>22</v>
      </c>
      <c r="J275" t="s">
        <v>17</v>
      </c>
      <c r="K275">
        <v>94.7</v>
      </c>
      <c r="L275">
        <v>111.8</v>
      </c>
    </row>
    <row r="276" spans="1:12" x14ac:dyDescent="0.3">
      <c r="A276">
        <v>1188399</v>
      </c>
      <c r="B276" t="s">
        <v>1621</v>
      </c>
      <c r="C276" t="s">
        <v>1628</v>
      </c>
      <c r="D276" t="s">
        <v>1627</v>
      </c>
      <c r="E276" t="s">
        <v>1626</v>
      </c>
      <c r="G276" t="s">
        <v>108</v>
      </c>
      <c r="H276" t="s">
        <v>22</v>
      </c>
      <c r="I276" t="s">
        <v>22</v>
      </c>
      <c r="J276" t="s">
        <v>17</v>
      </c>
      <c r="K276">
        <v>94.7</v>
      </c>
      <c r="L276">
        <v>111.8</v>
      </c>
    </row>
    <row r="277" spans="1:12" x14ac:dyDescent="0.3">
      <c r="A277">
        <v>1188399</v>
      </c>
      <c r="B277" t="s">
        <v>1621</v>
      </c>
      <c r="C277" t="s">
        <v>1628</v>
      </c>
      <c r="D277" t="s">
        <v>1627</v>
      </c>
      <c r="E277" t="s">
        <v>1626</v>
      </c>
      <c r="G277" t="s">
        <v>109</v>
      </c>
      <c r="H277" t="s">
        <v>22</v>
      </c>
      <c r="I277" t="s">
        <v>22</v>
      </c>
      <c r="J277" t="s">
        <v>17</v>
      </c>
      <c r="K277">
        <v>94.7</v>
      </c>
      <c r="L277">
        <v>111.8</v>
      </c>
    </row>
    <row r="278" spans="1:12" x14ac:dyDescent="0.3">
      <c r="A278">
        <v>1188399</v>
      </c>
      <c r="B278" t="s">
        <v>1621</v>
      </c>
      <c r="C278" t="s">
        <v>1628</v>
      </c>
      <c r="D278" t="s">
        <v>1627</v>
      </c>
      <c r="E278" t="s">
        <v>1626</v>
      </c>
      <c r="G278" t="s">
        <v>110</v>
      </c>
      <c r="H278" t="s">
        <v>22</v>
      </c>
      <c r="I278" t="s">
        <v>22</v>
      </c>
      <c r="J278" t="s">
        <v>17</v>
      </c>
      <c r="K278">
        <v>94.7</v>
      </c>
      <c r="L278">
        <v>111.8</v>
      </c>
    </row>
    <row r="279" spans="1:12" x14ac:dyDescent="0.3">
      <c r="A279">
        <v>1188399</v>
      </c>
      <c r="B279" t="s">
        <v>1621</v>
      </c>
      <c r="C279" t="s">
        <v>1628</v>
      </c>
      <c r="D279" t="s">
        <v>1627</v>
      </c>
      <c r="E279" t="s">
        <v>1626</v>
      </c>
      <c r="G279" t="s">
        <v>111</v>
      </c>
      <c r="H279" t="s">
        <v>22</v>
      </c>
      <c r="I279" t="s">
        <v>22</v>
      </c>
      <c r="J279" t="s">
        <v>17</v>
      </c>
      <c r="K279">
        <v>94.7</v>
      </c>
      <c r="L279">
        <v>111.8</v>
      </c>
    </row>
    <row r="280" spans="1:12" x14ac:dyDescent="0.3">
      <c r="A280">
        <v>1188399</v>
      </c>
      <c r="B280" t="s">
        <v>1621</v>
      </c>
      <c r="C280" t="s">
        <v>1628</v>
      </c>
      <c r="D280" t="s">
        <v>1627</v>
      </c>
      <c r="E280" t="s">
        <v>1626</v>
      </c>
      <c r="G280" t="s">
        <v>112</v>
      </c>
      <c r="H280" t="s">
        <v>22</v>
      </c>
      <c r="I280" t="s">
        <v>22</v>
      </c>
      <c r="J280" t="s">
        <v>17</v>
      </c>
      <c r="K280">
        <v>94.7</v>
      </c>
      <c r="L280">
        <v>111.8</v>
      </c>
    </row>
    <row r="281" spans="1:12" x14ac:dyDescent="0.3">
      <c r="A281">
        <v>1188399</v>
      </c>
      <c r="B281" t="s">
        <v>1621</v>
      </c>
      <c r="C281" t="s">
        <v>1628</v>
      </c>
      <c r="D281" t="s">
        <v>1627</v>
      </c>
      <c r="E281" t="s">
        <v>1626</v>
      </c>
      <c r="G281" t="s">
        <v>113</v>
      </c>
      <c r="H281" t="s">
        <v>22</v>
      </c>
      <c r="I281" t="s">
        <v>22</v>
      </c>
      <c r="J281" t="s">
        <v>17</v>
      </c>
      <c r="K281">
        <v>94.7</v>
      </c>
      <c r="L281">
        <v>111.8</v>
      </c>
    </row>
    <row r="282" spans="1:12" x14ac:dyDescent="0.3">
      <c r="A282">
        <v>1188399</v>
      </c>
      <c r="B282" t="s">
        <v>1621</v>
      </c>
      <c r="C282" t="s">
        <v>1628</v>
      </c>
      <c r="D282" t="s">
        <v>1627</v>
      </c>
      <c r="E282" t="s">
        <v>1626</v>
      </c>
      <c r="G282" t="s">
        <v>114</v>
      </c>
      <c r="H282" t="s">
        <v>22</v>
      </c>
      <c r="I282" t="s">
        <v>22</v>
      </c>
      <c r="J282" t="s">
        <v>17</v>
      </c>
      <c r="K282">
        <v>94.7</v>
      </c>
      <c r="L282">
        <v>111.8</v>
      </c>
    </row>
    <row r="283" spans="1:12" x14ac:dyDescent="0.3">
      <c r="A283">
        <v>1188399</v>
      </c>
      <c r="B283" t="s">
        <v>1621</v>
      </c>
      <c r="C283" t="s">
        <v>1628</v>
      </c>
      <c r="D283" t="s">
        <v>1627</v>
      </c>
      <c r="E283" t="s">
        <v>1626</v>
      </c>
      <c r="G283" t="s">
        <v>115</v>
      </c>
      <c r="H283" t="s">
        <v>22</v>
      </c>
      <c r="I283" t="s">
        <v>22</v>
      </c>
      <c r="J283" t="s">
        <v>17</v>
      </c>
      <c r="K283">
        <v>94.7</v>
      </c>
      <c r="L283">
        <v>111.8</v>
      </c>
    </row>
    <row r="284" spans="1:12" x14ac:dyDescent="0.3">
      <c r="A284">
        <v>1188399</v>
      </c>
      <c r="B284" t="s">
        <v>1621</v>
      </c>
      <c r="C284" t="s">
        <v>1628</v>
      </c>
      <c r="D284" t="s">
        <v>1627</v>
      </c>
      <c r="E284" t="s">
        <v>1626</v>
      </c>
      <c r="G284" t="s">
        <v>116</v>
      </c>
      <c r="H284" t="s">
        <v>22</v>
      </c>
      <c r="I284" t="s">
        <v>22</v>
      </c>
      <c r="J284" t="s">
        <v>17</v>
      </c>
      <c r="K284">
        <v>94.7</v>
      </c>
      <c r="L284">
        <v>111.8</v>
      </c>
    </row>
    <row r="285" spans="1:12" x14ac:dyDescent="0.3">
      <c r="A285">
        <v>1188399</v>
      </c>
      <c r="B285" t="s">
        <v>1621</v>
      </c>
      <c r="C285" t="s">
        <v>1628</v>
      </c>
      <c r="D285" t="s">
        <v>1627</v>
      </c>
      <c r="E285" t="s">
        <v>1626</v>
      </c>
      <c r="G285" t="s">
        <v>117</v>
      </c>
      <c r="H285" t="s">
        <v>22</v>
      </c>
      <c r="I285" t="s">
        <v>22</v>
      </c>
      <c r="J285" t="s">
        <v>17</v>
      </c>
      <c r="K285">
        <v>94.7</v>
      </c>
      <c r="L285">
        <v>111.8</v>
      </c>
    </row>
    <row r="286" spans="1:12" x14ac:dyDescent="0.3">
      <c r="A286">
        <v>1188399</v>
      </c>
      <c r="B286" t="s">
        <v>1621</v>
      </c>
      <c r="C286" t="s">
        <v>1628</v>
      </c>
      <c r="D286" t="s">
        <v>1627</v>
      </c>
      <c r="E286" t="s">
        <v>1626</v>
      </c>
      <c r="G286" t="s">
        <v>118</v>
      </c>
      <c r="H286" t="s">
        <v>22</v>
      </c>
      <c r="I286" t="s">
        <v>22</v>
      </c>
      <c r="J286" t="s">
        <v>17</v>
      </c>
      <c r="K286">
        <v>94.7</v>
      </c>
      <c r="L286">
        <v>111.8</v>
      </c>
    </row>
    <row r="287" spans="1:12" x14ac:dyDescent="0.3">
      <c r="A287">
        <v>1188399</v>
      </c>
      <c r="B287" t="s">
        <v>1621</v>
      </c>
      <c r="C287" t="s">
        <v>1628</v>
      </c>
      <c r="D287" t="s">
        <v>1627</v>
      </c>
      <c r="E287" t="s">
        <v>1626</v>
      </c>
      <c r="G287" t="s">
        <v>119</v>
      </c>
      <c r="H287" t="s">
        <v>22</v>
      </c>
      <c r="I287" t="s">
        <v>22</v>
      </c>
      <c r="J287" t="s">
        <v>17</v>
      </c>
      <c r="K287">
        <v>94.7</v>
      </c>
      <c r="L287">
        <v>111.8</v>
      </c>
    </row>
    <row r="288" spans="1:12" x14ac:dyDescent="0.3">
      <c r="A288">
        <v>1188399</v>
      </c>
      <c r="B288" t="s">
        <v>1621</v>
      </c>
      <c r="C288" t="s">
        <v>1628</v>
      </c>
      <c r="D288" t="s">
        <v>1627</v>
      </c>
      <c r="E288" t="s">
        <v>1626</v>
      </c>
      <c r="G288" t="s">
        <v>120</v>
      </c>
      <c r="H288" t="s">
        <v>22</v>
      </c>
      <c r="I288" t="s">
        <v>22</v>
      </c>
      <c r="J288" t="s">
        <v>17</v>
      </c>
      <c r="K288">
        <v>94.7</v>
      </c>
      <c r="L288">
        <v>111.8</v>
      </c>
    </row>
    <row r="289" spans="1:14" x14ac:dyDescent="0.3">
      <c r="A289">
        <v>1188399</v>
      </c>
      <c r="B289" t="s">
        <v>1621</v>
      </c>
      <c r="C289" t="s">
        <v>1628</v>
      </c>
      <c r="D289" t="s">
        <v>1627</v>
      </c>
      <c r="E289" t="s">
        <v>1626</v>
      </c>
      <c r="G289" t="s">
        <v>121</v>
      </c>
      <c r="H289" t="s">
        <v>22</v>
      </c>
      <c r="I289" t="s">
        <v>22</v>
      </c>
      <c r="J289" t="s">
        <v>17</v>
      </c>
      <c r="K289">
        <v>94.7</v>
      </c>
      <c r="L289">
        <v>111.8</v>
      </c>
    </row>
    <row r="290" spans="1:14" x14ac:dyDescent="0.3">
      <c r="A290">
        <v>1188399</v>
      </c>
      <c r="B290" t="s">
        <v>1621</v>
      </c>
      <c r="C290" t="s">
        <v>1628</v>
      </c>
      <c r="D290" t="s">
        <v>1627</v>
      </c>
      <c r="E290" t="s">
        <v>1626</v>
      </c>
      <c r="G290" t="s">
        <v>122</v>
      </c>
      <c r="H290" t="s">
        <v>22</v>
      </c>
      <c r="I290" t="s">
        <v>22</v>
      </c>
      <c r="J290" t="s">
        <v>17</v>
      </c>
      <c r="K290">
        <v>94.7</v>
      </c>
      <c r="L290">
        <v>111.8</v>
      </c>
    </row>
    <row r="291" spans="1:14" x14ac:dyDescent="0.3">
      <c r="A291">
        <v>1188399</v>
      </c>
      <c r="B291" t="s">
        <v>1621</v>
      </c>
      <c r="C291" t="s">
        <v>1628</v>
      </c>
      <c r="D291" t="s">
        <v>1627</v>
      </c>
      <c r="E291" t="s">
        <v>1626</v>
      </c>
      <c r="G291" t="s">
        <v>123</v>
      </c>
      <c r="H291" t="s">
        <v>22</v>
      </c>
      <c r="I291" t="s">
        <v>22</v>
      </c>
      <c r="J291" t="s">
        <v>17</v>
      </c>
      <c r="K291">
        <v>94.7</v>
      </c>
      <c r="L291">
        <v>111.8</v>
      </c>
    </row>
    <row r="292" spans="1:14" x14ac:dyDescent="0.3">
      <c r="A292">
        <v>1188399</v>
      </c>
      <c r="B292" t="s">
        <v>1621</v>
      </c>
      <c r="C292" t="s">
        <v>1628</v>
      </c>
      <c r="D292" t="s">
        <v>1627</v>
      </c>
      <c r="E292" t="s">
        <v>1626</v>
      </c>
      <c r="G292" t="s">
        <v>124</v>
      </c>
      <c r="H292" t="s">
        <v>22</v>
      </c>
      <c r="I292" t="s">
        <v>22</v>
      </c>
      <c r="J292" t="s">
        <v>17</v>
      </c>
      <c r="K292">
        <v>94.7</v>
      </c>
      <c r="L292">
        <v>111.8</v>
      </c>
    </row>
    <row r="293" spans="1:14" x14ac:dyDescent="0.3">
      <c r="A293">
        <v>1188399</v>
      </c>
      <c r="B293" t="s">
        <v>1621</v>
      </c>
      <c r="C293" t="s">
        <v>1628</v>
      </c>
      <c r="D293" t="s">
        <v>1627</v>
      </c>
      <c r="E293" t="s">
        <v>1626</v>
      </c>
      <c r="G293" t="s">
        <v>125</v>
      </c>
      <c r="H293" t="s">
        <v>22</v>
      </c>
      <c r="I293" t="s">
        <v>22</v>
      </c>
      <c r="J293" t="s">
        <v>17</v>
      </c>
      <c r="K293">
        <v>94.7</v>
      </c>
      <c r="L293">
        <v>111.8</v>
      </c>
    </row>
    <row r="294" spans="1:14" x14ac:dyDescent="0.3">
      <c r="A294">
        <v>1188399</v>
      </c>
      <c r="B294" t="s">
        <v>1621</v>
      </c>
      <c r="C294" t="s">
        <v>1628</v>
      </c>
      <c r="D294" t="s">
        <v>1627</v>
      </c>
      <c r="E294" t="s">
        <v>1626</v>
      </c>
      <c r="G294" t="s">
        <v>126</v>
      </c>
      <c r="H294" t="s">
        <v>22</v>
      </c>
      <c r="I294" t="s">
        <v>22</v>
      </c>
      <c r="J294" t="s">
        <v>17</v>
      </c>
      <c r="K294">
        <v>94.7</v>
      </c>
      <c r="L294">
        <v>111.8</v>
      </c>
    </row>
    <row r="295" spans="1:14" x14ac:dyDescent="0.3">
      <c r="A295">
        <v>1188399</v>
      </c>
      <c r="B295" t="s">
        <v>1621</v>
      </c>
      <c r="C295" t="s">
        <v>1628</v>
      </c>
      <c r="D295" t="s">
        <v>1627</v>
      </c>
      <c r="E295" t="s">
        <v>1626</v>
      </c>
      <c r="G295" t="s">
        <v>127</v>
      </c>
      <c r="H295" t="s">
        <v>22</v>
      </c>
      <c r="I295" t="s">
        <v>22</v>
      </c>
      <c r="J295" t="s">
        <v>17</v>
      </c>
      <c r="K295">
        <v>94.7</v>
      </c>
      <c r="L295">
        <v>111.8</v>
      </c>
    </row>
    <row r="296" spans="1:14" x14ac:dyDescent="0.3">
      <c r="A296">
        <v>1188399</v>
      </c>
      <c r="B296" t="s">
        <v>1621</v>
      </c>
      <c r="C296" t="s">
        <v>1628</v>
      </c>
      <c r="D296" t="s">
        <v>1627</v>
      </c>
      <c r="E296" t="s">
        <v>1626</v>
      </c>
      <c r="G296" t="s">
        <v>128</v>
      </c>
      <c r="H296" t="s">
        <v>22</v>
      </c>
      <c r="I296" t="s">
        <v>22</v>
      </c>
      <c r="J296" t="s">
        <v>17</v>
      </c>
      <c r="K296">
        <v>94.7</v>
      </c>
      <c r="L296">
        <v>111.8</v>
      </c>
    </row>
    <row r="297" spans="1:14" x14ac:dyDescent="0.3">
      <c r="A297">
        <v>1188399</v>
      </c>
      <c r="B297" t="s">
        <v>1621</v>
      </c>
      <c r="C297" t="s">
        <v>1628</v>
      </c>
      <c r="D297" t="s">
        <v>1627</v>
      </c>
      <c r="E297" t="s">
        <v>1626</v>
      </c>
      <c r="G297" t="s">
        <v>129</v>
      </c>
      <c r="H297" t="s">
        <v>22</v>
      </c>
      <c r="I297" t="s">
        <v>22</v>
      </c>
      <c r="J297" t="s">
        <v>17</v>
      </c>
      <c r="K297">
        <v>94.7</v>
      </c>
      <c r="L297">
        <v>111.8</v>
      </c>
    </row>
    <row r="298" spans="1:14" x14ac:dyDescent="0.3">
      <c r="A298">
        <v>1188399</v>
      </c>
      <c r="B298" t="s">
        <v>1621</v>
      </c>
      <c r="C298" t="s">
        <v>1625</v>
      </c>
      <c r="D298" t="s">
        <v>1624</v>
      </c>
      <c r="E298" t="s">
        <v>1623</v>
      </c>
      <c r="G298" t="s">
        <v>1622</v>
      </c>
      <c r="H298" t="s">
        <v>22</v>
      </c>
      <c r="I298" t="s">
        <v>22</v>
      </c>
      <c r="J298" t="s">
        <v>17</v>
      </c>
      <c r="K298">
        <v>93.3</v>
      </c>
      <c r="L298">
        <v>107</v>
      </c>
    </row>
    <row r="299" spans="1:14" x14ac:dyDescent="0.3">
      <c r="A299">
        <v>1188399</v>
      </c>
      <c r="B299" t="s">
        <v>1621</v>
      </c>
      <c r="C299" t="s">
        <v>1625</v>
      </c>
      <c r="D299" t="s">
        <v>1624</v>
      </c>
      <c r="E299" t="s">
        <v>1623</v>
      </c>
      <c r="G299" t="s">
        <v>1622</v>
      </c>
      <c r="H299" t="s">
        <v>22</v>
      </c>
      <c r="I299" t="s">
        <v>22</v>
      </c>
      <c r="J299" t="s">
        <v>17</v>
      </c>
      <c r="K299">
        <v>93.3</v>
      </c>
      <c r="L299">
        <v>107</v>
      </c>
    </row>
    <row r="300" spans="1:14" hidden="1" x14ac:dyDescent="0.3">
      <c r="A300">
        <v>1188399</v>
      </c>
      <c r="B300" t="s">
        <v>1621</v>
      </c>
      <c r="C300" t="s">
        <v>1620</v>
      </c>
      <c r="H300" t="s">
        <v>16</v>
      </c>
      <c r="I300" t="s">
        <v>16</v>
      </c>
      <c r="J300" t="s">
        <v>17</v>
      </c>
      <c r="K300">
        <v>0</v>
      </c>
      <c r="L300">
        <v>0</v>
      </c>
    </row>
    <row r="301" spans="1:14" hidden="1" x14ac:dyDescent="0.3">
      <c r="A301">
        <v>1192565</v>
      </c>
      <c r="B301" t="s">
        <v>1619</v>
      </c>
      <c r="C301" t="s">
        <v>1108</v>
      </c>
      <c r="H301" t="s">
        <v>16</v>
      </c>
      <c r="I301" t="s">
        <v>16</v>
      </c>
      <c r="J301" t="s">
        <v>17</v>
      </c>
      <c r="K301">
        <v>0</v>
      </c>
      <c r="L301">
        <v>0</v>
      </c>
    </row>
    <row r="302" spans="1:14" hidden="1" x14ac:dyDescent="0.3">
      <c r="A302">
        <v>1192565</v>
      </c>
      <c r="B302" t="s">
        <v>1619</v>
      </c>
      <c r="C302" t="s">
        <v>1618</v>
      </c>
      <c r="H302" t="s">
        <v>16</v>
      </c>
      <c r="I302" t="s">
        <v>16</v>
      </c>
      <c r="J302" t="s">
        <v>17</v>
      </c>
      <c r="K302">
        <v>0</v>
      </c>
      <c r="L302">
        <v>0</v>
      </c>
    </row>
    <row r="303" spans="1:14" x14ac:dyDescent="0.3">
      <c r="A303">
        <v>1194190</v>
      </c>
      <c r="B303" t="s">
        <v>1610</v>
      </c>
      <c r="C303" t="s">
        <v>1107</v>
      </c>
      <c r="D303" t="s">
        <v>1106</v>
      </c>
      <c r="E303" t="s">
        <v>1105</v>
      </c>
      <c r="H303" t="s">
        <v>46</v>
      </c>
      <c r="I303" t="s">
        <v>46</v>
      </c>
      <c r="J303" t="s">
        <v>17</v>
      </c>
      <c r="K303">
        <v>100</v>
      </c>
      <c r="L303">
        <v>50</v>
      </c>
      <c r="M303" t="s">
        <v>182</v>
      </c>
      <c r="N303" t="s">
        <v>183</v>
      </c>
    </row>
    <row r="304" spans="1:14" hidden="1" x14ac:dyDescent="0.3">
      <c r="A304">
        <v>1194190</v>
      </c>
      <c r="B304" t="s">
        <v>1610</v>
      </c>
      <c r="C304" t="s">
        <v>1617</v>
      </c>
      <c r="H304" t="s">
        <v>16</v>
      </c>
      <c r="I304" t="s">
        <v>16</v>
      </c>
      <c r="J304" t="s">
        <v>17</v>
      </c>
      <c r="K304">
        <v>0</v>
      </c>
      <c r="L304">
        <v>0</v>
      </c>
    </row>
    <row r="305" spans="1:12" x14ac:dyDescent="0.3">
      <c r="A305">
        <v>1194190</v>
      </c>
      <c r="B305" t="s">
        <v>1610</v>
      </c>
      <c r="C305" t="s">
        <v>1095</v>
      </c>
      <c r="D305" t="s">
        <v>1094</v>
      </c>
      <c r="E305" t="s">
        <v>1093</v>
      </c>
      <c r="G305" t="s">
        <v>1103</v>
      </c>
      <c r="H305" t="s">
        <v>46</v>
      </c>
      <c r="I305" t="s">
        <v>46</v>
      </c>
      <c r="J305" t="s">
        <v>17</v>
      </c>
      <c r="K305">
        <v>100</v>
      </c>
      <c r="L305">
        <v>50</v>
      </c>
    </row>
    <row r="306" spans="1:12" x14ac:dyDescent="0.3">
      <c r="A306">
        <v>1194190</v>
      </c>
      <c r="B306" t="s">
        <v>1610</v>
      </c>
      <c r="C306" t="s">
        <v>1095</v>
      </c>
      <c r="D306" t="s">
        <v>1094</v>
      </c>
      <c r="E306" t="s">
        <v>1093</v>
      </c>
      <c r="G306" t="s">
        <v>1102</v>
      </c>
      <c r="H306" t="s">
        <v>46</v>
      </c>
      <c r="I306" t="s">
        <v>46</v>
      </c>
      <c r="J306" t="s">
        <v>17</v>
      </c>
      <c r="K306">
        <v>100</v>
      </c>
      <c r="L306">
        <v>50</v>
      </c>
    </row>
    <row r="307" spans="1:12" x14ac:dyDescent="0.3">
      <c r="A307">
        <v>1194190</v>
      </c>
      <c r="B307" t="s">
        <v>1610</v>
      </c>
      <c r="C307" t="s">
        <v>1095</v>
      </c>
      <c r="D307" t="s">
        <v>1094</v>
      </c>
      <c r="E307" t="s">
        <v>1093</v>
      </c>
      <c r="G307" t="s">
        <v>1101</v>
      </c>
      <c r="H307" t="s">
        <v>46</v>
      </c>
      <c r="I307" t="s">
        <v>46</v>
      </c>
      <c r="J307" t="s">
        <v>17</v>
      </c>
      <c r="K307">
        <v>100</v>
      </c>
      <c r="L307">
        <v>50</v>
      </c>
    </row>
    <row r="308" spans="1:12" x14ac:dyDescent="0.3">
      <c r="A308">
        <v>1194190</v>
      </c>
      <c r="B308" t="s">
        <v>1610</v>
      </c>
      <c r="C308" t="s">
        <v>1095</v>
      </c>
      <c r="D308" t="s">
        <v>1094</v>
      </c>
      <c r="E308" t="s">
        <v>1093</v>
      </c>
      <c r="G308" t="s">
        <v>1100</v>
      </c>
      <c r="H308" t="s">
        <v>46</v>
      </c>
      <c r="I308" t="s">
        <v>46</v>
      </c>
      <c r="J308" t="s">
        <v>17</v>
      </c>
      <c r="K308">
        <v>100</v>
      </c>
      <c r="L308">
        <v>50</v>
      </c>
    </row>
    <row r="309" spans="1:12" x14ac:dyDescent="0.3">
      <c r="A309">
        <v>1194190</v>
      </c>
      <c r="B309" t="s">
        <v>1610</v>
      </c>
      <c r="C309" t="s">
        <v>1095</v>
      </c>
      <c r="D309" t="s">
        <v>1094</v>
      </c>
      <c r="E309" t="s">
        <v>1093</v>
      </c>
      <c r="G309" t="s">
        <v>1099</v>
      </c>
      <c r="H309" t="s">
        <v>46</v>
      </c>
      <c r="I309" t="s">
        <v>46</v>
      </c>
      <c r="J309" t="s">
        <v>17</v>
      </c>
      <c r="K309">
        <v>100</v>
      </c>
      <c r="L309">
        <v>50</v>
      </c>
    </row>
    <row r="310" spans="1:12" x14ac:dyDescent="0.3">
      <c r="A310">
        <v>1194190</v>
      </c>
      <c r="B310" t="s">
        <v>1610</v>
      </c>
      <c r="C310" t="s">
        <v>1095</v>
      </c>
      <c r="D310" t="s">
        <v>1094</v>
      </c>
      <c r="E310" t="s">
        <v>1093</v>
      </c>
      <c r="G310" t="s">
        <v>1098</v>
      </c>
      <c r="H310" t="s">
        <v>46</v>
      </c>
      <c r="I310" t="s">
        <v>46</v>
      </c>
      <c r="J310" t="s">
        <v>17</v>
      </c>
      <c r="K310">
        <v>100</v>
      </c>
      <c r="L310">
        <v>50</v>
      </c>
    </row>
    <row r="311" spans="1:12" x14ac:dyDescent="0.3">
      <c r="A311">
        <v>1194190</v>
      </c>
      <c r="B311" t="s">
        <v>1610</v>
      </c>
      <c r="C311" t="s">
        <v>1095</v>
      </c>
      <c r="D311" t="s">
        <v>1094</v>
      </c>
      <c r="E311" t="s">
        <v>1093</v>
      </c>
      <c r="G311" t="s">
        <v>1097</v>
      </c>
      <c r="H311" t="s">
        <v>46</v>
      </c>
      <c r="I311" t="s">
        <v>46</v>
      </c>
      <c r="J311" t="s">
        <v>17</v>
      </c>
      <c r="K311">
        <v>100</v>
      </c>
      <c r="L311">
        <v>50</v>
      </c>
    </row>
    <row r="312" spans="1:12" x14ac:dyDescent="0.3">
      <c r="A312">
        <v>1194190</v>
      </c>
      <c r="B312" t="s">
        <v>1610</v>
      </c>
      <c r="C312" t="s">
        <v>1095</v>
      </c>
      <c r="D312" t="s">
        <v>1094</v>
      </c>
      <c r="E312" t="s">
        <v>1093</v>
      </c>
      <c r="G312" t="s">
        <v>1096</v>
      </c>
      <c r="H312" t="s">
        <v>46</v>
      </c>
      <c r="I312" t="s">
        <v>46</v>
      </c>
      <c r="J312" t="s">
        <v>17</v>
      </c>
      <c r="K312">
        <v>100</v>
      </c>
      <c r="L312">
        <v>50</v>
      </c>
    </row>
    <row r="313" spans="1:12" x14ac:dyDescent="0.3">
      <c r="A313">
        <v>1194190</v>
      </c>
      <c r="B313" t="s">
        <v>1610</v>
      </c>
      <c r="C313" t="s">
        <v>1095</v>
      </c>
      <c r="D313" t="s">
        <v>1094</v>
      </c>
      <c r="E313" t="s">
        <v>1093</v>
      </c>
      <c r="G313" t="s">
        <v>1092</v>
      </c>
      <c r="H313" t="s">
        <v>46</v>
      </c>
      <c r="I313" t="s">
        <v>46</v>
      </c>
      <c r="J313" t="s">
        <v>17</v>
      </c>
      <c r="K313">
        <v>100</v>
      </c>
      <c r="L313">
        <v>50</v>
      </c>
    </row>
    <row r="314" spans="1:12" hidden="1" x14ac:dyDescent="0.3">
      <c r="A314">
        <v>1194190</v>
      </c>
      <c r="B314" t="s">
        <v>1610</v>
      </c>
      <c r="C314" t="s">
        <v>1616</v>
      </c>
      <c r="H314" t="s">
        <v>16</v>
      </c>
      <c r="I314" t="s">
        <v>16</v>
      </c>
      <c r="J314" t="s">
        <v>17</v>
      </c>
      <c r="K314">
        <v>0</v>
      </c>
      <c r="L314">
        <v>0</v>
      </c>
    </row>
    <row r="315" spans="1:12" x14ac:dyDescent="0.3">
      <c r="A315">
        <v>1194190</v>
      </c>
      <c r="B315" t="s">
        <v>1610</v>
      </c>
      <c r="C315" t="s">
        <v>1609</v>
      </c>
      <c r="D315" t="s">
        <v>1608</v>
      </c>
      <c r="E315" t="s">
        <v>1607</v>
      </c>
      <c r="G315" t="s">
        <v>1615</v>
      </c>
      <c r="H315" t="s">
        <v>46</v>
      </c>
      <c r="I315" t="s">
        <v>46</v>
      </c>
      <c r="J315" t="s">
        <v>17</v>
      </c>
      <c r="K315">
        <v>100</v>
      </c>
      <c r="L315">
        <v>50</v>
      </c>
    </row>
    <row r="316" spans="1:12" x14ac:dyDescent="0.3">
      <c r="A316">
        <v>1194190</v>
      </c>
      <c r="B316" t="s">
        <v>1610</v>
      </c>
      <c r="C316" t="s">
        <v>1609</v>
      </c>
      <c r="D316" t="s">
        <v>1608</v>
      </c>
      <c r="E316" t="s">
        <v>1607</v>
      </c>
      <c r="G316" t="s">
        <v>1614</v>
      </c>
      <c r="H316" t="s">
        <v>46</v>
      </c>
      <c r="I316" t="s">
        <v>46</v>
      </c>
      <c r="J316" t="s">
        <v>17</v>
      </c>
      <c r="K316">
        <v>100</v>
      </c>
      <c r="L316">
        <v>50</v>
      </c>
    </row>
    <row r="317" spans="1:12" x14ac:dyDescent="0.3">
      <c r="A317">
        <v>1194190</v>
      </c>
      <c r="B317" t="s">
        <v>1610</v>
      </c>
      <c r="C317" t="s">
        <v>1609</v>
      </c>
      <c r="D317" t="s">
        <v>1608</v>
      </c>
      <c r="E317" t="s">
        <v>1607</v>
      </c>
      <c r="G317" t="s">
        <v>1613</v>
      </c>
      <c r="H317" t="s">
        <v>46</v>
      </c>
      <c r="I317" t="s">
        <v>46</v>
      </c>
      <c r="J317" t="s">
        <v>17</v>
      </c>
      <c r="K317">
        <v>100</v>
      </c>
      <c r="L317">
        <v>50</v>
      </c>
    </row>
    <row r="318" spans="1:12" x14ac:dyDescent="0.3">
      <c r="A318">
        <v>1194190</v>
      </c>
      <c r="B318" t="s">
        <v>1610</v>
      </c>
      <c r="C318" t="s">
        <v>1609</v>
      </c>
      <c r="D318" t="s">
        <v>1608</v>
      </c>
      <c r="E318" t="s">
        <v>1607</v>
      </c>
      <c r="G318" t="s">
        <v>1612</v>
      </c>
      <c r="H318" t="s">
        <v>46</v>
      </c>
      <c r="I318" t="s">
        <v>46</v>
      </c>
      <c r="J318" t="s">
        <v>17</v>
      </c>
      <c r="K318">
        <v>100</v>
      </c>
      <c r="L318">
        <v>50</v>
      </c>
    </row>
    <row r="319" spans="1:12" x14ac:dyDescent="0.3">
      <c r="A319">
        <v>1194190</v>
      </c>
      <c r="B319" t="s">
        <v>1610</v>
      </c>
      <c r="C319" t="s">
        <v>1609</v>
      </c>
      <c r="D319" t="s">
        <v>1608</v>
      </c>
      <c r="E319" t="s">
        <v>1607</v>
      </c>
      <c r="G319" t="s">
        <v>1611</v>
      </c>
      <c r="H319" t="s">
        <v>46</v>
      </c>
      <c r="I319" t="s">
        <v>46</v>
      </c>
      <c r="J319" t="s">
        <v>17</v>
      </c>
      <c r="K319">
        <v>100</v>
      </c>
      <c r="L319">
        <v>50</v>
      </c>
    </row>
    <row r="320" spans="1:12" x14ac:dyDescent="0.3">
      <c r="A320">
        <v>1194190</v>
      </c>
      <c r="B320" t="s">
        <v>1610</v>
      </c>
      <c r="C320" t="s">
        <v>1609</v>
      </c>
      <c r="D320" t="s">
        <v>1608</v>
      </c>
      <c r="E320" t="s">
        <v>1607</v>
      </c>
      <c r="G320" t="s">
        <v>1606</v>
      </c>
      <c r="H320" t="s">
        <v>46</v>
      </c>
      <c r="I320" t="s">
        <v>46</v>
      </c>
      <c r="J320" t="s">
        <v>17</v>
      </c>
      <c r="K320">
        <v>100</v>
      </c>
      <c r="L320">
        <v>50</v>
      </c>
    </row>
    <row r="321" spans="1:14" hidden="1" x14ac:dyDescent="0.3">
      <c r="A321">
        <v>1211157</v>
      </c>
      <c r="B321" t="s">
        <v>1234</v>
      </c>
      <c r="C321" t="s">
        <v>1605</v>
      </c>
      <c r="H321" t="s">
        <v>16</v>
      </c>
      <c r="I321" t="s">
        <v>16</v>
      </c>
      <c r="J321" t="s">
        <v>17</v>
      </c>
      <c r="K321">
        <v>0</v>
      </c>
      <c r="L321">
        <v>0</v>
      </c>
    </row>
    <row r="322" spans="1:14" x14ac:dyDescent="0.3">
      <c r="A322">
        <v>1211157</v>
      </c>
      <c r="B322" t="s">
        <v>1234</v>
      </c>
      <c r="C322" t="s">
        <v>1602</v>
      </c>
      <c r="D322" t="s">
        <v>1601</v>
      </c>
      <c r="E322" t="s">
        <v>1600</v>
      </c>
      <c r="G322" t="s">
        <v>1604</v>
      </c>
      <c r="H322" t="s">
        <v>46</v>
      </c>
      <c r="I322" t="s">
        <v>46</v>
      </c>
      <c r="J322" t="s">
        <v>17</v>
      </c>
      <c r="K322">
        <v>100</v>
      </c>
      <c r="L322">
        <v>50</v>
      </c>
    </row>
    <row r="323" spans="1:14" x14ac:dyDescent="0.3">
      <c r="A323">
        <v>1211157</v>
      </c>
      <c r="B323" t="s">
        <v>1234</v>
      </c>
      <c r="C323" t="s">
        <v>1602</v>
      </c>
      <c r="D323" t="s">
        <v>1601</v>
      </c>
      <c r="E323" t="s">
        <v>1600</v>
      </c>
      <c r="G323" t="s">
        <v>1603</v>
      </c>
      <c r="H323" t="s">
        <v>46</v>
      </c>
      <c r="I323" t="s">
        <v>46</v>
      </c>
      <c r="J323" t="s">
        <v>17</v>
      </c>
      <c r="K323">
        <v>100</v>
      </c>
      <c r="L323">
        <v>50</v>
      </c>
    </row>
    <row r="324" spans="1:14" x14ac:dyDescent="0.3">
      <c r="A324">
        <v>1211157</v>
      </c>
      <c r="B324" t="s">
        <v>1234</v>
      </c>
      <c r="C324" t="s">
        <v>1602</v>
      </c>
      <c r="D324" t="s">
        <v>1601</v>
      </c>
      <c r="E324" t="s">
        <v>1600</v>
      </c>
      <c r="G324" t="s">
        <v>1599</v>
      </c>
      <c r="H324" t="s">
        <v>46</v>
      </c>
      <c r="I324" t="s">
        <v>46</v>
      </c>
      <c r="J324" t="s">
        <v>17</v>
      </c>
      <c r="K324">
        <v>100</v>
      </c>
      <c r="L324">
        <v>50</v>
      </c>
    </row>
    <row r="325" spans="1:14" x14ac:dyDescent="0.3">
      <c r="A325">
        <v>1211157</v>
      </c>
      <c r="B325" t="s">
        <v>1234</v>
      </c>
      <c r="C325" t="s">
        <v>1592</v>
      </c>
      <c r="D325" t="s">
        <v>1591</v>
      </c>
      <c r="E325" t="s">
        <v>1590</v>
      </c>
      <c r="F325" t="s">
        <v>1589</v>
      </c>
      <c r="G325" t="s">
        <v>1598</v>
      </c>
      <c r="H325" t="s">
        <v>22</v>
      </c>
      <c r="I325" t="s">
        <v>22</v>
      </c>
      <c r="J325" t="s">
        <v>17</v>
      </c>
      <c r="K325">
        <v>94.1</v>
      </c>
      <c r="L325">
        <v>109.5</v>
      </c>
      <c r="M325" t="s">
        <v>1587</v>
      </c>
      <c r="N325" t="s">
        <v>1586</v>
      </c>
    </row>
    <row r="326" spans="1:14" x14ac:dyDescent="0.3">
      <c r="A326">
        <v>1211157</v>
      </c>
      <c r="B326" t="s">
        <v>1234</v>
      </c>
      <c r="C326" t="s">
        <v>1592</v>
      </c>
      <c r="D326" t="s">
        <v>1591</v>
      </c>
      <c r="E326" t="s">
        <v>1590</v>
      </c>
      <c r="F326" t="s">
        <v>1589</v>
      </c>
      <c r="G326" t="s">
        <v>1597</v>
      </c>
      <c r="H326" t="s">
        <v>22</v>
      </c>
      <c r="I326" t="s">
        <v>22</v>
      </c>
      <c r="J326" t="s">
        <v>17</v>
      </c>
      <c r="K326">
        <v>94.1</v>
      </c>
      <c r="L326">
        <v>109.5</v>
      </c>
      <c r="M326" t="s">
        <v>1587</v>
      </c>
      <c r="N326" t="s">
        <v>1586</v>
      </c>
    </row>
    <row r="327" spans="1:14" x14ac:dyDescent="0.3">
      <c r="A327">
        <v>1211157</v>
      </c>
      <c r="B327" t="s">
        <v>1234</v>
      </c>
      <c r="C327" t="s">
        <v>1592</v>
      </c>
      <c r="D327" t="s">
        <v>1591</v>
      </c>
      <c r="E327" t="s">
        <v>1590</v>
      </c>
      <c r="F327" t="s">
        <v>1589</v>
      </c>
      <c r="G327" t="s">
        <v>1596</v>
      </c>
      <c r="H327" t="s">
        <v>22</v>
      </c>
      <c r="I327" t="s">
        <v>22</v>
      </c>
      <c r="J327" t="s">
        <v>17</v>
      </c>
      <c r="K327">
        <v>94.1</v>
      </c>
      <c r="L327">
        <v>109.5</v>
      </c>
      <c r="M327" t="s">
        <v>1587</v>
      </c>
      <c r="N327" t="s">
        <v>1586</v>
      </c>
    </row>
    <row r="328" spans="1:14" x14ac:dyDescent="0.3">
      <c r="A328">
        <v>1211157</v>
      </c>
      <c r="B328" t="s">
        <v>1234</v>
      </c>
      <c r="C328" t="s">
        <v>1592</v>
      </c>
      <c r="D328" t="s">
        <v>1591</v>
      </c>
      <c r="E328" t="s">
        <v>1590</v>
      </c>
      <c r="F328" t="s">
        <v>1589</v>
      </c>
      <c r="G328" t="s">
        <v>1595</v>
      </c>
      <c r="H328" t="s">
        <v>22</v>
      </c>
      <c r="I328" t="s">
        <v>22</v>
      </c>
      <c r="J328" t="s">
        <v>17</v>
      </c>
      <c r="K328">
        <v>94.1</v>
      </c>
      <c r="L328">
        <v>109.5</v>
      </c>
      <c r="M328" t="s">
        <v>1587</v>
      </c>
      <c r="N328" t="s">
        <v>1586</v>
      </c>
    </row>
    <row r="329" spans="1:14" x14ac:dyDescent="0.3">
      <c r="A329">
        <v>1211157</v>
      </c>
      <c r="B329" t="s">
        <v>1234</v>
      </c>
      <c r="C329" t="s">
        <v>1592</v>
      </c>
      <c r="D329" t="s">
        <v>1591</v>
      </c>
      <c r="E329" t="s">
        <v>1590</v>
      </c>
      <c r="F329" t="s">
        <v>1589</v>
      </c>
      <c r="G329" t="s">
        <v>1594</v>
      </c>
      <c r="H329" t="s">
        <v>22</v>
      </c>
      <c r="I329" t="s">
        <v>22</v>
      </c>
      <c r="J329" t="s">
        <v>17</v>
      </c>
      <c r="K329">
        <v>94.1</v>
      </c>
      <c r="L329">
        <v>109.5</v>
      </c>
      <c r="M329" t="s">
        <v>1587</v>
      </c>
      <c r="N329" t="s">
        <v>1586</v>
      </c>
    </row>
    <row r="330" spans="1:14" x14ac:dyDescent="0.3">
      <c r="A330">
        <v>1211157</v>
      </c>
      <c r="B330" t="s">
        <v>1234</v>
      </c>
      <c r="C330" t="s">
        <v>1592</v>
      </c>
      <c r="D330" t="s">
        <v>1591</v>
      </c>
      <c r="E330" t="s">
        <v>1590</v>
      </c>
      <c r="F330" t="s">
        <v>1589</v>
      </c>
      <c r="G330" t="s">
        <v>1593</v>
      </c>
      <c r="H330" t="s">
        <v>22</v>
      </c>
      <c r="I330" t="s">
        <v>22</v>
      </c>
      <c r="J330" t="s">
        <v>17</v>
      </c>
      <c r="K330">
        <v>94.1</v>
      </c>
      <c r="L330">
        <v>109.5</v>
      </c>
      <c r="M330" t="s">
        <v>1587</v>
      </c>
      <c r="N330" t="s">
        <v>1586</v>
      </c>
    </row>
    <row r="331" spans="1:14" x14ac:dyDescent="0.3">
      <c r="A331">
        <v>1211157</v>
      </c>
      <c r="B331" t="s">
        <v>1234</v>
      </c>
      <c r="C331" t="s">
        <v>1592</v>
      </c>
      <c r="D331" t="s">
        <v>1591</v>
      </c>
      <c r="E331" t="s">
        <v>1590</v>
      </c>
      <c r="F331" t="s">
        <v>1589</v>
      </c>
      <c r="G331" t="s">
        <v>1588</v>
      </c>
      <c r="H331" t="s">
        <v>22</v>
      </c>
      <c r="I331" t="s">
        <v>22</v>
      </c>
      <c r="J331" t="s">
        <v>17</v>
      </c>
      <c r="K331">
        <v>94.1</v>
      </c>
      <c r="L331">
        <v>109.5</v>
      </c>
      <c r="M331" t="s">
        <v>1587</v>
      </c>
      <c r="N331" t="s">
        <v>1586</v>
      </c>
    </row>
    <row r="332" spans="1:14" x14ac:dyDescent="0.3">
      <c r="A332">
        <v>1211157</v>
      </c>
      <c r="B332" t="s">
        <v>1234</v>
      </c>
      <c r="C332" t="s">
        <v>1553</v>
      </c>
      <c r="D332" t="s">
        <v>1552</v>
      </c>
      <c r="E332" t="s">
        <v>1551</v>
      </c>
      <c r="G332" t="s">
        <v>1585</v>
      </c>
      <c r="H332" t="s">
        <v>22</v>
      </c>
      <c r="I332" t="s">
        <v>22</v>
      </c>
      <c r="J332" t="s">
        <v>17</v>
      </c>
      <c r="K332">
        <v>95</v>
      </c>
      <c r="L332">
        <v>109</v>
      </c>
      <c r="M332" t="s">
        <v>1549</v>
      </c>
      <c r="N332" t="s">
        <v>1548</v>
      </c>
    </row>
    <row r="333" spans="1:14" x14ac:dyDescent="0.3">
      <c r="A333">
        <v>1211157</v>
      </c>
      <c r="B333" t="s">
        <v>1234</v>
      </c>
      <c r="C333" t="s">
        <v>1553</v>
      </c>
      <c r="D333" t="s">
        <v>1552</v>
      </c>
      <c r="E333" t="s">
        <v>1551</v>
      </c>
      <c r="G333" t="s">
        <v>1584</v>
      </c>
      <c r="H333" t="s">
        <v>22</v>
      </c>
      <c r="I333" t="s">
        <v>22</v>
      </c>
      <c r="J333" t="s">
        <v>17</v>
      </c>
      <c r="K333">
        <v>95</v>
      </c>
      <c r="L333">
        <v>109</v>
      </c>
      <c r="M333" t="s">
        <v>1549</v>
      </c>
      <c r="N333" t="s">
        <v>1548</v>
      </c>
    </row>
    <row r="334" spans="1:14" x14ac:dyDescent="0.3">
      <c r="A334">
        <v>1211157</v>
      </c>
      <c r="B334" t="s">
        <v>1234</v>
      </c>
      <c r="C334" t="s">
        <v>1553</v>
      </c>
      <c r="D334" t="s">
        <v>1552</v>
      </c>
      <c r="E334" t="s">
        <v>1551</v>
      </c>
      <c r="G334" t="s">
        <v>1583</v>
      </c>
      <c r="H334" t="s">
        <v>22</v>
      </c>
      <c r="I334" t="s">
        <v>22</v>
      </c>
      <c r="J334" t="s">
        <v>17</v>
      </c>
      <c r="K334">
        <v>95</v>
      </c>
      <c r="L334">
        <v>109</v>
      </c>
      <c r="M334" t="s">
        <v>1549</v>
      </c>
      <c r="N334" t="s">
        <v>1548</v>
      </c>
    </row>
    <row r="335" spans="1:14" x14ac:dyDescent="0.3">
      <c r="A335">
        <v>1211157</v>
      </c>
      <c r="B335" t="s">
        <v>1234</v>
      </c>
      <c r="C335" t="s">
        <v>1553</v>
      </c>
      <c r="D335" t="s">
        <v>1552</v>
      </c>
      <c r="E335" t="s">
        <v>1551</v>
      </c>
      <c r="G335" t="s">
        <v>1582</v>
      </c>
      <c r="H335" t="s">
        <v>22</v>
      </c>
      <c r="I335" t="s">
        <v>22</v>
      </c>
      <c r="J335" t="s">
        <v>17</v>
      </c>
      <c r="K335">
        <v>95</v>
      </c>
      <c r="L335">
        <v>109</v>
      </c>
      <c r="M335" t="s">
        <v>1549</v>
      </c>
      <c r="N335" t="s">
        <v>1548</v>
      </c>
    </row>
    <row r="336" spans="1:14" x14ac:dyDescent="0.3">
      <c r="A336">
        <v>1211157</v>
      </c>
      <c r="B336" t="s">
        <v>1234</v>
      </c>
      <c r="C336" t="s">
        <v>1553</v>
      </c>
      <c r="D336" t="s">
        <v>1552</v>
      </c>
      <c r="E336" t="s">
        <v>1551</v>
      </c>
      <c r="G336" t="s">
        <v>1581</v>
      </c>
      <c r="H336" t="s">
        <v>22</v>
      </c>
      <c r="I336" t="s">
        <v>22</v>
      </c>
      <c r="J336" t="s">
        <v>17</v>
      </c>
      <c r="K336">
        <v>95</v>
      </c>
      <c r="L336">
        <v>109</v>
      </c>
      <c r="M336" t="s">
        <v>1549</v>
      </c>
      <c r="N336" t="s">
        <v>1548</v>
      </c>
    </row>
    <row r="337" spans="1:14" x14ac:dyDescent="0.3">
      <c r="A337">
        <v>1211157</v>
      </c>
      <c r="B337" t="s">
        <v>1234</v>
      </c>
      <c r="C337" t="s">
        <v>1553</v>
      </c>
      <c r="D337" t="s">
        <v>1552</v>
      </c>
      <c r="E337" t="s">
        <v>1551</v>
      </c>
      <c r="G337" t="s">
        <v>1580</v>
      </c>
      <c r="H337" t="s">
        <v>22</v>
      </c>
      <c r="I337" t="s">
        <v>22</v>
      </c>
      <c r="J337" t="s">
        <v>17</v>
      </c>
      <c r="K337">
        <v>95</v>
      </c>
      <c r="L337">
        <v>109</v>
      </c>
      <c r="M337" t="s">
        <v>1549</v>
      </c>
      <c r="N337" t="s">
        <v>1548</v>
      </c>
    </row>
    <row r="338" spans="1:14" x14ac:dyDescent="0.3">
      <c r="A338">
        <v>1211157</v>
      </c>
      <c r="B338" t="s">
        <v>1234</v>
      </c>
      <c r="C338" t="s">
        <v>1553</v>
      </c>
      <c r="D338" t="s">
        <v>1552</v>
      </c>
      <c r="E338" t="s">
        <v>1551</v>
      </c>
      <c r="G338" t="s">
        <v>1579</v>
      </c>
      <c r="H338" t="s">
        <v>22</v>
      </c>
      <c r="I338" t="s">
        <v>22</v>
      </c>
      <c r="J338" t="s">
        <v>17</v>
      </c>
      <c r="K338">
        <v>95</v>
      </c>
      <c r="L338">
        <v>109</v>
      </c>
      <c r="M338" t="s">
        <v>1549</v>
      </c>
      <c r="N338" t="s">
        <v>1548</v>
      </c>
    </row>
    <row r="339" spans="1:14" x14ac:dyDescent="0.3">
      <c r="A339">
        <v>1211157</v>
      </c>
      <c r="B339" t="s">
        <v>1234</v>
      </c>
      <c r="C339" t="s">
        <v>1553</v>
      </c>
      <c r="D339" t="s">
        <v>1552</v>
      </c>
      <c r="E339" t="s">
        <v>1551</v>
      </c>
      <c r="G339" t="s">
        <v>1578</v>
      </c>
      <c r="H339" t="s">
        <v>22</v>
      </c>
      <c r="I339" t="s">
        <v>22</v>
      </c>
      <c r="J339" t="s">
        <v>17</v>
      </c>
      <c r="K339">
        <v>95</v>
      </c>
      <c r="L339">
        <v>109</v>
      </c>
      <c r="M339" t="s">
        <v>1549</v>
      </c>
      <c r="N339" t="s">
        <v>1548</v>
      </c>
    </row>
    <row r="340" spans="1:14" x14ac:dyDescent="0.3">
      <c r="A340">
        <v>1211157</v>
      </c>
      <c r="B340" t="s">
        <v>1234</v>
      </c>
      <c r="C340" t="s">
        <v>1553</v>
      </c>
      <c r="D340" t="s">
        <v>1552</v>
      </c>
      <c r="E340" t="s">
        <v>1551</v>
      </c>
      <c r="G340" t="s">
        <v>1577</v>
      </c>
      <c r="H340" t="s">
        <v>22</v>
      </c>
      <c r="I340" t="s">
        <v>22</v>
      </c>
      <c r="J340" t="s">
        <v>17</v>
      </c>
      <c r="K340">
        <v>95</v>
      </c>
      <c r="L340">
        <v>109</v>
      </c>
      <c r="M340" t="s">
        <v>1549</v>
      </c>
      <c r="N340" t="s">
        <v>1548</v>
      </c>
    </row>
    <row r="341" spans="1:14" x14ac:dyDescent="0.3">
      <c r="A341">
        <v>1211157</v>
      </c>
      <c r="B341" t="s">
        <v>1234</v>
      </c>
      <c r="C341" t="s">
        <v>1553</v>
      </c>
      <c r="D341" t="s">
        <v>1552</v>
      </c>
      <c r="E341" t="s">
        <v>1551</v>
      </c>
      <c r="G341" t="s">
        <v>1576</v>
      </c>
      <c r="H341" t="s">
        <v>22</v>
      </c>
      <c r="I341" t="s">
        <v>22</v>
      </c>
      <c r="J341" t="s">
        <v>17</v>
      </c>
      <c r="K341">
        <v>95</v>
      </c>
      <c r="L341">
        <v>109</v>
      </c>
      <c r="M341" t="s">
        <v>1549</v>
      </c>
      <c r="N341" t="s">
        <v>1548</v>
      </c>
    </row>
    <row r="342" spans="1:14" x14ac:dyDescent="0.3">
      <c r="A342">
        <v>1211157</v>
      </c>
      <c r="B342" t="s">
        <v>1234</v>
      </c>
      <c r="C342" t="s">
        <v>1553</v>
      </c>
      <c r="D342" t="s">
        <v>1552</v>
      </c>
      <c r="E342" t="s">
        <v>1551</v>
      </c>
      <c r="G342" t="s">
        <v>1575</v>
      </c>
      <c r="H342" t="s">
        <v>22</v>
      </c>
      <c r="I342" t="s">
        <v>22</v>
      </c>
      <c r="J342" t="s">
        <v>17</v>
      </c>
      <c r="K342">
        <v>95</v>
      </c>
      <c r="L342">
        <v>109</v>
      </c>
      <c r="M342" t="s">
        <v>1549</v>
      </c>
      <c r="N342" t="s">
        <v>1548</v>
      </c>
    </row>
    <row r="343" spans="1:14" x14ac:dyDescent="0.3">
      <c r="A343">
        <v>1211157</v>
      </c>
      <c r="B343" t="s">
        <v>1234</v>
      </c>
      <c r="C343" t="s">
        <v>1553</v>
      </c>
      <c r="D343" t="s">
        <v>1552</v>
      </c>
      <c r="E343" t="s">
        <v>1551</v>
      </c>
      <c r="G343" t="s">
        <v>1574</v>
      </c>
      <c r="H343" t="s">
        <v>22</v>
      </c>
      <c r="I343" t="s">
        <v>22</v>
      </c>
      <c r="J343" t="s">
        <v>17</v>
      </c>
      <c r="K343">
        <v>95</v>
      </c>
      <c r="L343">
        <v>109</v>
      </c>
      <c r="M343" t="s">
        <v>1549</v>
      </c>
      <c r="N343" t="s">
        <v>1548</v>
      </c>
    </row>
    <row r="344" spans="1:14" x14ac:dyDescent="0.3">
      <c r="A344">
        <v>1211157</v>
      </c>
      <c r="B344" t="s">
        <v>1234</v>
      </c>
      <c r="C344" t="s">
        <v>1553</v>
      </c>
      <c r="D344" t="s">
        <v>1552</v>
      </c>
      <c r="E344" t="s">
        <v>1551</v>
      </c>
      <c r="G344" t="s">
        <v>1573</v>
      </c>
      <c r="H344" t="s">
        <v>22</v>
      </c>
      <c r="I344" t="s">
        <v>22</v>
      </c>
      <c r="J344" t="s">
        <v>17</v>
      </c>
      <c r="K344">
        <v>95</v>
      </c>
      <c r="L344">
        <v>109</v>
      </c>
      <c r="M344" t="s">
        <v>1549</v>
      </c>
      <c r="N344" t="s">
        <v>1548</v>
      </c>
    </row>
    <row r="345" spans="1:14" x14ac:dyDescent="0.3">
      <c r="A345">
        <v>1211157</v>
      </c>
      <c r="B345" t="s">
        <v>1234</v>
      </c>
      <c r="C345" t="s">
        <v>1553</v>
      </c>
      <c r="D345" t="s">
        <v>1552</v>
      </c>
      <c r="E345" t="s">
        <v>1551</v>
      </c>
      <c r="G345" t="s">
        <v>1572</v>
      </c>
      <c r="H345" t="s">
        <v>22</v>
      </c>
      <c r="I345" t="s">
        <v>22</v>
      </c>
      <c r="J345" t="s">
        <v>17</v>
      </c>
      <c r="K345">
        <v>95</v>
      </c>
      <c r="L345">
        <v>109</v>
      </c>
      <c r="M345" t="s">
        <v>1549</v>
      </c>
      <c r="N345" t="s">
        <v>1548</v>
      </c>
    </row>
    <row r="346" spans="1:14" x14ac:dyDescent="0.3">
      <c r="A346">
        <v>1211157</v>
      </c>
      <c r="B346" t="s">
        <v>1234</v>
      </c>
      <c r="C346" t="s">
        <v>1553</v>
      </c>
      <c r="D346" t="s">
        <v>1552</v>
      </c>
      <c r="E346" t="s">
        <v>1551</v>
      </c>
      <c r="G346" t="s">
        <v>1571</v>
      </c>
      <c r="H346" t="s">
        <v>22</v>
      </c>
      <c r="I346" t="s">
        <v>22</v>
      </c>
      <c r="J346" t="s">
        <v>17</v>
      </c>
      <c r="K346">
        <v>95</v>
      </c>
      <c r="L346">
        <v>109</v>
      </c>
      <c r="M346" t="s">
        <v>1549</v>
      </c>
      <c r="N346" t="s">
        <v>1548</v>
      </c>
    </row>
    <row r="347" spans="1:14" x14ac:dyDescent="0.3">
      <c r="A347">
        <v>1211157</v>
      </c>
      <c r="B347" t="s">
        <v>1234</v>
      </c>
      <c r="C347" t="s">
        <v>1553</v>
      </c>
      <c r="D347" t="s">
        <v>1552</v>
      </c>
      <c r="E347" t="s">
        <v>1551</v>
      </c>
      <c r="G347" t="s">
        <v>1570</v>
      </c>
      <c r="H347" t="s">
        <v>22</v>
      </c>
      <c r="I347" t="s">
        <v>22</v>
      </c>
      <c r="J347" t="s">
        <v>17</v>
      </c>
      <c r="K347">
        <v>95</v>
      </c>
      <c r="L347">
        <v>109</v>
      </c>
      <c r="M347" t="s">
        <v>1549</v>
      </c>
      <c r="N347" t="s">
        <v>1548</v>
      </c>
    </row>
    <row r="348" spans="1:14" x14ac:dyDescent="0.3">
      <c r="A348">
        <v>1211157</v>
      </c>
      <c r="B348" t="s">
        <v>1234</v>
      </c>
      <c r="C348" t="s">
        <v>1553</v>
      </c>
      <c r="D348" t="s">
        <v>1552</v>
      </c>
      <c r="E348" t="s">
        <v>1551</v>
      </c>
      <c r="G348" t="s">
        <v>1569</v>
      </c>
      <c r="H348" t="s">
        <v>22</v>
      </c>
      <c r="I348" t="s">
        <v>22</v>
      </c>
      <c r="J348" t="s">
        <v>17</v>
      </c>
      <c r="K348">
        <v>95</v>
      </c>
      <c r="L348">
        <v>109</v>
      </c>
      <c r="M348" t="s">
        <v>1549</v>
      </c>
      <c r="N348" t="s">
        <v>1548</v>
      </c>
    </row>
    <row r="349" spans="1:14" x14ac:dyDescent="0.3">
      <c r="A349">
        <v>1211157</v>
      </c>
      <c r="B349" t="s">
        <v>1234</v>
      </c>
      <c r="C349" t="s">
        <v>1553</v>
      </c>
      <c r="D349" t="s">
        <v>1552</v>
      </c>
      <c r="E349" t="s">
        <v>1551</v>
      </c>
      <c r="G349" t="s">
        <v>1568</v>
      </c>
      <c r="H349" t="s">
        <v>22</v>
      </c>
      <c r="I349" t="s">
        <v>22</v>
      </c>
      <c r="J349" t="s">
        <v>17</v>
      </c>
      <c r="K349">
        <v>95</v>
      </c>
      <c r="L349">
        <v>109</v>
      </c>
      <c r="M349" t="s">
        <v>1549</v>
      </c>
      <c r="N349" t="s">
        <v>1548</v>
      </c>
    </row>
    <row r="350" spans="1:14" x14ac:dyDescent="0.3">
      <c r="A350">
        <v>1211157</v>
      </c>
      <c r="B350" t="s">
        <v>1234</v>
      </c>
      <c r="C350" t="s">
        <v>1553</v>
      </c>
      <c r="D350" t="s">
        <v>1552</v>
      </c>
      <c r="E350" t="s">
        <v>1551</v>
      </c>
      <c r="G350" t="s">
        <v>1567</v>
      </c>
      <c r="H350" t="s">
        <v>22</v>
      </c>
      <c r="I350" t="s">
        <v>22</v>
      </c>
      <c r="J350" t="s">
        <v>17</v>
      </c>
      <c r="K350">
        <v>95</v>
      </c>
      <c r="L350">
        <v>109</v>
      </c>
      <c r="M350" t="s">
        <v>1549</v>
      </c>
      <c r="N350" t="s">
        <v>1548</v>
      </c>
    </row>
    <row r="351" spans="1:14" x14ac:dyDescent="0.3">
      <c r="A351">
        <v>1211157</v>
      </c>
      <c r="B351" t="s">
        <v>1234</v>
      </c>
      <c r="C351" t="s">
        <v>1553</v>
      </c>
      <c r="D351" t="s">
        <v>1552</v>
      </c>
      <c r="E351" t="s">
        <v>1551</v>
      </c>
      <c r="G351" t="s">
        <v>1566</v>
      </c>
      <c r="H351" t="s">
        <v>22</v>
      </c>
      <c r="I351" t="s">
        <v>22</v>
      </c>
      <c r="J351" t="s">
        <v>17</v>
      </c>
      <c r="K351">
        <v>95</v>
      </c>
      <c r="L351">
        <v>109</v>
      </c>
      <c r="M351" t="s">
        <v>1549</v>
      </c>
      <c r="N351" t="s">
        <v>1548</v>
      </c>
    </row>
    <row r="352" spans="1:14" x14ac:dyDescent="0.3">
      <c r="A352">
        <v>1211157</v>
      </c>
      <c r="B352" t="s">
        <v>1234</v>
      </c>
      <c r="C352" t="s">
        <v>1553</v>
      </c>
      <c r="D352" t="s">
        <v>1552</v>
      </c>
      <c r="E352" t="s">
        <v>1551</v>
      </c>
      <c r="G352" t="s">
        <v>1565</v>
      </c>
      <c r="H352" t="s">
        <v>22</v>
      </c>
      <c r="I352" t="s">
        <v>22</v>
      </c>
      <c r="J352" t="s">
        <v>17</v>
      </c>
      <c r="K352">
        <v>95</v>
      </c>
      <c r="L352">
        <v>109</v>
      </c>
      <c r="M352" t="s">
        <v>1549</v>
      </c>
      <c r="N352" t="s">
        <v>1548</v>
      </c>
    </row>
    <row r="353" spans="1:14" x14ac:dyDescent="0.3">
      <c r="A353">
        <v>1211157</v>
      </c>
      <c r="B353" t="s">
        <v>1234</v>
      </c>
      <c r="C353" t="s">
        <v>1553</v>
      </c>
      <c r="D353" t="s">
        <v>1552</v>
      </c>
      <c r="E353" t="s">
        <v>1551</v>
      </c>
      <c r="G353" t="s">
        <v>1564</v>
      </c>
      <c r="H353" t="s">
        <v>22</v>
      </c>
      <c r="I353" t="s">
        <v>22</v>
      </c>
      <c r="J353" t="s">
        <v>17</v>
      </c>
      <c r="K353">
        <v>95</v>
      </c>
      <c r="L353">
        <v>109</v>
      </c>
      <c r="M353" t="s">
        <v>1549</v>
      </c>
      <c r="N353" t="s">
        <v>1548</v>
      </c>
    </row>
    <row r="354" spans="1:14" x14ac:dyDescent="0.3">
      <c r="A354">
        <v>1211157</v>
      </c>
      <c r="B354" t="s">
        <v>1234</v>
      </c>
      <c r="C354" t="s">
        <v>1553</v>
      </c>
      <c r="D354" t="s">
        <v>1552</v>
      </c>
      <c r="E354" t="s">
        <v>1551</v>
      </c>
      <c r="G354" t="s">
        <v>1563</v>
      </c>
      <c r="H354" t="s">
        <v>22</v>
      </c>
      <c r="I354" t="s">
        <v>22</v>
      </c>
      <c r="J354" t="s">
        <v>17</v>
      </c>
      <c r="K354">
        <v>95</v>
      </c>
      <c r="L354">
        <v>109</v>
      </c>
      <c r="M354" t="s">
        <v>1549</v>
      </c>
      <c r="N354" t="s">
        <v>1548</v>
      </c>
    </row>
    <row r="355" spans="1:14" x14ac:dyDescent="0.3">
      <c r="A355">
        <v>1211157</v>
      </c>
      <c r="B355" t="s">
        <v>1234</v>
      </c>
      <c r="C355" t="s">
        <v>1553</v>
      </c>
      <c r="D355" t="s">
        <v>1552</v>
      </c>
      <c r="E355" t="s">
        <v>1551</v>
      </c>
      <c r="G355" t="s">
        <v>1562</v>
      </c>
      <c r="H355" t="s">
        <v>22</v>
      </c>
      <c r="I355" t="s">
        <v>22</v>
      </c>
      <c r="J355" t="s">
        <v>17</v>
      </c>
      <c r="K355">
        <v>95</v>
      </c>
      <c r="L355">
        <v>109</v>
      </c>
      <c r="M355" t="s">
        <v>1549</v>
      </c>
      <c r="N355" t="s">
        <v>1548</v>
      </c>
    </row>
    <row r="356" spans="1:14" x14ac:dyDescent="0.3">
      <c r="A356">
        <v>1211157</v>
      </c>
      <c r="B356" t="s">
        <v>1234</v>
      </c>
      <c r="C356" t="s">
        <v>1553</v>
      </c>
      <c r="D356" t="s">
        <v>1552</v>
      </c>
      <c r="E356" t="s">
        <v>1551</v>
      </c>
      <c r="G356" t="s">
        <v>1561</v>
      </c>
      <c r="H356" t="s">
        <v>22</v>
      </c>
      <c r="I356" t="s">
        <v>22</v>
      </c>
      <c r="J356" t="s">
        <v>17</v>
      </c>
      <c r="K356">
        <v>95</v>
      </c>
      <c r="L356">
        <v>109</v>
      </c>
      <c r="M356" t="s">
        <v>1549</v>
      </c>
      <c r="N356" t="s">
        <v>1548</v>
      </c>
    </row>
    <row r="357" spans="1:14" x14ac:dyDescent="0.3">
      <c r="A357">
        <v>1211157</v>
      </c>
      <c r="B357" t="s">
        <v>1234</v>
      </c>
      <c r="C357" t="s">
        <v>1553</v>
      </c>
      <c r="D357" t="s">
        <v>1552</v>
      </c>
      <c r="E357" t="s">
        <v>1551</v>
      </c>
      <c r="G357" t="s">
        <v>1560</v>
      </c>
      <c r="H357" t="s">
        <v>22</v>
      </c>
      <c r="I357" t="s">
        <v>22</v>
      </c>
      <c r="J357" t="s">
        <v>17</v>
      </c>
      <c r="K357">
        <v>95</v>
      </c>
      <c r="L357">
        <v>109</v>
      </c>
      <c r="M357" t="s">
        <v>1549</v>
      </c>
      <c r="N357" t="s">
        <v>1548</v>
      </c>
    </row>
    <row r="358" spans="1:14" x14ac:dyDescent="0.3">
      <c r="A358">
        <v>1211157</v>
      </c>
      <c r="B358" t="s">
        <v>1234</v>
      </c>
      <c r="C358" t="s">
        <v>1553</v>
      </c>
      <c r="D358" t="s">
        <v>1552</v>
      </c>
      <c r="E358" t="s">
        <v>1551</v>
      </c>
      <c r="G358" t="s">
        <v>1559</v>
      </c>
      <c r="H358" t="s">
        <v>22</v>
      </c>
      <c r="I358" t="s">
        <v>22</v>
      </c>
      <c r="J358" t="s">
        <v>17</v>
      </c>
      <c r="K358">
        <v>95</v>
      </c>
      <c r="L358">
        <v>109</v>
      </c>
      <c r="M358" t="s">
        <v>1549</v>
      </c>
      <c r="N358" t="s">
        <v>1548</v>
      </c>
    </row>
    <row r="359" spans="1:14" x14ac:dyDescent="0.3">
      <c r="A359">
        <v>1211157</v>
      </c>
      <c r="B359" t="s">
        <v>1234</v>
      </c>
      <c r="C359" t="s">
        <v>1553</v>
      </c>
      <c r="D359" t="s">
        <v>1552</v>
      </c>
      <c r="E359" t="s">
        <v>1551</v>
      </c>
      <c r="G359" t="s">
        <v>1558</v>
      </c>
      <c r="H359" t="s">
        <v>22</v>
      </c>
      <c r="I359" t="s">
        <v>22</v>
      </c>
      <c r="J359" t="s">
        <v>17</v>
      </c>
      <c r="K359">
        <v>95</v>
      </c>
      <c r="L359">
        <v>109</v>
      </c>
      <c r="M359" t="s">
        <v>1549</v>
      </c>
      <c r="N359" t="s">
        <v>1548</v>
      </c>
    </row>
    <row r="360" spans="1:14" x14ac:dyDescent="0.3">
      <c r="A360">
        <v>1211157</v>
      </c>
      <c r="B360" t="s">
        <v>1234</v>
      </c>
      <c r="C360" t="s">
        <v>1553</v>
      </c>
      <c r="D360" t="s">
        <v>1552</v>
      </c>
      <c r="E360" t="s">
        <v>1551</v>
      </c>
      <c r="G360" t="s">
        <v>1557</v>
      </c>
      <c r="H360" t="s">
        <v>22</v>
      </c>
      <c r="I360" t="s">
        <v>22</v>
      </c>
      <c r="J360" t="s">
        <v>17</v>
      </c>
      <c r="K360">
        <v>95</v>
      </c>
      <c r="L360">
        <v>109</v>
      </c>
      <c r="M360" t="s">
        <v>1549</v>
      </c>
      <c r="N360" t="s">
        <v>1548</v>
      </c>
    </row>
    <row r="361" spans="1:14" x14ac:dyDescent="0.3">
      <c r="A361">
        <v>1211157</v>
      </c>
      <c r="B361" t="s">
        <v>1234</v>
      </c>
      <c r="C361" t="s">
        <v>1553</v>
      </c>
      <c r="D361" t="s">
        <v>1552</v>
      </c>
      <c r="E361" t="s">
        <v>1551</v>
      </c>
      <c r="G361" t="s">
        <v>1556</v>
      </c>
      <c r="H361" t="s">
        <v>22</v>
      </c>
      <c r="I361" t="s">
        <v>22</v>
      </c>
      <c r="J361" t="s">
        <v>17</v>
      </c>
      <c r="K361">
        <v>95</v>
      </c>
      <c r="L361">
        <v>109</v>
      </c>
      <c r="M361" t="s">
        <v>1549</v>
      </c>
      <c r="N361" t="s">
        <v>1548</v>
      </c>
    </row>
    <row r="362" spans="1:14" x14ac:dyDescent="0.3">
      <c r="A362">
        <v>1211157</v>
      </c>
      <c r="B362" t="s">
        <v>1234</v>
      </c>
      <c r="C362" t="s">
        <v>1553</v>
      </c>
      <c r="D362" t="s">
        <v>1552</v>
      </c>
      <c r="E362" t="s">
        <v>1551</v>
      </c>
      <c r="G362" t="s">
        <v>1555</v>
      </c>
      <c r="H362" t="s">
        <v>22</v>
      </c>
      <c r="I362" t="s">
        <v>22</v>
      </c>
      <c r="J362" t="s">
        <v>17</v>
      </c>
      <c r="K362">
        <v>95</v>
      </c>
      <c r="L362">
        <v>109</v>
      </c>
      <c r="M362" t="s">
        <v>1549</v>
      </c>
      <c r="N362" t="s">
        <v>1548</v>
      </c>
    </row>
    <row r="363" spans="1:14" x14ac:dyDescent="0.3">
      <c r="A363">
        <v>1211157</v>
      </c>
      <c r="B363" t="s">
        <v>1234</v>
      </c>
      <c r="C363" t="s">
        <v>1553</v>
      </c>
      <c r="D363" t="s">
        <v>1552</v>
      </c>
      <c r="E363" t="s">
        <v>1551</v>
      </c>
      <c r="G363" t="s">
        <v>1554</v>
      </c>
      <c r="H363" t="s">
        <v>22</v>
      </c>
      <c r="I363" t="s">
        <v>22</v>
      </c>
      <c r="J363" t="s">
        <v>17</v>
      </c>
      <c r="K363">
        <v>95</v>
      </c>
      <c r="L363">
        <v>109</v>
      </c>
      <c r="M363" t="s">
        <v>1549</v>
      </c>
      <c r="N363" t="s">
        <v>1548</v>
      </c>
    </row>
    <row r="364" spans="1:14" x14ac:dyDescent="0.3">
      <c r="A364">
        <v>1211157</v>
      </c>
      <c r="B364" t="s">
        <v>1234</v>
      </c>
      <c r="C364" t="s">
        <v>1553</v>
      </c>
      <c r="D364" t="s">
        <v>1552</v>
      </c>
      <c r="E364" t="s">
        <v>1551</v>
      </c>
      <c r="G364" t="s">
        <v>1550</v>
      </c>
      <c r="H364" t="s">
        <v>22</v>
      </c>
      <c r="I364" t="s">
        <v>22</v>
      </c>
      <c r="J364" t="s">
        <v>17</v>
      </c>
      <c r="K364">
        <v>95</v>
      </c>
      <c r="L364">
        <v>109</v>
      </c>
      <c r="M364" t="s">
        <v>1549</v>
      </c>
      <c r="N364" t="s">
        <v>1548</v>
      </c>
    </row>
    <row r="365" spans="1:14" x14ac:dyDescent="0.3">
      <c r="A365">
        <v>1211157</v>
      </c>
      <c r="B365" t="s">
        <v>1234</v>
      </c>
      <c r="C365" t="s">
        <v>1533</v>
      </c>
      <c r="D365" t="s">
        <v>1532</v>
      </c>
      <c r="E365" t="s">
        <v>1531</v>
      </c>
      <c r="G365" t="s">
        <v>1547</v>
      </c>
      <c r="H365" t="s">
        <v>22</v>
      </c>
      <c r="I365" t="s">
        <v>22</v>
      </c>
      <c r="J365" t="s">
        <v>17</v>
      </c>
      <c r="K365">
        <v>92.3</v>
      </c>
      <c r="L365">
        <v>107.4</v>
      </c>
    </row>
    <row r="366" spans="1:14" x14ac:dyDescent="0.3">
      <c r="A366">
        <v>1211157</v>
      </c>
      <c r="B366" t="s">
        <v>1234</v>
      </c>
      <c r="C366" t="s">
        <v>1533</v>
      </c>
      <c r="D366" t="s">
        <v>1532</v>
      </c>
      <c r="E366" t="s">
        <v>1531</v>
      </c>
      <c r="G366" t="s">
        <v>1546</v>
      </c>
      <c r="H366" t="s">
        <v>22</v>
      </c>
      <c r="I366" t="s">
        <v>22</v>
      </c>
      <c r="J366" t="s">
        <v>17</v>
      </c>
      <c r="K366">
        <v>92.3</v>
      </c>
      <c r="L366">
        <v>107.4</v>
      </c>
    </row>
    <row r="367" spans="1:14" x14ac:dyDescent="0.3">
      <c r="A367">
        <v>1211157</v>
      </c>
      <c r="B367" t="s">
        <v>1234</v>
      </c>
      <c r="C367" t="s">
        <v>1533</v>
      </c>
      <c r="D367" t="s">
        <v>1532</v>
      </c>
      <c r="E367" t="s">
        <v>1531</v>
      </c>
      <c r="G367" t="s">
        <v>1545</v>
      </c>
      <c r="H367" t="s">
        <v>22</v>
      </c>
      <c r="I367" t="s">
        <v>22</v>
      </c>
      <c r="J367" t="s">
        <v>17</v>
      </c>
      <c r="K367">
        <v>92.3</v>
      </c>
      <c r="L367">
        <v>107.4</v>
      </c>
    </row>
    <row r="368" spans="1:14" x14ac:dyDescent="0.3">
      <c r="A368">
        <v>1211157</v>
      </c>
      <c r="B368" t="s">
        <v>1234</v>
      </c>
      <c r="C368" t="s">
        <v>1533</v>
      </c>
      <c r="D368" t="s">
        <v>1532</v>
      </c>
      <c r="E368" t="s">
        <v>1531</v>
      </c>
      <c r="G368" t="s">
        <v>1544</v>
      </c>
      <c r="H368" t="s">
        <v>22</v>
      </c>
      <c r="I368" t="s">
        <v>22</v>
      </c>
      <c r="J368" t="s">
        <v>17</v>
      </c>
      <c r="K368">
        <v>92.3</v>
      </c>
      <c r="L368">
        <v>107.4</v>
      </c>
    </row>
    <row r="369" spans="1:14" x14ac:dyDescent="0.3">
      <c r="A369">
        <v>1211157</v>
      </c>
      <c r="B369" t="s">
        <v>1234</v>
      </c>
      <c r="C369" t="s">
        <v>1533</v>
      </c>
      <c r="D369" t="s">
        <v>1532</v>
      </c>
      <c r="E369" t="s">
        <v>1531</v>
      </c>
      <c r="G369" t="s">
        <v>1543</v>
      </c>
      <c r="H369" t="s">
        <v>22</v>
      </c>
      <c r="I369" t="s">
        <v>22</v>
      </c>
      <c r="J369" t="s">
        <v>17</v>
      </c>
      <c r="K369">
        <v>92.3</v>
      </c>
      <c r="L369">
        <v>107.4</v>
      </c>
    </row>
    <row r="370" spans="1:14" x14ac:dyDescent="0.3">
      <c r="A370">
        <v>1211157</v>
      </c>
      <c r="B370" t="s">
        <v>1234</v>
      </c>
      <c r="C370" t="s">
        <v>1533</v>
      </c>
      <c r="D370" t="s">
        <v>1532</v>
      </c>
      <c r="E370" t="s">
        <v>1531</v>
      </c>
      <c r="G370" t="s">
        <v>1542</v>
      </c>
      <c r="H370" t="s">
        <v>22</v>
      </c>
      <c r="I370" t="s">
        <v>22</v>
      </c>
      <c r="J370" t="s">
        <v>17</v>
      </c>
      <c r="K370">
        <v>92.3</v>
      </c>
      <c r="L370">
        <v>107.4</v>
      </c>
    </row>
    <row r="371" spans="1:14" x14ac:dyDescent="0.3">
      <c r="A371">
        <v>1211157</v>
      </c>
      <c r="B371" t="s">
        <v>1234</v>
      </c>
      <c r="C371" t="s">
        <v>1533</v>
      </c>
      <c r="D371" t="s">
        <v>1532</v>
      </c>
      <c r="E371" t="s">
        <v>1531</v>
      </c>
      <c r="G371" t="s">
        <v>1541</v>
      </c>
      <c r="H371" t="s">
        <v>22</v>
      </c>
      <c r="I371" t="s">
        <v>22</v>
      </c>
      <c r="J371" t="s">
        <v>17</v>
      </c>
      <c r="K371">
        <v>92.3</v>
      </c>
      <c r="L371">
        <v>107.4</v>
      </c>
    </row>
    <row r="372" spans="1:14" x14ac:dyDescent="0.3">
      <c r="A372">
        <v>1211157</v>
      </c>
      <c r="B372" t="s">
        <v>1234</v>
      </c>
      <c r="C372" t="s">
        <v>1533</v>
      </c>
      <c r="D372" t="s">
        <v>1532</v>
      </c>
      <c r="E372" t="s">
        <v>1531</v>
      </c>
      <c r="G372" t="s">
        <v>1540</v>
      </c>
      <c r="H372" t="s">
        <v>22</v>
      </c>
      <c r="I372" t="s">
        <v>22</v>
      </c>
      <c r="J372" t="s">
        <v>17</v>
      </c>
      <c r="K372">
        <v>92.3</v>
      </c>
      <c r="L372">
        <v>107.4</v>
      </c>
    </row>
    <row r="373" spans="1:14" x14ac:dyDescent="0.3">
      <c r="A373">
        <v>1211157</v>
      </c>
      <c r="B373" t="s">
        <v>1234</v>
      </c>
      <c r="C373" t="s">
        <v>1533</v>
      </c>
      <c r="D373" t="s">
        <v>1532</v>
      </c>
      <c r="E373" t="s">
        <v>1531</v>
      </c>
      <c r="G373" t="s">
        <v>1539</v>
      </c>
      <c r="H373" t="s">
        <v>22</v>
      </c>
      <c r="I373" t="s">
        <v>22</v>
      </c>
      <c r="J373" t="s">
        <v>17</v>
      </c>
      <c r="K373">
        <v>92.3</v>
      </c>
      <c r="L373">
        <v>107.4</v>
      </c>
    </row>
    <row r="374" spans="1:14" x14ac:dyDescent="0.3">
      <c r="A374">
        <v>1211157</v>
      </c>
      <c r="B374" t="s">
        <v>1234</v>
      </c>
      <c r="C374" t="s">
        <v>1533</v>
      </c>
      <c r="D374" t="s">
        <v>1532</v>
      </c>
      <c r="E374" t="s">
        <v>1531</v>
      </c>
      <c r="G374" t="s">
        <v>1538</v>
      </c>
      <c r="H374" t="s">
        <v>22</v>
      </c>
      <c r="I374" t="s">
        <v>22</v>
      </c>
      <c r="J374" t="s">
        <v>17</v>
      </c>
      <c r="K374">
        <v>92.3</v>
      </c>
      <c r="L374">
        <v>107.4</v>
      </c>
    </row>
    <row r="375" spans="1:14" x14ac:dyDescent="0.3">
      <c r="A375">
        <v>1211157</v>
      </c>
      <c r="B375" t="s">
        <v>1234</v>
      </c>
      <c r="C375" t="s">
        <v>1533</v>
      </c>
      <c r="D375" t="s">
        <v>1532</v>
      </c>
      <c r="E375" t="s">
        <v>1531</v>
      </c>
      <c r="G375" t="s">
        <v>1537</v>
      </c>
      <c r="H375" t="s">
        <v>22</v>
      </c>
      <c r="I375" t="s">
        <v>22</v>
      </c>
      <c r="J375" t="s">
        <v>17</v>
      </c>
      <c r="K375">
        <v>92.3</v>
      </c>
      <c r="L375">
        <v>107.4</v>
      </c>
    </row>
    <row r="376" spans="1:14" x14ac:dyDescent="0.3">
      <c r="A376">
        <v>1211157</v>
      </c>
      <c r="B376" t="s">
        <v>1234</v>
      </c>
      <c r="C376" t="s">
        <v>1533</v>
      </c>
      <c r="D376" t="s">
        <v>1532</v>
      </c>
      <c r="E376" t="s">
        <v>1531</v>
      </c>
      <c r="G376" t="s">
        <v>1536</v>
      </c>
      <c r="H376" t="s">
        <v>22</v>
      </c>
      <c r="I376" t="s">
        <v>22</v>
      </c>
      <c r="J376" t="s">
        <v>17</v>
      </c>
      <c r="K376">
        <v>92.3</v>
      </c>
      <c r="L376">
        <v>107.4</v>
      </c>
    </row>
    <row r="377" spans="1:14" x14ac:dyDescent="0.3">
      <c r="A377">
        <v>1211157</v>
      </c>
      <c r="B377" t="s">
        <v>1234</v>
      </c>
      <c r="C377" t="s">
        <v>1533</v>
      </c>
      <c r="D377" t="s">
        <v>1532</v>
      </c>
      <c r="E377" t="s">
        <v>1531</v>
      </c>
      <c r="G377" t="s">
        <v>1535</v>
      </c>
      <c r="H377" t="s">
        <v>22</v>
      </c>
      <c r="I377" t="s">
        <v>22</v>
      </c>
      <c r="J377" t="s">
        <v>17</v>
      </c>
      <c r="K377">
        <v>92.3</v>
      </c>
      <c r="L377">
        <v>107.4</v>
      </c>
    </row>
    <row r="378" spans="1:14" x14ac:dyDescent="0.3">
      <c r="A378">
        <v>1211157</v>
      </c>
      <c r="B378" t="s">
        <v>1234</v>
      </c>
      <c r="C378" t="s">
        <v>1533</v>
      </c>
      <c r="D378" t="s">
        <v>1532</v>
      </c>
      <c r="E378" t="s">
        <v>1531</v>
      </c>
      <c r="G378" t="s">
        <v>1534</v>
      </c>
      <c r="H378" t="s">
        <v>22</v>
      </c>
      <c r="I378" t="s">
        <v>22</v>
      </c>
      <c r="J378" t="s">
        <v>17</v>
      </c>
      <c r="K378">
        <v>92.3</v>
      </c>
      <c r="L378">
        <v>107.4</v>
      </c>
    </row>
    <row r="379" spans="1:14" x14ac:dyDescent="0.3">
      <c r="A379">
        <v>1211157</v>
      </c>
      <c r="B379" t="s">
        <v>1234</v>
      </c>
      <c r="C379" t="s">
        <v>1533</v>
      </c>
      <c r="D379" t="s">
        <v>1532</v>
      </c>
      <c r="E379" t="s">
        <v>1531</v>
      </c>
      <c r="G379" t="s">
        <v>1530</v>
      </c>
      <c r="H379" t="s">
        <v>22</v>
      </c>
      <c r="I379" t="s">
        <v>22</v>
      </c>
      <c r="J379" t="s">
        <v>17</v>
      </c>
      <c r="K379">
        <v>92.3</v>
      </c>
      <c r="L379">
        <v>107.4</v>
      </c>
    </row>
    <row r="380" spans="1:14" hidden="1" x14ac:dyDescent="0.3">
      <c r="A380">
        <v>1211157</v>
      </c>
      <c r="B380" t="s">
        <v>1234</v>
      </c>
      <c r="C380" t="s">
        <v>1529</v>
      </c>
      <c r="H380" t="s">
        <v>16</v>
      </c>
      <c r="I380" t="s">
        <v>16</v>
      </c>
      <c r="J380" t="s">
        <v>17</v>
      </c>
      <c r="K380">
        <v>0</v>
      </c>
      <c r="L380">
        <v>0</v>
      </c>
    </row>
    <row r="381" spans="1:14" x14ac:dyDescent="0.3">
      <c r="A381">
        <v>1211157</v>
      </c>
      <c r="B381" t="s">
        <v>1234</v>
      </c>
      <c r="C381" t="s">
        <v>1528</v>
      </c>
      <c r="D381" t="s">
        <v>1528</v>
      </c>
      <c r="E381" t="s">
        <v>1527</v>
      </c>
      <c r="H381" t="s">
        <v>22</v>
      </c>
      <c r="I381" t="s">
        <v>22</v>
      </c>
      <c r="J381" t="s">
        <v>17</v>
      </c>
      <c r="K381">
        <v>100</v>
      </c>
      <c r="L381">
        <v>111</v>
      </c>
      <c r="M381" t="s">
        <v>182</v>
      </c>
      <c r="N381" t="s">
        <v>183</v>
      </c>
    </row>
    <row r="382" spans="1:14" hidden="1" x14ac:dyDescent="0.3">
      <c r="A382">
        <v>1211157</v>
      </c>
      <c r="B382" t="s">
        <v>1234</v>
      </c>
      <c r="C382" t="s">
        <v>1526</v>
      </c>
      <c r="H382" t="s">
        <v>16</v>
      </c>
      <c r="I382" t="s">
        <v>16</v>
      </c>
      <c r="J382" t="s">
        <v>17</v>
      </c>
      <c r="K382">
        <v>0</v>
      </c>
      <c r="L382">
        <v>0</v>
      </c>
    </row>
    <row r="383" spans="1:14" hidden="1" x14ac:dyDescent="0.3">
      <c r="A383">
        <v>1211157</v>
      </c>
      <c r="B383" t="s">
        <v>1234</v>
      </c>
      <c r="C383" t="s">
        <v>1525</v>
      </c>
      <c r="H383" t="s">
        <v>16</v>
      </c>
      <c r="I383" t="s">
        <v>16</v>
      </c>
      <c r="J383" t="s">
        <v>17</v>
      </c>
      <c r="K383">
        <v>0</v>
      </c>
      <c r="L383">
        <v>0</v>
      </c>
    </row>
    <row r="384" spans="1:14" hidden="1" x14ac:dyDescent="0.3">
      <c r="A384">
        <v>1211157</v>
      </c>
      <c r="B384" t="s">
        <v>1234</v>
      </c>
      <c r="C384" t="s">
        <v>1524</v>
      </c>
      <c r="H384" t="s">
        <v>16</v>
      </c>
      <c r="I384" t="s">
        <v>16</v>
      </c>
      <c r="J384" t="s">
        <v>17</v>
      </c>
      <c r="K384">
        <v>0</v>
      </c>
      <c r="L384">
        <v>0</v>
      </c>
    </row>
    <row r="385" spans="1:14" x14ac:dyDescent="0.3">
      <c r="A385">
        <v>1211157</v>
      </c>
      <c r="B385" t="s">
        <v>1234</v>
      </c>
      <c r="C385" t="s">
        <v>1523</v>
      </c>
      <c r="D385" t="s">
        <v>1523</v>
      </c>
      <c r="E385" t="s">
        <v>1522</v>
      </c>
      <c r="H385" t="s">
        <v>22</v>
      </c>
      <c r="I385" t="s">
        <v>22</v>
      </c>
      <c r="J385" t="s">
        <v>17</v>
      </c>
      <c r="K385">
        <v>100</v>
      </c>
      <c r="L385">
        <v>110</v>
      </c>
      <c r="M385" t="s">
        <v>182</v>
      </c>
      <c r="N385" t="s">
        <v>183</v>
      </c>
    </row>
    <row r="386" spans="1:14" hidden="1" x14ac:dyDescent="0.3">
      <c r="A386">
        <v>1211157</v>
      </c>
      <c r="B386" t="s">
        <v>1234</v>
      </c>
      <c r="C386" t="s">
        <v>1521</v>
      </c>
      <c r="H386" t="s">
        <v>16</v>
      </c>
      <c r="I386" t="s">
        <v>16</v>
      </c>
      <c r="J386" t="s">
        <v>17</v>
      </c>
      <c r="K386">
        <v>0</v>
      </c>
      <c r="L386">
        <v>0</v>
      </c>
    </row>
    <row r="387" spans="1:14" x14ac:dyDescent="0.3">
      <c r="A387">
        <v>1211157</v>
      </c>
      <c r="B387" t="s">
        <v>1234</v>
      </c>
      <c r="C387" t="s">
        <v>1520</v>
      </c>
      <c r="D387" t="s">
        <v>1519</v>
      </c>
      <c r="E387" t="s">
        <v>1518</v>
      </c>
      <c r="H387" t="s">
        <v>22</v>
      </c>
      <c r="I387" t="s">
        <v>22</v>
      </c>
      <c r="J387" t="s">
        <v>17</v>
      </c>
      <c r="K387">
        <v>77.3</v>
      </c>
      <c r="L387">
        <v>52.4</v>
      </c>
      <c r="M387" t="s">
        <v>1517</v>
      </c>
      <c r="N387" t="s">
        <v>1516</v>
      </c>
    </row>
    <row r="388" spans="1:14" x14ac:dyDescent="0.3">
      <c r="A388">
        <v>1211157</v>
      </c>
      <c r="B388" t="s">
        <v>1234</v>
      </c>
      <c r="C388" t="s">
        <v>1511</v>
      </c>
      <c r="D388" t="s">
        <v>1510</v>
      </c>
      <c r="E388" t="s">
        <v>1509</v>
      </c>
      <c r="G388" t="s">
        <v>1515</v>
      </c>
      <c r="H388" t="s">
        <v>46</v>
      </c>
      <c r="I388" t="s">
        <v>46</v>
      </c>
      <c r="J388" t="s">
        <v>17</v>
      </c>
      <c r="K388">
        <v>100</v>
      </c>
      <c r="L388">
        <v>50</v>
      </c>
    </row>
    <row r="389" spans="1:14" x14ac:dyDescent="0.3">
      <c r="A389">
        <v>1211157</v>
      </c>
      <c r="B389" t="s">
        <v>1234</v>
      </c>
      <c r="C389" t="s">
        <v>1511</v>
      </c>
      <c r="D389" t="s">
        <v>1510</v>
      </c>
      <c r="E389" t="s">
        <v>1509</v>
      </c>
      <c r="G389" t="s">
        <v>1514</v>
      </c>
      <c r="H389" t="s">
        <v>46</v>
      </c>
      <c r="I389" t="s">
        <v>46</v>
      </c>
      <c r="J389" t="s">
        <v>17</v>
      </c>
      <c r="K389">
        <v>100</v>
      </c>
      <c r="L389">
        <v>50</v>
      </c>
    </row>
    <row r="390" spans="1:14" x14ac:dyDescent="0.3">
      <c r="A390">
        <v>1211157</v>
      </c>
      <c r="B390" t="s">
        <v>1234</v>
      </c>
      <c r="C390" t="s">
        <v>1511</v>
      </c>
      <c r="D390" t="s">
        <v>1510</v>
      </c>
      <c r="E390" t="s">
        <v>1509</v>
      </c>
      <c r="G390" t="s">
        <v>1513</v>
      </c>
      <c r="H390" t="s">
        <v>46</v>
      </c>
      <c r="I390" t="s">
        <v>46</v>
      </c>
      <c r="J390" t="s">
        <v>17</v>
      </c>
      <c r="K390">
        <v>100</v>
      </c>
      <c r="L390">
        <v>50</v>
      </c>
    </row>
    <row r="391" spans="1:14" x14ac:dyDescent="0.3">
      <c r="A391">
        <v>1211157</v>
      </c>
      <c r="B391" t="s">
        <v>1234</v>
      </c>
      <c r="C391" t="s">
        <v>1511</v>
      </c>
      <c r="D391" t="s">
        <v>1510</v>
      </c>
      <c r="E391" t="s">
        <v>1509</v>
      </c>
      <c r="G391" t="s">
        <v>1512</v>
      </c>
      <c r="H391" t="s">
        <v>46</v>
      </c>
      <c r="I391" t="s">
        <v>46</v>
      </c>
      <c r="J391" t="s">
        <v>17</v>
      </c>
      <c r="K391">
        <v>100</v>
      </c>
      <c r="L391">
        <v>50</v>
      </c>
    </row>
    <row r="392" spans="1:14" x14ac:dyDescent="0.3">
      <c r="A392">
        <v>1211157</v>
      </c>
      <c r="B392" t="s">
        <v>1234</v>
      </c>
      <c r="C392" t="s">
        <v>1511</v>
      </c>
      <c r="D392" t="s">
        <v>1510</v>
      </c>
      <c r="E392" t="s">
        <v>1509</v>
      </c>
      <c r="G392" t="s">
        <v>1508</v>
      </c>
      <c r="H392" t="s">
        <v>46</v>
      </c>
      <c r="I392" t="s">
        <v>46</v>
      </c>
      <c r="J392" t="s">
        <v>17</v>
      </c>
      <c r="K392">
        <v>100</v>
      </c>
      <c r="L392">
        <v>50</v>
      </c>
    </row>
    <row r="393" spans="1:14" x14ac:dyDescent="0.3">
      <c r="A393">
        <v>1211157</v>
      </c>
      <c r="B393" t="s">
        <v>1234</v>
      </c>
      <c r="C393" t="s">
        <v>1496</v>
      </c>
      <c r="D393" t="s">
        <v>1495</v>
      </c>
      <c r="E393" t="s">
        <v>1494</v>
      </c>
      <c r="G393" t="s">
        <v>1507</v>
      </c>
      <c r="H393" t="s">
        <v>46</v>
      </c>
      <c r="I393" t="s">
        <v>46</v>
      </c>
      <c r="J393" t="s">
        <v>17</v>
      </c>
      <c r="K393">
        <v>100</v>
      </c>
      <c r="L393">
        <v>50</v>
      </c>
    </row>
    <row r="394" spans="1:14" x14ac:dyDescent="0.3">
      <c r="A394">
        <v>1211157</v>
      </c>
      <c r="B394" t="s">
        <v>1234</v>
      </c>
      <c r="C394" t="s">
        <v>1496</v>
      </c>
      <c r="D394" t="s">
        <v>1495</v>
      </c>
      <c r="E394" t="s">
        <v>1494</v>
      </c>
      <c r="G394" t="s">
        <v>1506</v>
      </c>
      <c r="H394" t="s">
        <v>46</v>
      </c>
      <c r="I394" t="s">
        <v>46</v>
      </c>
      <c r="J394" t="s">
        <v>17</v>
      </c>
      <c r="K394">
        <v>100</v>
      </c>
      <c r="L394">
        <v>50</v>
      </c>
    </row>
    <row r="395" spans="1:14" x14ac:dyDescent="0.3">
      <c r="A395">
        <v>1211157</v>
      </c>
      <c r="B395" t="s">
        <v>1234</v>
      </c>
      <c r="C395" t="s">
        <v>1496</v>
      </c>
      <c r="D395" t="s">
        <v>1495</v>
      </c>
      <c r="E395" t="s">
        <v>1494</v>
      </c>
      <c r="G395" t="s">
        <v>1505</v>
      </c>
      <c r="H395" t="s">
        <v>46</v>
      </c>
      <c r="I395" t="s">
        <v>46</v>
      </c>
      <c r="J395" t="s">
        <v>17</v>
      </c>
      <c r="K395">
        <v>100</v>
      </c>
      <c r="L395">
        <v>50</v>
      </c>
    </row>
    <row r="396" spans="1:14" x14ac:dyDescent="0.3">
      <c r="A396">
        <v>1211157</v>
      </c>
      <c r="B396" t="s">
        <v>1234</v>
      </c>
      <c r="C396" t="s">
        <v>1496</v>
      </c>
      <c r="D396" t="s">
        <v>1495</v>
      </c>
      <c r="E396" t="s">
        <v>1494</v>
      </c>
      <c r="G396" t="s">
        <v>1504</v>
      </c>
      <c r="H396" t="s">
        <v>46</v>
      </c>
      <c r="I396" t="s">
        <v>46</v>
      </c>
      <c r="J396" t="s">
        <v>17</v>
      </c>
      <c r="K396">
        <v>100</v>
      </c>
      <c r="L396">
        <v>50</v>
      </c>
    </row>
    <row r="397" spans="1:14" x14ac:dyDescent="0.3">
      <c r="A397">
        <v>1211157</v>
      </c>
      <c r="B397" t="s">
        <v>1234</v>
      </c>
      <c r="C397" t="s">
        <v>1496</v>
      </c>
      <c r="D397" t="s">
        <v>1495</v>
      </c>
      <c r="E397" t="s">
        <v>1494</v>
      </c>
      <c r="G397" t="s">
        <v>1503</v>
      </c>
      <c r="H397" t="s">
        <v>46</v>
      </c>
      <c r="I397" t="s">
        <v>46</v>
      </c>
      <c r="J397" t="s">
        <v>17</v>
      </c>
      <c r="K397">
        <v>100</v>
      </c>
      <c r="L397">
        <v>50</v>
      </c>
    </row>
    <row r="398" spans="1:14" x14ac:dyDescent="0.3">
      <c r="A398">
        <v>1211157</v>
      </c>
      <c r="B398" t="s">
        <v>1234</v>
      </c>
      <c r="C398" t="s">
        <v>1496</v>
      </c>
      <c r="D398" t="s">
        <v>1495</v>
      </c>
      <c r="E398" t="s">
        <v>1494</v>
      </c>
      <c r="G398" t="s">
        <v>1502</v>
      </c>
      <c r="H398" t="s">
        <v>46</v>
      </c>
      <c r="I398" t="s">
        <v>46</v>
      </c>
      <c r="J398" t="s">
        <v>17</v>
      </c>
      <c r="K398">
        <v>100</v>
      </c>
      <c r="L398">
        <v>50</v>
      </c>
    </row>
    <row r="399" spans="1:14" x14ac:dyDescent="0.3">
      <c r="A399">
        <v>1211157</v>
      </c>
      <c r="B399" t="s">
        <v>1234</v>
      </c>
      <c r="C399" t="s">
        <v>1496</v>
      </c>
      <c r="D399" t="s">
        <v>1495</v>
      </c>
      <c r="E399" t="s">
        <v>1494</v>
      </c>
      <c r="G399" t="s">
        <v>1501</v>
      </c>
      <c r="H399" t="s">
        <v>46</v>
      </c>
      <c r="I399" t="s">
        <v>46</v>
      </c>
      <c r="J399" t="s">
        <v>17</v>
      </c>
      <c r="K399">
        <v>100</v>
      </c>
      <c r="L399">
        <v>50</v>
      </c>
    </row>
    <row r="400" spans="1:14" x14ac:dyDescent="0.3">
      <c r="A400">
        <v>1211157</v>
      </c>
      <c r="B400" t="s">
        <v>1234</v>
      </c>
      <c r="C400" t="s">
        <v>1496</v>
      </c>
      <c r="D400" t="s">
        <v>1495</v>
      </c>
      <c r="E400" t="s">
        <v>1494</v>
      </c>
      <c r="G400" t="s">
        <v>1500</v>
      </c>
      <c r="H400" t="s">
        <v>46</v>
      </c>
      <c r="I400" t="s">
        <v>46</v>
      </c>
      <c r="J400" t="s">
        <v>17</v>
      </c>
      <c r="K400">
        <v>100</v>
      </c>
      <c r="L400">
        <v>50</v>
      </c>
    </row>
    <row r="401" spans="1:14" x14ac:dyDescent="0.3">
      <c r="A401">
        <v>1211157</v>
      </c>
      <c r="B401" t="s">
        <v>1234</v>
      </c>
      <c r="C401" t="s">
        <v>1496</v>
      </c>
      <c r="D401" t="s">
        <v>1495</v>
      </c>
      <c r="E401" t="s">
        <v>1494</v>
      </c>
      <c r="G401" t="s">
        <v>1499</v>
      </c>
      <c r="H401" t="s">
        <v>46</v>
      </c>
      <c r="I401" t="s">
        <v>46</v>
      </c>
      <c r="J401" t="s">
        <v>17</v>
      </c>
      <c r="K401">
        <v>100</v>
      </c>
      <c r="L401">
        <v>50</v>
      </c>
    </row>
    <row r="402" spans="1:14" x14ac:dyDescent="0.3">
      <c r="A402">
        <v>1211157</v>
      </c>
      <c r="B402" t="s">
        <v>1234</v>
      </c>
      <c r="C402" t="s">
        <v>1496</v>
      </c>
      <c r="D402" t="s">
        <v>1495</v>
      </c>
      <c r="E402" t="s">
        <v>1494</v>
      </c>
      <c r="G402" t="s">
        <v>1498</v>
      </c>
      <c r="H402" t="s">
        <v>46</v>
      </c>
      <c r="I402" t="s">
        <v>46</v>
      </c>
      <c r="J402" t="s">
        <v>17</v>
      </c>
      <c r="K402">
        <v>100</v>
      </c>
      <c r="L402">
        <v>50</v>
      </c>
    </row>
    <row r="403" spans="1:14" x14ac:dyDescent="0.3">
      <c r="A403">
        <v>1211157</v>
      </c>
      <c r="B403" t="s">
        <v>1234</v>
      </c>
      <c r="C403" t="s">
        <v>1496</v>
      </c>
      <c r="D403" t="s">
        <v>1495</v>
      </c>
      <c r="E403" t="s">
        <v>1494</v>
      </c>
      <c r="G403" t="s">
        <v>1497</v>
      </c>
      <c r="H403" t="s">
        <v>46</v>
      </c>
      <c r="I403" t="s">
        <v>46</v>
      </c>
      <c r="J403" t="s">
        <v>17</v>
      </c>
      <c r="K403">
        <v>100</v>
      </c>
      <c r="L403">
        <v>50</v>
      </c>
    </row>
    <row r="404" spans="1:14" x14ac:dyDescent="0.3">
      <c r="A404">
        <v>1211157</v>
      </c>
      <c r="B404" t="s">
        <v>1234</v>
      </c>
      <c r="C404" t="s">
        <v>1496</v>
      </c>
      <c r="D404" t="s">
        <v>1495</v>
      </c>
      <c r="E404" t="s">
        <v>1494</v>
      </c>
      <c r="G404" t="s">
        <v>1493</v>
      </c>
      <c r="H404" t="s">
        <v>46</v>
      </c>
      <c r="I404" t="s">
        <v>46</v>
      </c>
      <c r="J404" t="s">
        <v>17</v>
      </c>
      <c r="K404">
        <v>100</v>
      </c>
      <c r="L404">
        <v>50</v>
      </c>
    </row>
    <row r="405" spans="1:14" hidden="1" x14ac:dyDescent="0.3">
      <c r="A405">
        <v>1211157</v>
      </c>
      <c r="B405" t="s">
        <v>1234</v>
      </c>
      <c r="C405" t="s">
        <v>1492</v>
      </c>
      <c r="H405" t="s">
        <v>16</v>
      </c>
      <c r="I405" t="s">
        <v>16</v>
      </c>
      <c r="J405" t="s">
        <v>17</v>
      </c>
      <c r="K405">
        <v>0</v>
      </c>
      <c r="L405">
        <v>0</v>
      </c>
    </row>
    <row r="406" spans="1:14" x14ac:dyDescent="0.3">
      <c r="A406">
        <v>1211157</v>
      </c>
      <c r="B406" t="s">
        <v>1234</v>
      </c>
      <c r="C406" t="s">
        <v>1474</v>
      </c>
      <c r="D406" t="s">
        <v>1473</v>
      </c>
      <c r="E406" t="s">
        <v>1472</v>
      </c>
      <c r="G406" t="s">
        <v>1491</v>
      </c>
      <c r="H406" t="s">
        <v>22</v>
      </c>
      <c r="I406" t="s">
        <v>22</v>
      </c>
      <c r="J406" t="s">
        <v>17</v>
      </c>
      <c r="K406">
        <v>90.9</v>
      </c>
      <c r="L406">
        <v>109.5</v>
      </c>
      <c r="M406" t="s">
        <v>1470</v>
      </c>
      <c r="N406" t="s">
        <v>1469</v>
      </c>
    </row>
    <row r="407" spans="1:14" x14ac:dyDescent="0.3">
      <c r="A407">
        <v>1211157</v>
      </c>
      <c r="B407" t="s">
        <v>1234</v>
      </c>
      <c r="C407" t="s">
        <v>1474</v>
      </c>
      <c r="D407" t="s">
        <v>1473</v>
      </c>
      <c r="E407" t="s">
        <v>1472</v>
      </c>
      <c r="G407" t="s">
        <v>1490</v>
      </c>
      <c r="H407" t="s">
        <v>22</v>
      </c>
      <c r="I407" t="s">
        <v>22</v>
      </c>
      <c r="J407" t="s">
        <v>17</v>
      </c>
      <c r="K407">
        <v>90.9</v>
      </c>
      <c r="L407">
        <v>109.5</v>
      </c>
      <c r="M407" t="s">
        <v>1470</v>
      </c>
      <c r="N407" t="s">
        <v>1469</v>
      </c>
    </row>
    <row r="408" spans="1:14" x14ac:dyDescent="0.3">
      <c r="A408">
        <v>1211157</v>
      </c>
      <c r="B408" t="s">
        <v>1234</v>
      </c>
      <c r="C408" t="s">
        <v>1474</v>
      </c>
      <c r="D408" t="s">
        <v>1473</v>
      </c>
      <c r="E408" t="s">
        <v>1472</v>
      </c>
      <c r="G408" t="s">
        <v>1489</v>
      </c>
      <c r="H408" t="s">
        <v>22</v>
      </c>
      <c r="I408" t="s">
        <v>22</v>
      </c>
      <c r="J408" t="s">
        <v>17</v>
      </c>
      <c r="K408">
        <v>90.9</v>
      </c>
      <c r="L408">
        <v>109.5</v>
      </c>
      <c r="M408" t="s">
        <v>1470</v>
      </c>
      <c r="N408" t="s">
        <v>1469</v>
      </c>
    </row>
    <row r="409" spans="1:14" x14ac:dyDescent="0.3">
      <c r="A409">
        <v>1211157</v>
      </c>
      <c r="B409" t="s">
        <v>1234</v>
      </c>
      <c r="C409" t="s">
        <v>1474</v>
      </c>
      <c r="D409" t="s">
        <v>1473</v>
      </c>
      <c r="E409" t="s">
        <v>1472</v>
      </c>
      <c r="G409" t="s">
        <v>1488</v>
      </c>
      <c r="H409" t="s">
        <v>22</v>
      </c>
      <c r="I409" t="s">
        <v>22</v>
      </c>
      <c r="J409" t="s">
        <v>17</v>
      </c>
      <c r="K409">
        <v>90.9</v>
      </c>
      <c r="L409">
        <v>109.5</v>
      </c>
      <c r="M409" t="s">
        <v>1470</v>
      </c>
      <c r="N409" t="s">
        <v>1469</v>
      </c>
    </row>
    <row r="410" spans="1:14" x14ac:dyDescent="0.3">
      <c r="A410">
        <v>1211157</v>
      </c>
      <c r="B410" t="s">
        <v>1234</v>
      </c>
      <c r="C410" t="s">
        <v>1474</v>
      </c>
      <c r="D410" t="s">
        <v>1473</v>
      </c>
      <c r="E410" t="s">
        <v>1472</v>
      </c>
      <c r="G410" t="s">
        <v>1487</v>
      </c>
      <c r="H410" t="s">
        <v>22</v>
      </c>
      <c r="I410" t="s">
        <v>22</v>
      </c>
      <c r="J410" t="s">
        <v>17</v>
      </c>
      <c r="K410">
        <v>90.9</v>
      </c>
      <c r="L410">
        <v>109.5</v>
      </c>
      <c r="M410" t="s">
        <v>1470</v>
      </c>
      <c r="N410" t="s">
        <v>1469</v>
      </c>
    </row>
    <row r="411" spans="1:14" x14ac:dyDescent="0.3">
      <c r="A411">
        <v>1211157</v>
      </c>
      <c r="B411" t="s">
        <v>1234</v>
      </c>
      <c r="C411" t="s">
        <v>1474</v>
      </c>
      <c r="D411" t="s">
        <v>1473</v>
      </c>
      <c r="E411" t="s">
        <v>1472</v>
      </c>
      <c r="G411" t="s">
        <v>1486</v>
      </c>
      <c r="H411" t="s">
        <v>22</v>
      </c>
      <c r="I411" t="s">
        <v>22</v>
      </c>
      <c r="J411" t="s">
        <v>17</v>
      </c>
      <c r="K411">
        <v>90.9</v>
      </c>
      <c r="L411">
        <v>109.5</v>
      </c>
      <c r="M411" t="s">
        <v>1470</v>
      </c>
      <c r="N411" t="s">
        <v>1469</v>
      </c>
    </row>
    <row r="412" spans="1:14" x14ac:dyDescent="0.3">
      <c r="A412">
        <v>1211157</v>
      </c>
      <c r="B412" t="s">
        <v>1234</v>
      </c>
      <c r="C412" t="s">
        <v>1474</v>
      </c>
      <c r="D412" t="s">
        <v>1473</v>
      </c>
      <c r="E412" t="s">
        <v>1472</v>
      </c>
      <c r="G412" t="s">
        <v>1485</v>
      </c>
      <c r="H412" t="s">
        <v>22</v>
      </c>
      <c r="I412" t="s">
        <v>22</v>
      </c>
      <c r="J412" t="s">
        <v>17</v>
      </c>
      <c r="K412">
        <v>90.9</v>
      </c>
      <c r="L412">
        <v>109.5</v>
      </c>
      <c r="M412" t="s">
        <v>1470</v>
      </c>
      <c r="N412" t="s">
        <v>1469</v>
      </c>
    </row>
    <row r="413" spans="1:14" x14ac:dyDescent="0.3">
      <c r="A413">
        <v>1211157</v>
      </c>
      <c r="B413" t="s">
        <v>1234</v>
      </c>
      <c r="C413" t="s">
        <v>1474</v>
      </c>
      <c r="D413" t="s">
        <v>1473</v>
      </c>
      <c r="E413" t="s">
        <v>1472</v>
      </c>
      <c r="G413" t="s">
        <v>1484</v>
      </c>
      <c r="H413" t="s">
        <v>22</v>
      </c>
      <c r="I413" t="s">
        <v>22</v>
      </c>
      <c r="J413" t="s">
        <v>17</v>
      </c>
      <c r="K413">
        <v>90.9</v>
      </c>
      <c r="L413">
        <v>109.5</v>
      </c>
      <c r="M413" t="s">
        <v>1470</v>
      </c>
      <c r="N413" t="s">
        <v>1469</v>
      </c>
    </row>
    <row r="414" spans="1:14" x14ac:dyDescent="0.3">
      <c r="A414">
        <v>1211157</v>
      </c>
      <c r="B414" t="s">
        <v>1234</v>
      </c>
      <c r="C414" t="s">
        <v>1474</v>
      </c>
      <c r="D414" t="s">
        <v>1473</v>
      </c>
      <c r="E414" t="s">
        <v>1472</v>
      </c>
      <c r="G414" t="s">
        <v>1483</v>
      </c>
      <c r="H414" t="s">
        <v>22</v>
      </c>
      <c r="I414" t="s">
        <v>22</v>
      </c>
      <c r="J414" t="s">
        <v>17</v>
      </c>
      <c r="K414">
        <v>90.9</v>
      </c>
      <c r="L414">
        <v>109.5</v>
      </c>
      <c r="M414" t="s">
        <v>1470</v>
      </c>
      <c r="N414" t="s">
        <v>1469</v>
      </c>
    </row>
    <row r="415" spans="1:14" x14ac:dyDescent="0.3">
      <c r="A415">
        <v>1211157</v>
      </c>
      <c r="B415" t="s">
        <v>1234</v>
      </c>
      <c r="C415" t="s">
        <v>1474</v>
      </c>
      <c r="D415" t="s">
        <v>1473</v>
      </c>
      <c r="E415" t="s">
        <v>1472</v>
      </c>
      <c r="G415" t="s">
        <v>1482</v>
      </c>
      <c r="H415" t="s">
        <v>22</v>
      </c>
      <c r="I415" t="s">
        <v>22</v>
      </c>
      <c r="J415" t="s">
        <v>17</v>
      </c>
      <c r="K415">
        <v>90.9</v>
      </c>
      <c r="L415">
        <v>109.5</v>
      </c>
      <c r="M415" t="s">
        <v>1470</v>
      </c>
      <c r="N415" t="s">
        <v>1469</v>
      </c>
    </row>
    <row r="416" spans="1:14" x14ac:dyDescent="0.3">
      <c r="A416">
        <v>1211157</v>
      </c>
      <c r="B416" t="s">
        <v>1234</v>
      </c>
      <c r="C416" t="s">
        <v>1474</v>
      </c>
      <c r="D416" t="s">
        <v>1473</v>
      </c>
      <c r="E416" t="s">
        <v>1472</v>
      </c>
      <c r="G416" t="s">
        <v>1481</v>
      </c>
      <c r="H416" t="s">
        <v>22</v>
      </c>
      <c r="I416" t="s">
        <v>22</v>
      </c>
      <c r="J416" t="s">
        <v>17</v>
      </c>
      <c r="K416">
        <v>90.9</v>
      </c>
      <c r="L416">
        <v>109.5</v>
      </c>
      <c r="M416" t="s">
        <v>1470</v>
      </c>
      <c r="N416" t="s">
        <v>1469</v>
      </c>
    </row>
    <row r="417" spans="1:14" x14ac:dyDescent="0.3">
      <c r="A417">
        <v>1211157</v>
      </c>
      <c r="B417" t="s">
        <v>1234</v>
      </c>
      <c r="C417" t="s">
        <v>1474</v>
      </c>
      <c r="D417" t="s">
        <v>1473</v>
      </c>
      <c r="E417" t="s">
        <v>1472</v>
      </c>
      <c r="G417" t="s">
        <v>1480</v>
      </c>
      <c r="H417" t="s">
        <v>22</v>
      </c>
      <c r="I417" t="s">
        <v>22</v>
      </c>
      <c r="J417" t="s">
        <v>17</v>
      </c>
      <c r="K417">
        <v>90.9</v>
      </c>
      <c r="L417">
        <v>109.5</v>
      </c>
      <c r="M417" t="s">
        <v>1470</v>
      </c>
      <c r="N417" t="s">
        <v>1469</v>
      </c>
    </row>
    <row r="418" spans="1:14" x14ac:dyDescent="0.3">
      <c r="A418">
        <v>1211157</v>
      </c>
      <c r="B418" t="s">
        <v>1234</v>
      </c>
      <c r="C418" t="s">
        <v>1474</v>
      </c>
      <c r="D418" t="s">
        <v>1473</v>
      </c>
      <c r="E418" t="s">
        <v>1472</v>
      </c>
      <c r="G418" t="s">
        <v>1479</v>
      </c>
      <c r="H418" t="s">
        <v>22</v>
      </c>
      <c r="I418" t="s">
        <v>22</v>
      </c>
      <c r="J418" t="s">
        <v>17</v>
      </c>
      <c r="K418">
        <v>90.9</v>
      </c>
      <c r="L418">
        <v>109.5</v>
      </c>
      <c r="M418" t="s">
        <v>1470</v>
      </c>
      <c r="N418" t="s">
        <v>1469</v>
      </c>
    </row>
    <row r="419" spans="1:14" x14ac:dyDescent="0.3">
      <c r="A419">
        <v>1211157</v>
      </c>
      <c r="B419" t="s">
        <v>1234</v>
      </c>
      <c r="C419" t="s">
        <v>1474</v>
      </c>
      <c r="D419" t="s">
        <v>1473</v>
      </c>
      <c r="E419" t="s">
        <v>1472</v>
      </c>
      <c r="G419" t="s">
        <v>1478</v>
      </c>
      <c r="H419" t="s">
        <v>22</v>
      </c>
      <c r="I419" t="s">
        <v>22</v>
      </c>
      <c r="J419" t="s">
        <v>17</v>
      </c>
      <c r="K419">
        <v>90.9</v>
      </c>
      <c r="L419">
        <v>109.5</v>
      </c>
      <c r="M419" t="s">
        <v>1470</v>
      </c>
      <c r="N419" t="s">
        <v>1469</v>
      </c>
    </row>
    <row r="420" spans="1:14" x14ac:dyDescent="0.3">
      <c r="A420">
        <v>1211157</v>
      </c>
      <c r="B420" t="s">
        <v>1234</v>
      </c>
      <c r="C420" t="s">
        <v>1474</v>
      </c>
      <c r="D420" t="s">
        <v>1473</v>
      </c>
      <c r="E420" t="s">
        <v>1472</v>
      </c>
      <c r="G420" t="s">
        <v>1477</v>
      </c>
      <c r="H420" t="s">
        <v>22</v>
      </c>
      <c r="I420" t="s">
        <v>22</v>
      </c>
      <c r="J420" t="s">
        <v>17</v>
      </c>
      <c r="K420">
        <v>90.9</v>
      </c>
      <c r="L420">
        <v>109.5</v>
      </c>
      <c r="M420" t="s">
        <v>1470</v>
      </c>
      <c r="N420" t="s">
        <v>1469</v>
      </c>
    </row>
    <row r="421" spans="1:14" x14ac:dyDescent="0.3">
      <c r="A421">
        <v>1211157</v>
      </c>
      <c r="B421" t="s">
        <v>1234</v>
      </c>
      <c r="C421" t="s">
        <v>1474</v>
      </c>
      <c r="D421" t="s">
        <v>1473</v>
      </c>
      <c r="E421" t="s">
        <v>1472</v>
      </c>
      <c r="G421" t="s">
        <v>1476</v>
      </c>
      <c r="H421" t="s">
        <v>22</v>
      </c>
      <c r="I421" t="s">
        <v>22</v>
      </c>
      <c r="J421" t="s">
        <v>17</v>
      </c>
      <c r="K421">
        <v>90.9</v>
      </c>
      <c r="L421">
        <v>109.5</v>
      </c>
      <c r="M421" t="s">
        <v>1470</v>
      </c>
      <c r="N421" t="s">
        <v>1469</v>
      </c>
    </row>
    <row r="422" spans="1:14" x14ac:dyDescent="0.3">
      <c r="A422">
        <v>1211157</v>
      </c>
      <c r="B422" t="s">
        <v>1234</v>
      </c>
      <c r="C422" t="s">
        <v>1474</v>
      </c>
      <c r="D422" t="s">
        <v>1473</v>
      </c>
      <c r="E422" t="s">
        <v>1472</v>
      </c>
      <c r="G422" t="s">
        <v>1475</v>
      </c>
      <c r="H422" t="s">
        <v>22</v>
      </c>
      <c r="I422" t="s">
        <v>22</v>
      </c>
      <c r="J422" t="s">
        <v>17</v>
      </c>
      <c r="K422">
        <v>90.9</v>
      </c>
      <c r="L422">
        <v>109.5</v>
      </c>
      <c r="M422" t="s">
        <v>1470</v>
      </c>
      <c r="N422" t="s">
        <v>1469</v>
      </c>
    </row>
    <row r="423" spans="1:14" x14ac:dyDescent="0.3">
      <c r="A423">
        <v>1211157</v>
      </c>
      <c r="B423" t="s">
        <v>1234</v>
      </c>
      <c r="C423" t="s">
        <v>1474</v>
      </c>
      <c r="D423" t="s">
        <v>1473</v>
      </c>
      <c r="E423" t="s">
        <v>1472</v>
      </c>
      <c r="G423" t="s">
        <v>1471</v>
      </c>
      <c r="H423" t="s">
        <v>22</v>
      </c>
      <c r="I423" t="s">
        <v>22</v>
      </c>
      <c r="J423" t="s">
        <v>17</v>
      </c>
      <c r="K423">
        <v>90.9</v>
      </c>
      <c r="L423">
        <v>109.5</v>
      </c>
      <c r="M423" t="s">
        <v>1470</v>
      </c>
      <c r="N423" t="s">
        <v>1469</v>
      </c>
    </row>
    <row r="424" spans="1:14" x14ac:dyDescent="0.3">
      <c r="A424">
        <v>1211157</v>
      </c>
      <c r="B424" t="s">
        <v>1234</v>
      </c>
      <c r="C424" t="s">
        <v>1397</v>
      </c>
      <c r="D424" t="s">
        <v>1396</v>
      </c>
      <c r="E424" t="s">
        <v>1395</v>
      </c>
      <c r="F424" t="s">
        <v>1394</v>
      </c>
      <c r="G424" t="s">
        <v>1468</v>
      </c>
      <c r="H424" t="s">
        <v>46</v>
      </c>
      <c r="I424" t="s">
        <v>46</v>
      </c>
      <c r="J424" t="s">
        <v>17</v>
      </c>
      <c r="K424">
        <v>100</v>
      </c>
      <c r="L424">
        <v>50</v>
      </c>
      <c r="M424" t="s">
        <v>1392</v>
      </c>
      <c r="N424" t="s">
        <v>1391</v>
      </c>
    </row>
    <row r="425" spans="1:14" x14ac:dyDescent="0.3">
      <c r="A425">
        <v>1211157</v>
      </c>
      <c r="B425" t="s">
        <v>1234</v>
      </c>
      <c r="C425" t="s">
        <v>1397</v>
      </c>
      <c r="D425" t="s">
        <v>1396</v>
      </c>
      <c r="E425" t="s">
        <v>1395</v>
      </c>
      <c r="F425" t="s">
        <v>1394</v>
      </c>
      <c r="G425" t="s">
        <v>1467</v>
      </c>
      <c r="H425" t="s">
        <v>46</v>
      </c>
      <c r="I425" t="s">
        <v>46</v>
      </c>
      <c r="J425" t="s">
        <v>17</v>
      </c>
      <c r="K425">
        <v>100</v>
      </c>
      <c r="L425">
        <v>50</v>
      </c>
      <c r="M425" t="s">
        <v>1392</v>
      </c>
      <c r="N425" t="s">
        <v>1391</v>
      </c>
    </row>
    <row r="426" spans="1:14" x14ac:dyDescent="0.3">
      <c r="A426">
        <v>1211157</v>
      </c>
      <c r="B426" t="s">
        <v>1234</v>
      </c>
      <c r="C426" t="s">
        <v>1397</v>
      </c>
      <c r="D426" t="s">
        <v>1396</v>
      </c>
      <c r="E426" t="s">
        <v>1395</v>
      </c>
      <c r="F426" t="s">
        <v>1394</v>
      </c>
      <c r="G426" t="s">
        <v>1466</v>
      </c>
      <c r="H426" t="s">
        <v>46</v>
      </c>
      <c r="I426" t="s">
        <v>46</v>
      </c>
      <c r="J426" t="s">
        <v>17</v>
      </c>
      <c r="K426">
        <v>100</v>
      </c>
      <c r="L426">
        <v>50</v>
      </c>
      <c r="M426" t="s">
        <v>1392</v>
      </c>
      <c r="N426" t="s">
        <v>1391</v>
      </c>
    </row>
    <row r="427" spans="1:14" x14ac:dyDescent="0.3">
      <c r="A427">
        <v>1211157</v>
      </c>
      <c r="B427" t="s">
        <v>1234</v>
      </c>
      <c r="C427" t="s">
        <v>1397</v>
      </c>
      <c r="D427" t="s">
        <v>1396</v>
      </c>
      <c r="E427" t="s">
        <v>1395</v>
      </c>
      <c r="F427" t="s">
        <v>1394</v>
      </c>
      <c r="G427" t="s">
        <v>1465</v>
      </c>
      <c r="H427" t="s">
        <v>46</v>
      </c>
      <c r="I427" t="s">
        <v>46</v>
      </c>
      <c r="J427" t="s">
        <v>17</v>
      </c>
      <c r="K427">
        <v>100</v>
      </c>
      <c r="L427">
        <v>50</v>
      </c>
      <c r="M427" t="s">
        <v>1392</v>
      </c>
      <c r="N427" t="s">
        <v>1391</v>
      </c>
    </row>
    <row r="428" spans="1:14" x14ac:dyDescent="0.3">
      <c r="A428">
        <v>1211157</v>
      </c>
      <c r="B428" t="s">
        <v>1234</v>
      </c>
      <c r="C428" t="s">
        <v>1397</v>
      </c>
      <c r="D428" t="s">
        <v>1396</v>
      </c>
      <c r="E428" t="s">
        <v>1395</v>
      </c>
      <c r="F428" t="s">
        <v>1394</v>
      </c>
      <c r="G428" t="s">
        <v>1464</v>
      </c>
      <c r="H428" t="s">
        <v>46</v>
      </c>
      <c r="I428" t="s">
        <v>46</v>
      </c>
      <c r="J428" t="s">
        <v>17</v>
      </c>
      <c r="K428">
        <v>100</v>
      </c>
      <c r="L428">
        <v>50</v>
      </c>
      <c r="M428" t="s">
        <v>1392</v>
      </c>
      <c r="N428" t="s">
        <v>1391</v>
      </c>
    </row>
    <row r="429" spans="1:14" x14ac:dyDescent="0.3">
      <c r="A429">
        <v>1211157</v>
      </c>
      <c r="B429" t="s">
        <v>1234</v>
      </c>
      <c r="C429" t="s">
        <v>1397</v>
      </c>
      <c r="D429" t="s">
        <v>1396</v>
      </c>
      <c r="E429" t="s">
        <v>1395</v>
      </c>
      <c r="F429" t="s">
        <v>1394</v>
      </c>
      <c r="G429" t="s">
        <v>1463</v>
      </c>
      <c r="H429" t="s">
        <v>46</v>
      </c>
      <c r="I429" t="s">
        <v>46</v>
      </c>
      <c r="J429" t="s">
        <v>17</v>
      </c>
      <c r="K429">
        <v>100</v>
      </c>
      <c r="L429">
        <v>50</v>
      </c>
      <c r="M429" t="s">
        <v>1392</v>
      </c>
      <c r="N429" t="s">
        <v>1391</v>
      </c>
    </row>
    <row r="430" spans="1:14" x14ac:dyDescent="0.3">
      <c r="A430">
        <v>1211157</v>
      </c>
      <c r="B430" t="s">
        <v>1234</v>
      </c>
      <c r="C430" t="s">
        <v>1397</v>
      </c>
      <c r="D430" t="s">
        <v>1396</v>
      </c>
      <c r="E430" t="s">
        <v>1395</v>
      </c>
      <c r="F430" t="s">
        <v>1394</v>
      </c>
      <c r="G430" t="s">
        <v>1462</v>
      </c>
      <c r="H430" t="s">
        <v>46</v>
      </c>
      <c r="I430" t="s">
        <v>46</v>
      </c>
      <c r="J430" t="s">
        <v>17</v>
      </c>
      <c r="K430">
        <v>100</v>
      </c>
      <c r="L430">
        <v>50</v>
      </c>
      <c r="M430" t="s">
        <v>1392</v>
      </c>
      <c r="N430" t="s">
        <v>1391</v>
      </c>
    </row>
    <row r="431" spans="1:14" x14ac:dyDescent="0.3">
      <c r="A431">
        <v>1211157</v>
      </c>
      <c r="B431" t="s">
        <v>1234</v>
      </c>
      <c r="C431" t="s">
        <v>1397</v>
      </c>
      <c r="D431" t="s">
        <v>1396</v>
      </c>
      <c r="E431" t="s">
        <v>1395</v>
      </c>
      <c r="F431" t="s">
        <v>1394</v>
      </c>
      <c r="G431" t="s">
        <v>1461</v>
      </c>
      <c r="H431" t="s">
        <v>46</v>
      </c>
      <c r="I431" t="s">
        <v>46</v>
      </c>
      <c r="J431" t="s">
        <v>17</v>
      </c>
      <c r="K431">
        <v>100</v>
      </c>
      <c r="L431">
        <v>50</v>
      </c>
      <c r="M431" t="s">
        <v>1392</v>
      </c>
      <c r="N431" t="s">
        <v>1391</v>
      </c>
    </row>
    <row r="432" spans="1:14" x14ac:dyDescent="0.3">
      <c r="A432">
        <v>1211157</v>
      </c>
      <c r="B432" t="s">
        <v>1234</v>
      </c>
      <c r="C432" t="s">
        <v>1397</v>
      </c>
      <c r="D432" t="s">
        <v>1396</v>
      </c>
      <c r="E432" t="s">
        <v>1395</v>
      </c>
      <c r="F432" t="s">
        <v>1394</v>
      </c>
      <c r="G432" t="s">
        <v>1460</v>
      </c>
      <c r="H432" t="s">
        <v>46</v>
      </c>
      <c r="I432" t="s">
        <v>46</v>
      </c>
      <c r="J432" t="s">
        <v>17</v>
      </c>
      <c r="K432">
        <v>100</v>
      </c>
      <c r="L432">
        <v>50</v>
      </c>
      <c r="M432" t="s">
        <v>1392</v>
      </c>
      <c r="N432" t="s">
        <v>1391</v>
      </c>
    </row>
    <row r="433" spans="1:14" x14ac:dyDescent="0.3">
      <c r="A433">
        <v>1211157</v>
      </c>
      <c r="B433" t="s">
        <v>1234</v>
      </c>
      <c r="C433" t="s">
        <v>1397</v>
      </c>
      <c r="D433" t="s">
        <v>1396</v>
      </c>
      <c r="E433" t="s">
        <v>1395</v>
      </c>
      <c r="F433" t="s">
        <v>1394</v>
      </c>
      <c r="G433" t="s">
        <v>1459</v>
      </c>
      <c r="H433" t="s">
        <v>46</v>
      </c>
      <c r="I433" t="s">
        <v>46</v>
      </c>
      <c r="J433" t="s">
        <v>17</v>
      </c>
      <c r="K433">
        <v>100</v>
      </c>
      <c r="L433">
        <v>50</v>
      </c>
      <c r="M433" t="s">
        <v>1392</v>
      </c>
      <c r="N433" t="s">
        <v>1391</v>
      </c>
    </row>
    <row r="434" spans="1:14" x14ac:dyDescent="0.3">
      <c r="A434">
        <v>1211157</v>
      </c>
      <c r="B434" t="s">
        <v>1234</v>
      </c>
      <c r="C434" t="s">
        <v>1397</v>
      </c>
      <c r="D434" t="s">
        <v>1396</v>
      </c>
      <c r="E434" t="s">
        <v>1395</v>
      </c>
      <c r="F434" t="s">
        <v>1394</v>
      </c>
      <c r="G434" t="s">
        <v>1458</v>
      </c>
      <c r="H434" t="s">
        <v>46</v>
      </c>
      <c r="I434" t="s">
        <v>46</v>
      </c>
      <c r="J434" t="s">
        <v>17</v>
      </c>
      <c r="K434">
        <v>100</v>
      </c>
      <c r="L434">
        <v>50</v>
      </c>
      <c r="M434" t="s">
        <v>1392</v>
      </c>
      <c r="N434" t="s">
        <v>1391</v>
      </c>
    </row>
    <row r="435" spans="1:14" x14ac:dyDescent="0.3">
      <c r="A435">
        <v>1211157</v>
      </c>
      <c r="B435" t="s">
        <v>1234</v>
      </c>
      <c r="C435" t="s">
        <v>1397</v>
      </c>
      <c r="D435" t="s">
        <v>1396</v>
      </c>
      <c r="E435" t="s">
        <v>1395</v>
      </c>
      <c r="F435" t="s">
        <v>1394</v>
      </c>
      <c r="G435" t="s">
        <v>1457</v>
      </c>
      <c r="H435" t="s">
        <v>46</v>
      </c>
      <c r="I435" t="s">
        <v>46</v>
      </c>
      <c r="J435" t="s">
        <v>17</v>
      </c>
      <c r="K435">
        <v>100</v>
      </c>
      <c r="L435">
        <v>50</v>
      </c>
      <c r="M435" t="s">
        <v>1392</v>
      </c>
      <c r="N435" t="s">
        <v>1391</v>
      </c>
    </row>
    <row r="436" spans="1:14" x14ac:dyDescent="0.3">
      <c r="A436">
        <v>1211157</v>
      </c>
      <c r="B436" t="s">
        <v>1234</v>
      </c>
      <c r="C436" t="s">
        <v>1397</v>
      </c>
      <c r="D436" t="s">
        <v>1396</v>
      </c>
      <c r="E436" t="s">
        <v>1395</v>
      </c>
      <c r="F436" t="s">
        <v>1394</v>
      </c>
      <c r="G436" t="s">
        <v>1456</v>
      </c>
      <c r="H436" t="s">
        <v>46</v>
      </c>
      <c r="I436" t="s">
        <v>46</v>
      </c>
      <c r="J436" t="s">
        <v>17</v>
      </c>
      <c r="K436">
        <v>100</v>
      </c>
      <c r="L436">
        <v>50</v>
      </c>
      <c r="M436" t="s">
        <v>1392</v>
      </c>
      <c r="N436" t="s">
        <v>1391</v>
      </c>
    </row>
    <row r="437" spans="1:14" x14ac:dyDescent="0.3">
      <c r="A437">
        <v>1211157</v>
      </c>
      <c r="B437" t="s">
        <v>1234</v>
      </c>
      <c r="C437" t="s">
        <v>1397</v>
      </c>
      <c r="D437" t="s">
        <v>1396</v>
      </c>
      <c r="E437" t="s">
        <v>1395</v>
      </c>
      <c r="F437" t="s">
        <v>1394</v>
      </c>
      <c r="G437" t="s">
        <v>1455</v>
      </c>
      <c r="H437" t="s">
        <v>46</v>
      </c>
      <c r="I437" t="s">
        <v>46</v>
      </c>
      <c r="J437" t="s">
        <v>17</v>
      </c>
      <c r="K437">
        <v>100</v>
      </c>
      <c r="L437">
        <v>50</v>
      </c>
      <c r="M437" t="s">
        <v>1392</v>
      </c>
      <c r="N437" t="s">
        <v>1391</v>
      </c>
    </row>
    <row r="438" spans="1:14" x14ac:dyDescent="0.3">
      <c r="A438">
        <v>1211157</v>
      </c>
      <c r="B438" t="s">
        <v>1234</v>
      </c>
      <c r="C438" t="s">
        <v>1397</v>
      </c>
      <c r="D438" t="s">
        <v>1396</v>
      </c>
      <c r="E438" t="s">
        <v>1395</v>
      </c>
      <c r="F438" t="s">
        <v>1394</v>
      </c>
      <c r="G438" t="s">
        <v>1454</v>
      </c>
      <c r="H438" t="s">
        <v>46</v>
      </c>
      <c r="I438" t="s">
        <v>46</v>
      </c>
      <c r="J438" t="s">
        <v>17</v>
      </c>
      <c r="K438">
        <v>100</v>
      </c>
      <c r="L438">
        <v>50</v>
      </c>
      <c r="M438" t="s">
        <v>1392</v>
      </c>
      <c r="N438" t="s">
        <v>1391</v>
      </c>
    </row>
    <row r="439" spans="1:14" x14ac:dyDescent="0.3">
      <c r="A439">
        <v>1211157</v>
      </c>
      <c r="B439" t="s">
        <v>1234</v>
      </c>
      <c r="C439" t="s">
        <v>1397</v>
      </c>
      <c r="D439" t="s">
        <v>1396</v>
      </c>
      <c r="E439" t="s">
        <v>1395</v>
      </c>
      <c r="F439" t="s">
        <v>1394</v>
      </c>
      <c r="G439" t="s">
        <v>1453</v>
      </c>
      <c r="H439" t="s">
        <v>46</v>
      </c>
      <c r="I439" t="s">
        <v>46</v>
      </c>
      <c r="J439" t="s">
        <v>17</v>
      </c>
      <c r="K439">
        <v>100</v>
      </c>
      <c r="L439">
        <v>50</v>
      </c>
      <c r="M439" t="s">
        <v>1392</v>
      </c>
      <c r="N439" t="s">
        <v>1391</v>
      </c>
    </row>
    <row r="440" spans="1:14" x14ac:dyDescent="0.3">
      <c r="A440">
        <v>1211157</v>
      </c>
      <c r="B440" t="s">
        <v>1234</v>
      </c>
      <c r="C440" t="s">
        <v>1397</v>
      </c>
      <c r="D440" t="s">
        <v>1396</v>
      </c>
      <c r="E440" t="s">
        <v>1395</v>
      </c>
      <c r="F440" t="s">
        <v>1394</v>
      </c>
      <c r="G440" t="s">
        <v>1452</v>
      </c>
      <c r="H440" t="s">
        <v>46</v>
      </c>
      <c r="I440" t="s">
        <v>46</v>
      </c>
      <c r="J440" t="s">
        <v>17</v>
      </c>
      <c r="K440">
        <v>100</v>
      </c>
      <c r="L440">
        <v>50</v>
      </c>
      <c r="M440" t="s">
        <v>1392</v>
      </c>
      <c r="N440" t="s">
        <v>1391</v>
      </c>
    </row>
    <row r="441" spans="1:14" x14ac:dyDescent="0.3">
      <c r="A441">
        <v>1211157</v>
      </c>
      <c r="B441" t="s">
        <v>1234</v>
      </c>
      <c r="C441" t="s">
        <v>1397</v>
      </c>
      <c r="D441" t="s">
        <v>1396</v>
      </c>
      <c r="E441" t="s">
        <v>1395</v>
      </c>
      <c r="F441" t="s">
        <v>1394</v>
      </c>
      <c r="G441" t="s">
        <v>1451</v>
      </c>
      <c r="H441" t="s">
        <v>46</v>
      </c>
      <c r="I441" t="s">
        <v>46</v>
      </c>
      <c r="J441" t="s">
        <v>17</v>
      </c>
      <c r="K441">
        <v>100</v>
      </c>
      <c r="L441">
        <v>50</v>
      </c>
      <c r="M441" t="s">
        <v>1392</v>
      </c>
      <c r="N441" t="s">
        <v>1391</v>
      </c>
    </row>
    <row r="442" spans="1:14" x14ac:dyDescent="0.3">
      <c r="A442">
        <v>1211157</v>
      </c>
      <c r="B442" t="s">
        <v>1234</v>
      </c>
      <c r="C442" t="s">
        <v>1397</v>
      </c>
      <c r="D442" t="s">
        <v>1396</v>
      </c>
      <c r="E442" t="s">
        <v>1395</v>
      </c>
      <c r="F442" t="s">
        <v>1394</v>
      </c>
      <c r="G442" t="s">
        <v>1450</v>
      </c>
      <c r="H442" t="s">
        <v>46</v>
      </c>
      <c r="I442" t="s">
        <v>46</v>
      </c>
      <c r="J442" t="s">
        <v>17</v>
      </c>
      <c r="K442">
        <v>100</v>
      </c>
      <c r="L442">
        <v>50</v>
      </c>
      <c r="M442" t="s">
        <v>1392</v>
      </c>
      <c r="N442" t="s">
        <v>1391</v>
      </c>
    </row>
    <row r="443" spans="1:14" x14ac:dyDescent="0.3">
      <c r="A443">
        <v>1211157</v>
      </c>
      <c r="B443" t="s">
        <v>1234</v>
      </c>
      <c r="C443" t="s">
        <v>1397</v>
      </c>
      <c r="D443" t="s">
        <v>1396</v>
      </c>
      <c r="E443" t="s">
        <v>1395</v>
      </c>
      <c r="F443" t="s">
        <v>1394</v>
      </c>
      <c r="G443" t="s">
        <v>1449</v>
      </c>
      <c r="H443" t="s">
        <v>46</v>
      </c>
      <c r="I443" t="s">
        <v>46</v>
      </c>
      <c r="J443" t="s">
        <v>17</v>
      </c>
      <c r="K443">
        <v>100</v>
      </c>
      <c r="L443">
        <v>50</v>
      </c>
      <c r="M443" t="s">
        <v>1392</v>
      </c>
      <c r="N443" t="s">
        <v>1391</v>
      </c>
    </row>
    <row r="444" spans="1:14" x14ac:dyDescent="0.3">
      <c r="A444">
        <v>1211157</v>
      </c>
      <c r="B444" t="s">
        <v>1234</v>
      </c>
      <c r="C444" t="s">
        <v>1397</v>
      </c>
      <c r="D444" t="s">
        <v>1396</v>
      </c>
      <c r="E444" t="s">
        <v>1395</v>
      </c>
      <c r="F444" t="s">
        <v>1394</v>
      </c>
      <c r="G444" t="s">
        <v>1448</v>
      </c>
      <c r="H444" t="s">
        <v>46</v>
      </c>
      <c r="I444" t="s">
        <v>46</v>
      </c>
      <c r="J444" t="s">
        <v>17</v>
      </c>
      <c r="K444">
        <v>100</v>
      </c>
      <c r="L444">
        <v>50</v>
      </c>
      <c r="M444" t="s">
        <v>1392</v>
      </c>
      <c r="N444" t="s">
        <v>1391</v>
      </c>
    </row>
    <row r="445" spans="1:14" x14ac:dyDescent="0.3">
      <c r="A445">
        <v>1211157</v>
      </c>
      <c r="B445" t="s">
        <v>1234</v>
      </c>
      <c r="C445" t="s">
        <v>1397</v>
      </c>
      <c r="D445" t="s">
        <v>1396</v>
      </c>
      <c r="E445" t="s">
        <v>1395</v>
      </c>
      <c r="F445" t="s">
        <v>1394</v>
      </c>
      <c r="G445" t="s">
        <v>1447</v>
      </c>
      <c r="H445" t="s">
        <v>46</v>
      </c>
      <c r="I445" t="s">
        <v>46</v>
      </c>
      <c r="J445" t="s">
        <v>17</v>
      </c>
      <c r="K445">
        <v>100</v>
      </c>
      <c r="L445">
        <v>50</v>
      </c>
      <c r="M445" t="s">
        <v>1392</v>
      </c>
      <c r="N445" t="s">
        <v>1391</v>
      </c>
    </row>
    <row r="446" spans="1:14" x14ac:dyDescent="0.3">
      <c r="A446">
        <v>1211157</v>
      </c>
      <c r="B446" t="s">
        <v>1234</v>
      </c>
      <c r="C446" t="s">
        <v>1397</v>
      </c>
      <c r="D446" t="s">
        <v>1396</v>
      </c>
      <c r="E446" t="s">
        <v>1395</v>
      </c>
      <c r="F446" t="s">
        <v>1394</v>
      </c>
      <c r="G446" t="s">
        <v>1446</v>
      </c>
      <c r="H446" t="s">
        <v>46</v>
      </c>
      <c r="I446" t="s">
        <v>46</v>
      </c>
      <c r="J446" t="s">
        <v>17</v>
      </c>
      <c r="K446">
        <v>100</v>
      </c>
      <c r="L446">
        <v>50</v>
      </c>
      <c r="M446" t="s">
        <v>1392</v>
      </c>
      <c r="N446" t="s">
        <v>1391</v>
      </c>
    </row>
    <row r="447" spans="1:14" x14ac:dyDescent="0.3">
      <c r="A447">
        <v>1211157</v>
      </c>
      <c r="B447" t="s">
        <v>1234</v>
      </c>
      <c r="C447" t="s">
        <v>1397</v>
      </c>
      <c r="D447" t="s">
        <v>1396</v>
      </c>
      <c r="E447" t="s">
        <v>1395</v>
      </c>
      <c r="F447" t="s">
        <v>1394</v>
      </c>
      <c r="G447" t="s">
        <v>1445</v>
      </c>
      <c r="H447" t="s">
        <v>46</v>
      </c>
      <c r="I447" t="s">
        <v>46</v>
      </c>
      <c r="J447" t="s">
        <v>17</v>
      </c>
      <c r="K447">
        <v>100</v>
      </c>
      <c r="L447">
        <v>50</v>
      </c>
      <c r="M447" t="s">
        <v>1392</v>
      </c>
      <c r="N447" t="s">
        <v>1391</v>
      </c>
    </row>
    <row r="448" spans="1:14" x14ac:dyDescent="0.3">
      <c r="A448">
        <v>1211157</v>
      </c>
      <c r="B448" t="s">
        <v>1234</v>
      </c>
      <c r="C448" t="s">
        <v>1397</v>
      </c>
      <c r="D448" t="s">
        <v>1396</v>
      </c>
      <c r="E448" t="s">
        <v>1395</v>
      </c>
      <c r="F448" t="s">
        <v>1394</v>
      </c>
      <c r="G448" t="s">
        <v>1444</v>
      </c>
      <c r="H448" t="s">
        <v>46</v>
      </c>
      <c r="I448" t="s">
        <v>46</v>
      </c>
      <c r="J448" t="s">
        <v>17</v>
      </c>
      <c r="K448">
        <v>100</v>
      </c>
      <c r="L448">
        <v>50</v>
      </c>
      <c r="M448" t="s">
        <v>1392</v>
      </c>
      <c r="N448" t="s">
        <v>1391</v>
      </c>
    </row>
    <row r="449" spans="1:14" x14ac:dyDescent="0.3">
      <c r="A449">
        <v>1211157</v>
      </c>
      <c r="B449" t="s">
        <v>1234</v>
      </c>
      <c r="C449" t="s">
        <v>1397</v>
      </c>
      <c r="D449" t="s">
        <v>1396</v>
      </c>
      <c r="E449" t="s">
        <v>1395</v>
      </c>
      <c r="F449" t="s">
        <v>1394</v>
      </c>
      <c r="G449" t="s">
        <v>1443</v>
      </c>
      <c r="H449" t="s">
        <v>46</v>
      </c>
      <c r="I449" t="s">
        <v>46</v>
      </c>
      <c r="J449" t="s">
        <v>17</v>
      </c>
      <c r="K449">
        <v>100</v>
      </c>
      <c r="L449">
        <v>50</v>
      </c>
      <c r="M449" t="s">
        <v>1392</v>
      </c>
      <c r="N449" t="s">
        <v>1391</v>
      </c>
    </row>
    <row r="450" spans="1:14" x14ac:dyDescent="0.3">
      <c r="A450">
        <v>1211157</v>
      </c>
      <c r="B450" t="s">
        <v>1234</v>
      </c>
      <c r="C450" t="s">
        <v>1397</v>
      </c>
      <c r="D450" t="s">
        <v>1396</v>
      </c>
      <c r="E450" t="s">
        <v>1395</v>
      </c>
      <c r="F450" t="s">
        <v>1394</v>
      </c>
      <c r="G450" t="s">
        <v>1442</v>
      </c>
      <c r="H450" t="s">
        <v>46</v>
      </c>
      <c r="I450" t="s">
        <v>46</v>
      </c>
      <c r="J450" t="s">
        <v>17</v>
      </c>
      <c r="K450">
        <v>100</v>
      </c>
      <c r="L450">
        <v>50</v>
      </c>
      <c r="M450" t="s">
        <v>1392</v>
      </c>
      <c r="N450" t="s">
        <v>1391</v>
      </c>
    </row>
    <row r="451" spans="1:14" x14ac:dyDescent="0.3">
      <c r="A451">
        <v>1211157</v>
      </c>
      <c r="B451" t="s">
        <v>1234</v>
      </c>
      <c r="C451" t="s">
        <v>1397</v>
      </c>
      <c r="D451" t="s">
        <v>1396</v>
      </c>
      <c r="E451" t="s">
        <v>1395</v>
      </c>
      <c r="F451" t="s">
        <v>1394</v>
      </c>
      <c r="G451" t="s">
        <v>1441</v>
      </c>
      <c r="H451" t="s">
        <v>46</v>
      </c>
      <c r="I451" t="s">
        <v>46</v>
      </c>
      <c r="J451" t="s">
        <v>17</v>
      </c>
      <c r="K451">
        <v>100</v>
      </c>
      <c r="L451">
        <v>50</v>
      </c>
      <c r="M451" t="s">
        <v>1392</v>
      </c>
      <c r="N451" t="s">
        <v>1391</v>
      </c>
    </row>
    <row r="452" spans="1:14" x14ac:dyDescent="0.3">
      <c r="A452">
        <v>1211157</v>
      </c>
      <c r="B452" t="s">
        <v>1234</v>
      </c>
      <c r="C452" t="s">
        <v>1397</v>
      </c>
      <c r="D452" t="s">
        <v>1396</v>
      </c>
      <c r="E452" t="s">
        <v>1395</v>
      </c>
      <c r="F452" t="s">
        <v>1394</v>
      </c>
      <c r="G452" t="s">
        <v>1440</v>
      </c>
      <c r="H452" t="s">
        <v>46</v>
      </c>
      <c r="I452" t="s">
        <v>46</v>
      </c>
      <c r="J452" t="s">
        <v>17</v>
      </c>
      <c r="K452">
        <v>100</v>
      </c>
      <c r="L452">
        <v>50</v>
      </c>
      <c r="M452" t="s">
        <v>1392</v>
      </c>
      <c r="N452" t="s">
        <v>1391</v>
      </c>
    </row>
    <row r="453" spans="1:14" x14ac:dyDescent="0.3">
      <c r="A453">
        <v>1211157</v>
      </c>
      <c r="B453" t="s">
        <v>1234</v>
      </c>
      <c r="C453" t="s">
        <v>1397</v>
      </c>
      <c r="D453" t="s">
        <v>1396</v>
      </c>
      <c r="E453" t="s">
        <v>1395</v>
      </c>
      <c r="F453" t="s">
        <v>1394</v>
      </c>
      <c r="G453" t="s">
        <v>1439</v>
      </c>
      <c r="H453" t="s">
        <v>46</v>
      </c>
      <c r="I453" t="s">
        <v>46</v>
      </c>
      <c r="J453" t="s">
        <v>17</v>
      </c>
      <c r="K453">
        <v>100</v>
      </c>
      <c r="L453">
        <v>50</v>
      </c>
      <c r="M453" t="s">
        <v>1392</v>
      </c>
      <c r="N453" t="s">
        <v>1391</v>
      </c>
    </row>
    <row r="454" spans="1:14" x14ac:dyDescent="0.3">
      <c r="A454">
        <v>1211157</v>
      </c>
      <c r="B454" t="s">
        <v>1234</v>
      </c>
      <c r="C454" t="s">
        <v>1397</v>
      </c>
      <c r="D454" t="s">
        <v>1396</v>
      </c>
      <c r="E454" t="s">
        <v>1395</v>
      </c>
      <c r="F454" t="s">
        <v>1394</v>
      </c>
      <c r="G454" t="s">
        <v>1438</v>
      </c>
      <c r="H454" t="s">
        <v>46</v>
      </c>
      <c r="I454" t="s">
        <v>46</v>
      </c>
      <c r="J454" t="s">
        <v>17</v>
      </c>
      <c r="K454">
        <v>100</v>
      </c>
      <c r="L454">
        <v>50</v>
      </c>
      <c r="M454" t="s">
        <v>1392</v>
      </c>
      <c r="N454" t="s">
        <v>1391</v>
      </c>
    </row>
    <row r="455" spans="1:14" x14ac:dyDescent="0.3">
      <c r="A455">
        <v>1211157</v>
      </c>
      <c r="B455" t="s">
        <v>1234</v>
      </c>
      <c r="C455" t="s">
        <v>1397</v>
      </c>
      <c r="D455" t="s">
        <v>1396</v>
      </c>
      <c r="E455" t="s">
        <v>1395</v>
      </c>
      <c r="F455" t="s">
        <v>1394</v>
      </c>
      <c r="G455" t="s">
        <v>1437</v>
      </c>
      <c r="H455" t="s">
        <v>46</v>
      </c>
      <c r="I455" t="s">
        <v>46</v>
      </c>
      <c r="J455" t="s">
        <v>17</v>
      </c>
      <c r="K455">
        <v>100</v>
      </c>
      <c r="L455">
        <v>50</v>
      </c>
      <c r="M455" t="s">
        <v>1392</v>
      </c>
      <c r="N455" t="s">
        <v>1391</v>
      </c>
    </row>
    <row r="456" spans="1:14" x14ac:dyDescent="0.3">
      <c r="A456">
        <v>1211157</v>
      </c>
      <c r="B456" t="s">
        <v>1234</v>
      </c>
      <c r="C456" t="s">
        <v>1397</v>
      </c>
      <c r="D456" t="s">
        <v>1396</v>
      </c>
      <c r="E456" t="s">
        <v>1395</v>
      </c>
      <c r="F456" t="s">
        <v>1394</v>
      </c>
      <c r="G456" t="s">
        <v>1436</v>
      </c>
      <c r="H456" t="s">
        <v>46</v>
      </c>
      <c r="I456" t="s">
        <v>46</v>
      </c>
      <c r="J456" t="s">
        <v>17</v>
      </c>
      <c r="K456">
        <v>100</v>
      </c>
      <c r="L456">
        <v>50</v>
      </c>
      <c r="M456" t="s">
        <v>1392</v>
      </c>
      <c r="N456" t="s">
        <v>1391</v>
      </c>
    </row>
    <row r="457" spans="1:14" x14ac:dyDescent="0.3">
      <c r="A457">
        <v>1211157</v>
      </c>
      <c r="B457" t="s">
        <v>1234</v>
      </c>
      <c r="C457" t="s">
        <v>1397</v>
      </c>
      <c r="D457" t="s">
        <v>1396</v>
      </c>
      <c r="E457" t="s">
        <v>1395</v>
      </c>
      <c r="F457" t="s">
        <v>1394</v>
      </c>
      <c r="G457" t="s">
        <v>1435</v>
      </c>
      <c r="H457" t="s">
        <v>46</v>
      </c>
      <c r="I457" t="s">
        <v>46</v>
      </c>
      <c r="J457" t="s">
        <v>17</v>
      </c>
      <c r="K457">
        <v>100</v>
      </c>
      <c r="L457">
        <v>50</v>
      </c>
      <c r="M457" t="s">
        <v>1392</v>
      </c>
      <c r="N457" t="s">
        <v>1391</v>
      </c>
    </row>
    <row r="458" spans="1:14" x14ac:dyDescent="0.3">
      <c r="A458">
        <v>1211157</v>
      </c>
      <c r="B458" t="s">
        <v>1234</v>
      </c>
      <c r="C458" t="s">
        <v>1397</v>
      </c>
      <c r="D458" t="s">
        <v>1396</v>
      </c>
      <c r="E458" t="s">
        <v>1395</v>
      </c>
      <c r="F458" t="s">
        <v>1394</v>
      </c>
      <c r="G458" t="s">
        <v>1434</v>
      </c>
      <c r="H458" t="s">
        <v>46</v>
      </c>
      <c r="I458" t="s">
        <v>46</v>
      </c>
      <c r="J458" t="s">
        <v>17</v>
      </c>
      <c r="K458">
        <v>100</v>
      </c>
      <c r="L458">
        <v>50</v>
      </c>
      <c r="M458" t="s">
        <v>1392</v>
      </c>
      <c r="N458" t="s">
        <v>1391</v>
      </c>
    </row>
    <row r="459" spans="1:14" x14ac:dyDescent="0.3">
      <c r="A459">
        <v>1211157</v>
      </c>
      <c r="B459" t="s">
        <v>1234</v>
      </c>
      <c r="C459" t="s">
        <v>1397</v>
      </c>
      <c r="D459" t="s">
        <v>1396</v>
      </c>
      <c r="E459" t="s">
        <v>1395</v>
      </c>
      <c r="F459" t="s">
        <v>1394</v>
      </c>
      <c r="G459" t="s">
        <v>1433</v>
      </c>
      <c r="H459" t="s">
        <v>46</v>
      </c>
      <c r="I459" t="s">
        <v>46</v>
      </c>
      <c r="J459" t="s">
        <v>17</v>
      </c>
      <c r="K459">
        <v>100</v>
      </c>
      <c r="L459">
        <v>50</v>
      </c>
      <c r="M459" t="s">
        <v>1392</v>
      </c>
      <c r="N459" t="s">
        <v>1391</v>
      </c>
    </row>
    <row r="460" spans="1:14" x14ac:dyDescent="0.3">
      <c r="A460">
        <v>1211157</v>
      </c>
      <c r="B460" t="s">
        <v>1234</v>
      </c>
      <c r="C460" t="s">
        <v>1397</v>
      </c>
      <c r="D460" t="s">
        <v>1396</v>
      </c>
      <c r="E460" t="s">
        <v>1395</v>
      </c>
      <c r="F460" t="s">
        <v>1394</v>
      </c>
      <c r="G460" t="s">
        <v>1432</v>
      </c>
      <c r="H460" t="s">
        <v>46</v>
      </c>
      <c r="I460" t="s">
        <v>46</v>
      </c>
      <c r="J460" t="s">
        <v>17</v>
      </c>
      <c r="K460">
        <v>100</v>
      </c>
      <c r="L460">
        <v>50</v>
      </c>
      <c r="M460" t="s">
        <v>1392</v>
      </c>
      <c r="N460" t="s">
        <v>1391</v>
      </c>
    </row>
    <row r="461" spans="1:14" x14ac:dyDescent="0.3">
      <c r="A461">
        <v>1211157</v>
      </c>
      <c r="B461" t="s">
        <v>1234</v>
      </c>
      <c r="C461" t="s">
        <v>1397</v>
      </c>
      <c r="D461" t="s">
        <v>1396</v>
      </c>
      <c r="E461" t="s">
        <v>1395</v>
      </c>
      <c r="F461" t="s">
        <v>1394</v>
      </c>
      <c r="G461" t="s">
        <v>1431</v>
      </c>
      <c r="H461" t="s">
        <v>46</v>
      </c>
      <c r="I461" t="s">
        <v>46</v>
      </c>
      <c r="J461" t="s">
        <v>17</v>
      </c>
      <c r="K461">
        <v>100</v>
      </c>
      <c r="L461">
        <v>50</v>
      </c>
      <c r="M461" t="s">
        <v>1392</v>
      </c>
      <c r="N461" t="s">
        <v>1391</v>
      </c>
    </row>
    <row r="462" spans="1:14" x14ac:dyDescent="0.3">
      <c r="A462">
        <v>1211157</v>
      </c>
      <c r="B462" t="s">
        <v>1234</v>
      </c>
      <c r="C462" t="s">
        <v>1397</v>
      </c>
      <c r="D462" t="s">
        <v>1396</v>
      </c>
      <c r="E462" t="s">
        <v>1395</v>
      </c>
      <c r="F462" t="s">
        <v>1394</v>
      </c>
      <c r="G462" t="s">
        <v>1430</v>
      </c>
      <c r="H462" t="s">
        <v>46</v>
      </c>
      <c r="I462" t="s">
        <v>46</v>
      </c>
      <c r="J462" t="s">
        <v>17</v>
      </c>
      <c r="K462">
        <v>100</v>
      </c>
      <c r="L462">
        <v>50</v>
      </c>
      <c r="M462" t="s">
        <v>1392</v>
      </c>
      <c r="N462" t="s">
        <v>1391</v>
      </c>
    </row>
    <row r="463" spans="1:14" x14ac:dyDescent="0.3">
      <c r="A463">
        <v>1211157</v>
      </c>
      <c r="B463" t="s">
        <v>1234</v>
      </c>
      <c r="C463" t="s">
        <v>1397</v>
      </c>
      <c r="D463" t="s">
        <v>1396</v>
      </c>
      <c r="E463" t="s">
        <v>1395</v>
      </c>
      <c r="F463" t="s">
        <v>1394</v>
      </c>
      <c r="G463" t="s">
        <v>1429</v>
      </c>
      <c r="H463" t="s">
        <v>46</v>
      </c>
      <c r="I463" t="s">
        <v>46</v>
      </c>
      <c r="J463" t="s">
        <v>17</v>
      </c>
      <c r="K463">
        <v>100</v>
      </c>
      <c r="L463">
        <v>50</v>
      </c>
      <c r="M463" t="s">
        <v>1392</v>
      </c>
      <c r="N463" t="s">
        <v>1391</v>
      </c>
    </row>
    <row r="464" spans="1:14" x14ac:dyDescent="0.3">
      <c r="A464">
        <v>1211157</v>
      </c>
      <c r="B464" t="s">
        <v>1234</v>
      </c>
      <c r="C464" t="s">
        <v>1397</v>
      </c>
      <c r="D464" t="s">
        <v>1396</v>
      </c>
      <c r="E464" t="s">
        <v>1395</v>
      </c>
      <c r="F464" t="s">
        <v>1394</v>
      </c>
      <c r="G464" t="s">
        <v>1428</v>
      </c>
      <c r="H464" t="s">
        <v>46</v>
      </c>
      <c r="I464" t="s">
        <v>46</v>
      </c>
      <c r="J464" t="s">
        <v>17</v>
      </c>
      <c r="K464">
        <v>100</v>
      </c>
      <c r="L464">
        <v>50</v>
      </c>
      <c r="M464" t="s">
        <v>1392</v>
      </c>
      <c r="N464" t="s">
        <v>1391</v>
      </c>
    </row>
    <row r="465" spans="1:14" x14ac:dyDescent="0.3">
      <c r="A465">
        <v>1211157</v>
      </c>
      <c r="B465" t="s">
        <v>1234</v>
      </c>
      <c r="C465" t="s">
        <v>1397</v>
      </c>
      <c r="D465" t="s">
        <v>1396</v>
      </c>
      <c r="E465" t="s">
        <v>1395</v>
      </c>
      <c r="F465" t="s">
        <v>1394</v>
      </c>
      <c r="G465" t="s">
        <v>1427</v>
      </c>
      <c r="H465" t="s">
        <v>46</v>
      </c>
      <c r="I465" t="s">
        <v>46</v>
      </c>
      <c r="J465" t="s">
        <v>17</v>
      </c>
      <c r="K465">
        <v>100</v>
      </c>
      <c r="L465">
        <v>50</v>
      </c>
      <c r="M465" t="s">
        <v>1392</v>
      </c>
      <c r="N465" t="s">
        <v>1391</v>
      </c>
    </row>
    <row r="466" spans="1:14" x14ac:dyDescent="0.3">
      <c r="A466">
        <v>1211157</v>
      </c>
      <c r="B466" t="s">
        <v>1234</v>
      </c>
      <c r="C466" t="s">
        <v>1397</v>
      </c>
      <c r="D466" t="s">
        <v>1396</v>
      </c>
      <c r="E466" t="s">
        <v>1395</v>
      </c>
      <c r="F466" t="s">
        <v>1394</v>
      </c>
      <c r="G466" t="s">
        <v>1426</v>
      </c>
      <c r="H466" t="s">
        <v>46</v>
      </c>
      <c r="I466" t="s">
        <v>46</v>
      </c>
      <c r="J466" t="s">
        <v>17</v>
      </c>
      <c r="K466">
        <v>100</v>
      </c>
      <c r="L466">
        <v>50</v>
      </c>
      <c r="M466" t="s">
        <v>1392</v>
      </c>
      <c r="N466" t="s">
        <v>1391</v>
      </c>
    </row>
    <row r="467" spans="1:14" x14ac:dyDescent="0.3">
      <c r="A467">
        <v>1211157</v>
      </c>
      <c r="B467" t="s">
        <v>1234</v>
      </c>
      <c r="C467" t="s">
        <v>1397</v>
      </c>
      <c r="D467" t="s">
        <v>1396</v>
      </c>
      <c r="E467" t="s">
        <v>1395</v>
      </c>
      <c r="F467" t="s">
        <v>1394</v>
      </c>
      <c r="G467" t="s">
        <v>1425</v>
      </c>
      <c r="H467" t="s">
        <v>46</v>
      </c>
      <c r="I467" t="s">
        <v>46</v>
      </c>
      <c r="J467" t="s">
        <v>17</v>
      </c>
      <c r="K467">
        <v>100</v>
      </c>
      <c r="L467">
        <v>50</v>
      </c>
      <c r="M467" t="s">
        <v>1392</v>
      </c>
      <c r="N467" t="s">
        <v>1391</v>
      </c>
    </row>
    <row r="468" spans="1:14" x14ac:dyDescent="0.3">
      <c r="A468">
        <v>1211157</v>
      </c>
      <c r="B468" t="s">
        <v>1234</v>
      </c>
      <c r="C468" t="s">
        <v>1397</v>
      </c>
      <c r="D468" t="s">
        <v>1396</v>
      </c>
      <c r="E468" t="s">
        <v>1395</v>
      </c>
      <c r="F468" t="s">
        <v>1394</v>
      </c>
      <c r="G468" t="s">
        <v>1424</v>
      </c>
      <c r="H468" t="s">
        <v>46</v>
      </c>
      <c r="I468" t="s">
        <v>46</v>
      </c>
      <c r="J468" t="s">
        <v>17</v>
      </c>
      <c r="K468">
        <v>100</v>
      </c>
      <c r="L468">
        <v>50</v>
      </c>
      <c r="M468" t="s">
        <v>1392</v>
      </c>
      <c r="N468" t="s">
        <v>1391</v>
      </c>
    </row>
    <row r="469" spans="1:14" x14ac:dyDescent="0.3">
      <c r="A469">
        <v>1211157</v>
      </c>
      <c r="B469" t="s">
        <v>1234</v>
      </c>
      <c r="C469" t="s">
        <v>1397</v>
      </c>
      <c r="D469" t="s">
        <v>1396</v>
      </c>
      <c r="E469" t="s">
        <v>1395</v>
      </c>
      <c r="F469" t="s">
        <v>1394</v>
      </c>
      <c r="G469" t="s">
        <v>1423</v>
      </c>
      <c r="H469" t="s">
        <v>46</v>
      </c>
      <c r="I469" t="s">
        <v>46</v>
      </c>
      <c r="J469" t="s">
        <v>17</v>
      </c>
      <c r="K469">
        <v>100</v>
      </c>
      <c r="L469">
        <v>50</v>
      </c>
      <c r="M469" t="s">
        <v>1392</v>
      </c>
      <c r="N469" t="s">
        <v>1391</v>
      </c>
    </row>
    <row r="470" spans="1:14" x14ac:dyDescent="0.3">
      <c r="A470">
        <v>1211157</v>
      </c>
      <c r="B470" t="s">
        <v>1234</v>
      </c>
      <c r="C470" t="s">
        <v>1397</v>
      </c>
      <c r="D470" t="s">
        <v>1396</v>
      </c>
      <c r="E470" t="s">
        <v>1395</v>
      </c>
      <c r="F470" t="s">
        <v>1394</v>
      </c>
      <c r="G470" t="s">
        <v>1422</v>
      </c>
      <c r="H470" t="s">
        <v>46</v>
      </c>
      <c r="I470" t="s">
        <v>46</v>
      </c>
      <c r="J470" t="s">
        <v>17</v>
      </c>
      <c r="K470">
        <v>100</v>
      </c>
      <c r="L470">
        <v>50</v>
      </c>
      <c r="M470" t="s">
        <v>1392</v>
      </c>
      <c r="N470" t="s">
        <v>1391</v>
      </c>
    </row>
    <row r="471" spans="1:14" x14ac:dyDescent="0.3">
      <c r="A471">
        <v>1211157</v>
      </c>
      <c r="B471" t="s">
        <v>1234</v>
      </c>
      <c r="C471" t="s">
        <v>1397</v>
      </c>
      <c r="D471" t="s">
        <v>1396</v>
      </c>
      <c r="E471" t="s">
        <v>1395</v>
      </c>
      <c r="F471" t="s">
        <v>1394</v>
      </c>
      <c r="G471" t="s">
        <v>1421</v>
      </c>
      <c r="H471" t="s">
        <v>46</v>
      </c>
      <c r="I471" t="s">
        <v>46</v>
      </c>
      <c r="J471" t="s">
        <v>17</v>
      </c>
      <c r="K471">
        <v>100</v>
      </c>
      <c r="L471">
        <v>50</v>
      </c>
      <c r="M471" t="s">
        <v>1392</v>
      </c>
      <c r="N471" t="s">
        <v>1391</v>
      </c>
    </row>
    <row r="472" spans="1:14" x14ac:dyDescent="0.3">
      <c r="A472">
        <v>1211157</v>
      </c>
      <c r="B472" t="s">
        <v>1234</v>
      </c>
      <c r="C472" t="s">
        <v>1397</v>
      </c>
      <c r="D472" t="s">
        <v>1396</v>
      </c>
      <c r="E472" t="s">
        <v>1395</v>
      </c>
      <c r="F472" t="s">
        <v>1394</v>
      </c>
      <c r="G472" t="s">
        <v>1420</v>
      </c>
      <c r="H472" t="s">
        <v>46</v>
      </c>
      <c r="I472" t="s">
        <v>46</v>
      </c>
      <c r="J472" t="s">
        <v>17</v>
      </c>
      <c r="K472">
        <v>100</v>
      </c>
      <c r="L472">
        <v>50</v>
      </c>
      <c r="M472" t="s">
        <v>1392</v>
      </c>
      <c r="N472" t="s">
        <v>1391</v>
      </c>
    </row>
    <row r="473" spans="1:14" x14ac:dyDescent="0.3">
      <c r="A473">
        <v>1211157</v>
      </c>
      <c r="B473" t="s">
        <v>1234</v>
      </c>
      <c r="C473" t="s">
        <v>1397</v>
      </c>
      <c r="D473" t="s">
        <v>1396</v>
      </c>
      <c r="E473" t="s">
        <v>1395</v>
      </c>
      <c r="F473" t="s">
        <v>1394</v>
      </c>
      <c r="G473" t="s">
        <v>1419</v>
      </c>
      <c r="H473" t="s">
        <v>46</v>
      </c>
      <c r="I473" t="s">
        <v>46</v>
      </c>
      <c r="J473" t="s">
        <v>17</v>
      </c>
      <c r="K473">
        <v>100</v>
      </c>
      <c r="L473">
        <v>50</v>
      </c>
      <c r="M473" t="s">
        <v>1392</v>
      </c>
      <c r="N473" t="s">
        <v>1391</v>
      </c>
    </row>
    <row r="474" spans="1:14" x14ac:dyDescent="0.3">
      <c r="A474">
        <v>1211157</v>
      </c>
      <c r="B474" t="s">
        <v>1234</v>
      </c>
      <c r="C474" t="s">
        <v>1397</v>
      </c>
      <c r="D474" t="s">
        <v>1396</v>
      </c>
      <c r="E474" t="s">
        <v>1395</v>
      </c>
      <c r="F474" t="s">
        <v>1394</v>
      </c>
      <c r="G474" t="s">
        <v>1418</v>
      </c>
      <c r="H474" t="s">
        <v>46</v>
      </c>
      <c r="I474" t="s">
        <v>46</v>
      </c>
      <c r="J474" t="s">
        <v>17</v>
      </c>
      <c r="K474">
        <v>100</v>
      </c>
      <c r="L474">
        <v>50</v>
      </c>
      <c r="M474" t="s">
        <v>1392</v>
      </c>
      <c r="N474" t="s">
        <v>1391</v>
      </c>
    </row>
    <row r="475" spans="1:14" x14ac:dyDescent="0.3">
      <c r="A475">
        <v>1211157</v>
      </c>
      <c r="B475" t="s">
        <v>1234</v>
      </c>
      <c r="C475" t="s">
        <v>1397</v>
      </c>
      <c r="D475" t="s">
        <v>1396</v>
      </c>
      <c r="E475" t="s">
        <v>1395</v>
      </c>
      <c r="F475" t="s">
        <v>1394</v>
      </c>
      <c r="G475" t="s">
        <v>1417</v>
      </c>
      <c r="H475" t="s">
        <v>46</v>
      </c>
      <c r="I475" t="s">
        <v>46</v>
      </c>
      <c r="J475" t="s">
        <v>17</v>
      </c>
      <c r="K475">
        <v>100</v>
      </c>
      <c r="L475">
        <v>50</v>
      </c>
      <c r="M475" t="s">
        <v>1392</v>
      </c>
      <c r="N475" t="s">
        <v>1391</v>
      </c>
    </row>
    <row r="476" spans="1:14" x14ac:dyDescent="0.3">
      <c r="A476">
        <v>1211157</v>
      </c>
      <c r="B476" t="s">
        <v>1234</v>
      </c>
      <c r="C476" t="s">
        <v>1397</v>
      </c>
      <c r="D476" t="s">
        <v>1396</v>
      </c>
      <c r="E476" t="s">
        <v>1395</v>
      </c>
      <c r="F476" t="s">
        <v>1394</v>
      </c>
      <c r="G476" t="s">
        <v>1416</v>
      </c>
      <c r="H476" t="s">
        <v>46</v>
      </c>
      <c r="I476" t="s">
        <v>46</v>
      </c>
      <c r="J476" t="s">
        <v>17</v>
      </c>
      <c r="K476">
        <v>100</v>
      </c>
      <c r="L476">
        <v>50</v>
      </c>
      <c r="M476" t="s">
        <v>1392</v>
      </c>
      <c r="N476" t="s">
        <v>1391</v>
      </c>
    </row>
    <row r="477" spans="1:14" x14ac:dyDescent="0.3">
      <c r="A477">
        <v>1211157</v>
      </c>
      <c r="B477" t="s">
        <v>1234</v>
      </c>
      <c r="C477" t="s">
        <v>1397</v>
      </c>
      <c r="D477" t="s">
        <v>1396</v>
      </c>
      <c r="E477" t="s">
        <v>1395</v>
      </c>
      <c r="F477" t="s">
        <v>1394</v>
      </c>
      <c r="G477" t="s">
        <v>1415</v>
      </c>
      <c r="H477" t="s">
        <v>46</v>
      </c>
      <c r="I477" t="s">
        <v>46</v>
      </c>
      <c r="J477" t="s">
        <v>17</v>
      </c>
      <c r="K477">
        <v>100</v>
      </c>
      <c r="L477">
        <v>50</v>
      </c>
      <c r="M477" t="s">
        <v>1392</v>
      </c>
      <c r="N477" t="s">
        <v>1391</v>
      </c>
    </row>
    <row r="478" spans="1:14" x14ac:dyDescent="0.3">
      <c r="A478">
        <v>1211157</v>
      </c>
      <c r="B478" t="s">
        <v>1234</v>
      </c>
      <c r="C478" t="s">
        <v>1397</v>
      </c>
      <c r="D478" t="s">
        <v>1396</v>
      </c>
      <c r="E478" t="s">
        <v>1395</v>
      </c>
      <c r="F478" t="s">
        <v>1394</v>
      </c>
      <c r="G478" t="s">
        <v>1414</v>
      </c>
      <c r="H478" t="s">
        <v>46</v>
      </c>
      <c r="I478" t="s">
        <v>46</v>
      </c>
      <c r="J478" t="s">
        <v>17</v>
      </c>
      <c r="K478">
        <v>100</v>
      </c>
      <c r="L478">
        <v>50</v>
      </c>
      <c r="M478" t="s">
        <v>1392</v>
      </c>
      <c r="N478" t="s">
        <v>1391</v>
      </c>
    </row>
    <row r="479" spans="1:14" x14ac:dyDescent="0.3">
      <c r="A479">
        <v>1211157</v>
      </c>
      <c r="B479" t="s">
        <v>1234</v>
      </c>
      <c r="C479" t="s">
        <v>1397</v>
      </c>
      <c r="D479" t="s">
        <v>1396</v>
      </c>
      <c r="E479" t="s">
        <v>1395</v>
      </c>
      <c r="F479" t="s">
        <v>1394</v>
      </c>
      <c r="G479" t="s">
        <v>1413</v>
      </c>
      <c r="H479" t="s">
        <v>46</v>
      </c>
      <c r="I479" t="s">
        <v>46</v>
      </c>
      <c r="J479" t="s">
        <v>17</v>
      </c>
      <c r="K479">
        <v>100</v>
      </c>
      <c r="L479">
        <v>50</v>
      </c>
      <c r="M479" t="s">
        <v>1392</v>
      </c>
      <c r="N479" t="s">
        <v>1391</v>
      </c>
    </row>
    <row r="480" spans="1:14" x14ac:dyDescent="0.3">
      <c r="A480">
        <v>1211157</v>
      </c>
      <c r="B480" t="s">
        <v>1234</v>
      </c>
      <c r="C480" t="s">
        <v>1397</v>
      </c>
      <c r="D480" t="s">
        <v>1396</v>
      </c>
      <c r="E480" t="s">
        <v>1395</v>
      </c>
      <c r="F480" t="s">
        <v>1394</v>
      </c>
      <c r="G480" t="s">
        <v>1412</v>
      </c>
      <c r="H480" t="s">
        <v>46</v>
      </c>
      <c r="I480" t="s">
        <v>46</v>
      </c>
      <c r="J480" t="s">
        <v>17</v>
      </c>
      <c r="K480">
        <v>100</v>
      </c>
      <c r="L480">
        <v>50</v>
      </c>
      <c r="M480" t="s">
        <v>1392</v>
      </c>
      <c r="N480" t="s">
        <v>1391</v>
      </c>
    </row>
    <row r="481" spans="1:14" x14ac:dyDescent="0.3">
      <c r="A481">
        <v>1211157</v>
      </c>
      <c r="B481" t="s">
        <v>1234</v>
      </c>
      <c r="C481" t="s">
        <v>1397</v>
      </c>
      <c r="D481" t="s">
        <v>1396</v>
      </c>
      <c r="E481" t="s">
        <v>1395</v>
      </c>
      <c r="F481" t="s">
        <v>1394</v>
      </c>
      <c r="G481" t="s">
        <v>1411</v>
      </c>
      <c r="H481" t="s">
        <v>46</v>
      </c>
      <c r="I481" t="s">
        <v>46</v>
      </c>
      <c r="J481" t="s">
        <v>17</v>
      </c>
      <c r="K481">
        <v>100</v>
      </c>
      <c r="L481">
        <v>50</v>
      </c>
      <c r="M481" t="s">
        <v>1392</v>
      </c>
      <c r="N481" t="s">
        <v>1391</v>
      </c>
    </row>
    <row r="482" spans="1:14" x14ac:dyDescent="0.3">
      <c r="A482">
        <v>1211157</v>
      </c>
      <c r="B482" t="s">
        <v>1234</v>
      </c>
      <c r="C482" t="s">
        <v>1397</v>
      </c>
      <c r="D482" t="s">
        <v>1396</v>
      </c>
      <c r="E482" t="s">
        <v>1395</v>
      </c>
      <c r="F482" t="s">
        <v>1394</v>
      </c>
      <c r="G482" t="s">
        <v>1410</v>
      </c>
      <c r="H482" t="s">
        <v>46</v>
      </c>
      <c r="I482" t="s">
        <v>46</v>
      </c>
      <c r="J482" t="s">
        <v>17</v>
      </c>
      <c r="K482">
        <v>100</v>
      </c>
      <c r="L482">
        <v>50</v>
      </c>
      <c r="M482" t="s">
        <v>1392</v>
      </c>
      <c r="N482" t="s">
        <v>1391</v>
      </c>
    </row>
    <row r="483" spans="1:14" x14ac:dyDescent="0.3">
      <c r="A483">
        <v>1211157</v>
      </c>
      <c r="B483" t="s">
        <v>1234</v>
      </c>
      <c r="C483" t="s">
        <v>1397</v>
      </c>
      <c r="D483" t="s">
        <v>1396</v>
      </c>
      <c r="E483" t="s">
        <v>1395</v>
      </c>
      <c r="F483" t="s">
        <v>1394</v>
      </c>
      <c r="G483" t="s">
        <v>1409</v>
      </c>
      <c r="H483" t="s">
        <v>46</v>
      </c>
      <c r="I483" t="s">
        <v>46</v>
      </c>
      <c r="J483" t="s">
        <v>17</v>
      </c>
      <c r="K483">
        <v>100</v>
      </c>
      <c r="L483">
        <v>50</v>
      </c>
      <c r="M483" t="s">
        <v>1392</v>
      </c>
      <c r="N483" t="s">
        <v>1391</v>
      </c>
    </row>
    <row r="484" spans="1:14" x14ac:dyDescent="0.3">
      <c r="A484">
        <v>1211157</v>
      </c>
      <c r="B484" t="s">
        <v>1234</v>
      </c>
      <c r="C484" t="s">
        <v>1397</v>
      </c>
      <c r="D484" t="s">
        <v>1396</v>
      </c>
      <c r="E484" t="s">
        <v>1395</v>
      </c>
      <c r="F484" t="s">
        <v>1394</v>
      </c>
      <c r="G484" t="s">
        <v>1408</v>
      </c>
      <c r="H484" t="s">
        <v>46</v>
      </c>
      <c r="I484" t="s">
        <v>46</v>
      </c>
      <c r="J484" t="s">
        <v>17</v>
      </c>
      <c r="K484">
        <v>100</v>
      </c>
      <c r="L484">
        <v>50</v>
      </c>
      <c r="M484" t="s">
        <v>1392</v>
      </c>
      <c r="N484" t="s">
        <v>1391</v>
      </c>
    </row>
    <row r="485" spans="1:14" x14ac:dyDescent="0.3">
      <c r="A485">
        <v>1211157</v>
      </c>
      <c r="B485" t="s">
        <v>1234</v>
      </c>
      <c r="C485" t="s">
        <v>1397</v>
      </c>
      <c r="D485" t="s">
        <v>1396</v>
      </c>
      <c r="E485" t="s">
        <v>1395</v>
      </c>
      <c r="F485" t="s">
        <v>1394</v>
      </c>
      <c r="G485" t="s">
        <v>1407</v>
      </c>
      <c r="H485" t="s">
        <v>46</v>
      </c>
      <c r="I485" t="s">
        <v>46</v>
      </c>
      <c r="J485" t="s">
        <v>17</v>
      </c>
      <c r="K485">
        <v>100</v>
      </c>
      <c r="L485">
        <v>50</v>
      </c>
      <c r="M485" t="s">
        <v>1392</v>
      </c>
      <c r="N485" t="s">
        <v>1391</v>
      </c>
    </row>
    <row r="486" spans="1:14" x14ac:dyDescent="0.3">
      <c r="A486">
        <v>1211157</v>
      </c>
      <c r="B486" t="s">
        <v>1234</v>
      </c>
      <c r="C486" t="s">
        <v>1397</v>
      </c>
      <c r="D486" t="s">
        <v>1396</v>
      </c>
      <c r="E486" t="s">
        <v>1395</v>
      </c>
      <c r="F486" t="s">
        <v>1394</v>
      </c>
      <c r="G486" t="s">
        <v>1406</v>
      </c>
      <c r="H486" t="s">
        <v>46</v>
      </c>
      <c r="I486" t="s">
        <v>46</v>
      </c>
      <c r="J486" t="s">
        <v>17</v>
      </c>
      <c r="K486">
        <v>100</v>
      </c>
      <c r="L486">
        <v>50</v>
      </c>
      <c r="M486" t="s">
        <v>1392</v>
      </c>
      <c r="N486" t="s">
        <v>1391</v>
      </c>
    </row>
    <row r="487" spans="1:14" x14ac:dyDescent="0.3">
      <c r="A487">
        <v>1211157</v>
      </c>
      <c r="B487" t="s">
        <v>1234</v>
      </c>
      <c r="C487" t="s">
        <v>1397</v>
      </c>
      <c r="D487" t="s">
        <v>1396</v>
      </c>
      <c r="E487" t="s">
        <v>1395</v>
      </c>
      <c r="F487" t="s">
        <v>1394</v>
      </c>
      <c r="G487" t="s">
        <v>1405</v>
      </c>
      <c r="H487" t="s">
        <v>46</v>
      </c>
      <c r="I487" t="s">
        <v>46</v>
      </c>
      <c r="J487" t="s">
        <v>17</v>
      </c>
      <c r="K487">
        <v>100</v>
      </c>
      <c r="L487">
        <v>50</v>
      </c>
      <c r="M487" t="s">
        <v>1392</v>
      </c>
      <c r="N487" t="s">
        <v>1391</v>
      </c>
    </row>
    <row r="488" spans="1:14" x14ac:dyDescent="0.3">
      <c r="A488">
        <v>1211157</v>
      </c>
      <c r="B488" t="s">
        <v>1234</v>
      </c>
      <c r="C488" t="s">
        <v>1397</v>
      </c>
      <c r="D488" t="s">
        <v>1396</v>
      </c>
      <c r="E488" t="s">
        <v>1395</v>
      </c>
      <c r="F488" t="s">
        <v>1394</v>
      </c>
      <c r="G488" t="s">
        <v>1404</v>
      </c>
      <c r="H488" t="s">
        <v>46</v>
      </c>
      <c r="I488" t="s">
        <v>46</v>
      </c>
      <c r="J488" t="s">
        <v>17</v>
      </c>
      <c r="K488">
        <v>100</v>
      </c>
      <c r="L488">
        <v>50</v>
      </c>
      <c r="M488" t="s">
        <v>1392</v>
      </c>
      <c r="N488" t="s">
        <v>1391</v>
      </c>
    </row>
    <row r="489" spans="1:14" x14ac:dyDescent="0.3">
      <c r="A489">
        <v>1211157</v>
      </c>
      <c r="B489" t="s">
        <v>1234</v>
      </c>
      <c r="C489" t="s">
        <v>1397</v>
      </c>
      <c r="D489" t="s">
        <v>1396</v>
      </c>
      <c r="E489" t="s">
        <v>1395</v>
      </c>
      <c r="F489" t="s">
        <v>1394</v>
      </c>
      <c r="G489" t="s">
        <v>1403</v>
      </c>
      <c r="H489" t="s">
        <v>46</v>
      </c>
      <c r="I489" t="s">
        <v>46</v>
      </c>
      <c r="J489" t="s">
        <v>17</v>
      </c>
      <c r="K489">
        <v>100</v>
      </c>
      <c r="L489">
        <v>50</v>
      </c>
      <c r="M489" t="s">
        <v>1392</v>
      </c>
      <c r="N489" t="s">
        <v>1391</v>
      </c>
    </row>
    <row r="490" spans="1:14" x14ac:dyDescent="0.3">
      <c r="A490">
        <v>1211157</v>
      </c>
      <c r="B490" t="s">
        <v>1234</v>
      </c>
      <c r="C490" t="s">
        <v>1397</v>
      </c>
      <c r="D490" t="s">
        <v>1396</v>
      </c>
      <c r="E490" t="s">
        <v>1395</v>
      </c>
      <c r="F490" t="s">
        <v>1394</v>
      </c>
      <c r="G490" t="s">
        <v>1402</v>
      </c>
      <c r="H490" t="s">
        <v>46</v>
      </c>
      <c r="I490" t="s">
        <v>46</v>
      </c>
      <c r="J490" t="s">
        <v>17</v>
      </c>
      <c r="K490">
        <v>100</v>
      </c>
      <c r="L490">
        <v>50</v>
      </c>
      <c r="M490" t="s">
        <v>1392</v>
      </c>
      <c r="N490" t="s">
        <v>1391</v>
      </c>
    </row>
    <row r="491" spans="1:14" x14ac:dyDescent="0.3">
      <c r="A491">
        <v>1211157</v>
      </c>
      <c r="B491" t="s">
        <v>1234</v>
      </c>
      <c r="C491" t="s">
        <v>1397</v>
      </c>
      <c r="D491" t="s">
        <v>1396</v>
      </c>
      <c r="E491" t="s">
        <v>1395</v>
      </c>
      <c r="F491" t="s">
        <v>1394</v>
      </c>
      <c r="G491" t="s">
        <v>1401</v>
      </c>
      <c r="H491" t="s">
        <v>46</v>
      </c>
      <c r="I491" t="s">
        <v>46</v>
      </c>
      <c r="J491" t="s">
        <v>17</v>
      </c>
      <c r="K491">
        <v>100</v>
      </c>
      <c r="L491">
        <v>50</v>
      </c>
      <c r="M491" t="s">
        <v>1392</v>
      </c>
      <c r="N491" t="s">
        <v>1391</v>
      </c>
    </row>
    <row r="492" spans="1:14" x14ac:dyDescent="0.3">
      <c r="A492">
        <v>1211157</v>
      </c>
      <c r="B492" t="s">
        <v>1234</v>
      </c>
      <c r="C492" t="s">
        <v>1397</v>
      </c>
      <c r="D492" t="s">
        <v>1396</v>
      </c>
      <c r="E492" t="s">
        <v>1395</v>
      </c>
      <c r="F492" t="s">
        <v>1394</v>
      </c>
      <c r="G492" t="s">
        <v>1400</v>
      </c>
      <c r="H492" t="s">
        <v>46</v>
      </c>
      <c r="I492" t="s">
        <v>46</v>
      </c>
      <c r="J492" t="s">
        <v>17</v>
      </c>
      <c r="K492">
        <v>100</v>
      </c>
      <c r="L492">
        <v>50</v>
      </c>
      <c r="M492" t="s">
        <v>1392</v>
      </c>
      <c r="N492" t="s">
        <v>1391</v>
      </c>
    </row>
    <row r="493" spans="1:14" x14ac:dyDescent="0.3">
      <c r="A493">
        <v>1211157</v>
      </c>
      <c r="B493" t="s">
        <v>1234</v>
      </c>
      <c r="C493" t="s">
        <v>1397</v>
      </c>
      <c r="D493" t="s">
        <v>1396</v>
      </c>
      <c r="E493" t="s">
        <v>1395</v>
      </c>
      <c r="F493" t="s">
        <v>1394</v>
      </c>
      <c r="G493" t="s">
        <v>1399</v>
      </c>
      <c r="H493" t="s">
        <v>46</v>
      </c>
      <c r="I493" t="s">
        <v>46</v>
      </c>
      <c r="J493" t="s">
        <v>17</v>
      </c>
      <c r="K493">
        <v>100</v>
      </c>
      <c r="L493">
        <v>50</v>
      </c>
      <c r="M493" t="s">
        <v>1392</v>
      </c>
      <c r="N493" t="s">
        <v>1391</v>
      </c>
    </row>
    <row r="494" spans="1:14" x14ac:dyDescent="0.3">
      <c r="A494">
        <v>1211157</v>
      </c>
      <c r="B494" t="s">
        <v>1234</v>
      </c>
      <c r="C494" t="s">
        <v>1397</v>
      </c>
      <c r="D494" t="s">
        <v>1396</v>
      </c>
      <c r="E494" t="s">
        <v>1395</v>
      </c>
      <c r="F494" t="s">
        <v>1394</v>
      </c>
      <c r="G494" t="s">
        <v>1398</v>
      </c>
      <c r="H494" t="s">
        <v>46</v>
      </c>
      <c r="I494" t="s">
        <v>46</v>
      </c>
      <c r="J494" t="s">
        <v>17</v>
      </c>
      <c r="K494">
        <v>100</v>
      </c>
      <c r="L494">
        <v>50</v>
      </c>
      <c r="M494" t="s">
        <v>1392</v>
      </c>
      <c r="N494" t="s">
        <v>1391</v>
      </c>
    </row>
    <row r="495" spans="1:14" x14ac:dyDescent="0.3">
      <c r="A495">
        <v>1211157</v>
      </c>
      <c r="B495" t="s">
        <v>1234</v>
      </c>
      <c r="C495" t="s">
        <v>1397</v>
      </c>
      <c r="D495" t="s">
        <v>1396</v>
      </c>
      <c r="E495" t="s">
        <v>1395</v>
      </c>
      <c r="F495" t="s">
        <v>1394</v>
      </c>
      <c r="G495" t="s">
        <v>1393</v>
      </c>
      <c r="H495" t="s">
        <v>46</v>
      </c>
      <c r="I495" t="s">
        <v>46</v>
      </c>
      <c r="J495" t="s">
        <v>17</v>
      </c>
      <c r="K495">
        <v>100</v>
      </c>
      <c r="L495">
        <v>50</v>
      </c>
      <c r="M495" t="s">
        <v>1392</v>
      </c>
      <c r="N495" t="s">
        <v>1391</v>
      </c>
    </row>
    <row r="496" spans="1:14" x14ac:dyDescent="0.3">
      <c r="A496">
        <v>1211157</v>
      </c>
      <c r="B496" t="s">
        <v>1234</v>
      </c>
      <c r="C496" t="s">
        <v>1390</v>
      </c>
      <c r="D496" t="s">
        <v>1390</v>
      </c>
      <c r="E496" t="s">
        <v>1389</v>
      </c>
      <c r="H496" t="s">
        <v>22</v>
      </c>
      <c r="I496" t="s">
        <v>22</v>
      </c>
      <c r="J496" t="s">
        <v>17</v>
      </c>
      <c r="K496">
        <v>100</v>
      </c>
      <c r="L496">
        <v>110</v>
      </c>
      <c r="M496" t="s">
        <v>1388</v>
      </c>
      <c r="N496" t="s">
        <v>1387</v>
      </c>
    </row>
    <row r="497" spans="1:14" x14ac:dyDescent="0.3">
      <c r="A497">
        <v>1211157</v>
      </c>
      <c r="B497" t="s">
        <v>1234</v>
      </c>
      <c r="C497" t="s">
        <v>1386</v>
      </c>
      <c r="D497" t="s">
        <v>1385</v>
      </c>
      <c r="E497" t="s">
        <v>1384</v>
      </c>
      <c r="G497" t="s">
        <v>1383</v>
      </c>
      <c r="H497" t="s">
        <v>22</v>
      </c>
      <c r="I497" t="s">
        <v>22</v>
      </c>
      <c r="J497" t="s">
        <v>17</v>
      </c>
      <c r="K497">
        <v>88</v>
      </c>
      <c r="L497">
        <v>106.8</v>
      </c>
    </row>
    <row r="498" spans="1:14" hidden="1" x14ac:dyDescent="0.3">
      <c r="A498">
        <v>1211157</v>
      </c>
      <c r="B498" t="s">
        <v>1234</v>
      </c>
      <c r="C498" t="s">
        <v>1382</v>
      </c>
      <c r="H498" t="s">
        <v>16</v>
      </c>
      <c r="I498" t="s">
        <v>16</v>
      </c>
      <c r="J498" t="s">
        <v>17</v>
      </c>
      <c r="K498">
        <v>0</v>
      </c>
      <c r="L498">
        <v>0</v>
      </c>
    </row>
    <row r="499" spans="1:14" x14ac:dyDescent="0.3">
      <c r="A499">
        <v>1211157</v>
      </c>
      <c r="B499" t="s">
        <v>1234</v>
      </c>
      <c r="C499" t="s">
        <v>1381</v>
      </c>
      <c r="D499" t="s">
        <v>1381</v>
      </c>
      <c r="E499" t="s">
        <v>1380</v>
      </c>
      <c r="G499" t="s">
        <v>868</v>
      </c>
      <c r="H499" t="s">
        <v>22</v>
      </c>
      <c r="I499" t="s">
        <v>22</v>
      </c>
      <c r="J499" t="s">
        <v>17</v>
      </c>
      <c r="K499">
        <v>100</v>
      </c>
      <c r="L499">
        <v>144</v>
      </c>
      <c r="M499" t="s">
        <v>869</v>
      </c>
      <c r="N499" t="s">
        <v>870</v>
      </c>
    </row>
    <row r="500" spans="1:14" x14ac:dyDescent="0.3">
      <c r="A500">
        <v>1211157</v>
      </c>
      <c r="B500" t="s">
        <v>1234</v>
      </c>
      <c r="C500" t="s">
        <v>1381</v>
      </c>
      <c r="D500" t="s">
        <v>1381</v>
      </c>
      <c r="E500" t="s">
        <v>1380</v>
      </c>
      <c r="G500" t="s">
        <v>872</v>
      </c>
      <c r="H500" t="s">
        <v>22</v>
      </c>
      <c r="I500" t="s">
        <v>22</v>
      </c>
      <c r="J500" t="s">
        <v>17</v>
      </c>
      <c r="K500">
        <v>100</v>
      </c>
      <c r="L500">
        <v>144</v>
      </c>
      <c r="M500" t="s">
        <v>869</v>
      </c>
      <c r="N500" t="s">
        <v>870</v>
      </c>
    </row>
    <row r="501" spans="1:14" x14ac:dyDescent="0.3">
      <c r="A501">
        <v>1211157</v>
      </c>
      <c r="B501" t="s">
        <v>1234</v>
      </c>
      <c r="C501" t="s">
        <v>1381</v>
      </c>
      <c r="D501" t="s">
        <v>1381</v>
      </c>
      <c r="E501" t="s">
        <v>1380</v>
      </c>
      <c r="G501" t="s">
        <v>873</v>
      </c>
      <c r="H501" t="s">
        <v>22</v>
      </c>
      <c r="I501" t="s">
        <v>22</v>
      </c>
      <c r="J501" t="s">
        <v>17</v>
      </c>
      <c r="K501">
        <v>100</v>
      </c>
      <c r="L501">
        <v>144</v>
      </c>
      <c r="M501" t="s">
        <v>869</v>
      </c>
      <c r="N501" t="s">
        <v>870</v>
      </c>
    </row>
    <row r="502" spans="1:14" x14ac:dyDescent="0.3">
      <c r="A502">
        <v>1211157</v>
      </c>
      <c r="B502" t="s">
        <v>1234</v>
      </c>
      <c r="C502" t="s">
        <v>1381</v>
      </c>
      <c r="D502" t="s">
        <v>1381</v>
      </c>
      <c r="E502" t="s">
        <v>1380</v>
      </c>
      <c r="G502" t="s">
        <v>874</v>
      </c>
      <c r="H502" t="s">
        <v>22</v>
      </c>
      <c r="I502" t="s">
        <v>22</v>
      </c>
      <c r="J502" t="s">
        <v>17</v>
      </c>
      <c r="K502">
        <v>100</v>
      </c>
      <c r="L502">
        <v>144</v>
      </c>
      <c r="M502" t="s">
        <v>869</v>
      </c>
      <c r="N502" t="s">
        <v>870</v>
      </c>
    </row>
    <row r="503" spans="1:14" x14ac:dyDescent="0.3">
      <c r="A503">
        <v>1211157</v>
      </c>
      <c r="B503" t="s">
        <v>1234</v>
      </c>
      <c r="C503" t="s">
        <v>1381</v>
      </c>
      <c r="D503" t="s">
        <v>1381</v>
      </c>
      <c r="E503" t="s">
        <v>1380</v>
      </c>
      <c r="G503" t="s">
        <v>875</v>
      </c>
      <c r="H503" t="s">
        <v>22</v>
      </c>
      <c r="I503" t="s">
        <v>22</v>
      </c>
      <c r="J503" t="s">
        <v>17</v>
      </c>
      <c r="K503">
        <v>100</v>
      </c>
      <c r="L503">
        <v>144</v>
      </c>
      <c r="M503" t="s">
        <v>869</v>
      </c>
      <c r="N503" t="s">
        <v>870</v>
      </c>
    </row>
    <row r="504" spans="1:14" x14ac:dyDescent="0.3">
      <c r="A504">
        <v>1211157</v>
      </c>
      <c r="B504" t="s">
        <v>1234</v>
      </c>
      <c r="C504" t="s">
        <v>1381</v>
      </c>
      <c r="D504" t="s">
        <v>1381</v>
      </c>
      <c r="E504" t="s">
        <v>1380</v>
      </c>
      <c r="G504" t="s">
        <v>876</v>
      </c>
      <c r="H504" t="s">
        <v>22</v>
      </c>
      <c r="I504" t="s">
        <v>22</v>
      </c>
      <c r="J504" t="s">
        <v>17</v>
      </c>
      <c r="K504">
        <v>100</v>
      </c>
      <c r="L504">
        <v>144</v>
      </c>
      <c r="M504" t="s">
        <v>869</v>
      </c>
      <c r="N504" t="s">
        <v>870</v>
      </c>
    </row>
    <row r="505" spans="1:14" x14ac:dyDescent="0.3">
      <c r="A505">
        <v>1211157</v>
      </c>
      <c r="B505" t="s">
        <v>1234</v>
      </c>
      <c r="C505" t="s">
        <v>1381</v>
      </c>
      <c r="D505" t="s">
        <v>1381</v>
      </c>
      <c r="E505" t="s">
        <v>1380</v>
      </c>
      <c r="G505" t="s">
        <v>877</v>
      </c>
      <c r="H505" t="s">
        <v>22</v>
      </c>
      <c r="I505" t="s">
        <v>22</v>
      </c>
      <c r="J505" t="s">
        <v>17</v>
      </c>
      <c r="K505">
        <v>100</v>
      </c>
      <c r="L505">
        <v>144</v>
      </c>
      <c r="M505" t="s">
        <v>869</v>
      </c>
      <c r="N505" t="s">
        <v>870</v>
      </c>
    </row>
    <row r="506" spans="1:14" x14ac:dyDescent="0.3">
      <c r="A506">
        <v>1211157</v>
      </c>
      <c r="B506" t="s">
        <v>1234</v>
      </c>
      <c r="C506" t="s">
        <v>1381</v>
      </c>
      <c r="D506" t="s">
        <v>1381</v>
      </c>
      <c r="E506" t="s">
        <v>1380</v>
      </c>
      <c r="G506" t="s">
        <v>878</v>
      </c>
      <c r="H506" t="s">
        <v>22</v>
      </c>
      <c r="I506" t="s">
        <v>22</v>
      </c>
      <c r="J506" t="s">
        <v>17</v>
      </c>
      <c r="K506">
        <v>100</v>
      </c>
      <c r="L506">
        <v>144</v>
      </c>
      <c r="M506" t="s">
        <v>869</v>
      </c>
      <c r="N506" t="s">
        <v>870</v>
      </c>
    </row>
    <row r="507" spans="1:14" x14ac:dyDescent="0.3">
      <c r="A507">
        <v>1211157</v>
      </c>
      <c r="B507" t="s">
        <v>1234</v>
      </c>
      <c r="C507" t="s">
        <v>1351</v>
      </c>
      <c r="D507" t="s">
        <v>1350</v>
      </c>
      <c r="E507" t="s">
        <v>1349</v>
      </c>
      <c r="F507" t="s">
        <v>1348</v>
      </c>
      <c r="G507" t="s">
        <v>1379</v>
      </c>
      <c r="H507" t="s">
        <v>22</v>
      </c>
      <c r="I507" t="s">
        <v>22</v>
      </c>
      <c r="J507" t="s">
        <v>17</v>
      </c>
      <c r="K507">
        <v>95.8</v>
      </c>
      <c r="L507">
        <v>113.5</v>
      </c>
      <c r="M507" t="s">
        <v>1346</v>
      </c>
      <c r="N507" t="s">
        <v>1345</v>
      </c>
    </row>
    <row r="508" spans="1:14" x14ac:dyDescent="0.3">
      <c r="A508">
        <v>1211157</v>
      </c>
      <c r="B508" t="s">
        <v>1234</v>
      </c>
      <c r="C508" t="s">
        <v>1351</v>
      </c>
      <c r="D508" t="s">
        <v>1350</v>
      </c>
      <c r="E508" t="s">
        <v>1349</v>
      </c>
      <c r="F508" t="s">
        <v>1348</v>
      </c>
      <c r="G508" t="s">
        <v>1378</v>
      </c>
      <c r="H508" t="s">
        <v>22</v>
      </c>
      <c r="I508" t="s">
        <v>22</v>
      </c>
      <c r="J508" t="s">
        <v>17</v>
      </c>
      <c r="K508">
        <v>95.8</v>
      </c>
      <c r="L508">
        <v>113.5</v>
      </c>
      <c r="M508" t="s">
        <v>1346</v>
      </c>
      <c r="N508" t="s">
        <v>1345</v>
      </c>
    </row>
    <row r="509" spans="1:14" x14ac:dyDescent="0.3">
      <c r="A509">
        <v>1211157</v>
      </c>
      <c r="B509" t="s">
        <v>1234</v>
      </c>
      <c r="C509" t="s">
        <v>1351</v>
      </c>
      <c r="D509" t="s">
        <v>1350</v>
      </c>
      <c r="E509" t="s">
        <v>1349</v>
      </c>
      <c r="F509" t="s">
        <v>1348</v>
      </c>
      <c r="G509" t="s">
        <v>1377</v>
      </c>
      <c r="H509" t="s">
        <v>22</v>
      </c>
      <c r="I509" t="s">
        <v>22</v>
      </c>
      <c r="J509" t="s">
        <v>17</v>
      </c>
      <c r="K509">
        <v>95.8</v>
      </c>
      <c r="L509">
        <v>113.5</v>
      </c>
      <c r="M509" t="s">
        <v>1346</v>
      </c>
      <c r="N509" t="s">
        <v>1345</v>
      </c>
    </row>
    <row r="510" spans="1:14" x14ac:dyDescent="0.3">
      <c r="A510">
        <v>1211157</v>
      </c>
      <c r="B510" t="s">
        <v>1234</v>
      </c>
      <c r="C510" t="s">
        <v>1351</v>
      </c>
      <c r="D510" t="s">
        <v>1350</v>
      </c>
      <c r="E510" t="s">
        <v>1349</v>
      </c>
      <c r="F510" t="s">
        <v>1348</v>
      </c>
      <c r="G510" t="s">
        <v>1376</v>
      </c>
      <c r="H510" t="s">
        <v>22</v>
      </c>
      <c r="I510" t="s">
        <v>22</v>
      </c>
      <c r="J510" t="s">
        <v>17</v>
      </c>
      <c r="K510">
        <v>95.8</v>
      </c>
      <c r="L510">
        <v>113.5</v>
      </c>
      <c r="M510" t="s">
        <v>1346</v>
      </c>
      <c r="N510" t="s">
        <v>1345</v>
      </c>
    </row>
    <row r="511" spans="1:14" x14ac:dyDescent="0.3">
      <c r="A511">
        <v>1211157</v>
      </c>
      <c r="B511" t="s">
        <v>1234</v>
      </c>
      <c r="C511" t="s">
        <v>1351</v>
      </c>
      <c r="D511" t="s">
        <v>1350</v>
      </c>
      <c r="E511" t="s">
        <v>1349</v>
      </c>
      <c r="F511" t="s">
        <v>1348</v>
      </c>
      <c r="G511" t="s">
        <v>1375</v>
      </c>
      <c r="H511" t="s">
        <v>22</v>
      </c>
      <c r="I511" t="s">
        <v>22</v>
      </c>
      <c r="J511" t="s">
        <v>17</v>
      </c>
      <c r="K511">
        <v>95.8</v>
      </c>
      <c r="L511">
        <v>113.5</v>
      </c>
      <c r="M511" t="s">
        <v>1346</v>
      </c>
      <c r="N511" t="s">
        <v>1345</v>
      </c>
    </row>
    <row r="512" spans="1:14" x14ac:dyDescent="0.3">
      <c r="A512">
        <v>1211157</v>
      </c>
      <c r="B512" t="s">
        <v>1234</v>
      </c>
      <c r="C512" t="s">
        <v>1351</v>
      </c>
      <c r="D512" t="s">
        <v>1350</v>
      </c>
      <c r="E512" t="s">
        <v>1349</v>
      </c>
      <c r="F512" t="s">
        <v>1348</v>
      </c>
      <c r="G512" t="s">
        <v>1374</v>
      </c>
      <c r="H512" t="s">
        <v>22</v>
      </c>
      <c r="I512" t="s">
        <v>22</v>
      </c>
      <c r="J512" t="s">
        <v>17</v>
      </c>
      <c r="K512">
        <v>95.8</v>
      </c>
      <c r="L512">
        <v>113.5</v>
      </c>
      <c r="M512" t="s">
        <v>1346</v>
      </c>
      <c r="N512" t="s">
        <v>1345</v>
      </c>
    </row>
    <row r="513" spans="1:14" x14ac:dyDescent="0.3">
      <c r="A513">
        <v>1211157</v>
      </c>
      <c r="B513" t="s">
        <v>1234</v>
      </c>
      <c r="C513" t="s">
        <v>1351</v>
      </c>
      <c r="D513" t="s">
        <v>1350</v>
      </c>
      <c r="E513" t="s">
        <v>1349</v>
      </c>
      <c r="F513" t="s">
        <v>1348</v>
      </c>
      <c r="G513" t="s">
        <v>1373</v>
      </c>
      <c r="H513" t="s">
        <v>22</v>
      </c>
      <c r="I513" t="s">
        <v>22</v>
      </c>
      <c r="J513" t="s">
        <v>17</v>
      </c>
      <c r="K513">
        <v>95.8</v>
      </c>
      <c r="L513">
        <v>113.5</v>
      </c>
      <c r="M513" t="s">
        <v>1346</v>
      </c>
      <c r="N513" t="s">
        <v>1345</v>
      </c>
    </row>
    <row r="514" spans="1:14" x14ac:dyDescent="0.3">
      <c r="A514">
        <v>1211157</v>
      </c>
      <c r="B514" t="s">
        <v>1234</v>
      </c>
      <c r="C514" t="s">
        <v>1351</v>
      </c>
      <c r="D514" t="s">
        <v>1350</v>
      </c>
      <c r="E514" t="s">
        <v>1349</v>
      </c>
      <c r="F514" t="s">
        <v>1348</v>
      </c>
      <c r="G514" t="s">
        <v>1372</v>
      </c>
      <c r="H514" t="s">
        <v>22</v>
      </c>
      <c r="I514" t="s">
        <v>22</v>
      </c>
      <c r="J514" t="s">
        <v>17</v>
      </c>
      <c r="K514">
        <v>95.8</v>
      </c>
      <c r="L514">
        <v>113.5</v>
      </c>
      <c r="M514" t="s">
        <v>1346</v>
      </c>
      <c r="N514" t="s">
        <v>1345</v>
      </c>
    </row>
    <row r="515" spans="1:14" x14ac:dyDescent="0.3">
      <c r="A515">
        <v>1211157</v>
      </c>
      <c r="B515" t="s">
        <v>1234</v>
      </c>
      <c r="C515" t="s">
        <v>1351</v>
      </c>
      <c r="D515" t="s">
        <v>1350</v>
      </c>
      <c r="E515" t="s">
        <v>1349</v>
      </c>
      <c r="F515" t="s">
        <v>1348</v>
      </c>
      <c r="G515" t="s">
        <v>1371</v>
      </c>
      <c r="H515" t="s">
        <v>22</v>
      </c>
      <c r="I515" t="s">
        <v>22</v>
      </c>
      <c r="J515" t="s">
        <v>17</v>
      </c>
      <c r="K515">
        <v>95.8</v>
      </c>
      <c r="L515">
        <v>113.5</v>
      </c>
      <c r="M515" t="s">
        <v>1346</v>
      </c>
      <c r="N515" t="s">
        <v>1345</v>
      </c>
    </row>
    <row r="516" spans="1:14" x14ac:dyDescent="0.3">
      <c r="A516">
        <v>1211157</v>
      </c>
      <c r="B516" t="s">
        <v>1234</v>
      </c>
      <c r="C516" t="s">
        <v>1351</v>
      </c>
      <c r="D516" t="s">
        <v>1350</v>
      </c>
      <c r="E516" t="s">
        <v>1349</v>
      </c>
      <c r="F516" t="s">
        <v>1348</v>
      </c>
      <c r="G516" t="s">
        <v>1370</v>
      </c>
      <c r="H516" t="s">
        <v>22</v>
      </c>
      <c r="I516" t="s">
        <v>22</v>
      </c>
      <c r="J516" t="s">
        <v>17</v>
      </c>
      <c r="K516">
        <v>95.8</v>
      </c>
      <c r="L516">
        <v>113.5</v>
      </c>
      <c r="M516" t="s">
        <v>1346</v>
      </c>
      <c r="N516" t="s">
        <v>1345</v>
      </c>
    </row>
    <row r="517" spans="1:14" x14ac:dyDescent="0.3">
      <c r="A517">
        <v>1211157</v>
      </c>
      <c r="B517" t="s">
        <v>1234</v>
      </c>
      <c r="C517" t="s">
        <v>1351</v>
      </c>
      <c r="D517" t="s">
        <v>1350</v>
      </c>
      <c r="E517" t="s">
        <v>1349</v>
      </c>
      <c r="F517" t="s">
        <v>1348</v>
      </c>
      <c r="G517" t="s">
        <v>1369</v>
      </c>
      <c r="H517" t="s">
        <v>22</v>
      </c>
      <c r="I517" t="s">
        <v>22</v>
      </c>
      <c r="J517" t="s">
        <v>17</v>
      </c>
      <c r="K517">
        <v>95.8</v>
      </c>
      <c r="L517">
        <v>113.5</v>
      </c>
      <c r="M517" t="s">
        <v>1346</v>
      </c>
      <c r="N517" t="s">
        <v>1345</v>
      </c>
    </row>
    <row r="518" spans="1:14" x14ac:dyDescent="0.3">
      <c r="A518">
        <v>1211157</v>
      </c>
      <c r="B518" t="s">
        <v>1234</v>
      </c>
      <c r="C518" t="s">
        <v>1351</v>
      </c>
      <c r="D518" t="s">
        <v>1350</v>
      </c>
      <c r="E518" t="s">
        <v>1349</v>
      </c>
      <c r="F518" t="s">
        <v>1348</v>
      </c>
      <c r="G518" t="s">
        <v>1368</v>
      </c>
      <c r="H518" t="s">
        <v>22</v>
      </c>
      <c r="I518" t="s">
        <v>22</v>
      </c>
      <c r="J518" t="s">
        <v>17</v>
      </c>
      <c r="K518">
        <v>95.8</v>
      </c>
      <c r="L518">
        <v>113.5</v>
      </c>
      <c r="M518" t="s">
        <v>1346</v>
      </c>
      <c r="N518" t="s">
        <v>1345</v>
      </c>
    </row>
    <row r="519" spans="1:14" x14ac:dyDescent="0.3">
      <c r="A519">
        <v>1211157</v>
      </c>
      <c r="B519" t="s">
        <v>1234</v>
      </c>
      <c r="C519" t="s">
        <v>1351</v>
      </c>
      <c r="D519" t="s">
        <v>1350</v>
      </c>
      <c r="E519" t="s">
        <v>1349</v>
      </c>
      <c r="F519" t="s">
        <v>1348</v>
      </c>
      <c r="G519" t="s">
        <v>1367</v>
      </c>
      <c r="H519" t="s">
        <v>22</v>
      </c>
      <c r="I519" t="s">
        <v>22</v>
      </c>
      <c r="J519" t="s">
        <v>17</v>
      </c>
      <c r="K519">
        <v>95.8</v>
      </c>
      <c r="L519">
        <v>113.5</v>
      </c>
      <c r="M519" t="s">
        <v>1346</v>
      </c>
      <c r="N519" t="s">
        <v>1345</v>
      </c>
    </row>
    <row r="520" spans="1:14" x14ac:dyDescent="0.3">
      <c r="A520">
        <v>1211157</v>
      </c>
      <c r="B520" t="s">
        <v>1234</v>
      </c>
      <c r="C520" t="s">
        <v>1351</v>
      </c>
      <c r="D520" t="s">
        <v>1350</v>
      </c>
      <c r="E520" t="s">
        <v>1349</v>
      </c>
      <c r="F520" t="s">
        <v>1348</v>
      </c>
      <c r="G520" t="s">
        <v>1366</v>
      </c>
      <c r="H520" t="s">
        <v>22</v>
      </c>
      <c r="I520" t="s">
        <v>22</v>
      </c>
      <c r="J520" t="s">
        <v>17</v>
      </c>
      <c r="K520">
        <v>95.8</v>
      </c>
      <c r="L520">
        <v>113.5</v>
      </c>
      <c r="M520" t="s">
        <v>1346</v>
      </c>
      <c r="N520" t="s">
        <v>1345</v>
      </c>
    </row>
    <row r="521" spans="1:14" x14ac:dyDescent="0.3">
      <c r="A521">
        <v>1211157</v>
      </c>
      <c r="B521" t="s">
        <v>1234</v>
      </c>
      <c r="C521" t="s">
        <v>1351</v>
      </c>
      <c r="D521" t="s">
        <v>1350</v>
      </c>
      <c r="E521" t="s">
        <v>1349</v>
      </c>
      <c r="F521" t="s">
        <v>1348</v>
      </c>
      <c r="G521" t="s">
        <v>1365</v>
      </c>
      <c r="H521" t="s">
        <v>22</v>
      </c>
      <c r="I521" t="s">
        <v>22</v>
      </c>
      <c r="J521" t="s">
        <v>17</v>
      </c>
      <c r="K521">
        <v>95.8</v>
      </c>
      <c r="L521">
        <v>113.5</v>
      </c>
      <c r="M521" t="s">
        <v>1346</v>
      </c>
      <c r="N521" t="s">
        <v>1345</v>
      </c>
    </row>
    <row r="522" spans="1:14" x14ac:dyDescent="0.3">
      <c r="A522">
        <v>1211157</v>
      </c>
      <c r="B522" t="s">
        <v>1234</v>
      </c>
      <c r="C522" t="s">
        <v>1351</v>
      </c>
      <c r="D522" t="s">
        <v>1350</v>
      </c>
      <c r="E522" t="s">
        <v>1349</v>
      </c>
      <c r="F522" t="s">
        <v>1348</v>
      </c>
      <c r="G522" t="s">
        <v>1364</v>
      </c>
      <c r="H522" t="s">
        <v>22</v>
      </c>
      <c r="I522" t="s">
        <v>22</v>
      </c>
      <c r="J522" t="s">
        <v>17</v>
      </c>
      <c r="K522">
        <v>95.8</v>
      </c>
      <c r="L522">
        <v>113.5</v>
      </c>
      <c r="M522" t="s">
        <v>1346</v>
      </c>
      <c r="N522" t="s">
        <v>1345</v>
      </c>
    </row>
    <row r="523" spans="1:14" x14ac:dyDescent="0.3">
      <c r="A523">
        <v>1211157</v>
      </c>
      <c r="B523" t="s">
        <v>1234</v>
      </c>
      <c r="C523" t="s">
        <v>1351</v>
      </c>
      <c r="D523" t="s">
        <v>1350</v>
      </c>
      <c r="E523" t="s">
        <v>1349</v>
      </c>
      <c r="F523" t="s">
        <v>1348</v>
      </c>
      <c r="G523" t="s">
        <v>1363</v>
      </c>
      <c r="H523" t="s">
        <v>22</v>
      </c>
      <c r="I523" t="s">
        <v>22</v>
      </c>
      <c r="J523" t="s">
        <v>17</v>
      </c>
      <c r="K523">
        <v>95.8</v>
      </c>
      <c r="L523">
        <v>113.5</v>
      </c>
      <c r="M523" t="s">
        <v>1346</v>
      </c>
      <c r="N523" t="s">
        <v>1345</v>
      </c>
    </row>
    <row r="524" spans="1:14" x14ac:dyDescent="0.3">
      <c r="A524">
        <v>1211157</v>
      </c>
      <c r="B524" t="s">
        <v>1234</v>
      </c>
      <c r="C524" t="s">
        <v>1351</v>
      </c>
      <c r="D524" t="s">
        <v>1350</v>
      </c>
      <c r="E524" t="s">
        <v>1349</v>
      </c>
      <c r="F524" t="s">
        <v>1348</v>
      </c>
      <c r="G524" t="s">
        <v>1362</v>
      </c>
      <c r="H524" t="s">
        <v>22</v>
      </c>
      <c r="I524" t="s">
        <v>22</v>
      </c>
      <c r="J524" t="s">
        <v>17</v>
      </c>
      <c r="K524">
        <v>95.8</v>
      </c>
      <c r="L524">
        <v>113.5</v>
      </c>
      <c r="M524" t="s">
        <v>1346</v>
      </c>
      <c r="N524" t="s">
        <v>1345</v>
      </c>
    </row>
    <row r="525" spans="1:14" x14ac:dyDescent="0.3">
      <c r="A525">
        <v>1211157</v>
      </c>
      <c r="B525" t="s">
        <v>1234</v>
      </c>
      <c r="C525" t="s">
        <v>1351</v>
      </c>
      <c r="D525" t="s">
        <v>1350</v>
      </c>
      <c r="E525" t="s">
        <v>1349</v>
      </c>
      <c r="F525" t="s">
        <v>1348</v>
      </c>
      <c r="G525" t="s">
        <v>1361</v>
      </c>
      <c r="H525" t="s">
        <v>22</v>
      </c>
      <c r="I525" t="s">
        <v>22</v>
      </c>
      <c r="J525" t="s">
        <v>17</v>
      </c>
      <c r="K525">
        <v>95.8</v>
      </c>
      <c r="L525">
        <v>113.5</v>
      </c>
      <c r="M525" t="s">
        <v>1346</v>
      </c>
      <c r="N525" t="s">
        <v>1345</v>
      </c>
    </row>
    <row r="526" spans="1:14" x14ac:dyDescent="0.3">
      <c r="A526">
        <v>1211157</v>
      </c>
      <c r="B526" t="s">
        <v>1234</v>
      </c>
      <c r="C526" t="s">
        <v>1351</v>
      </c>
      <c r="D526" t="s">
        <v>1350</v>
      </c>
      <c r="E526" t="s">
        <v>1349</v>
      </c>
      <c r="F526" t="s">
        <v>1348</v>
      </c>
      <c r="G526" t="s">
        <v>1360</v>
      </c>
      <c r="H526" t="s">
        <v>22</v>
      </c>
      <c r="I526" t="s">
        <v>22</v>
      </c>
      <c r="J526" t="s">
        <v>17</v>
      </c>
      <c r="K526">
        <v>95.8</v>
      </c>
      <c r="L526">
        <v>113.5</v>
      </c>
      <c r="M526" t="s">
        <v>1346</v>
      </c>
      <c r="N526" t="s">
        <v>1345</v>
      </c>
    </row>
    <row r="527" spans="1:14" x14ac:dyDescent="0.3">
      <c r="A527">
        <v>1211157</v>
      </c>
      <c r="B527" t="s">
        <v>1234</v>
      </c>
      <c r="C527" t="s">
        <v>1351</v>
      </c>
      <c r="D527" t="s">
        <v>1350</v>
      </c>
      <c r="E527" t="s">
        <v>1349</v>
      </c>
      <c r="F527" t="s">
        <v>1348</v>
      </c>
      <c r="G527" t="s">
        <v>1359</v>
      </c>
      <c r="H527" t="s">
        <v>22</v>
      </c>
      <c r="I527" t="s">
        <v>22</v>
      </c>
      <c r="J527" t="s">
        <v>17</v>
      </c>
      <c r="K527">
        <v>95.8</v>
      </c>
      <c r="L527">
        <v>113.5</v>
      </c>
      <c r="M527" t="s">
        <v>1346</v>
      </c>
      <c r="N527" t="s">
        <v>1345</v>
      </c>
    </row>
    <row r="528" spans="1:14" x14ac:dyDescent="0.3">
      <c r="A528">
        <v>1211157</v>
      </c>
      <c r="B528" t="s">
        <v>1234</v>
      </c>
      <c r="C528" t="s">
        <v>1351</v>
      </c>
      <c r="D528" t="s">
        <v>1350</v>
      </c>
      <c r="E528" t="s">
        <v>1349</v>
      </c>
      <c r="F528" t="s">
        <v>1348</v>
      </c>
      <c r="G528" t="s">
        <v>1358</v>
      </c>
      <c r="H528" t="s">
        <v>22</v>
      </c>
      <c r="I528" t="s">
        <v>22</v>
      </c>
      <c r="J528" t="s">
        <v>17</v>
      </c>
      <c r="K528">
        <v>95.8</v>
      </c>
      <c r="L528">
        <v>113.5</v>
      </c>
      <c r="M528" t="s">
        <v>1346</v>
      </c>
      <c r="N528" t="s">
        <v>1345</v>
      </c>
    </row>
    <row r="529" spans="1:14" x14ac:dyDescent="0.3">
      <c r="A529">
        <v>1211157</v>
      </c>
      <c r="B529" t="s">
        <v>1234</v>
      </c>
      <c r="C529" t="s">
        <v>1351</v>
      </c>
      <c r="D529" t="s">
        <v>1350</v>
      </c>
      <c r="E529" t="s">
        <v>1349</v>
      </c>
      <c r="F529" t="s">
        <v>1348</v>
      </c>
      <c r="G529" t="s">
        <v>1357</v>
      </c>
      <c r="H529" t="s">
        <v>22</v>
      </c>
      <c r="I529" t="s">
        <v>22</v>
      </c>
      <c r="J529" t="s">
        <v>17</v>
      </c>
      <c r="K529">
        <v>95.8</v>
      </c>
      <c r="L529">
        <v>113.5</v>
      </c>
      <c r="M529" t="s">
        <v>1346</v>
      </c>
      <c r="N529" t="s">
        <v>1345</v>
      </c>
    </row>
    <row r="530" spans="1:14" x14ac:dyDescent="0.3">
      <c r="A530">
        <v>1211157</v>
      </c>
      <c r="B530" t="s">
        <v>1234</v>
      </c>
      <c r="C530" t="s">
        <v>1351</v>
      </c>
      <c r="D530" t="s">
        <v>1350</v>
      </c>
      <c r="E530" t="s">
        <v>1349</v>
      </c>
      <c r="F530" t="s">
        <v>1348</v>
      </c>
      <c r="G530" t="s">
        <v>1356</v>
      </c>
      <c r="H530" t="s">
        <v>22</v>
      </c>
      <c r="I530" t="s">
        <v>22</v>
      </c>
      <c r="J530" t="s">
        <v>17</v>
      </c>
      <c r="K530">
        <v>95.8</v>
      </c>
      <c r="L530">
        <v>113.5</v>
      </c>
      <c r="M530" t="s">
        <v>1346</v>
      </c>
      <c r="N530" t="s">
        <v>1345</v>
      </c>
    </row>
    <row r="531" spans="1:14" x14ac:dyDescent="0.3">
      <c r="A531">
        <v>1211157</v>
      </c>
      <c r="B531" t="s">
        <v>1234</v>
      </c>
      <c r="C531" t="s">
        <v>1351</v>
      </c>
      <c r="D531" t="s">
        <v>1350</v>
      </c>
      <c r="E531" t="s">
        <v>1349</v>
      </c>
      <c r="F531" t="s">
        <v>1348</v>
      </c>
      <c r="G531" t="s">
        <v>1355</v>
      </c>
      <c r="H531" t="s">
        <v>22</v>
      </c>
      <c r="I531" t="s">
        <v>22</v>
      </c>
      <c r="J531" t="s">
        <v>17</v>
      </c>
      <c r="K531">
        <v>95.8</v>
      </c>
      <c r="L531">
        <v>113.5</v>
      </c>
      <c r="M531" t="s">
        <v>1346</v>
      </c>
      <c r="N531" t="s">
        <v>1345</v>
      </c>
    </row>
    <row r="532" spans="1:14" x14ac:dyDescent="0.3">
      <c r="A532">
        <v>1211157</v>
      </c>
      <c r="B532" t="s">
        <v>1234</v>
      </c>
      <c r="C532" t="s">
        <v>1351</v>
      </c>
      <c r="D532" t="s">
        <v>1350</v>
      </c>
      <c r="E532" t="s">
        <v>1349</v>
      </c>
      <c r="F532" t="s">
        <v>1348</v>
      </c>
      <c r="G532" t="s">
        <v>1354</v>
      </c>
      <c r="H532" t="s">
        <v>22</v>
      </c>
      <c r="I532" t="s">
        <v>22</v>
      </c>
      <c r="J532" t="s">
        <v>17</v>
      </c>
      <c r="K532">
        <v>95.8</v>
      </c>
      <c r="L532">
        <v>113.5</v>
      </c>
      <c r="M532" t="s">
        <v>1346</v>
      </c>
      <c r="N532" t="s">
        <v>1345</v>
      </c>
    </row>
    <row r="533" spans="1:14" x14ac:dyDescent="0.3">
      <c r="A533">
        <v>1211157</v>
      </c>
      <c r="B533" t="s">
        <v>1234</v>
      </c>
      <c r="C533" t="s">
        <v>1351</v>
      </c>
      <c r="D533" t="s">
        <v>1350</v>
      </c>
      <c r="E533" t="s">
        <v>1349</v>
      </c>
      <c r="F533" t="s">
        <v>1348</v>
      </c>
      <c r="G533" t="s">
        <v>1353</v>
      </c>
      <c r="H533" t="s">
        <v>22</v>
      </c>
      <c r="I533" t="s">
        <v>22</v>
      </c>
      <c r="J533" t="s">
        <v>17</v>
      </c>
      <c r="K533">
        <v>95.8</v>
      </c>
      <c r="L533">
        <v>113.5</v>
      </c>
      <c r="M533" t="s">
        <v>1346</v>
      </c>
      <c r="N533" t="s">
        <v>1345</v>
      </c>
    </row>
    <row r="534" spans="1:14" x14ac:dyDescent="0.3">
      <c r="A534">
        <v>1211157</v>
      </c>
      <c r="B534" t="s">
        <v>1234</v>
      </c>
      <c r="C534" t="s">
        <v>1351</v>
      </c>
      <c r="D534" t="s">
        <v>1350</v>
      </c>
      <c r="E534" t="s">
        <v>1349</v>
      </c>
      <c r="F534" t="s">
        <v>1348</v>
      </c>
      <c r="G534" t="s">
        <v>1352</v>
      </c>
      <c r="H534" t="s">
        <v>22</v>
      </c>
      <c r="I534" t="s">
        <v>22</v>
      </c>
      <c r="J534" t="s">
        <v>17</v>
      </c>
      <c r="K534">
        <v>95.8</v>
      </c>
      <c r="L534">
        <v>113.5</v>
      </c>
      <c r="M534" t="s">
        <v>1346</v>
      </c>
      <c r="N534" t="s">
        <v>1345</v>
      </c>
    </row>
    <row r="535" spans="1:14" x14ac:dyDescent="0.3">
      <c r="A535">
        <v>1211157</v>
      </c>
      <c r="B535" t="s">
        <v>1234</v>
      </c>
      <c r="C535" t="s">
        <v>1351</v>
      </c>
      <c r="D535" t="s">
        <v>1350</v>
      </c>
      <c r="E535" t="s">
        <v>1349</v>
      </c>
      <c r="F535" t="s">
        <v>1348</v>
      </c>
      <c r="G535" t="s">
        <v>1347</v>
      </c>
      <c r="H535" t="s">
        <v>22</v>
      </c>
      <c r="I535" t="s">
        <v>22</v>
      </c>
      <c r="J535" t="s">
        <v>17</v>
      </c>
      <c r="K535">
        <v>95.8</v>
      </c>
      <c r="L535">
        <v>113.5</v>
      </c>
      <c r="M535" t="s">
        <v>1346</v>
      </c>
      <c r="N535" t="s">
        <v>1345</v>
      </c>
    </row>
    <row r="536" spans="1:14" hidden="1" x14ac:dyDescent="0.3">
      <c r="A536">
        <v>1211157</v>
      </c>
      <c r="B536" t="s">
        <v>1234</v>
      </c>
      <c r="C536" t="s">
        <v>1344</v>
      </c>
      <c r="H536" t="s">
        <v>16</v>
      </c>
      <c r="I536" t="s">
        <v>16</v>
      </c>
      <c r="J536" t="s">
        <v>17</v>
      </c>
      <c r="K536">
        <v>0</v>
      </c>
      <c r="L536">
        <v>0</v>
      </c>
    </row>
    <row r="537" spans="1:14" x14ac:dyDescent="0.3">
      <c r="A537">
        <v>1211157</v>
      </c>
      <c r="B537" t="s">
        <v>1234</v>
      </c>
      <c r="C537" t="s">
        <v>1331</v>
      </c>
      <c r="D537" t="s">
        <v>1330</v>
      </c>
      <c r="E537" t="s">
        <v>1329</v>
      </c>
      <c r="F537" t="s">
        <v>1328</v>
      </c>
      <c r="G537" t="s">
        <v>1343</v>
      </c>
      <c r="H537" t="s">
        <v>46</v>
      </c>
      <c r="I537" t="s">
        <v>46</v>
      </c>
      <c r="J537" t="s">
        <v>17</v>
      </c>
      <c r="K537">
        <v>100</v>
      </c>
      <c r="L537">
        <v>50</v>
      </c>
      <c r="M537" t="s">
        <v>1326</v>
      </c>
      <c r="N537" t="s">
        <v>1325</v>
      </c>
    </row>
    <row r="538" spans="1:14" x14ac:dyDescent="0.3">
      <c r="A538">
        <v>1211157</v>
      </c>
      <c r="B538" t="s">
        <v>1234</v>
      </c>
      <c r="C538" t="s">
        <v>1331</v>
      </c>
      <c r="D538" t="s">
        <v>1330</v>
      </c>
      <c r="E538" t="s">
        <v>1329</v>
      </c>
      <c r="F538" t="s">
        <v>1328</v>
      </c>
      <c r="G538" t="s">
        <v>1342</v>
      </c>
      <c r="H538" t="s">
        <v>46</v>
      </c>
      <c r="I538" t="s">
        <v>46</v>
      </c>
      <c r="J538" t="s">
        <v>17</v>
      </c>
      <c r="K538">
        <v>100</v>
      </c>
      <c r="L538">
        <v>50</v>
      </c>
      <c r="M538" t="s">
        <v>1326</v>
      </c>
      <c r="N538" t="s">
        <v>1325</v>
      </c>
    </row>
    <row r="539" spans="1:14" x14ac:dyDescent="0.3">
      <c r="A539">
        <v>1211157</v>
      </c>
      <c r="B539" t="s">
        <v>1234</v>
      </c>
      <c r="C539" t="s">
        <v>1331</v>
      </c>
      <c r="D539" t="s">
        <v>1330</v>
      </c>
      <c r="E539" t="s">
        <v>1329</v>
      </c>
      <c r="F539" t="s">
        <v>1328</v>
      </c>
      <c r="G539" t="s">
        <v>1341</v>
      </c>
      <c r="H539" t="s">
        <v>46</v>
      </c>
      <c r="I539" t="s">
        <v>46</v>
      </c>
      <c r="J539" t="s">
        <v>17</v>
      </c>
      <c r="K539">
        <v>100</v>
      </c>
      <c r="L539">
        <v>50</v>
      </c>
      <c r="M539" t="s">
        <v>1326</v>
      </c>
      <c r="N539" t="s">
        <v>1325</v>
      </c>
    </row>
    <row r="540" spans="1:14" x14ac:dyDescent="0.3">
      <c r="A540">
        <v>1211157</v>
      </c>
      <c r="B540" t="s">
        <v>1234</v>
      </c>
      <c r="C540" t="s">
        <v>1331</v>
      </c>
      <c r="D540" t="s">
        <v>1330</v>
      </c>
      <c r="E540" t="s">
        <v>1329</v>
      </c>
      <c r="F540" t="s">
        <v>1328</v>
      </c>
      <c r="G540" t="s">
        <v>1340</v>
      </c>
      <c r="H540" t="s">
        <v>46</v>
      </c>
      <c r="I540" t="s">
        <v>46</v>
      </c>
      <c r="J540" t="s">
        <v>17</v>
      </c>
      <c r="K540">
        <v>100</v>
      </c>
      <c r="L540">
        <v>50</v>
      </c>
      <c r="M540" t="s">
        <v>1326</v>
      </c>
      <c r="N540" t="s">
        <v>1325</v>
      </c>
    </row>
    <row r="541" spans="1:14" x14ac:dyDescent="0.3">
      <c r="A541">
        <v>1211157</v>
      </c>
      <c r="B541" t="s">
        <v>1234</v>
      </c>
      <c r="C541" t="s">
        <v>1331</v>
      </c>
      <c r="D541" t="s">
        <v>1330</v>
      </c>
      <c r="E541" t="s">
        <v>1329</v>
      </c>
      <c r="F541" t="s">
        <v>1328</v>
      </c>
      <c r="G541" t="s">
        <v>1339</v>
      </c>
      <c r="H541" t="s">
        <v>46</v>
      </c>
      <c r="I541" t="s">
        <v>46</v>
      </c>
      <c r="J541" t="s">
        <v>17</v>
      </c>
      <c r="K541">
        <v>100</v>
      </c>
      <c r="L541">
        <v>50</v>
      </c>
      <c r="M541" t="s">
        <v>1326</v>
      </c>
      <c r="N541" t="s">
        <v>1325</v>
      </c>
    </row>
    <row r="542" spans="1:14" x14ac:dyDescent="0.3">
      <c r="A542">
        <v>1211157</v>
      </c>
      <c r="B542" t="s">
        <v>1234</v>
      </c>
      <c r="C542" t="s">
        <v>1331</v>
      </c>
      <c r="D542" t="s">
        <v>1330</v>
      </c>
      <c r="E542" t="s">
        <v>1329</v>
      </c>
      <c r="F542" t="s">
        <v>1328</v>
      </c>
      <c r="G542" t="s">
        <v>1338</v>
      </c>
      <c r="H542" t="s">
        <v>46</v>
      </c>
      <c r="I542" t="s">
        <v>46</v>
      </c>
      <c r="J542" t="s">
        <v>17</v>
      </c>
      <c r="K542">
        <v>100</v>
      </c>
      <c r="L542">
        <v>50</v>
      </c>
      <c r="M542" t="s">
        <v>1326</v>
      </c>
      <c r="N542" t="s">
        <v>1325</v>
      </c>
    </row>
    <row r="543" spans="1:14" x14ac:dyDescent="0.3">
      <c r="A543">
        <v>1211157</v>
      </c>
      <c r="B543" t="s">
        <v>1234</v>
      </c>
      <c r="C543" t="s">
        <v>1331</v>
      </c>
      <c r="D543" t="s">
        <v>1330</v>
      </c>
      <c r="E543" t="s">
        <v>1329</v>
      </c>
      <c r="F543" t="s">
        <v>1328</v>
      </c>
      <c r="G543" t="s">
        <v>1337</v>
      </c>
      <c r="H543" t="s">
        <v>46</v>
      </c>
      <c r="I543" t="s">
        <v>46</v>
      </c>
      <c r="J543" t="s">
        <v>17</v>
      </c>
      <c r="K543">
        <v>100</v>
      </c>
      <c r="L543">
        <v>50</v>
      </c>
      <c r="M543" t="s">
        <v>1326</v>
      </c>
      <c r="N543" t="s">
        <v>1325</v>
      </c>
    </row>
    <row r="544" spans="1:14" x14ac:dyDescent="0.3">
      <c r="A544">
        <v>1211157</v>
      </c>
      <c r="B544" t="s">
        <v>1234</v>
      </c>
      <c r="C544" t="s">
        <v>1331</v>
      </c>
      <c r="D544" t="s">
        <v>1330</v>
      </c>
      <c r="E544" t="s">
        <v>1329</v>
      </c>
      <c r="F544" t="s">
        <v>1328</v>
      </c>
      <c r="G544" t="s">
        <v>1336</v>
      </c>
      <c r="H544" t="s">
        <v>46</v>
      </c>
      <c r="I544" t="s">
        <v>46</v>
      </c>
      <c r="J544" t="s">
        <v>17</v>
      </c>
      <c r="K544">
        <v>100</v>
      </c>
      <c r="L544">
        <v>50</v>
      </c>
      <c r="M544" t="s">
        <v>1326</v>
      </c>
      <c r="N544" t="s">
        <v>1325</v>
      </c>
    </row>
    <row r="545" spans="1:14" x14ac:dyDescent="0.3">
      <c r="A545">
        <v>1211157</v>
      </c>
      <c r="B545" t="s">
        <v>1234</v>
      </c>
      <c r="C545" t="s">
        <v>1331</v>
      </c>
      <c r="D545" t="s">
        <v>1330</v>
      </c>
      <c r="E545" t="s">
        <v>1329</v>
      </c>
      <c r="F545" t="s">
        <v>1328</v>
      </c>
      <c r="G545" t="s">
        <v>1335</v>
      </c>
      <c r="H545" t="s">
        <v>46</v>
      </c>
      <c r="I545" t="s">
        <v>46</v>
      </c>
      <c r="J545" t="s">
        <v>17</v>
      </c>
      <c r="K545">
        <v>100</v>
      </c>
      <c r="L545">
        <v>50</v>
      </c>
      <c r="M545" t="s">
        <v>1326</v>
      </c>
      <c r="N545" t="s">
        <v>1325</v>
      </c>
    </row>
    <row r="546" spans="1:14" x14ac:dyDescent="0.3">
      <c r="A546">
        <v>1211157</v>
      </c>
      <c r="B546" t="s">
        <v>1234</v>
      </c>
      <c r="C546" t="s">
        <v>1331</v>
      </c>
      <c r="D546" t="s">
        <v>1330</v>
      </c>
      <c r="E546" t="s">
        <v>1329</v>
      </c>
      <c r="F546" t="s">
        <v>1328</v>
      </c>
      <c r="G546" t="s">
        <v>1334</v>
      </c>
      <c r="H546" t="s">
        <v>46</v>
      </c>
      <c r="I546" t="s">
        <v>46</v>
      </c>
      <c r="J546" t="s">
        <v>17</v>
      </c>
      <c r="K546">
        <v>100</v>
      </c>
      <c r="L546">
        <v>50</v>
      </c>
      <c r="M546" t="s">
        <v>1326</v>
      </c>
      <c r="N546" t="s">
        <v>1325</v>
      </c>
    </row>
    <row r="547" spans="1:14" x14ac:dyDescent="0.3">
      <c r="A547">
        <v>1211157</v>
      </c>
      <c r="B547" t="s">
        <v>1234</v>
      </c>
      <c r="C547" t="s">
        <v>1331</v>
      </c>
      <c r="D547" t="s">
        <v>1330</v>
      </c>
      <c r="E547" t="s">
        <v>1329</v>
      </c>
      <c r="F547" t="s">
        <v>1328</v>
      </c>
      <c r="G547" t="s">
        <v>1333</v>
      </c>
      <c r="H547" t="s">
        <v>46</v>
      </c>
      <c r="I547" t="s">
        <v>46</v>
      </c>
      <c r="J547" t="s">
        <v>17</v>
      </c>
      <c r="K547">
        <v>100</v>
      </c>
      <c r="L547">
        <v>50</v>
      </c>
      <c r="M547" t="s">
        <v>1326</v>
      </c>
      <c r="N547" t="s">
        <v>1325</v>
      </c>
    </row>
    <row r="548" spans="1:14" x14ac:dyDescent="0.3">
      <c r="A548">
        <v>1211157</v>
      </c>
      <c r="B548" t="s">
        <v>1234</v>
      </c>
      <c r="C548" t="s">
        <v>1331</v>
      </c>
      <c r="D548" t="s">
        <v>1330</v>
      </c>
      <c r="E548" t="s">
        <v>1329</v>
      </c>
      <c r="F548" t="s">
        <v>1328</v>
      </c>
      <c r="G548" t="s">
        <v>1332</v>
      </c>
      <c r="H548" t="s">
        <v>46</v>
      </c>
      <c r="I548" t="s">
        <v>46</v>
      </c>
      <c r="J548" t="s">
        <v>17</v>
      </c>
      <c r="K548">
        <v>100</v>
      </c>
      <c r="L548">
        <v>50</v>
      </c>
      <c r="M548" t="s">
        <v>1326</v>
      </c>
      <c r="N548" t="s">
        <v>1325</v>
      </c>
    </row>
    <row r="549" spans="1:14" x14ac:dyDescent="0.3">
      <c r="A549">
        <v>1211157</v>
      </c>
      <c r="B549" t="s">
        <v>1234</v>
      </c>
      <c r="C549" t="s">
        <v>1331</v>
      </c>
      <c r="D549" t="s">
        <v>1330</v>
      </c>
      <c r="E549" t="s">
        <v>1329</v>
      </c>
      <c r="F549" t="s">
        <v>1328</v>
      </c>
      <c r="G549" t="s">
        <v>1327</v>
      </c>
      <c r="H549" t="s">
        <v>46</v>
      </c>
      <c r="I549" t="s">
        <v>46</v>
      </c>
      <c r="J549" t="s">
        <v>17</v>
      </c>
      <c r="K549">
        <v>100</v>
      </c>
      <c r="L549">
        <v>50</v>
      </c>
      <c r="M549" t="s">
        <v>1326</v>
      </c>
      <c r="N549" t="s">
        <v>1325</v>
      </c>
    </row>
    <row r="550" spans="1:14" hidden="1" x14ac:dyDescent="0.3">
      <c r="A550">
        <v>1211157</v>
      </c>
      <c r="B550" t="s">
        <v>1234</v>
      </c>
      <c r="C550" t="s">
        <v>1324</v>
      </c>
      <c r="H550" t="s">
        <v>16</v>
      </c>
      <c r="I550" t="s">
        <v>16</v>
      </c>
      <c r="J550" t="s">
        <v>17</v>
      </c>
      <c r="K550">
        <v>0</v>
      </c>
      <c r="L550">
        <v>0</v>
      </c>
    </row>
    <row r="551" spans="1:14" x14ac:dyDescent="0.3">
      <c r="A551">
        <v>1211157</v>
      </c>
      <c r="B551" t="s">
        <v>1234</v>
      </c>
      <c r="C551" t="s">
        <v>1323</v>
      </c>
      <c r="D551" t="s">
        <v>1322</v>
      </c>
      <c r="E551" t="s">
        <v>1321</v>
      </c>
      <c r="H551" t="s">
        <v>46</v>
      </c>
      <c r="I551" t="s">
        <v>46</v>
      </c>
      <c r="J551" t="s">
        <v>17</v>
      </c>
      <c r="K551">
        <v>100</v>
      </c>
      <c r="L551">
        <v>50</v>
      </c>
      <c r="M551" t="s">
        <v>1320</v>
      </c>
      <c r="N551" t="s">
        <v>1319</v>
      </c>
    </row>
    <row r="552" spans="1:14" x14ac:dyDescent="0.3">
      <c r="A552">
        <v>1211157</v>
      </c>
      <c r="B552" t="s">
        <v>1234</v>
      </c>
      <c r="C552" t="s">
        <v>1315</v>
      </c>
      <c r="D552" t="s">
        <v>1314</v>
      </c>
      <c r="E552" t="s">
        <v>1313</v>
      </c>
      <c r="G552" t="s">
        <v>1318</v>
      </c>
      <c r="H552" t="s">
        <v>22</v>
      </c>
      <c r="I552" t="s">
        <v>22</v>
      </c>
      <c r="J552" t="s">
        <v>17</v>
      </c>
      <c r="K552">
        <v>90</v>
      </c>
      <c r="L552">
        <v>106</v>
      </c>
    </row>
    <row r="553" spans="1:14" x14ac:dyDescent="0.3">
      <c r="A553">
        <v>1211157</v>
      </c>
      <c r="B553" t="s">
        <v>1234</v>
      </c>
      <c r="C553" t="s">
        <v>1315</v>
      </c>
      <c r="D553" t="s">
        <v>1314</v>
      </c>
      <c r="E553" t="s">
        <v>1313</v>
      </c>
      <c r="G553" t="s">
        <v>1317</v>
      </c>
      <c r="H553" t="s">
        <v>22</v>
      </c>
      <c r="I553" t="s">
        <v>22</v>
      </c>
      <c r="J553" t="s">
        <v>17</v>
      </c>
      <c r="K553">
        <v>90</v>
      </c>
      <c r="L553">
        <v>106</v>
      </c>
    </row>
    <row r="554" spans="1:14" x14ac:dyDescent="0.3">
      <c r="A554">
        <v>1211157</v>
      </c>
      <c r="B554" t="s">
        <v>1234</v>
      </c>
      <c r="C554" t="s">
        <v>1315</v>
      </c>
      <c r="D554" t="s">
        <v>1314</v>
      </c>
      <c r="E554" t="s">
        <v>1313</v>
      </c>
      <c r="G554" t="s">
        <v>1316</v>
      </c>
      <c r="H554" t="s">
        <v>22</v>
      </c>
      <c r="I554" t="s">
        <v>22</v>
      </c>
      <c r="J554" t="s">
        <v>17</v>
      </c>
      <c r="K554">
        <v>90</v>
      </c>
      <c r="L554">
        <v>106</v>
      </c>
    </row>
    <row r="555" spans="1:14" x14ac:dyDescent="0.3">
      <c r="A555">
        <v>1211157</v>
      </c>
      <c r="B555" t="s">
        <v>1234</v>
      </c>
      <c r="C555" t="s">
        <v>1315</v>
      </c>
      <c r="D555" t="s">
        <v>1314</v>
      </c>
      <c r="E555" t="s">
        <v>1313</v>
      </c>
      <c r="G555" t="s">
        <v>1312</v>
      </c>
      <c r="H555" t="s">
        <v>22</v>
      </c>
      <c r="I555" t="s">
        <v>22</v>
      </c>
      <c r="J555" t="s">
        <v>17</v>
      </c>
      <c r="K555">
        <v>90</v>
      </c>
      <c r="L555">
        <v>106</v>
      </c>
    </row>
    <row r="556" spans="1:14" x14ac:dyDescent="0.3">
      <c r="A556">
        <v>1211157</v>
      </c>
      <c r="B556" t="s">
        <v>1234</v>
      </c>
      <c r="C556" t="s">
        <v>1307</v>
      </c>
      <c r="D556" t="s">
        <v>1307</v>
      </c>
      <c r="E556" t="s">
        <v>1306</v>
      </c>
      <c r="G556" t="s">
        <v>1311</v>
      </c>
      <c r="H556" t="s">
        <v>22</v>
      </c>
      <c r="I556" t="s">
        <v>22</v>
      </c>
      <c r="J556" t="s">
        <v>17</v>
      </c>
      <c r="K556">
        <v>100</v>
      </c>
      <c r="L556">
        <v>114</v>
      </c>
      <c r="M556" t="s">
        <v>1304</v>
      </c>
      <c r="N556" t="s">
        <v>1303</v>
      </c>
    </row>
    <row r="557" spans="1:14" x14ac:dyDescent="0.3">
      <c r="A557">
        <v>1211157</v>
      </c>
      <c r="B557" t="s">
        <v>1234</v>
      </c>
      <c r="C557" t="s">
        <v>1307</v>
      </c>
      <c r="D557" t="s">
        <v>1307</v>
      </c>
      <c r="E557" t="s">
        <v>1306</v>
      </c>
      <c r="G557" t="s">
        <v>1310</v>
      </c>
      <c r="H557" t="s">
        <v>22</v>
      </c>
      <c r="I557" t="s">
        <v>22</v>
      </c>
      <c r="J557" t="s">
        <v>17</v>
      </c>
      <c r="K557">
        <v>100</v>
      </c>
      <c r="L557">
        <v>114</v>
      </c>
      <c r="M557" t="s">
        <v>1304</v>
      </c>
      <c r="N557" t="s">
        <v>1303</v>
      </c>
    </row>
    <row r="558" spans="1:14" x14ac:dyDescent="0.3">
      <c r="A558">
        <v>1211157</v>
      </c>
      <c r="B558" t="s">
        <v>1234</v>
      </c>
      <c r="C558" t="s">
        <v>1307</v>
      </c>
      <c r="D558" t="s">
        <v>1307</v>
      </c>
      <c r="E558" t="s">
        <v>1306</v>
      </c>
      <c r="G558" t="s">
        <v>1309</v>
      </c>
      <c r="H558" t="s">
        <v>22</v>
      </c>
      <c r="I558" t="s">
        <v>22</v>
      </c>
      <c r="J558" t="s">
        <v>17</v>
      </c>
      <c r="K558">
        <v>100</v>
      </c>
      <c r="L558">
        <v>114</v>
      </c>
      <c r="M558" t="s">
        <v>1304</v>
      </c>
      <c r="N558" t="s">
        <v>1303</v>
      </c>
    </row>
    <row r="559" spans="1:14" x14ac:dyDescent="0.3">
      <c r="A559">
        <v>1211157</v>
      </c>
      <c r="B559" t="s">
        <v>1234</v>
      </c>
      <c r="C559" t="s">
        <v>1307</v>
      </c>
      <c r="D559" t="s">
        <v>1307</v>
      </c>
      <c r="E559" t="s">
        <v>1306</v>
      </c>
      <c r="G559" t="s">
        <v>1308</v>
      </c>
      <c r="H559" t="s">
        <v>22</v>
      </c>
      <c r="I559" t="s">
        <v>22</v>
      </c>
      <c r="J559" t="s">
        <v>17</v>
      </c>
      <c r="K559">
        <v>100</v>
      </c>
      <c r="L559">
        <v>114</v>
      </c>
      <c r="M559" t="s">
        <v>1304</v>
      </c>
      <c r="N559" t="s">
        <v>1303</v>
      </c>
    </row>
    <row r="560" spans="1:14" x14ac:dyDescent="0.3">
      <c r="A560">
        <v>1211157</v>
      </c>
      <c r="B560" t="s">
        <v>1234</v>
      </c>
      <c r="C560" t="s">
        <v>1307</v>
      </c>
      <c r="D560" t="s">
        <v>1307</v>
      </c>
      <c r="E560" t="s">
        <v>1306</v>
      </c>
      <c r="G560" t="s">
        <v>1305</v>
      </c>
      <c r="H560" t="s">
        <v>22</v>
      </c>
      <c r="I560" t="s">
        <v>22</v>
      </c>
      <c r="J560" t="s">
        <v>17</v>
      </c>
      <c r="K560">
        <v>100</v>
      </c>
      <c r="L560">
        <v>114</v>
      </c>
      <c r="M560" t="s">
        <v>1304</v>
      </c>
      <c r="N560" t="s">
        <v>1303</v>
      </c>
    </row>
    <row r="561" spans="1:14" x14ac:dyDescent="0.3">
      <c r="A561">
        <v>1211157</v>
      </c>
      <c r="B561" t="s">
        <v>1234</v>
      </c>
      <c r="C561" t="s">
        <v>1302</v>
      </c>
      <c r="D561" t="s">
        <v>1301</v>
      </c>
      <c r="E561" t="s">
        <v>1300</v>
      </c>
      <c r="H561" t="s">
        <v>22</v>
      </c>
      <c r="I561" t="s">
        <v>22</v>
      </c>
      <c r="J561" t="s">
        <v>17</v>
      </c>
      <c r="K561">
        <v>85.7</v>
      </c>
      <c r="L561">
        <v>103.4</v>
      </c>
      <c r="M561" t="s">
        <v>1299</v>
      </c>
      <c r="N561" t="s">
        <v>1298</v>
      </c>
    </row>
    <row r="562" spans="1:14" x14ac:dyDescent="0.3">
      <c r="A562">
        <v>1211157</v>
      </c>
      <c r="B562" t="s">
        <v>1234</v>
      </c>
      <c r="C562" t="s">
        <v>1287</v>
      </c>
      <c r="D562" t="s">
        <v>1286</v>
      </c>
      <c r="E562" t="s">
        <v>1285</v>
      </c>
      <c r="G562" t="s">
        <v>1297</v>
      </c>
      <c r="H562" t="s">
        <v>22</v>
      </c>
      <c r="I562" t="s">
        <v>22</v>
      </c>
      <c r="J562" t="s">
        <v>17</v>
      </c>
      <c r="K562">
        <v>87.5</v>
      </c>
      <c r="L562">
        <v>112.5</v>
      </c>
    </row>
    <row r="563" spans="1:14" x14ac:dyDescent="0.3">
      <c r="A563">
        <v>1211157</v>
      </c>
      <c r="B563" t="s">
        <v>1234</v>
      </c>
      <c r="C563" t="s">
        <v>1287</v>
      </c>
      <c r="D563" t="s">
        <v>1286</v>
      </c>
      <c r="E563" t="s">
        <v>1285</v>
      </c>
      <c r="G563" t="s">
        <v>1296</v>
      </c>
      <c r="H563" t="s">
        <v>22</v>
      </c>
      <c r="I563" t="s">
        <v>22</v>
      </c>
      <c r="J563" t="s">
        <v>17</v>
      </c>
      <c r="K563">
        <v>87.5</v>
      </c>
      <c r="L563">
        <v>112.5</v>
      </c>
    </row>
    <row r="564" spans="1:14" x14ac:dyDescent="0.3">
      <c r="A564">
        <v>1211157</v>
      </c>
      <c r="B564" t="s">
        <v>1234</v>
      </c>
      <c r="C564" t="s">
        <v>1287</v>
      </c>
      <c r="D564" t="s">
        <v>1286</v>
      </c>
      <c r="E564" t="s">
        <v>1285</v>
      </c>
      <c r="G564" t="s">
        <v>1295</v>
      </c>
      <c r="H564" t="s">
        <v>22</v>
      </c>
      <c r="I564" t="s">
        <v>22</v>
      </c>
      <c r="J564" t="s">
        <v>17</v>
      </c>
      <c r="K564">
        <v>87.5</v>
      </c>
      <c r="L564">
        <v>112.5</v>
      </c>
    </row>
    <row r="565" spans="1:14" x14ac:dyDescent="0.3">
      <c r="A565">
        <v>1211157</v>
      </c>
      <c r="B565" t="s">
        <v>1234</v>
      </c>
      <c r="C565" t="s">
        <v>1287</v>
      </c>
      <c r="D565" t="s">
        <v>1286</v>
      </c>
      <c r="E565" t="s">
        <v>1285</v>
      </c>
      <c r="G565" t="s">
        <v>1294</v>
      </c>
      <c r="H565" t="s">
        <v>22</v>
      </c>
      <c r="I565" t="s">
        <v>22</v>
      </c>
      <c r="J565" t="s">
        <v>17</v>
      </c>
      <c r="K565">
        <v>87.5</v>
      </c>
      <c r="L565">
        <v>112.5</v>
      </c>
    </row>
    <row r="566" spans="1:14" x14ac:dyDescent="0.3">
      <c r="A566">
        <v>1211157</v>
      </c>
      <c r="B566" t="s">
        <v>1234</v>
      </c>
      <c r="C566" t="s">
        <v>1287</v>
      </c>
      <c r="D566" t="s">
        <v>1286</v>
      </c>
      <c r="E566" t="s">
        <v>1285</v>
      </c>
      <c r="G566" t="s">
        <v>1293</v>
      </c>
      <c r="H566" t="s">
        <v>22</v>
      </c>
      <c r="I566" t="s">
        <v>22</v>
      </c>
      <c r="J566" t="s">
        <v>17</v>
      </c>
      <c r="K566">
        <v>87.5</v>
      </c>
      <c r="L566">
        <v>112.5</v>
      </c>
    </row>
    <row r="567" spans="1:14" x14ac:dyDescent="0.3">
      <c r="A567">
        <v>1211157</v>
      </c>
      <c r="B567" t="s">
        <v>1234</v>
      </c>
      <c r="C567" t="s">
        <v>1287</v>
      </c>
      <c r="D567" t="s">
        <v>1286</v>
      </c>
      <c r="E567" t="s">
        <v>1285</v>
      </c>
      <c r="G567" t="s">
        <v>1292</v>
      </c>
      <c r="H567" t="s">
        <v>22</v>
      </c>
      <c r="I567" t="s">
        <v>22</v>
      </c>
      <c r="J567" t="s">
        <v>17</v>
      </c>
      <c r="K567">
        <v>87.5</v>
      </c>
      <c r="L567">
        <v>112.5</v>
      </c>
    </row>
    <row r="568" spans="1:14" x14ac:dyDescent="0.3">
      <c r="A568">
        <v>1211157</v>
      </c>
      <c r="B568" t="s">
        <v>1234</v>
      </c>
      <c r="C568" t="s">
        <v>1287</v>
      </c>
      <c r="D568" t="s">
        <v>1286</v>
      </c>
      <c r="E568" t="s">
        <v>1285</v>
      </c>
      <c r="G568" t="s">
        <v>1291</v>
      </c>
      <c r="H568" t="s">
        <v>22</v>
      </c>
      <c r="I568" t="s">
        <v>22</v>
      </c>
      <c r="J568" t="s">
        <v>17</v>
      </c>
      <c r="K568">
        <v>87.5</v>
      </c>
      <c r="L568">
        <v>112.5</v>
      </c>
    </row>
    <row r="569" spans="1:14" x14ac:dyDescent="0.3">
      <c r="A569">
        <v>1211157</v>
      </c>
      <c r="B569" t="s">
        <v>1234</v>
      </c>
      <c r="C569" t="s">
        <v>1287</v>
      </c>
      <c r="D569" t="s">
        <v>1286</v>
      </c>
      <c r="E569" t="s">
        <v>1285</v>
      </c>
      <c r="G569" t="s">
        <v>1290</v>
      </c>
      <c r="H569" t="s">
        <v>22</v>
      </c>
      <c r="I569" t="s">
        <v>22</v>
      </c>
      <c r="J569" t="s">
        <v>17</v>
      </c>
      <c r="K569">
        <v>87.5</v>
      </c>
      <c r="L569">
        <v>112.5</v>
      </c>
    </row>
    <row r="570" spans="1:14" x14ac:dyDescent="0.3">
      <c r="A570">
        <v>1211157</v>
      </c>
      <c r="B570" t="s">
        <v>1234</v>
      </c>
      <c r="C570" t="s">
        <v>1287</v>
      </c>
      <c r="D570" t="s">
        <v>1286</v>
      </c>
      <c r="E570" t="s">
        <v>1285</v>
      </c>
      <c r="G570" t="s">
        <v>1289</v>
      </c>
      <c r="H570" t="s">
        <v>22</v>
      </c>
      <c r="I570" t="s">
        <v>22</v>
      </c>
      <c r="J570" t="s">
        <v>17</v>
      </c>
      <c r="K570">
        <v>87.5</v>
      </c>
      <c r="L570">
        <v>112.5</v>
      </c>
    </row>
    <row r="571" spans="1:14" x14ac:dyDescent="0.3">
      <c r="A571">
        <v>1211157</v>
      </c>
      <c r="B571" t="s">
        <v>1234</v>
      </c>
      <c r="C571" t="s">
        <v>1287</v>
      </c>
      <c r="D571" t="s">
        <v>1286</v>
      </c>
      <c r="E571" t="s">
        <v>1285</v>
      </c>
      <c r="G571" t="s">
        <v>1288</v>
      </c>
      <c r="H571" t="s">
        <v>22</v>
      </c>
      <c r="I571" t="s">
        <v>22</v>
      </c>
      <c r="J571" t="s">
        <v>17</v>
      </c>
      <c r="K571">
        <v>87.5</v>
      </c>
      <c r="L571">
        <v>112.5</v>
      </c>
    </row>
    <row r="572" spans="1:14" x14ac:dyDescent="0.3">
      <c r="A572">
        <v>1211157</v>
      </c>
      <c r="B572" t="s">
        <v>1234</v>
      </c>
      <c r="C572" t="s">
        <v>1287</v>
      </c>
      <c r="D572" t="s">
        <v>1286</v>
      </c>
      <c r="E572" t="s">
        <v>1285</v>
      </c>
      <c r="G572" t="s">
        <v>1284</v>
      </c>
      <c r="H572" t="s">
        <v>22</v>
      </c>
      <c r="I572" t="s">
        <v>22</v>
      </c>
      <c r="J572" t="s">
        <v>17</v>
      </c>
      <c r="K572">
        <v>87.5</v>
      </c>
      <c r="L572">
        <v>112.5</v>
      </c>
    </row>
    <row r="573" spans="1:14" x14ac:dyDescent="0.3">
      <c r="A573">
        <v>1211157</v>
      </c>
      <c r="B573" t="s">
        <v>1234</v>
      </c>
      <c r="C573" t="s">
        <v>1265</v>
      </c>
      <c r="D573" t="s">
        <v>1264</v>
      </c>
      <c r="E573" t="s">
        <v>1263</v>
      </c>
      <c r="G573" t="s">
        <v>1283</v>
      </c>
      <c r="H573" t="s">
        <v>22</v>
      </c>
      <c r="I573" t="s">
        <v>22</v>
      </c>
      <c r="J573" t="s">
        <v>17</v>
      </c>
      <c r="K573">
        <v>93.8</v>
      </c>
      <c r="L573">
        <v>108.2</v>
      </c>
      <c r="M573" t="s">
        <v>1261</v>
      </c>
      <c r="N573" t="s">
        <v>1260</v>
      </c>
    </row>
    <row r="574" spans="1:14" x14ac:dyDescent="0.3">
      <c r="A574">
        <v>1211157</v>
      </c>
      <c r="B574" t="s">
        <v>1234</v>
      </c>
      <c r="C574" t="s">
        <v>1265</v>
      </c>
      <c r="D574" t="s">
        <v>1264</v>
      </c>
      <c r="E574" t="s">
        <v>1263</v>
      </c>
      <c r="G574" t="s">
        <v>1282</v>
      </c>
      <c r="H574" t="s">
        <v>22</v>
      </c>
      <c r="I574" t="s">
        <v>22</v>
      </c>
      <c r="J574" t="s">
        <v>17</v>
      </c>
      <c r="K574">
        <v>93.8</v>
      </c>
      <c r="L574">
        <v>108.2</v>
      </c>
      <c r="M574" t="s">
        <v>1261</v>
      </c>
      <c r="N574" t="s">
        <v>1260</v>
      </c>
    </row>
    <row r="575" spans="1:14" x14ac:dyDescent="0.3">
      <c r="A575">
        <v>1211157</v>
      </c>
      <c r="B575" t="s">
        <v>1234</v>
      </c>
      <c r="C575" t="s">
        <v>1265</v>
      </c>
      <c r="D575" t="s">
        <v>1264</v>
      </c>
      <c r="E575" t="s">
        <v>1263</v>
      </c>
      <c r="G575" t="s">
        <v>1281</v>
      </c>
      <c r="H575" t="s">
        <v>22</v>
      </c>
      <c r="I575" t="s">
        <v>22</v>
      </c>
      <c r="J575" t="s">
        <v>17</v>
      </c>
      <c r="K575">
        <v>93.8</v>
      </c>
      <c r="L575">
        <v>108.2</v>
      </c>
      <c r="M575" t="s">
        <v>1261</v>
      </c>
      <c r="N575" t="s">
        <v>1260</v>
      </c>
    </row>
    <row r="576" spans="1:14" x14ac:dyDescent="0.3">
      <c r="A576">
        <v>1211157</v>
      </c>
      <c r="B576" t="s">
        <v>1234</v>
      </c>
      <c r="C576" t="s">
        <v>1265</v>
      </c>
      <c r="D576" t="s">
        <v>1264</v>
      </c>
      <c r="E576" t="s">
        <v>1263</v>
      </c>
      <c r="G576" t="s">
        <v>1280</v>
      </c>
      <c r="H576" t="s">
        <v>22</v>
      </c>
      <c r="I576" t="s">
        <v>22</v>
      </c>
      <c r="J576" t="s">
        <v>17</v>
      </c>
      <c r="K576">
        <v>93.8</v>
      </c>
      <c r="L576">
        <v>108.2</v>
      </c>
      <c r="M576" t="s">
        <v>1261</v>
      </c>
      <c r="N576" t="s">
        <v>1260</v>
      </c>
    </row>
    <row r="577" spans="1:14" x14ac:dyDescent="0.3">
      <c r="A577">
        <v>1211157</v>
      </c>
      <c r="B577" t="s">
        <v>1234</v>
      </c>
      <c r="C577" t="s">
        <v>1265</v>
      </c>
      <c r="D577" t="s">
        <v>1264</v>
      </c>
      <c r="E577" t="s">
        <v>1263</v>
      </c>
      <c r="G577" t="s">
        <v>1279</v>
      </c>
      <c r="H577" t="s">
        <v>22</v>
      </c>
      <c r="I577" t="s">
        <v>22</v>
      </c>
      <c r="J577" t="s">
        <v>17</v>
      </c>
      <c r="K577">
        <v>93.8</v>
      </c>
      <c r="L577">
        <v>108.2</v>
      </c>
      <c r="M577" t="s">
        <v>1261</v>
      </c>
      <c r="N577" t="s">
        <v>1260</v>
      </c>
    </row>
    <row r="578" spans="1:14" x14ac:dyDescent="0.3">
      <c r="A578">
        <v>1211157</v>
      </c>
      <c r="B578" t="s">
        <v>1234</v>
      </c>
      <c r="C578" t="s">
        <v>1265</v>
      </c>
      <c r="D578" t="s">
        <v>1264</v>
      </c>
      <c r="E578" t="s">
        <v>1263</v>
      </c>
      <c r="G578" t="s">
        <v>1278</v>
      </c>
      <c r="H578" t="s">
        <v>22</v>
      </c>
      <c r="I578" t="s">
        <v>22</v>
      </c>
      <c r="J578" t="s">
        <v>17</v>
      </c>
      <c r="K578">
        <v>93.8</v>
      </c>
      <c r="L578">
        <v>108.2</v>
      </c>
      <c r="M578" t="s">
        <v>1261</v>
      </c>
      <c r="N578" t="s">
        <v>1260</v>
      </c>
    </row>
    <row r="579" spans="1:14" x14ac:dyDescent="0.3">
      <c r="A579">
        <v>1211157</v>
      </c>
      <c r="B579" t="s">
        <v>1234</v>
      </c>
      <c r="C579" t="s">
        <v>1265</v>
      </c>
      <c r="D579" t="s">
        <v>1264</v>
      </c>
      <c r="E579" t="s">
        <v>1263</v>
      </c>
      <c r="G579" t="s">
        <v>1277</v>
      </c>
      <c r="H579" t="s">
        <v>22</v>
      </c>
      <c r="I579" t="s">
        <v>22</v>
      </c>
      <c r="J579" t="s">
        <v>17</v>
      </c>
      <c r="K579">
        <v>93.8</v>
      </c>
      <c r="L579">
        <v>108.2</v>
      </c>
      <c r="M579" t="s">
        <v>1261</v>
      </c>
      <c r="N579" t="s">
        <v>1260</v>
      </c>
    </row>
    <row r="580" spans="1:14" x14ac:dyDescent="0.3">
      <c r="A580">
        <v>1211157</v>
      </c>
      <c r="B580" t="s">
        <v>1234</v>
      </c>
      <c r="C580" t="s">
        <v>1265</v>
      </c>
      <c r="D580" t="s">
        <v>1264</v>
      </c>
      <c r="E580" t="s">
        <v>1263</v>
      </c>
      <c r="G580" t="s">
        <v>1276</v>
      </c>
      <c r="H580" t="s">
        <v>22</v>
      </c>
      <c r="I580" t="s">
        <v>22</v>
      </c>
      <c r="J580" t="s">
        <v>17</v>
      </c>
      <c r="K580">
        <v>93.8</v>
      </c>
      <c r="L580">
        <v>108.2</v>
      </c>
      <c r="M580" t="s">
        <v>1261</v>
      </c>
      <c r="N580" t="s">
        <v>1260</v>
      </c>
    </row>
    <row r="581" spans="1:14" x14ac:dyDescent="0.3">
      <c r="A581">
        <v>1211157</v>
      </c>
      <c r="B581" t="s">
        <v>1234</v>
      </c>
      <c r="C581" t="s">
        <v>1265</v>
      </c>
      <c r="D581" t="s">
        <v>1264</v>
      </c>
      <c r="E581" t="s">
        <v>1263</v>
      </c>
      <c r="G581" t="s">
        <v>1275</v>
      </c>
      <c r="H581" t="s">
        <v>22</v>
      </c>
      <c r="I581" t="s">
        <v>22</v>
      </c>
      <c r="J581" t="s">
        <v>17</v>
      </c>
      <c r="K581">
        <v>93.8</v>
      </c>
      <c r="L581">
        <v>108.2</v>
      </c>
      <c r="M581" t="s">
        <v>1261</v>
      </c>
      <c r="N581" t="s">
        <v>1260</v>
      </c>
    </row>
    <row r="582" spans="1:14" x14ac:dyDescent="0.3">
      <c r="A582">
        <v>1211157</v>
      </c>
      <c r="B582" t="s">
        <v>1234</v>
      </c>
      <c r="C582" t="s">
        <v>1265</v>
      </c>
      <c r="D582" t="s">
        <v>1264</v>
      </c>
      <c r="E582" t="s">
        <v>1263</v>
      </c>
      <c r="G582" t="s">
        <v>1274</v>
      </c>
      <c r="H582" t="s">
        <v>22</v>
      </c>
      <c r="I582" t="s">
        <v>22</v>
      </c>
      <c r="J582" t="s">
        <v>17</v>
      </c>
      <c r="K582">
        <v>93.8</v>
      </c>
      <c r="L582">
        <v>108.2</v>
      </c>
      <c r="M582" t="s">
        <v>1261</v>
      </c>
      <c r="N582" t="s">
        <v>1260</v>
      </c>
    </row>
    <row r="583" spans="1:14" x14ac:dyDescent="0.3">
      <c r="A583">
        <v>1211157</v>
      </c>
      <c r="B583" t="s">
        <v>1234</v>
      </c>
      <c r="C583" t="s">
        <v>1265</v>
      </c>
      <c r="D583" t="s">
        <v>1264</v>
      </c>
      <c r="E583" t="s">
        <v>1263</v>
      </c>
      <c r="G583" t="s">
        <v>1273</v>
      </c>
      <c r="H583" t="s">
        <v>22</v>
      </c>
      <c r="I583" t="s">
        <v>22</v>
      </c>
      <c r="J583" t="s">
        <v>17</v>
      </c>
      <c r="K583">
        <v>93.8</v>
      </c>
      <c r="L583">
        <v>108.2</v>
      </c>
      <c r="M583" t="s">
        <v>1261</v>
      </c>
      <c r="N583" t="s">
        <v>1260</v>
      </c>
    </row>
    <row r="584" spans="1:14" x14ac:dyDescent="0.3">
      <c r="A584">
        <v>1211157</v>
      </c>
      <c r="B584" t="s">
        <v>1234</v>
      </c>
      <c r="C584" t="s">
        <v>1265</v>
      </c>
      <c r="D584" t="s">
        <v>1264</v>
      </c>
      <c r="E584" t="s">
        <v>1263</v>
      </c>
      <c r="G584" t="s">
        <v>1272</v>
      </c>
      <c r="H584" t="s">
        <v>22</v>
      </c>
      <c r="I584" t="s">
        <v>22</v>
      </c>
      <c r="J584" t="s">
        <v>17</v>
      </c>
      <c r="K584">
        <v>93.8</v>
      </c>
      <c r="L584">
        <v>108.2</v>
      </c>
      <c r="M584" t="s">
        <v>1261</v>
      </c>
      <c r="N584" t="s">
        <v>1260</v>
      </c>
    </row>
    <row r="585" spans="1:14" x14ac:dyDescent="0.3">
      <c r="A585">
        <v>1211157</v>
      </c>
      <c r="B585" t="s">
        <v>1234</v>
      </c>
      <c r="C585" t="s">
        <v>1265</v>
      </c>
      <c r="D585" t="s">
        <v>1264</v>
      </c>
      <c r="E585" t="s">
        <v>1263</v>
      </c>
      <c r="G585" t="s">
        <v>1271</v>
      </c>
      <c r="H585" t="s">
        <v>22</v>
      </c>
      <c r="I585" t="s">
        <v>22</v>
      </c>
      <c r="J585" t="s">
        <v>17</v>
      </c>
      <c r="K585">
        <v>93.8</v>
      </c>
      <c r="L585">
        <v>108.2</v>
      </c>
      <c r="M585" t="s">
        <v>1261</v>
      </c>
      <c r="N585" t="s">
        <v>1260</v>
      </c>
    </row>
    <row r="586" spans="1:14" x14ac:dyDescent="0.3">
      <c r="A586">
        <v>1211157</v>
      </c>
      <c r="B586" t="s">
        <v>1234</v>
      </c>
      <c r="C586" t="s">
        <v>1265</v>
      </c>
      <c r="D586" t="s">
        <v>1264</v>
      </c>
      <c r="E586" t="s">
        <v>1263</v>
      </c>
      <c r="G586" t="s">
        <v>1270</v>
      </c>
      <c r="H586" t="s">
        <v>22</v>
      </c>
      <c r="I586" t="s">
        <v>22</v>
      </c>
      <c r="J586" t="s">
        <v>17</v>
      </c>
      <c r="K586">
        <v>93.8</v>
      </c>
      <c r="L586">
        <v>108.2</v>
      </c>
      <c r="M586" t="s">
        <v>1261</v>
      </c>
      <c r="N586" t="s">
        <v>1260</v>
      </c>
    </row>
    <row r="587" spans="1:14" x14ac:dyDescent="0.3">
      <c r="A587">
        <v>1211157</v>
      </c>
      <c r="B587" t="s">
        <v>1234</v>
      </c>
      <c r="C587" t="s">
        <v>1265</v>
      </c>
      <c r="D587" t="s">
        <v>1264</v>
      </c>
      <c r="E587" t="s">
        <v>1263</v>
      </c>
      <c r="G587" t="s">
        <v>1269</v>
      </c>
      <c r="H587" t="s">
        <v>22</v>
      </c>
      <c r="I587" t="s">
        <v>22</v>
      </c>
      <c r="J587" t="s">
        <v>17</v>
      </c>
      <c r="K587">
        <v>93.8</v>
      </c>
      <c r="L587">
        <v>108.2</v>
      </c>
      <c r="M587" t="s">
        <v>1261</v>
      </c>
      <c r="N587" t="s">
        <v>1260</v>
      </c>
    </row>
    <row r="588" spans="1:14" x14ac:dyDescent="0.3">
      <c r="A588">
        <v>1211157</v>
      </c>
      <c r="B588" t="s">
        <v>1234</v>
      </c>
      <c r="C588" t="s">
        <v>1265</v>
      </c>
      <c r="D588" t="s">
        <v>1264</v>
      </c>
      <c r="E588" t="s">
        <v>1263</v>
      </c>
      <c r="G588" t="s">
        <v>1268</v>
      </c>
      <c r="H588" t="s">
        <v>22</v>
      </c>
      <c r="I588" t="s">
        <v>22</v>
      </c>
      <c r="J588" t="s">
        <v>17</v>
      </c>
      <c r="K588">
        <v>93.8</v>
      </c>
      <c r="L588">
        <v>108.2</v>
      </c>
      <c r="M588" t="s">
        <v>1261</v>
      </c>
      <c r="N588" t="s">
        <v>1260</v>
      </c>
    </row>
    <row r="589" spans="1:14" x14ac:dyDescent="0.3">
      <c r="A589">
        <v>1211157</v>
      </c>
      <c r="B589" t="s">
        <v>1234</v>
      </c>
      <c r="C589" t="s">
        <v>1265</v>
      </c>
      <c r="D589" t="s">
        <v>1264</v>
      </c>
      <c r="E589" t="s">
        <v>1263</v>
      </c>
      <c r="G589" t="s">
        <v>1267</v>
      </c>
      <c r="H589" t="s">
        <v>22</v>
      </c>
      <c r="I589" t="s">
        <v>22</v>
      </c>
      <c r="J589" t="s">
        <v>17</v>
      </c>
      <c r="K589">
        <v>93.8</v>
      </c>
      <c r="L589">
        <v>108.2</v>
      </c>
      <c r="M589" t="s">
        <v>1261</v>
      </c>
      <c r="N589" t="s">
        <v>1260</v>
      </c>
    </row>
    <row r="590" spans="1:14" x14ac:dyDescent="0.3">
      <c r="A590">
        <v>1211157</v>
      </c>
      <c r="B590" t="s">
        <v>1234</v>
      </c>
      <c r="C590" t="s">
        <v>1265</v>
      </c>
      <c r="D590" t="s">
        <v>1264</v>
      </c>
      <c r="E590" t="s">
        <v>1263</v>
      </c>
      <c r="G590" t="s">
        <v>1266</v>
      </c>
      <c r="H590" t="s">
        <v>22</v>
      </c>
      <c r="I590" t="s">
        <v>22</v>
      </c>
      <c r="J590" t="s">
        <v>17</v>
      </c>
      <c r="K590">
        <v>93.8</v>
      </c>
      <c r="L590">
        <v>108.2</v>
      </c>
      <c r="M590" t="s">
        <v>1261</v>
      </c>
      <c r="N590" t="s">
        <v>1260</v>
      </c>
    </row>
    <row r="591" spans="1:14" x14ac:dyDescent="0.3">
      <c r="A591">
        <v>1211157</v>
      </c>
      <c r="B591" t="s">
        <v>1234</v>
      </c>
      <c r="C591" t="s">
        <v>1265</v>
      </c>
      <c r="D591" t="s">
        <v>1264</v>
      </c>
      <c r="E591" t="s">
        <v>1263</v>
      </c>
      <c r="G591" t="s">
        <v>1262</v>
      </c>
      <c r="H591" t="s">
        <v>22</v>
      </c>
      <c r="I591" t="s">
        <v>22</v>
      </c>
      <c r="J591" t="s">
        <v>17</v>
      </c>
      <c r="K591">
        <v>93.8</v>
      </c>
      <c r="L591">
        <v>108.2</v>
      </c>
      <c r="M591" t="s">
        <v>1261</v>
      </c>
      <c r="N591" t="s">
        <v>1260</v>
      </c>
    </row>
    <row r="592" spans="1:14" hidden="1" x14ac:dyDescent="0.3">
      <c r="A592">
        <v>1211157</v>
      </c>
      <c r="B592" t="s">
        <v>1234</v>
      </c>
      <c r="C592" t="s">
        <v>1259</v>
      </c>
      <c r="H592" t="s">
        <v>16</v>
      </c>
      <c r="I592" t="s">
        <v>16</v>
      </c>
      <c r="J592" t="s">
        <v>17</v>
      </c>
      <c r="K592">
        <v>0</v>
      </c>
      <c r="L592">
        <v>0</v>
      </c>
    </row>
    <row r="593" spans="1:14" x14ac:dyDescent="0.3">
      <c r="A593">
        <v>1211157</v>
      </c>
      <c r="B593" t="s">
        <v>1234</v>
      </c>
      <c r="C593" t="s">
        <v>1245</v>
      </c>
      <c r="D593" t="s">
        <v>1244</v>
      </c>
      <c r="E593" t="s">
        <v>1243</v>
      </c>
      <c r="G593" t="s">
        <v>1258</v>
      </c>
      <c r="H593" t="s">
        <v>46</v>
      </c>
      <c r="I593" t="s">
        <v>46</v>
      </c>
      <c r="J593" t="s">
        <v>17</v>
      </c>
      <c r="K593">
        <v>100</v>
      </c>
      <c r="L593">
        <v>50</v>
      </c>
      <c r="M593" t="s">
        <v>1241</v>
      </c>
      <c r="N593" t="s">
        <v>1240</v>
      </c>
    </row>
    <row r="594" spans="1:14" x14ac:dyDescent="0.3">
      <c r="A594">
        <v>1211157</v>
      </c>
      <c r="B594" t="s">
        <v>1234</v>
      </c>
      <c r="C594" t="s">
        <v>1245</v>
      </c>
      <c r="D594" t="s">
        <v>1244</v>
      </c>
      <c r="E594" t="s">
        <v>1243</v>
      </c>
      <c r="G594" t="s">
        <v>1257</v>
      </c>
      <c r="H594" t="s">
        <v>46</v>
      </c>
      <c r="I594" t="s">
        <v>46</v>
      </c>
      <c r="J594" t="s">
        <v>17</v>
      </c>
      <c r="K594">
        <v>100</v>
      </c>
      <c r="L594">
        <v>50</v>
      </c>
      <c r="M594" t="s">
        <v>1241</v>
      </c>
      <c r="N594" t="s">
        <v>1240</v>
      </c>
    </row>
    <row r="595" spans="1:14" x14ac:dyDescent="0.3">
      <c r="A595">
        <v>1211157</v>
      </c>
      <c r="B595" t="s">
        <v>1234</v>
      </c>
      <c r="C595" t="s">
        <v>1245</v>
      </c>
      <c r="D595" t="s">
        <v>1244</v>
      </c>
      <c r="E595" t="s">
        <v>1243</v>
      </c>
      <c r="G595" t="s">
        <v>1256</v>
      </c>
      <c r="H595" t="s">
        <v>46</v>
      </c>
      <c r="I595" t="s">
        <v>46</v>
      </c>
      <c r="J595" t="s">
        <v>17</v>
      </c>
      <c r="K595">
        <v>100</v>
      </c>
      <c r="L595">
        <v>50</v>
      </c>
      <c r="M595" t="s">
        <v>1241</v>
      </c>
      <c r="N595" t="s">
        <v>1240</v>
      </c>
    </row>
    <row r="596" spans="1:14" x14ac:dyDescent="0.3">
      <c r="A596">
        <v>1211157</v>
      </c>
      <c r="B596" t="s">
        <v>1234</v>
      </c>
      <c r="C596" t="s">
        <v>1245</v>
      </c>
      <c r="D596" t="s">
        <v>1244</v>
      </c>
      <c r="E596" t="s">
        <v>1243</v>
      </c>
      <c r="G596" t="s">
        <v>1255</v>
      </c>
      <c r="H596" t="s">
        <v>46</v>
      </c>
      <c r="I596" t="s">
        <v>46</v>
      </c>
      <c r="J596" t="s">
        <v>17</v>
      </c>
      <c r="K596">
        <v>100</v>
      </c>
      <c r="L596">
        <v>50</v>
      </c>
      <c r="M596" t="s">
        <v>1241</v>
      </c>
      <c r="N596" t="s">
        <v>1240</v>
      </c>
    </row>
    <row r="597" spans="1:14" x14ac:dyDescent="0.3">
      <c r="A597">
        <v>1211157</v>
      </c>
      <c r="B597" t="s">
        <v>1234</v>
      </c>
      <c r="C597" t="s">
        <v>1245</v>
      </c>
      <c r="D597" t="s">
        <v>1244</v>
      </c>
      <c r="E597" t="s">
        <v>1243</v>
      </c>
      <c r="G597" t="s">
        <v>1254</v>
      </c>
      <c r="H597" t="s">
        <v>46</v>
      </c>
      <c r="I597" t="s">
        <v>46</v>
      </c>
      <c r="J597" t="s">
        <v>17</v>
      </c>
      <c r="K597">
        <v>100</v>
      </c>
      <c r="L597">
        <v>50</v>
      </c>
      <c r="M597" t="s">
        <v>1241</v>
      </c>
      <c r="N597" t="s">
        <v>1240</v>
      </c>
    </row>
    <row r="598" spans="1:14" x14ac:dyDescent="0.3">
      <c r="A598">
        <v>1211157</v>
      </c>
      <c r="B598" t="s">
        <v>1234</v>
      </c>
      <c r="C598" t="s">
        <v>1245</v>
      </c>
      <c r="D598" t="s">
        <v>1244</v>
      </c>
      <c r="E598" t="s">
        <v>1243</v>
      </c>
      <c r="G598" t="s">
        <v>1253</v>
      </c>
      <c r="H598" t="s">
        <v>46</v>
      </c>
      <c r="I598" t="s">
        <v>46</v>
      </c>
      <c r="J598" t="s">
        <v>17</v>
      </c>
      <c r="K598">
        <v>100</v>
      </c>
      <c r="L598">
        <v>50</v>
      </c>
      <c r="M598" t="s">
        <v>1241</v>
      </c>
      <c r="N598" t="s">
        <v>1240</v>
      </c>
    </row>
    <row r="599" spans="1:14" x14ac:dyDescent="0.3">
      <c r="A599">
        <v>1211157</v>
      </c>
      <c r="B599" t="s">
        <v>1234</v>
      </c>
      <c r="C599" t="s">
        <v>1245</v>
      </c>
      <c r="D599" t="s">
        <v>1244</v>
      </c>
      <c r="E599" t="s">
        <v>1243</v>
      </c>
      <c r="G599" t="s">
        <v>1252</v>
      </c>
      <c r="H599" t="s">
        <v>46</v>
      </c>
      <c r="I599" t="s">
        <v>46</v>
      </c>
      <c r="J599" t="s">
        <v>17</v>
      </c>
      <c r="K599">
        <v>100</v>
      </c>
      <c r="L599">
        <v>50</v>
      </c>
      <c r="M599" t="s">
        <v>1241</v>
      </c>
      <c r="N599" t="s">
        <v>1240</v>
      </c>
    </row>
    <row r="600" spans="1:14" x14ac:dyDescent="0.3">
      <c r="A600">
        <v>1211157</v>
      </c>
      <c r="B600" t="s">
        <v>1234</v>
      </c>
      <c r="C600" t="s">
        <v>1245</v>
      </c>
      <c r="D600" t="s">
        <v>1244</v>
      </c>
      <c r="E600" t="s">
        <v>1243</v>
      </c>
      <c r="G600" t="s">
        <v>1251</v>
      </c>
      <c r="H600" t="s">
        <v>46</v>
      </c>
      <c r="I600" t="s">
        <v>46</v>
      </c>
      <c r="J600" t="s">
        <v>17</v>
      </c>
      <c r="K600">
        <v>100</v>
      </c>
      <c r="L600">
        <v>50</v>
      </c>
      <c r="M600" t="s">
        <v>1241</v>
      </c>
      <c r="N600" t="s">
        <v>1240</v>
      </c>
    </row>
    <row r="601" spans="1:14" x14ac:dyDescent="0.3">
      <c r="A601">
        <v>1211157</v>
      </c>
      <c r="B601" t="s">
        <v>1234</v>
      </c>
      <c r="C601" t="s">
        <v>1245</v>
      </c>
      <c r="D601" t="s">
        <v>1244</v>
      </c>
      <c r="E601" t="s">
        <v>1243</v>
      </c>
      <c r="G601" t="s">
        <v>1250</v>
      </c>
      <c r="H601" t="s">
        <v>46</v>
      </c>
      <c r="I601" t="s">
        <v>46</v>
      </c>
      <c r="J601" t="s">
        <v>17</v>
      </c>
      <c r="K601">
        <v>100</v>
      </c>
      <c r="L601">
        <v>50</v>
      </c>
      <c r="M601" t="s">
        <v>1241</v>
      </c>
      <c r="N601" t="s">
        <v>1240</v>
      </c>
    </row>
    <row r="602" spans="1:14" x14ac:dyDescent="0.3">
      <c r="A602">
        <v>1211157</v>
      </c>
      <c r="B602" t="s">
        <v>1234</v>
      </c>
      <c r="C602" t="s">
        <v>1245</v>
      </c>
      <c r="D602" t="s">
        <v>1244</v>
      </c>
      <c r="E602" t="s">
        <v>1243</v>
      </c>
      <c r="G602" t="s">
        <v>1249</v>
      </c>
      <c r="H602" t="s">
        <v>46</v>
      </c>
      <c r="I602" t="s">
        <v>46</v>
      </c>
      <c r="J602" t="s">
        <v>17</v>
      </c>
      <c r="K602">
        <v>100</v>
      </c>
      <c r="L602">
        <v>50</v>
      </c>
      <c r="M602" t="s">
        <v>1241</v>
      </c>
      <c r="N602" t="s">
        <v>1240</v>
      </c>
    </row>
    <row r="603" spans="1:14" x14ac:dyDescent="0.3">
      <c r="A603">
        <v>1211157</v>
      </c>
      <c r="B603" t="s">
        <v>1234</v>
      </c>
      <c r="C603" t="s">
        <v>1245</v>
      </c>
      <c r="D603" t="s">
        <v>1244</v>
      </c>
      <c r="E603" t="s">
        <v>1243</v>
      </c>
      <c r="G603" t="s">
        <v>1248</v>
      </c>
      <c r="H603" t="s">
        <v>46</v>
      </c>
      <c r="I603" t="s">
        <v>46</v>
      </c>
      <c r="J603" t="s">
        <v>17</v>
      </c>
      <c r="K603">
        <v>100</v>
      </c>
      <c r="L603">
        <v>50</v>
      </c>
      <c r="M603" t="s">
        <v>1241</v>
      </c>
      <c r="N603" t="s">
        <v>1240</v>
      </c>
    </row>
    <row r="604" spans="1:14" x14ac:dyDescent="0.3">
      <c r="A604">
        <v>1211157</v>
      </c>
      <c r="B604" t="s">
        <v>1234</v>
      </c>
      <c r="C604" t="s">
        <v>1245</v>
      </c>
      <c r="D604" t="s">
        <v>1244</v>
      </c>
      <c r="E604" t="s">
        <v>1243</v>
      </c>
      <c r="G604" t="s">
        <v>1247</v>
      </c>
      <c r="H604" t="s">
        <v>46</v>
      </c>
      <c r="I604" t="s">
        <v>46</v>
      </c>
      <c r="J604" t="s">
        <v>17</v>
      </c>
      <c r="K604">
        <v>100</v>
      </c>
      <c r="L604">
        <v>50</v>
      </c>
      <c r="M604" t="s">
        <v>1241</v>
      </c>
      <c r="N604" t="s">
        <v>1240</v>
      </c>
    </row>
    <row r="605" spans="1:14" x14ac:dyDescent="0.3">
      <c r="A605">
        <v>1211157</v>
      </c>
      <c r="B605" t="s">
        <v>1234</v>
      </c>
      <c r="C605" t="s">
        <v>1245</v>
      </c>
      <c r="D605" t="s">
        <v>1244</v>
      </c>
      <c r="E605" t="s">
        <v>1243</v>
      </c>
      <c r="G605" t="s">
        <v>1246</v>
      </c>
      <c r="H605" t="s">
        <v>46</v>
      </c>
      <c r="I605" t="s">
        <v>46</v>
      </c>
      <c r="J605" t="s">
        <v>17</v>
      </c>
      <c r="K605">
        <v>100</v>
      </c>
      <c r="L605">
        <v>50</v>
      </c>
      <c r="M605" t="s">
        <v>1241</v>
      </c>
      <c r="N605" t="s">
        <v>1240</v>
      </c>
    </row>
    <row r="606" spans="1:14" x14ac:dyDescent="0.3">
      <c r="A606">
        <v>1211157</v>
      </c>
      <c r="B606" t="s">
        <v>1234</v>
      </c>
      <c r="C606" t="s">
        <v>1245</v>
      </c>
      <c r="D606" t="s">
        <v>1244</v>
      </c>
      <c r="E606" t="s">
        <v>1243</v>
      </c>
      <c r="G606" t="s">
        <v>1242</v>
      </c>
      <c r="H606" t="s">
        <v>46</v>
      </c>
      <c r="I606" t="s">
        <v>46</v>
      </c>
      <c r="J606" t="s">
        <v>17</v>
      </c>
      <c r="K606">
        <v>100</v>
      </c>
      <c r="L606">
        <v>50</v>
      </c>
      <c r="M606" t="s">
        <v>1241</v>
      </c>
      <c r="N606" t="s">
        <v>1240</v>
      </c>
    </row>
    <row r="607" spans="1:14" x14ac:dyDescent="0.3">
      <c r="A607">
        <v>1211157</v>
      </c>
      <c r="B607" t="s">
        <v>1234</v>
      </c>
      <c r="C607" t="s">
        <v>1239</v>
      </c>
      <c r="D607" t="s">
        <v>1238</v>
      </c>
      <c r="E607" t="s">
        <v>1237</v>
      </c>
      <c r="H607" t="s">
        <v>22</v>
      </c>
      <c r="I607" t="s">
        <v>22</v>
      </c>
      <c r="J607" t="s">
        <v>17</v>
      </c>
      <c r="K607">
        <v>73.7</v>
      </c>
      <c r="L607">
        <v>97.2</v>
      </c>
      <c r="M607" t="s">
        <v>182</v>
      </c>
      <c r="N607" t="s">
        <v>183</v>
      </c>
    </row>
    <row r="608" spans="1:14" hidden="1" x14ac:dyDescent="0.3">
      <c r="A608">
        <v>1211157</v>
      </c>
      <c r="B608" t="s">
        <v>1234</v>
      </c>
      <c r="C608" t="s">
        <v>1236</v>
      </c>
      <c r="H608" t="s">
        <v>16</v>
      </c>
      <c r="I608" t="s">
        <v>16</v>
      </c>
      <c r="J608" t="s">
        <v>17</v>
      </c>
      <c r="K608">
        <v>0</v>
      </c>
      <c r="L608">
        <v>0</v>
      </c>
    </row>
    <row r="609" spans="1:14" hidden="1" x14ac:dyDescent="0.3">
      <c r="A609">
        <v>1211157</v>
      </c>
      <c r="B609" t="s">
        <v>1234</v>
      </c>
      <c r="C609" t="s">
        <v>1235</v>
      </c>
      <c r="H609" t="s">
        <v>16</v>
      </c>
      <c r="I609" t="s">
        <v>16</v>
      </c>
      <c r="J609" t="s">
        <v>17</v>
      </c>
      <c r="K609">
        <v>0</v>
      </c>
      <c r="L609">
        <v>0</v>
      </c>
    </row>
    <row r="610" spans="1:14" x14ac:dyDescent="0.3">
      <c r="A610">
        <v>1211157</v>
      </c>
      <c r="B610" t="s">
        <v>1234</v>
      </c>
      <c r="C610" t="s">
        <v>1233</v>
      </c>
      <c r="D610" t="s">
        <v>1233</v>
      </c>
      <c r="E610" t="s">
        <v>1232</v>
      </c>
      <c r="H610" t="s">
        <v>22</v>
      </c>
      <c r="I610" t="s">
        <v>22</v>
      </c>
      <c r="J610" t="s">
        <v>17</v>
      </c>
      <c r="K610">
        <v>100</v>
      </c>
      <c r="L610">
        <v>112</v>
      </c>
      <c r="M610" t="s">
        <v>1231</v>
      </c>
      <c r="N610" t="s">
        <v>1230</v>
      </c>
    </row>
    <row r="611" spans="1:14" hidden="1" x14ac:dyDescent="0.3">
      <c r="A611">
        <v>1213943</v>
      </c>
      <c r="B611" t="s">
        <v>1219</v>
      </c>
      <c r="C611" t="s">
        <v>1229</v>
      </c>
      <c r="H611" t="s">
        <v>16</v>
      </c>
      <c r="I611" t="s">
        <v>16</v>
      </c>
      <c r="J611" t="s">
        <v>17</v>
      </c>
      <c r="K611">
        <v>0</v>
      </c>
      <c r="L611">
        <v>0</v>
      </c>
    </row>
    <row r="612" spans="1:14" hidden="1" x14ac:dyDescent="0.3">
      <c r="A612">
        <v>1213943</v>
      </c>
      <c r="B612" t="s">
        <v>1219</v>
      </c>
      <c r="C612" t="s">
        <v>1228</v>
      </c>
      <c r="H612" t="s">
        <v>16</v>
      </c>
      <c r="I612" t="s">
        <v>16</v>
      </c>
      <c r="J612" t="s">
        <v>17</v>
      </c>
      <c r="K612">
        <v>0</v>
      </c>
      <c r="L612">
        <v>0</v>
      </c>
    </row>
    <row r="613" spans="1:14" hidden="1" x14ac:dyDescent="0.3">
      <c r="A613">
        <v>1213943</v>
      </c>
      <c r="B613" t="s">
        <v>1219</v>
      </c>
      <c r="C613" t="s">
        <v>1227</v>
      </c>
      <c r="H613" t="s">
        <v>16</v>
      </c>
      <c r="I613" t="s">
        <v>16</v>
      </c>
      <c r="J613" t="s">
        <v>17</v>
      </c>
      <c r="K613">
        <v>0</v>
      </c>
      <c r="L613">
        <v>0</v>
      </c>
    </row>
    <row r="614" spans="1:14" x14ac:dyDescent="0.3">
      <c r="A614">
        <v>1213943</v>
      </c>
      <c r="B614" t="s">
        <v>1219</v>
      </c>
      <c r="C614" t="s">
        <v>1226</v>
      </c>
      <c r="D614" t="s">
        <v>1226</v>
      </c>
      <c r="E614" t="s">
        <v>1225</v>
      </c>
      <c r="H614" t="s">
        <v>22</v>
      </c>
      <c r="I614" t="s">
        <v>22</v>
      </c>
      <c r="J614" t="s">
        <v>17</v>
      </c>
      <c r="K614">
        <v>100</v>
      </c>
      <c r="L614">
        <v>113</v>
      </c>
      <c r="M614" t="s">
        <v>1224</v>
      </c>
      <c r="N614" t="s">
        <v>1223</v>
      </c>
    </row>
    <row r="615" spans="1:14" x14ac:dyDescent="0.3">
      <c r="A615">
        <v>1213943</v>
      </c>
      <c r="B615" t="s">
        <v>1219</v>
      </c>
      <c r="C615" t="s">
        <v>1222</v>
      </c>
      <c r="D615" t="s">
        <v>1221</v>
      </c>
      <c r="E615" t="s">
        <v>1220</v>
      </c>
      <c r="H615" t="s">
        <v>22</v>
      </c>
      <c r="I615" t="s">
        <v>22</v>
      </c>
      <c r="J615" t="s">
        <v>17</v>
      </c>
      <c r="K615">
        <v>75.900000000000006</v>
      </c>
      <c r="L615">
        <v>49.5</v>
      </c>
    </row>
    <row r="616" spans="1:14" hidden="1" x14ac:dyDescent="0.3">
      <c r="A616">
        <v>1213943</v>
      </c>
      <c r="B616" t="s">
        <v>1219</v>
      </c>
      <c r="C616" t="s">
        <v>1218</v>
      </c>
      <c r="H616" t="s">
        <v>16</v>
      </c>
      <c r="I616" t="s">
        <v>16</v>
      </c>
      <c r="J616" t="s">
        <v>17</v>
      </c>
      <c r="K616">
        <v>0</v>
      </c>
      <c r="L616">
        <v>0</v>
      </c>
    </row>
    <row r="617" spans="1:14" hidden="1" x14ac:dyDescent="0.3">
      <c r="A617">
        <v>1226337</v>
      </c>
      <c r="B617" t="s">
        <v>1215</v>
      </c>
      <c r="C617" t="s">
        <v>1217</v>
      </c>
      <c r="H617" t="s">
        <v>16</v>
      </c>
      <c r="I617" t="s">
        <v>16</v>
      </c>
      <c r="J617" t="s">
        <v>17</v>
      </c>
      <c r="K617">
        <v>0</v>
      </c>
      <c r="L617">
        <v>0</v>
      </c>
    </row>
    <row r="618" spans="1:14" hidden="1" x14ac:dyDescent="0.3">
      <c r="A618">
        <v>1226337</v>
      </c>
      <c r="B618" t="s">
        <v>1215</v>
      </c>
      <c r="C618" t="s">
        <v>1216</v>
      </c>
      <c r="H618" t="s">
        <v>16</v>
      </c>
      <c r="I618" t="s">
        <v>16</v>
      </c>
      <c r="J618" t="s">
        <v>17</v>
      </c>
      <c r="K618">
        <v>0</v>
      </c>
      <c r="L618">
        <v>0</v>
      </c>
    </row>
    <row r="619" spans="1:14" hidden="1" x14ac:dyDescent="0.3">
      <c r="A619">
        <v>1226337</v>
      </c>
      <c r="B619" t="s">
        <v>1215</v>
      </c>
      <c r="C619" t="s">
        <v>1214</v>
      </c>
      <c r="H619" t="s">
        <v>16</v>
      </c>
      <c r="I619" t="s">
        <v>16</v>
      </c>
      <c r="J619" t="s">
        <v>17</v>
      </c>
      <c r="K619">
        <v>0</v>
      </c>
      <c r="L619">
        <v>0</v>
      </c>
    </row>
    <row r="620" spans="1:14" x14ac:dyDescent="0.3">
      <c r="A620">
        <v>1237381</v>
      </c>
      <c r="B620" t="s">
        <v>1204</v>
      </c>
      <c r="C620" t="s">
        <v>1210</v>
      </c>
      <c r="D620" t="s">
        <v>1209</v>
      </c>
      <c r="E620" t="s">
        <v>1208</v>
      </c>
      <c r="G620" t="s">
        <v>1213</v>
      </c>
      <c r="H620" t="s">
        <v>22</v>
      </c>
      <c r="I620" t="s">
        <v>22</v>
      </c>
      <c r="J620" t="s">
        <v>17</v>
      </c>
      <c r="K620">
        <v>90.5</v>
      </c>
      <c r="L620">
        <v>107.3</v>
      </c>
    </row>
    <row r="621" spans="1:14" x14ac:dyDescent="0.3">
      <c r="A621">
        <v>1237381</v>
      </c>
      <c r="B621" t="s">
        <v>1204</v>
      </c>
      <c r="C621" t="s">
        <v>1210</v>
      </c>
      <c r="D621" t="s">
        <v>1209</v>
      </c>
      <c r="E621" t="s">
        <v>1208</v>
      </c>
      <c r="G621" t="s">
        <v>1212</v>
      </c>
      <c r="H621" t="s">
        <v>22</v>
      </c>
      <c r="I621" t="s">
        <v>22</v>
      </c>
      <c r="J621" t="s">
        <v>17</v>
      </c>
      <c r="K621">
        <v>90.5</v>
      </c>
      <c r="L621">
        <v>107.3</v>
      </c>
    </row>
    <row r="622" spans="1:14" x14ac:dyDescent="0.3">
      <c r="A622">
        <v>1237381</v>
      </c>
      <c r="B622" t="s">
        <v>1204</v>
      </c>
      <c r="C622" t="s">
        <v>1210</v>
      </c>
      <c r="D622" t="s">
        <v>1209</v>
      </c>
      <c r="E622" t="s">
        <v>1208</v>
      </c>
      <c r="G622" t="s">
        <v>1211</v>
      </c>
      <c r="H622" t="s">
        <v>22</v>
      </c>
      <c r="I622" t="s">
        <v>22</v>
      </c>
      <c r="J622" t="s">
        <v>17</v>
      </c>
      <c r="K622">
        <v>90.5</v>
      </c>
      <c r="L622">
        <v>107.3</v>
      </c>
    </row>
    <row r="623" spans="1:14" x14ac:dyDescent="0.3">
      <c r="A623">
        <v>1237381</v>
      </c>
      <c r="B623" t="s">
        <v>1204</v>
      </c>
      <c r="C623" t="s">
        <v>1210</v>
      </c>
      <c r="D623" t="s">
        <v>1209</v>
      </c>
      <c r="E623" t="s">
        <v>1208</v>
      </c>
      <c r="G623" t="s">
        <v>1207</v>
      </c>
      <c r="H623" t="s">
        <v>22</v>
      </c>
      <c r="I623" t="s">
        <v>22</v>
      </c>
      <c r="J623" t="s">
        <v>17</v>
      </c>
      <c r="K623">
        <v>90.5</v>
      </c>
      <c r="L623">
        <v>107.3</v>
      </c>
    </row>
    <row r="624" spans="1:14" hidden="1" x14ac:dyDescent="0.3">
      <c r="A624">
        <v>1237381</v>
      </c>
      <c r="B624" t="s">
        <v>1204</v>
      </c>
      <c r="C624" t="s">
        <v>1206</v>
      </c>
      <c r="H624" t="s">
        <v>16</v>
      </c>
      <c r="I624" t="s">
        <v>16</v>
      </c>
      <c r="J624" t="s">
        <v>17</v>
      </c>
      <c r="K624">
        <v>0</v>
      </c>
      <c r="L624">
        <v>0</v>
      </c>
    </row>
    <row r="625" spans="1:14" hidden="1" x14ac:dyDescent="0.3">
      <c r="A625">
        <v>1237381</v>
      </c>
      <c r="B625" t="s">
        <v>1204</v>
      </c>
      <c r="C625" t="s">
        <v>1205</v>
      </c>
      <c r="H625" t="s">
        <v>16</v>
      </c>
      <c r="I625" t="s">
        <v>16</v>
      </c>
      <c r="J625" t="s">
        <v>17</v>
      </c>
      <c r="K625">
        <v>0</v>
      </c>
      <c r="L625">
        <v>0</v>
      </c>
    </row>
    <row r="626" spans="1:14" hidden="1" x14ac:dyDescent="0.3">
      <c r="A626">
        <v>1237381</v>
      </c>
      <c r="B626" t="s">
        <v>1204</v>
      </c>
      <c r="C626" t="s">
        <v>1203</v>
      </c>
      <c r="H626" t="s">
        <v>16</v>
      </c>
      <c r="I626" t="s">
        <v>16</v>
      </c>
      <c r="J626" t="s">
        <v>17</v>
      </c>
      <c r="K626">
        <v>0</v>
      </c>
      <c r="L626">
        <v>0</v>
      </c>
    </row>
    <row r="627" spans="1:14" x14ac:dyDescent="0.3">
      <c r="A627">
        <v>1239651</v>
      </c>
      <c r="B627" t="s">
        <v>1113</v>
      </c>
      <c r="C627">
        <v>1979</v>
      </c>
      <c r="D627">
        <v>1979</v>
      </c>
      <c r="E627" t="s">
        <v>1202</v>
      </c>
      <c r="H627" t="s">
        <v>22</v>
      </c>
      <c r="I627" t="s">
        <v>22</v>
      </c>
      <c r="J627" t="s">
        <v>17</v>
      </c>
      <c r="K627">
        <v>100</v>
      </c>
      <c r="L627">
        <v>112</v>
      </c>
      <c r="M627" t="s">
        <v>241</v>
      </c>
      <c r="N627" t="s">
        <v>242</v>
      </c>
    </row>
    <row r="628" spans="1:14" x14ac:dyDescent="0.3">
      <c r="A628">
        <v>1239651</v>
      </c>
      <c r="B628" t="s">
        <v>1113</v>
      </c>
      <c r="C628" t="s">
        <v>1201</v>
      </c>
      <c r="D628" t="s">
        <v>1201</v>
      </c>
      <c r="E628" t="s">
        <v>1200</v>
      </c>
      <c r="F628" t="s">
        <v>1199</v>
      </c>
      <c r="H628" t="s">
        <v>22</v>
      </c>
      <c r="I628" t="s">
        <v>22</v>
      </c>
      <c r="J628" t="s">
        <v>17</v>
      </c>
      <c r="K628">
        <v>100</v>
      </c>
      <c r="L628">
        <v>113</v>
      </c>
      <c r="M628" t="s">
        <v>1198</v>
      </c>
      <c r="N628" t="s">
        <v>1197</v>
      </c>
    </row>
    <row r="629" spans="1:14" x14ac:dyDescent="0.3">
      <c r="A629">
        <v>1239651</v>
      </c>
      <c r="B629" t="s">
        <v>1113</v>
      </c>
      <c r="C629" t="s">
        <v>548</v>
      </c>
      <c r="D629" t="s">
        <v>1178</v>
      </c>
      <c r="E629" t="s">
        <v>1177</v>
      </c>
      <c r="F629" t="s">
        <v>1176</v>
      </c>
      <c r="G629" t="s">
        <v>1196</v>
      </c>
      <c r="H629" t="s">
        <v>22</v>
      </c>
      <c r="I629" t="s">
        <v>22</v>
      </c>
      <c r="J629" t="s">
        <v>17</v>
      </c>
      <c r="K629">
        <v>88.2</v>
      </c>
      <c r="L629">
        <v>137.9</v>
      </c>
      <c r="M629" t="s">
        <v>1174</v>
      </c>
      <c r="N629" t="s">
        <v>1173</v>
      </c>
    </row>
    <row r="630" spans="1:14" x14ac:dyDescent="0.3">
      <c r="A630">
        <v>1239651</v>
      </c>
      <c r="B630" t="s">
        <v>1113</v>
      </c>
      <c r="C630" t="s">
        <v>548</v>
      </c>
      <c r="D630" t="s">
        <v>1178</v>
      </c>
      <c r="E630" t="s">
        <v>1177</v>
      </c>
      <c r="F630" t="s">
        <v>1176</v>
      </c>
      <c r="G630" t="s">
        <v>1195</v>
      </c>
      <c r="H630" t="s">
        <v>22</v>
      </c>
      <c r="I630" t="s">
        <v>22</v>
      </c>
      <c r="J630" t="s">
        <v>17</v>
      </c>
      <c r="K630">
        <v>88.2</v>
      </c>
      <c r="L630">
        <v>137.9</v>
      </c>
      <c r="M630" t="s">
        <v>1174</v>
      </c>
      <c r="N630" t="s">
        <v>1173</v>
      </c>
    </row>
    <row r="631" spans="1:14" x14ac:dyDescent="0.3">
      <c r="A631">
        <v>1239651</v>
      </c>
      <c r="B631" t="s">
        <v>1113</v>
      </c>
      <c r="C631" t="s">
        <v>548</v>
      </c>
      <c r="D631" t="s">
        <v>1178</v>
      </c>
      <c r="E631" t="s">
        <v>1177</v>
      </c>
      <c r="F631" t="s">
        <v>1176</v>
      </c>
      <c r="G631" t="s">
        <v>1194</v>
      </c>
      <c r="H631" t="s">
        <v>22</v>
      </c>
      <c r="I631" t="s">
        <v>22</v>
      </c>
      <c r="J631" t="s">
        <v>17</v>
      </c>
      <c r="K631">
        <v>88.2</v>
      </c>
      <c r="L631">
        <v>137.9</v>
      </c>
      <c r="M631" t="s">
        <v>1174</v>
      </c>
      <c r="N631" t="s">
        <v>1173</v>
      </c>
    </row>
    <row r="632" spans="1:14" x14ac:dyDescent="0.3">
      <c r="A632">
        <v>1239651</v>
      </c>
      <c r="B632" t="s">
        <v>1113</v>
      </c>
      <c r="C632" t="s">
        <v>548</v>
      </c>
      <c r="D632" t="s">
        <v>1178</v>
      </c>
      <c r="E632" t="s">
        <v>1177</v>
      </c>
      <c r="F632" t="s">
        <v>1176</v>
      </c>
      <c r="G632" t="s">
        <v>1193</v>
      </c>
      <c r="H632" t="s">
        <v>22</v>
      </c>
      <c r="I632" t="s">
        <v>22</v>
      </c>
      <c r="J632" t="s">
        <v>17</v>
      </c>
      <c r="K632">
        <v>88.2</v>
      </c>
      <c r="L632">
        <v>137.9</v>
      </c>
      <c r="M632" t="s">
        <v>1174</v>
      </c>
      <c r="N632" t="s">
        <v>1173</v>
      </c>
    </row>
    <row r="633" spans="1:14" x14ac:dyDescent="0.3">
      <c r="A633">
        <v>1239651</v>
      </c>
      <c r="B633" t="s">
        <v>1113</v>
      </c>
      <c r="C633" t="s">
        <v>548</v>
      </c>
      <c r="D633" t="s">
        <v>1178</v>
      </c>
      <c r="E633" t="s">
        <v>1177</v>
      </c>
      <c r="F633" t="s">
        <v>1176</v>
      </c>
      <c r="G633" t="s">
        <v>1192</v>
      </c>
      <c r="H633" t="s">
        <v>22</v>
      </c>
      <c r="I633" t="s">
        <v>22</v>
      </c>
      <c r="J633" t="s">
        <v>17</v>
      </c>
      <c r="K633">
        <v>88.2</v>
      </c>
      <c r="L633">
        <v>137.9</v>
      </c>
      <c r="M633" t="s">
        <v>1174</v>
      </c>
      <c r="N633" t="s">
        <v>1173</v>
      </c>
    </row>
    <row r="634" spans="1:14" x14ac:dyDescent="0.3">
      <c r="A634">
        <v>1239651</v>
      </c>
      <c r="B634" t="s">
        <v>1113</v>
      </c>
      <c r="C634" t="s">
        <v>548</v>
      </c>
      <c r="D634" t="s">
        <v>1178</v>
      </c>
      <c r="E634" t="s">
        <v>1177</v>
      </c>
      <c r="F634" t="s">
        <v>1176</v>
      </c>
      <c r="G634" t="s">
        <v>1191</v>
      </c>
      <c r="H634" t="s">
        <v>22</v>
      </c>
      <c r="I634" t="s">
        <v>22</v>
      </c>
      <c r="J634" t="s">
        <v>17</v>
      </c>
      <c r="K634">
        <v>88.2</v>
      </c>
      <c r="L634">
        <v>137.9</v>
      </c>
      <c r="M634" t="s">
        <v>1174</v>
      </c>
      <c r="N634" t="s">
        <v>1173</v>
      </c>
    </row>
    <row r="635" spans="1:14" x14ac:dyDescent="0.3">
      <c r="A635">
        <v>1239651</v>
      </c>
      <c r="B635" t="s">
        <v>1113</v>
      </c>
      <c r="C635" t="s">
        <v>548</v>
      </c>
      <c r="D635" t="s">
        <v>1178</v>
      </c>
      <c r="E635" t="s">
        <v>1177</v>
      </c>
      <c r="F635" t="s">
        <v>1176</v>
      </c>
      <c r="G635" t="s">
        <v>1190</v>
      </c>
      <c r="H635" t="s">
        <v>22</v>
      </c>
      <c r="I635" t="s">
        <v>22</v>
      </c>
      <c r="J635" t="s">
        <v>17</v>
      </c>
      <c r="K635">
        <v>88.2</v>
      </c>
      <c r="L635">
        <v>137.9</v>
      </c>
      <c r="M635" t="s">
        <v>1174</v>
      </c>
      <c r="N635" t="s">
        <v>1173</v>
      </c>
    </row>
    <row r="636" spans="1:14" x14ac:dyDescent="0.3">
      <c r="A636">
        <v>1239651</v>
      </c>
      <c r="B636" t="s">
        <v>1113</v>
      </c>
      <c r="C636" t="s">
        <v>548</v>
      </c>
      <c r="D636" t="s">
        <v>1178</v>
      </c>
      <c r="E636" t="s">
        <v>1177</v>
      </c>
      <c r="F636" t="s">
        <v>1176</v>
      </c>
      <c r="G636" t="s">
        <v>1189</v>
      </c>
      <c r="H636" t="s">
        <v>22</v>
      </c>
      <c r="I636" t="s">
        <v>22</v>
      </c>
      <c r="J636" t="s">
        <v>17</v>
      </c>
      <c r="K636">
        <v>88.2</v>
      </c>
      <c r="L636">
        <v>137.9</v>
      </c>
      <c r="M636" t="s">
        <v>1174</v>
      </c>
      <c r="N636" t="s">
        <v>1173</v>
      </c>
    </row>
    <row r="637" spans="1:14" x14ac:dyDescent="0.3">
      <c r="A637">
        <v>1239651</v>
      </c>
      <c r="B637" t="s">
        <v>1113</v>
      </c>
      <c r="C637" t="s">
        <v>548</v>
      </c>
      <c r="D637" t="s">
        <v>1178</v>
      </c>
      <c r="E637" t="s">
        <v>1177</v>
      </c>
      <c r="F637" t="s">
        <v>1176</v>
      </c>
      <c r="G637" t="s">
        <v>1188</v>
      </c>
      <c r="H637" t="s">
        <v>22</v>
      </c>
      <c r="I637" t="s">
        <v>22</v>
      </c>
      <c r="J637" t="s">
        <v>17</v>
      </c>
      <c r="K637">
        <v>88.2</v>
      </c>
      <c r="L637">
        <v>137.9</v>
      </c>
      <c r="M637" t="s">
        <v>1174</v>
      </c>
      <c r="N637" t="s">
        <v>1173</v>
      </c>
    </row>
    <row r="638" spans="1:14" x14ac:dyDescent="0.3">
      <c r="A638">
        <v>1239651</v>
      </c>
      <c r="B638" t="s">
        <v>1113</v>
      </c>
      <c r="C638" t="s">
        <v>548</v>
      </c>
      <c r="D638" t="s">
        <v>1178</v>
      </c>
      <c r="E638" t="s">
        <v>1177</v>
      </c>
      <c r="F638" t="s">
        <v>1176</v>
      </c>
      <c r="G638" t="s">
        <v>1187</v>
      </c>
      <c r="H638" t="s">
        <v>22</v>
      </c>
      <c r="I638" t="s">
        <v>22</v>
      </c>
      <c r="J638" t="s">
        <v>17</v>
      </c>
      <c r="K638">
        <v>88.2</v>
      </c>
      <c r="L638">
        <v>137.9</v>
      </c>
      <c r="M638" t="s">
        <v>1174</v>
      </c>
      <c r="N638" t="s">
        <v>1173</v>
      </c>
    </row>
    <row r="639" spans="1:14" x14ac:dyDescent="0.3">
      <c r="A639">
        <v>1239651</v>
      </c>
      <c r="B639" t="s">
        <v>1113</v>
      </c>
      <c r="C639" t="s">
        <v>548</v>
      </c>
      <c r="D639" t="s">
        <v>1178</v>
      </c>
      <c r="E639" t="s">
        <v>1177</v>
      </c>
      <c r="F639" t="s">
        <v>1176</v>
      </c>
      <c r="G639" t="s">
        <v>1186</v>
      </c>
      <c r="H639" t="s">
        <v>22</v>
      </c>
      <c r="I639" t="s">
        <v>22</v>
      </c>
      <c r="J639" t="s">
        <v>17</v>
      </c>
      <c r="K639">
        <v>88.2</v>
      </c>
      <c r="L639">
        <v>137.9</v>
      </c>
      <c r="M639" t="s">
        <v>1174</v>
      </c>
      <c r="N639" t="s">
        <v>1173</v>
      </c>
    </row>
    <row r="640" spans="1:14" x14ac:dyDescent="0.3">
      <c r="A640">
        <v>1239651</v>
      </c>
      <c r="B640" t="s">
        <v>1113</v>
      </c>
      <c r="C640" t="s">
        <v>548</v>
      </c>
      <c r="D640" t="s">
        <v>1178</v>
      </c>
      <c r="E640" t="s">
        <v>1177</v>
      </c>
      <c r="F640" t="s">
        <v>1176</v>
      </c>
      <c r="G640" t="s">
        <v>1185</v>
      </c>
      <c r="H640" t="s">
        <v>22</v>
      </c>
      <c r="I640" t="s">
        <v>22</v>
      </c>
      <c r="J640" t="s">
        <v>17</v>
      </c>
      <c r="K640">
        <v>88.2</v>
      </c>
      <c r="L640">
        <v>137.9</v>
      </c>
      <c r="M640" t="s">
        <v>1174</v>
      </c>
      <c r="N640" t="s">
        <v>1173</v>
      </c>
    </row>
    <row r="641" spans="1:14" x14ac:dyDescent="0.3">
      <c r="A641">
        <v>1239651</v>
      </c>
      <c r="B641" t="s">
        <v>1113</v>
      </c>
      <c r="C641" t="s">
        <v>548</v>
      </c>
      <c r="D641" t="s">
        <v>1178</v>
      </c>
      <c r="E641" t="s">
        <v>1177</v>
      </c>
      <c r="F641" t="s">
        <v>1176</v>
      </c>
      <c r="G641" t="s">
        <v>1184</v>
      </c>
      <c r="H641" t="s">
        <v>22</v>
      </c>
      <c r="I641" t="s">
        <v>22</v>
      </c>
      <c r="J641" t="s">
        <v>17</v>
      </c>
      <c r="K641">
        <v>88.2</v>
      </c>
      <c r="L641">
        <v>137.9</v>
      </c>
      <c r="M641" t="s">
        <v>1174</v>
      </c>
      <c r="N641" t="s">
        <v>1173</v>
      </c>
    </row>
    <row r="642" spans="1:14" x14ac:dyDescent="0.3">
      <c r="A642">
        <v>1239651</v>
      </c>
      <c r="B642" t="s">
        <v>1113</v>
      </c>
      <c r="C642" t="s">
        <v>548</v>
      </c>
      <c r="D642" t="s">
        <v>1178</v>
      </c>
      <c r="E642" t="s">
        <v>1177</v>
      </c>
      <c r="F642" t="s">
        <v>1176</v>
      </c>
      <c r="G642" t="s">
        <v>1183</v>
      </c>
      <c r="H642" t="s">
        <v>22</v>
      </c>
      <c r="I642" t="s">
        <v>22</v>
      </c>
      <c r="J642" t="s">
        <v>17</v>
      </c>
      <c r="K642">
        <v>88.2</v>
      </c>
      <c r="L642">
        <v>137.9</v>
      </c>
      <c r="M642" t="s">
        <v>1174</v>
      </c>
      <c r="N642" t="s">
        <v>1173</v>
      </c>
    </row>
    <row r="643" spans="1:14" x14ac:dyDescent="0.3">
      <c r="A643">
        <v>1239651</v>
      </c>
      <c r="B643" t="s">
        <v>1113</v>
      </c>
      <c r="C643" t="s">
        <v>548</v>
      </c>
      <c r="D643" t="s">
        <v>1178</v>
      </c>
      <c r="E643" t="s">
        <v>1177</v>
      </c>
      <c r="F643" t="s">
        <v>1176</v>
      </c>
      <c r="G643" t="s">
        <v>1182</v>
      </c>
      <c r="H643" t="s">
        <v>22</v>
      </c>
      <c r="I643" t="s">
        <v>22</v>
      </c>
      <c r="J643" t="s">
        <v>17</v>
      </c>
      <c r="K643">
        <v>88.2</v>
      </c>
      <c r="L643">
        <v>137.9</v>
      </c>
      <c r="M643" t="s">
        <v>1174</v>
      </c>
      <c r="N643" t="s">
        <v>1173</v>
      </c>
    </row>
    <row r="644" spans="1:14" x14ac:dyDescent="0.3">
      <c r="A644">
        <v>1239651</v>
      </c>
      <c r="B644" t="s">
        <v>1113</v>
      </c>
      <c r="C644" t="s">
        <v>548</v>
      </c>
      <c r="D644" t="s">
        <v>1178</v>
      </c>
      <c r="E644" t="s">
        <v>1177</v>
      </c>
      <c r="F644" t="s">
        <v>1176</v>
      </c>
      <c r="G644" t="s">
        <v>1181</v>
      </c>
      <c r="H644" t="s">
        <v>22</v>
      </c>
      <c r="I644" t="s">
        <v>22</v>
      </c>
      <c r="J644" t="s">
        <v>17</v>
      </c>
      <c r="K644">
        <v>88.2</v>
      </c>
      <c r="L644">
        <v>137.9</v>
      </c>
      <c r="M644" t="s">
        <v>1174</v>
      </c>
      <c r="N644" t="s">
        <v>1173</v>
      </c>
    </row>
    <row r="645" spans="1:14" x14ac:dyDescent="0.3">
      <c r="A645">
        <v>1239651</v>
      </c>
      <c r="B645" t="s">
        <v>1113</v>
      </c>
      <c r="C645" t="s">
        <v>548</v>
      </c>
      <c r="D645" t="s">
        <v>1178</v>
      </c>
      <c r="E645" t="s">
        <v>1177</v>
      </c>
      <c r="F645" t="s">
        <v>1176</v>
      </c>
      <c r="G645" t="s">
        <v>1180</v>
      </c>
      <c r="H645" t="s">
        <v>22</v>
      </c>
      <c r="I645" t="s">
        <v>22</v>
      </c>
      <c r="J645" t="s">
        <v>17</v>
      </c>
      <c r="K645">
        <v>88.2</v>
      </c>
      <c r="L645">
        <v>137.9</v>
      </c>
      <c r="M645" t="s">
        <v>1174</v>
      </c>
      <c r="N645" t="s">
        <v>1173</v>
      </c>
    </row>
    <row r="646" spans="1:14" x14ac:dyDescent="0.3">
      <c r="A646">
        <v>1239651</v>
      </c>
      <c r="B646" t="s">
        <v>1113</v>
      </c>
      <c r="C646" t="s">
        <v>548</v>
      </c>
      <c r="D646" t="s">
        <v>1178</v>
      </c>
      <c r="E646" t="s">
        <v>1177</v>
      </c>
      <c r="F646" t="s">
        <v>1176</v>
      </c>
      <c r="G646" t="s">
        <v>1179</v>
      </c>
      <c r="H646" t="s">
        <v>22</v>
      </c>
      <c r="I646" t="s">
        <v>22</v>
      </c>
      <c r="J646" t="s">
        <v>17</v>
      </c>
      <c r="K646">
        <v>88.2</v>
      </c>
      <c r="L646">
        <v>137.9</v>
      </c>
      <c r="M646" t="s">
        <v>1174</v>
      </c>
      <c r="N646" t="s">
        <v>1173</v>
      </c>
    </row>
    <row r="647" spans="1:14" x14ac:dyDescent="0.3">
      <c r="A647">
        <v>1239651</v>
      </c>
      <c r="B647" t="s">
        <v>1113</v>
      </c>
      <c r="C647" t="s">
        <v>548</v>
      </c>
      <c r="D647" t="s">
        <v>1178</v>
      </c>
      <c r="E647" t="s">
        <v>1177</v>
      </c>
      <c r="F647" t="s">
        <v>1176</v>
      </c>
      <c r="G647" t="s">
        <v>1175</v>
      </c>
      <c r="H647" t="s">
        <v>22</v>
      </c>
      <c r="I647" t="s">
        <v>22</v>
      </c>
      <c r="J647" t="s">
        <v>17</v>
      </c>
      <c r="K647">
        <v>88.2</v>
      </c>
      <c r="L647">
        <v>137.9</v>
      </c>
      <c r="M647" t="s">
        <v>1174</v>
      </c>
      <c r="N647" t="s">
        <v>1173</v>
      </c>
    </row>
    <row r="648" spans="1:14" x14ac:dyDescent="0.3">
      <c r="A648">
        <v>1239651</v>
      </c>
      <c r="B648" t="s">
        <v>1113</v>
      </c>
      <c r="C648" t="s">
        <v>1166</v>
      </c>
      <c r="D648" t="s">
        <v>1165</v>
      </c>
      <c r="E648" t="s">
        <v>1164</v>
      </c>
      <c r="G648" t="s">
        <v>1172</v>
      </c>
      <c r="H648" t="s">
        <v>22</v>
      </c>
      <c r="I648" t="s">
        <v>22</v>
      </c>
      <c r="J648" t="s">
        <v>17</v>
      </c>
      <c r="K648">
        <v>91.7</v>
      </c>
      <c r="L648">
        <v>137</v>
      </c>
      <c r="M648" t="s">
        <v>627</v>
      </c>
      <c r="N648" t="s">
        <v>628</v>
      </c>
    </row>
    <row r="649" spans="1:14" x14ac:dyDescent="0.3">
      <c r="A649">
        <v>1239651</v>
      </c>
      <c r="B649" t="s">
        <v>1113</v>
      </c>
      <c r="C649" t="s">
        <v>1166</v>
      </c>
      <c r="D649" t="s">
        <v>1165</v>
      </c>
      <c r="E649" t="s">
        <v>1164</v>
      </c>
      <c r="G649" t="s">
        <v>1171</v>
      </c>
      <c r="H649" t="s">
        <v>22</v>
      </c>
      <c r="I649" t="s">
        <v>22</v>
      </c>
      <c r="J649" t="s">
        <v>17</v>
      </c>
      <c r="K649">
        <v>91.7</v>
      </c>
      <c r="L649">
        <v>137</v>
      </c>
      <c r="M649" t="s">
        <v>627</v>
      </c>
      <c r="N649" t="s">
        <v>628</v>
      </c>
    </row>
    <row r="650" spans="1:14" x14ac:dyDescent="0.3">
      <c r="A650">
        <v>1239651</v>
      </c>
      <c r="B650" t="s">
        <v>1113</v>
      </c>
      <c r="C650" t="s">
        <v>1166</v>
      </c>
      <c r="D650" t="s">
        <v>1165</v>
      </c>
      <c r="E650" t="s">
        <v>1164</v>
      </c>
      <c r="G650" t="s">
        <v>1170</v>
      </c>
      <c r="H650" t="s">
        <v>22</v>
      </c>
      <c r="I650" t="s">
        <v>22</v>
      </c>
      <c r="J650" t="s">
        <v>17</v>
      </c>
      <c r="K650">
        <v>91.7</v>
      </c>
      <c r="L650">
        <v>137</v>
      </c>
      <c r="M650" t="s">
        <v>627</v>
      </c>
      <c r="N650" t="s">
        <v>628</v>
      </c>
    </row>
    <row r="651" spans="1:14" x14ac:dyDescent="0.3">
      <c r="A651">
        <v>1239651</v>
      </c>
      <c r="B651" t="s">
        <v>1113</v>
      </c>
      <c r="C651" t="s">
        <v>1166</v>
      </c>
      <c r="D651" t="s">
        <v>1165</v>
      </c>
      <c r="E651" t="s">
        <v>1164</v>
      </c>
      <c r="G651" t="s">
        <v>1169</v>
      </c>
      <c r="H651" t="s">
        <v>22</v>
      </c>
      <c r="I651" t="s">
        <v>22</v>
      </c>
      <c r="J651" t="s">
        <v>17</v>
      </c>
      <c r="K651">
        <v>91.7</v>
      </c>
      <c r="L651">
        <v>137</v>
      </c>
      <c r="M651" t="s">
        <v>627</v>
      </c>
      <c r="N651" t="s">
        <v>628</v>
      </c>
    </row>
    <row r="652" spans="1:14" x14ac:dyDescent="0.3">
      <c r="A652">
        <v>1239651</v>
      </c>
      <c r="B652" t="s">
        <v>1113</v>
      </c>
      <c r="C652" t="s">
        <v>1166</v>
      </c>
      <c r="D652" t="s">
        <v>1165</v>
      </c>
      <c r="E652" t="s">
        <v>1164</v>
      </c>
      <c r="G652" t="s">
        <v>1168</v>
      </c>
      <c r="H652" t="s">
        <v>22</v>
      </c>
      <c r="I652" t="s">
        <v>22</v>
      </c>
      <c r="J652" t="s">
        <v>17</v>
      </c>
      <c r="K652">
        <v>91.7</v>
      </c>
      <c r="L652">
        <v>137</v>
      </c>
      <c r="M652" t="s">
        <v>627</v>
      </c>
      <c r="N652" t="s">
        <v>628</v>
      </c>
    </row>
    <row r="653" spans="1:14" x14ac:dyDescent="0.3">
      <c r="A653">
        <v>1239651</v>
      </c>
      <c r="B653" t="s">
        <v>1113</v>
      </c>
      <c r="C653" t="s">
        <v>1166</v>
      </c>
      <c r="D653" t="s">
        <v>1165</v>
      </c>
      <c r="E653" t="s">
        <v>1164</v>
      </c>
      <c r="G653" t="s">
        <v>1167</v>
      </c>
      <c r="H653" t="s">
        <v>22</v>
      </c>
      <c r="I653" t="s">
        <v>22</v>
      </c>
      <c r="J653" t="s">
        <v>17</v>
      </c>
      <c r="K653">
        <v>91.7</v>
      </c>
      <c r="L653">
        <v>137</v>
      </c>
      <c r="M653" t="s">
        <v>627</v>
      </c>
      <c r="N653" t="s">
        <v>628</v>
      </c>
    </row>
    <row r="654" spans="1:14" x14ac:dyDescent="0.3">
      <c r="A654">
        <v>1239651</v>
      </c>
      <c r="B654" t="s">
        <v>1113</v>
      </c>
      <c r="C654" t="s">
        <v>1166</v>
      </c>
      <c r="D654" t="s">
        <v>1165</v>
      </c>
      <c r="E654" t="s">
        <v>1164</v>
      </c>
      <c r="G654" t="s">
        <v>1163</v>
      </c>
      <c r="H654" t="s">
        <v>22</v>
      </c>
      <c r="I654" t="s">
        <v>22</v>
      </c>
      <c r="J654" t="s">
        <v>17</v>
      </c>
      <c r="K654">
        <v>91.7</v>
      </c>
      <c r="L654">
        <v>137</v>
      </c>
      <c r="M654" t="s">
        <v>627</v>
      </c>
      <c r="N654" t="s">
        <v>628</v>
      </c>
    </row>
    <row r="655" spans="1:14" hidden="1" x14ac:dyDescent="0.3">
      <c r="A655">
        <v>1239651</v>
      </c>
      <c r="B655" t="s">
        <v>1113</v>
      </c>
      <c r="C655" t="s">
        <v>1162</v>
      </c>
      <c r="H655" t="s">
        <v>16</v>
      </c>
      <c r="I655" t="s">
        <v>16</v>
      </c>
      <c r="J655" t="s">
        <v>17</v>
      </c>
      <c r="K655">
        <v>0</v>
      </c>
      <c r="L655">
        <v>0</v>
      </c>
    </row>
    <row r="656" spans="1:14" hidden="1" x14ac:dyDescent="0.3">
      <c r="A656">
        <v>1239651</v>
      </c>
      <c r="B656" t="s">
        <v>1113</v>
      </c>
      <c r="C656" t="s">
        <v>1161</v>
      </c>
      <c r="H656" t="s">
        <v>16</v>
      </c>
      <c r="I656" t="s">
        <v>16</v>
      </c>
      <c r="J656" t="s">
        <v>17</v>
      </c>
      <c r="K656">
        <v>0</v>
      </c>
      <c r="L656">
        <v>0</v>
      </c>
    </row>
    <row r="657" spans="1:14" x14ac:dyDescent="0.3">
      <c r="A657">
        <v>1239651</v>
      </c>
      <c r="B657" t="s">
        <v>1113</v>
      </c>
      <c r="C657" t="s">
        <v>1160</v>
      </c>
      <c r="D657" t="s">
        <v>1160</v>
      </c>
      <c r="E657" t="s">
        <v>1159</v>
      </c>
      <c r="H657" t="s">
        <v>22</v>
      </c>
      <c r="I657" t="s">
        <v>22</v>
      </c>
      <c r="J657" t="s">
        <v>17</v>
      </c>
      <c r="K657">
        <v>100</v>
      </c>
      <c r="L657">
        <v>110</v>
      </c>
      <c r="M657" t="s">
        <v>182</v>
      </c>
      <c r="N657" t="s">
        <v>183</v>
      </c>
    </row>
    <row r="658" spans="1:14" x14ac:dyDescent="0.3">
      <c r="A658">
        <v>1239651</v>
      </c>
      <c r="B658" t="s">
        <v>1113</v>
      </c>
      <c r="C658" t="s">
        <v>1128</v>
      </c>
      <c r="D658" t="s">
        <v>1127</v>
      </c>
      <c r="E658" t="s">
        <v>1126</v>
      </c>
      <c r="F658" t="s">
        <v>1125</v>
      </c>
      <c r="G658" t="s">
        <v>1158</v>
      </c>
      <c r="H658" t="s">
        <v>22</v>
      </c>
      <c r="I658" t="s">
        <v>22</v>
      </c>
      <c r="J658" t="s">
        <v>17</v>
      </c>
      <c r="K658">
        <v>91.7</v>
      </c>
      <c r="L658">
        <v>138</v>
      </c>
      <c r="M658" t="s">
        <v>1123</v>
      </c>
      <c r="N658" t="s">
        <v>1122</v>
      </c>
    </row>
    <row r="659" spans="1:14" x14ac:dyDescent="0.3">
      <c r="A659">
        <v>1239651</v>
      </c>
      <c r="B659" t="s">
        <v>1113</v>
      </c>
      <c r="C659" t="s">
        <v>1128</v>
      </c>
      <c r="D659" t="s">
        <v>1127</v>
      </c>
      <c r="E659" t="s">
        <v>1126</v>
      </c>
      <c r="F659" t="s">
        <v>1125</v>
      </c>
      <c r="G659" t="s">
        <v>1157</v>
      </c>
      <c r="H659" t="s">
        <v>22</v>
      </c>
      <c r="I659" t="s">
        <v>22</v>
      </c>
      <c r="J659" t="s">
        <v>17</v>
      </c>
      <c r="K659">
        <v>91.7</v>
      </c>
      <c r="L659">
        <v>138</v>
      </c>
      <c r="M659" t="s">
        <v>1123</v>
      </c>
      <c r="N659" t="s">
        <v>1122</v>
      </c>
    </row>
    <row r="660" spans="1:14" x14ac:dyDescent="0.3">
      <c r="A660">
        <v>1239651</v>
      </c>
      <c r="B660" t="s">
        <v>1113</v>
      </c>
      <c r="C660" t="s">
        <v>1128</v>
      </c>
      <c r="D660" t="s">
        <v>1127</v>
      </c>
      <c r="E660" t="s">
        <v>1126</v>
      </c>
      <c r="F660" t="s">
        <v>1125</v>
      </c>
      <c r="G660" t="s">
        <v>1156</v>
      </c>
      <c r="H660" t="s">
        <v>22</v>
      </c>
      <c r="I660" t="s">
        <v>22</v>
      </c>
      <c r="J660" t="s">
        <v>17</v>
      </c>
      <c r="K660">
        <v>91.7</v>
      </c>
      <c r="L660">
        <v>138</v>
      </c>
      <c r="M660" t="s">
        <v>1123</v>
      </c>
      <c r="N660" t="s">
        <v>1122</v>
      </c>
    </row>
    <row r="661" spans="1:14" x14ac:dyDescent="0.3">
      <c r="A661">
        <v>1239651</v>
      </c>
      <c r="B661" t="s">
        <v>1113</v>
      </c>
      <c r="C661" t="s">
        <v>1128</v>
      </c>
      <c r="D661" t="s">
        <v>1127</v>
      </c>
      <c r="E661" t="s">
        <v>1126</v>
      </c>
      <c r="F661" t="s">
        <v>1125</v>
      </c>
      <c r="G661" t="s">
        <v>1155</v>
      </c>
      <c r="H661" t="s">
        <v>22</v>
      </c>
      <c r="I661" t="s">
        <v>22</v>
      </c>
      <c r="J661" t="s">
        <v>17</v>
      </c>
      <c r="K661">
        <v>91.7</v>
      </c>
      <c r="L661">
        <v>138</v>
      </c>
      <c r="M661" t="s">
        <v>1123</v>
      </c>
      <c r="N661" t="s">
        <v>1122</v>
      </c>
    </row>
    <row r="662" spans="1:14" x14ac:dyDescent="0.3">
      <c r="A662">
        <v>1239651</v>
      </c>
      <c r="B662" t="s">
        <v>1113</v>
      </c>
      <c r="C662" t="s">
        <v>1128</v>
      </c>
      <c r="D662" t="s">
        <v>1127</v>
      </c>
      <c r="E662" t="s">
        <v>1126</v>
      </c>
      <c r="F662" t="s">
        <v>1125</v>
      </c>
      <c r="G662" t="s">
        <v>1154</v>
      </c>
      <c r="H662" t="s">
        <v>22</v>
      </c>
      <c r="I662" t="s">
        <v>22</v>
      </c>
      <c r="J662" t="s">
        <v>17</v>
      </c>
      <c r="K662">
        <v>91.7</v>
      </c>
      <c r="L662">
        <v>138</v>
      </c>
      <c r="M662" t="s">
        <v>1123</v>
      </c>
      <c r="N662" t="s">
        <v>1122</v>
      </c>
    </row>
    <row r="663" spans="1:14" x14ac:dyDescent="0.3">
      <c r="A663">
        <v>1239651</v>
      </c>
      <c r="B663" t="s">
        <v>1113</v>
      </c>
      <c r="C663" t="s">
        <v>1128</v>
      </c>
      <c r="D663" t="s">
        <v>1127</v>
      </c>
      <c r="E663" t="s">
        <v>1126</v>
      </c>
      <c r="F663" t="s">
        <v>1125</v>
      </c>
      <c r="G663" t="s">
        <v>1153</v>
      </c>
      <c r="H663" t="s">
        <v>22</v>
      </c>
      <c r="I663" t="s">
        <v>22</v>
      </c>
      <c r="J663" t="s">
        <v>17</v>
      </c>
      <c r="K663">
        <v>91.7</v>
      </c>
      <c r="L663">
        <v>138</v>
      </c>
      <c r="M663" t="s">
        <v>1123</v>
      </c>
      <c r="N663" t="s">
        <v>1122</v>
      </c>
    </row>
    <row r="664" spans="1:14" x14ac:dyDescent="0.3">
      <c r="A664">
        <v>1239651</v>
      </c>
      <c r="B664" t="s">
        <v>1113</v>
      </c>
      <c r="C664" t="s">
        <v>1128</v>
      </c>
      <c r="D664" t="s">
        <v>1127</v>
      </c>
      <c r="E664" t="s">
        <v>1126</v>
      </c>
      <c r="F664" t="s">
        <v>1125</v>
      </c>
      <c r="G664" t="s">
        <v>1152</v>
      </c>
      <c r="H664" t="s">
        <v>22</v>
      </c>
      <c r="I664" t="s">
        <v>22</v>
      </c>
      <c r="J664" t="s">
        <v>17</v>
      </c>
      <c r="K664">
        <v>91.7</v>
      </c>
      <c r="L664">
        <v>138</v>
      </c>
      <c r="M664" t="s">
        <v>1123</v>
      </c>
      <c r="N664" t="s">
        <v>1122</v>
      </c>
    </row>
    <row r="665" spans="1:14" x14ac:dyDescent="0.3">
      <c r="A665">
        <v>1239651</v>
      </c>
      <c r="B665" t="s">
        <v>1113</v>
      </c>
      <c r="C665" t="s">
        <v>1128</v>
      </c>
      <c r="D665" t="s">
        <v>1127</v>
      </c>
      <c r="E665" t="s">
        <v>1126</v>
      </c>
      <c r="F665" t="s">
        <v>1125</v>
      </c>
      <c r="G665" t="s">
        <v>1151</v>
      </c>
      <c r="H665" t="s">
        <v>22</v>
      </c>
      <c r="I665" t="s">
        <v>22</v>
      </c>
      <c r="J665" t="s">
        <v>17</v>
      </c>
      <c r="K665">
        <v>91.7</v>
      </c>
      <c r="L665">
        <v>138</v>
      </c>
      <c r="M665" t="s">
        <v>1123</v>
      </c>
      <c r="N665" t="s">
        <v>1122</v>
      </c>
    </row>
    <row r="666" spans="1:14" x14ac:dyDescent="0.3">
      <c r="A666">
        <v>1239651</v>
      </c>
      <c r="B666" t="s">
        <v>1113</v>
      </c>
      <c r="C666" t="s">
        <v>1128</v>
      </c>
      <c r="D666" t="s">
        <v>1127</v>
      </c>
      <c r="E666" t="s">
        <v>1126</v>
      </c>
      <c r="F666" t="s">
        <v>1125</v>
      </c>
      <c r="G666" t="s">
        <v>1150</v>
      </c>
      <c r="H666" t="s">
        <v>22</v>
      </c>
      <c r="I666" t="s">
        <v>22</v>
      </c>
      <c r="J666" t="s">
        <v>17</v>
      </c>
      <c r="K666">
        <v>91.7</v>
      </c>
      <c r="L666">
        <v>138</v>
      </c>
      <c r="M666" t="s">
        <v>1123</v>
      </c>
      <c r="N666" t="s">
        <v>1122</v>
      </c>
    </row>
    <row r="667" spans="1:14" x14ac:dyDescent="0.3">
      <c r="A667">
        <v>1239651</v>
      </c>
      <c r="B667" t="s">
        <v>1113</v>
      </c>
      <c r="C667" t="s">
        <v>1128</v>
      </c>
      <c r="D667" t="s">
        <v>1127</v>
      </c>
      <c r="E667" t="s">
        <v>1126</v>
      </c>
      <c r="F667" t="s">
        <v>1125</v>
      </c>
      <c r="G667" t="s">
        <v>1149</v>
      </c>
      <c r="H667" t="s">
        <v>22</v>
      </c>
      <c r="I667" t="s">
        <v>22</v>
      </c>
      <c r="J667" t="s">
        <v>17</v>
      </c>
      <c r="K667">
        <v>91.7</v>
      </c>
      <c r="L667">
        <v>138</v>
      </c>
      <c r="M667" t="s">
        <v>1123</v>
      </c>
      <c r="N667" t="s">
        <v>1122</v>
      </c>
    </row>
    <row r="668" spans="1:14" x14ac:dyDescent="0.3">
      <c r="A668">
        <v>1239651</v>
      </c>
      <c r="B668" t="s">
        <v>1113</v>
      </c>
      <c r="C668" t="s">
        <v>1128</v>
      </c>
      <c r="D668" t="s">
        <v>1127</v>
      </c>
      <c r="E668" t="s">
        <v>1126</v>
      </c>
      <c r="F668" t="s">
        <v>1125</v>
      </c>
      <c r="G668" t="s">
        <v>1148</v>
      </c>
      <c r="H668" t="s">
        <v>22</v>
      </c>
      <c r="I668" t="s">
        <v>22</v>
      </c>
      <c r="J668" t="s">
        <v>17</v>
      </c>
      <c r="K668">
        <v>91.7</v>
      </c>
      <c r="L668">
        <v>138</v>
      </c>
      <c r="M668" t="s">
        <v>1123</v>
      </c>
      <c r="N668" t="s">
        <v>1122</v>
      </c>
    </row>
    <row r="669" spans="1:14" x14ac:dyDescent="0.3">
      <c r="A669">
        <v>1239651</v>
      </c>
      <c r="B669" t="s">
        <v>1113</v>
      </c>
      <c r="C669" t="s">
        <v>1128</v>
      </c>
      <c r="D669" t="s">
        <v>1127</v>
      </c>
      <c r="E669" t="s">
        <v>1126</v>
      </c>
      <c r="F669" t="s">
        <v>1125</v>
      </c>
      <c r="G669" t="s">
        <v>1147</v>
      </c>
      <c r="H669" t="s">
        <v>22</v>
      </c>
      <c r="I669" t="s">
        <v>22</v>
      </c>
      <c r="J669" t="s">
        <v>17</v>
      </c>
      <c r="K669">
        <v>91.7</v>
      </c>
      <c r="L669">
        <v>138</v>
      </c>
      <c r="M669" t="s">
        <v>1123</v>
      </c>
      <c r="N669" t="s">
        <v>1122</v>
      </c>
    </row>
    <row r="670" spans="1:14" x14ac:dyDescent="0.3">
      <c r="A670">
        <v>1239651</v>
      </c>
      <c r="B670" t="s">
        <v>1113</v>
      </c>
      <c r="C670" t="s">
        <v>1128</v>
      </c>
      <c r="D670" t="s">
        <v>1127</v>
      </c>
      <c r="E670" t="s">
        <v>1126</v>
      </c>
      <c r="F670" t="s">
        <v>1125</v>
      </c>
      <c r="G670" t="s">
        <v>1146</v>
      </c>
      <c r="H670" t="s">
        <v>22</v>
      </c>
      <c r="I670" t="s">
        <v>22</v>
      </c>
      <c r="J670" t="s">
        <v>17</v>
      </c>
      <c r="K670">
        <v>91.7</v>
      </c>
      <c r="L670">
        <v>138</v>
      </c>
      <c r="M670" t="s">
        <v>1123</v>
      </c>
      <c r="N670" t="s">
        <v>1122</v>
      </c>
    </row>
    <row r="671" spans="1:14" x14ac:dyDescent="0.3">
      <c r="A671">
        <v>1239651</v>
      </c>
      <c r="B671" t="s">
        <v>1113</v>
      </c>
      <c r="C671" t="s">
        <v>1128</v>
      </c>
      <c r="D671" t="s">
        <v>1127</v>
      </c>
      <c r="E671" t="s">
        <v>1126</v>
      </c>
      <c r="F671" t="s">
        <v>1125</v>
      </c>
      <c r="G671" t="s">
        <v>1145</v>
      </c>
      <c r="H671" t="s">
        <v>22</v>
      </c>
      <c r="I671" t="s">
        <v>22</v>
      </c>
      <c r="J671" t="s">
        <v>17</v>
      </c>
      <c r="K671">
        <v>91.7</v>
      </c>
      <c r="L671">
        <v>138</v>
      </c>
      <c r="M671" t="s">
        <v>1123</v>
      </c>
      <c r="N671" t="s">
        <v>1122</v>
      </c>
    </row>
    <row r="672" spans="1:14" x14ac:dyDescent="0.3">
      <c r="A672">
        <v>1239651</v>
      </c>
      <c r="B672" t="s">
        <v>1113</v>
      </c>
      <c r="C672" t="s">
        <v>1128</v>
      </c>
      <c r="D672" t="s">
        <v>1127</v>
      </c>
      <c r="E672" t="s">
        <v>1126</v>
      </c>
      <c r="F672" t="s">
        <v>1125</v>
      </c>
      <c r="G672" t="s">
        <v>1144</v>
      </c>
      <c r="H672" t="s">
        <v>22</v>
      </c>
      <c r="I672" t="s">
        <v>22</v>
      </c>
      <c r="J672" t="s">
        <v>17</v>
      </c>
      <c r="K672">
        <v>91.7</v>
      </c>
      <c r="L672">
        <v>138</v>
      </c>
      <c r="M672" t="s">
        <v>1123</v>
      </c>
      <c r="N672" t="s">
        <v>1122</v>
      </c>
    </row>
    <row r="673" spans="1:14" x14ac:dyDescent="0.3">
      <c r="A673">
        <v>1239651</v>
      </c>
      <c r="B673" t="s">
        <v>1113</v>
      </c>
      <c r="C673" t="s">
        <v>1128</v>
      </c>
      <c r="D673" t="s">
        <v>1127</v>
      </c>
      <c r="E673" t="s">
        <v>1126</v>
      </c>
      <c r="F673" t="s">
        <v>1125</v>
      </c>
      <c r="G673" t="s">
        <v>1143</v>
      </c>
      <c r="H673" t="s">
        <v>22</v>
      </c>
      <c r="I673" t="s">
        <v>22</v>
      </c>
      <c r="J673" t="s">
        <v>17</v>
      </c>
      <c r="K673">
        <v>91.7</v>
      </c>
      <c r="L673">
        <v>138</v>
      </c>
      <c r="M673" t="s">
        <v>1123</v>
      </c>
      <c r="N673" t="s">
        <v>1122</v>
      </c>
    </row>
    <row r="674" spans="1:14" x14ac:dyDescent="0.3">
      <c r="A674">
        <v>1239651</v>
      </c>
      <c r="B674" t="s">
        <v>1113</v>
      </c>
      <c r="C674" t="s">
        <v>1128</v>
      </c>
      <c r="D674" t="s">
        <v>1127</v>
      </c>
      <c r="E674" t="s">
        <v>1126</v>
      </c>
      <c r="F674" t="s">
        <v>1125</v>
      </c>
      <c r="G674" t="s">
        <v>1142</v>
      </c>
      <c r="H674" t="s">
        <v>22</v>
      </c>
      <c r="I674" t="s">
        <v>22</v>
      </c>
      <c r="J674" t="s">
        <v>17</v>
      </c>
      <c r="K674">
        <v>91.7</v>
      </c>
      <c r="L674">
        <v>138</v>
      </c>
      <c r="M674" t="s">
        <v>1123</v>
      </c>
      <c r="N674" t="s">
        <v>1122</v>
      </c>
    </row>
    <row r="675" spans="1:14" x14ac:dyDescent="0.3">
      <c r="A675">
        <v>1239651</v>
      </c>
      <c r="B675" t="s">
        <v>1113</v>
      </c>
      <c r="C675" t="s">
        <v>1128</v>
      </c>
      <c r="D675" t="s">
        <v>1127</v>
      </c>
      <c r="E675" t="s">
        <v>1126</v>
      </c>
      <c r="F675" t="s">
        <v>1125</v>
      </c>
      <c r="G675" t="s">
        <v>1141</v>
      </c>
      <c r="H675" t="s">
        <v>22</v>
      </c>
      <c r="I675" t="s">
        <v>22</v>
      </c>
      <c r="J675" t="s">
        <v>17</v>
      </c>
      <c r="K675">
        <v>91.7</v>
      </c>
      <c r="L675">
        <v>138</v>
      </c>
      <c r="M675" t="s">
        <v>1123</v>
      </c>
      <c r="N675" t="s">
        <v>1122</v>
      </c>
    </row>
    <row r="676" spans="1:14" x14ac:dyDescent="0.3">
      <c r="A676">
        <v>1239651</v>
      </c>
      <c r="B676" t="s">
        <v>1113</v>
      </c>
      <c r="C676" t="s">
        <v>1128</v>
      </c>
      <c r="D676" t="s">
        <v>1127</v>
      </c>
      <c r="E676" t="s">
        <v>1126</v>
      </c>
      <c r="F676" t="s">
        <v>1125</v>
      </c>
      <c r="G676" t="s">
        <v>1140</v>
      </c>
      <c r="H676" t="s">
        <v>22</v>
      </c>
      <c r="I676" t="s">
        <v>22</v>
      </c>
      <c r="J676" t="s">
        <v>17</v>
      </c>
      <c r="K676">
        <v>91.7</v>
      </c>
      <c r="L676">
        <v>138</v>
      </c>
      <c r="M676" t="s">
        <v>1123</v>
      </c>
      <c r="N676" t="s">
        <v>1122</v>
      </c>
    </row>
    <row r="677" spans="1:14" x14ac:dyDescent="0.3">
      <c r="A677">
        <v>1239651</v>
      </c>
      <c r="B677" t="s">
        <v>1113</v>
      </c>
      <c r="C677" t="s">
        <v>1128</v>
      </c>
      <c r="D677" t="s">
        <v>1127</v>
      </c>
      <c r="E677" t="s">
        <v>1126</v>
      </c>
      <c r="F677" t="s">
        <v>1125</v>
      </c>
      <c r="G677" t="s">
        <v>1139</v>
      </c>
      <c r="H677" t="s">
        <v>22</v>
      </c>
      <c r="I677" t="s">
        <v>22</v>
      </c>
      <c r="J677" t="s">
        <v>17</v>
      </c>
      <c r="K677">
        <v>91.7</v>
      </c>
      <c r="L677">
        <v>138</v>
      </c>
      <c r="M677" t="s">
        <v>1123</v>
      </c>
      <c r="N677" t="s">
        <v>1122</v>
      </c>
    </row>
    <row r="678" spans="1:14" x14ac:dyDescent="0.3">
      <c r="A678">
        <v>1239651</v>
      </c>
      <c r="B678" t="s">
        <v>1113</v>
      </c>
      <c r="C678" t="s">
        <v>1128</v>
      </c>
      <c r="D678" t="s">
        <v>1127</v>
      </c>
      <c r="E678" t="s">
        <v>1126</v>
      </c>
      <c r="F678" t="s">
        <v>1125</v>
      </c>
      <c r="G678" t="s">
        <v>1138</v>
      </c>
      <c r="H678" t="s">
        <v>22</v>
      </c>
      <c r="I678" t="s">
        <v>22</v>
      </c>
      <c r="J678" t="s">
        <v>17</v>
      </c>
      <c r="K678">
        <v>91.7</v>
      </c>
      <c r="L678">
        <v>138</v>
      </c>
      <c r="M678" t="s">
        <v>1123</v>
      </c>
      <c r="N678" t="s">
        <v>1122</v>
      </c>
    </row>
    <row r="679" spans="1:14" x14ac:dyDescent="0.3">
      <c r="A679">
        <v>1239651</v>
      </c>
      <c r="B679" t="s">
        <v>1113</v>
      </c>
      <c r="C679" t="s">
        <v>1128</v>
      </c>
      <c r="D679" t="s">
        <v>1127</v>
      </c>
      <c r="E679" t="s">
        <v>1126</v>
      </c>
      <c r="F679" t="s">
        <v>1125</v>
      </c>
      <c r="G679" t="s">
        <v>1137</v>
      </c>
      <c r="H679" t="s">
        <v>22</v>
      </c>
      <c r="I679" t="s">
        <v>22</v>
      </c>
      <c r="J679" t="s">
        <v>17</v>
      </c>
      <c r="K679">
        <v>91.7</v>
      </c>
      <c r="L679">
        <v>138</v>
      </c>
      <c r="M679" t="s">
        <v>1123</v>
      </c>
      <c r="N679" t="s">
        <v>1122</v>
      </c>
    </row>
    <row r="680" spans="1:14" x14ac:dyDescent="0.3">
      <c r="A680">
        <v>1239651</v>
      </c>
      <c r="B680" t="s">
        <v>1113</v>
      </c>
      <c r="C680" t="s">
        <v>1128</v>
      </c>
      <c r="D680" t="s">
        <v>1127</v>
      </c>
      <c r="E680" t="s">
        <v>1126</v>
      </c>
      <c r="F680" t="s">
        <v>1125</v>
      </c>
      <c r="G680" t="s">
        <v>1136</v>
      </c>
      <c r="H680" t="s">
        <v>22</v>
      </c>
      <c r="I680" t="s">
        <v>22</v>
      </c>
      <c r="J680" t="s">
        <v>17</v>
      </c>
      <c r="K680">
        <v>91.7</v>
      </c>
      <c r="L680">
        <v>138</v>
      </c>
      <c r="M680" t="s">
        <v>1123</v>
      </c>
      <c r="N680" t="s">
        <v>1122</v>
      </c>
    </row>
    <row r="681" spans="1:14" x14ac:dyDescent="0.3">
      <c r="A681">
        <v>1239651</v>
      </c>
      <c r="B681" t="s">
        <v>1113</v>
      </c>
      <c r="C681" t="s">
        <v>1128</v>
      </c>
      <c r="D681" t="s">
        <v>1127</v>
      </c>
      <c r="E681" t="s">
        <v>1126</v>
      </c>
      <c r="F681" t="s">
        <v>1125</v>
      </c>
      <c r="G681" t="s">
        <v>1135</v>
      </c>
      <c r="H681" t="s">
        <v>22</v>
      </c>
      <c r="I681" t="s">
        <v>22</v>
      </c>
      <c r="J681" t="s">
        <v>17</v>
      </c>
      <c r="K681">
        <v>91.7</v>
      </c>
      <c r="L681">
        <v>138</v>
      </c>
      <c r="M681" t="s">
        <v>1123</v>
      </c>
      <c r="N681" t="s">
        <v>1122</v>
      </c>
    </row>
    <row r="682" spans="1:14" x14ac:dyDescent="0.3">
      <c r="A682">
        <v>1239651</v>
      </c>
      <c r="B682" t="s">
        <v>1113</v>
      </c>
      <c r="C682" t="s">
        <v>1128</v>
      </c>
      <c r="D682" t="s">
        <v>1127</v>
      </c>
      <c r="E682" t="s">
        <v>1126</v>
      </c>
      <c r="F682" t="s">
        <v>1125</v>
      </c>
      <c r="G682" t="s">
        <v>1134</v>
      </c>
      <c r="H682" t="s">
        <v>22</v>
      </c>
      <c r="I682" t="s">
        <v>22</v>
      </c>
      <c r="J682" t="s">
        <v>17</v>
      </c>
      <c r="K682">
        <v>91.7</v>
      </c>
      <c r="L682">
        <v>138</v>
      </c>
      <c r="M682" t="s">
        <v>1123</v>
      </c>
      <c r="N682" t="s">
        <v>1122</v>
      </c>
    </row>
    <row r="683" spans="1:14" x14ac:dyDescent="0.3">
      <c r="A683">
        <v>1239651</v>
      </c>
      <c r="B683" t="s">
        <v>1113</v>
      </c>
      <c r="C683" t="s">
        <v>1128</v>
      </c>
      <c r="D683" t="s">
        <v>1127</v>
      </c>
      <c r="E683" t="s">
        <v>1126</v>
      </c>
      <c r="F683" t="s">
        <v>1125</v>
      </c>
      <c r="G683" t="s">
        <v>1133</v>
      </c>
      <c r="H683" t="s">
        <v>22</v>
      </c>
      <c r="I683" t="s">
        <v>22</v>
      </c>
      <c r="J683" t="s">
        <v>17</v>
      </c>
      <c r="K683">
        <v>91.7</v>
      </c>
      <c r="L683">
        <v>138</v>
      </c>
      <c r="M683" t="s">
        <v>1123</v>
      </c>
      <c r="N683" t="s">
        <v>1122</v>
      </c>
    </row>
    <row r="684" spans="1:14" x14ac:dyDescent="0.3">
      <c r="A684">
        <v>1239651</v>
      </c>
      <c r="B684" t="s">
        <v>1113</v>
      </c>
      <c r="C684" t="s">
        <v>1128</v>
      </c>
      <c r="D684" t="s">
        <v>1127</v>
      </c>
      <c r="E684" t="s">
        <v>1126</v>
      </c>
      <c r="F684" t="s">
        <v>1125</v>
      </c>
      <c r="G684" t="s">
        <v>1132</v>
      </c>
      <c r="H684" t="s">
        <v>22</v>
      </c>
      <c r="I684" t="s">
        <v>22</v>
      </c>
      <c r="J684" t="s">
        <v>17</v>
      </c>
      <c r="K684">
        <v>91.7</v>
      </c>
      <c r="L684">
        <v>138</v>
      </c>
      <c r="M684" t="s">
        <v>1123</v>
      </c>
      <c r="N684" t="s">
        <v>1122</v>
      </c>
    </row>
    <row r="685" spans="1:14" x14ac:dyDescent="0.3">
      <c r="A685">
        <v>1239651</v>
      </c>
      <c r="B685" t="s">
        <v>1113</v>
      </c>
      <c r="C685" t="s">
        <v>1128</v>
      </c>
      <c r="D685" t="s">
        <v>1127</v>
      </c>
      <c r="E685" t="s">
        <v>1126</v>
      </c>
      <c r="F685" t="s">
        <v>1125</v>
      </c>
      <c r="G685" t="s">
        <v>1131</v>
      </c>
      <c r="H685" t="s">
        <v>22</v>
      </c>
      <c r="I685" t="s">
        <v>22</v>
      </c>
      <c r="J685" t="s">
        <v>17</v>
      </c>
      <c r="K685">
        <v>91.7</v>
      </c>
      <c r="L685">
        <v>138</v>
      </c>
      <c r="M685" t="s">
        <v>1123</v>
      </c>
      <c r="N685" t="s">
        <v>1122</v>
      </c>
    </row>
    <row r="686" spans="1:14" x14ac:dyDescent="0.3">
      <c r="A686">
        <v>1239651</v>
      </c>
      <c r="B686" t="s">
        <v>1113</v>
      </c>
      <c r="C686" t="s">
        <v>1128</v>
      </c>
      <c r="D686" t="s">
        <v>1127</v>
      </c>
      <c r="E686" t="s">
        <v>1126</v>
      </c>
      <c r="F686" t="s">
        <v>1125</v>
      </c>
      <c r="G686" t="s">
        <v>1130</v>
      </c>
      <c r="H686" t="s">
        <v>22</v>
      </c>
      <c r="I686" t="s">
        <v>22</v>
      </c>
      <c r="J686" t="s">
        <v>17</v>
      </c>
      <c r="K686">
        <v>91.7</v>
      </c>
      <c r="L686">
        <v>138</v>
      </c>
      <c r="M686" t="s">
        <v>1123</v>
      </c>
      <c r="N686" t="s">
        <v>1122</v>
      </c>
    </row>
    <row r="687" spans="1:14" x14ac:dyDescent="0.3">
      <c r="A687">
        <v>1239651</v>
      </c>
      <c r="B687" t="s">
        <v>1113</v>
      </c>
      <c r="C687" t="s">
        <v>1128</v>
      </c>
      <c r="D687" t="s">
        <v>1127</v>
      </c>
      <c r="E687" t="s">
        <v>1126</v>
      </c>
      <c r="F687" t="s">
        <v>1125</v>
      </c>
      <c r="G687" t="s">
        <v>1129</v>
      </c>
      <c r="H687" t="s">
        <v>22</v>
      </c>
      <c r="I687" t="s">
        <v>22</v>
      </c>
      <c r="J687" t="s">
        <v>17</v>
      </c>
      <c r="K687">
        <v>91.7</v>
      </c>
      <c r="L687">
        <v>138</v>
      </c>
      <c r="M687" t="s">
        <v>1123</v>
      </c>
      <c r="N687" t="s">
        <v>1122</v>
      </c>
    </row>
    <row r="688" spans="1:14" x14ac:dyDescent="0.3">
      <c r="A688">
        <v>1239651</v>
      </c>
      <c r="B688" t="s">
        <v>1113</v>
      </c>
      <c r="C688" t="s">
        <v>1128</v>
      </c>
      <c r="D688" t="s">
        <v>1127</v>
      </c>
      <c r="E688" t="s">
        <v>1126</v>
      </c>
      <c r="F688" t="s">
        <v>1125</v>
      </c>
      <c r="G688" t="s">
        <v>1124</v>
      </c>
      <c r="H688" t="s">
        <v>22</v>
      </c>
      <c r="I688" t="s">
        <v>22</v>
      </c>
      <c r="J688" t="s">
        <v>17</v>
      </c>
      <c r="K688">
        <v>91.7</v>
      </c>
      <c r="L688">
        <v>138</v>
      </c>
      <c r="M688" t="s">
        <v>1123</v>
      </c>
      <c r="N688" t="s">
        <v>1122</v>
      </c>
    </row>
    <row r="689" spans="1:14" x14ac:dyDescent="0.3">
      <c r="A689">
        <v>1239651</v>
      </c>
      <c r="B689" t="s">
        <v>1113</v>
      </c>
      <c r="C689" t="s">
        <v>1121</v>
      </c>
      <c r="D689" t="s">
        <v>1121</v>
      </c>
      <c r="E689" t="s">
        <v>1120</v>
      </c>
      <c r="H689" t="s">
        <v>22</v>
      </c>
      <c r="I689" t="s">
        <v>22</v>
      </c>
      <c r="J689" t="s">
        <v>17</v>
      </c>
      <c r="K689">
        <v>100</v>
      </c>
      <c r="L689">
        <v>112</v>
      </c>
      <c r="M689" t="s">
        <v>679</v>
      </c>
      <c r="N689" t="s">
        <v>1119</v>
      </c>
    </row>
    <row r="690" spans="1:14" x14ac:dyDescent="0.3">
      <c r="A690">
        <v>1239651</v>
      </c>
      <c r="B690" t="s">
        <v>1113</v>
      </c>
      <c r="C690" t="s">
        <v>1118</v>
      </c>
      <c r="D690" t="s">
        <v>1118</v>
      </c>
      <c r="E690" t="s">
        <v>1117</v>
      </c>
      <c r="H690" t="s">
        <v>22</v>
      </c>
      <c r="I690" t="s">
        <v>22</v>
      </c>
      <c r="J690" t="s">
        <v>17</v>
      </c>
      <c r="K690">
        <v>100</v>
      </c>
      <c r="L690">
        <v>112</v>
      </c>
      <c r="M690" t="s">
        <v>1116</v>
      </c>
      <c r="N690" t="s">
        <v>1115</v>
      </c>
    </row>
    <row r="691" spans="1:14" hidden="1" x14ac:dyDescent="0.3">
      <c r="A691">
        <v>1239651</v>
      </c>
      <c r="B691" t="s">
        <v>1113</v>
      </c>
      <c r="C691" t="s">
        <v>1114</v>
      </c>
      <c r="H691" t="s">
        <v>16</v>
      </c>
      <c r="I691" t="s">
        <v>16</v>
      </c>
      <c r="J691" t="s">
        <v>17</v>
      </c>
      <c r="K691">
        <v>0</v>
      </c>
      <c r="L691">
        <v>0</v>
      </c>
    </row>
    <row r="692" spans="1:14" x14ac:dyDescent="0.3">
      <c r="A692">
        <v>1239651</v>
      </c>
      <c r="B692" t="s">
        <v>1113</v>
      </c>
      <c r="C692" t="s">
        <v>1112</v>
      </c>
      <c r="D692" t="s">
        <v>1112</v>
      </c>
      <c r="E692" t="s">
        <v>1111</v>
      </c>
      <c r="H692" t="s">
        <v>22</v>
      </c>
      <c r="I692" t="s">
        <v>22</v>
      </c>
      <c r="J692" t="s">
        <v>17</v>
      </c>
      <c r="K692">
        <v>100</v>
      </c>
      <c r="L692">
        <v>114</v>
      </c>
      <c r="M692" t="s">
        <v>1110</v>
      </c>
      <c r="N692" t="s">
        <v>1109</v>
      </c>
    </row>
    <row r="693" spans="1:14" hidden="1" x14ac:dyDescent="0.3">
      <c r="A693">
        <v>1252441</v>
      </c>
      <c r="B693" t="s">
        <v>1056</v>
      </c>
      <c r="C693" t="s">
        <v>1108</v>
      </c>
      <c r="H693" t="s">
        <v>16</v>
      </c>
      <c r="I693" t="s">
        <v>16</v>
      </c>
      <c r="J693" t="s">
        <v>17</v>
      </c>
      <c r="K693">
        <v>0</v>
      </c>
      <c r="L693">
        <v>0</v>
      </c>
    </row>
    <row r="694" spans="1:14" x14ac:dyDescent="0.3">
      <c r="A694">
        <v>1252441</v>
      </c>
      <c r="B694" t="s">
        <v>1056</v>
      </c>
      <c r="C694" t="s">
        <v>1107</v>
      </c>
      <c r="D694" t="s">
        <v>1106</v>
      </c>
      <c r="E694" t="s">
        <v>1105</v>
      </c>
      <c r="H694" t="s">
        <v>46</v>
      </c>
      <c r="I694" t="s">
        <v>46</v>
      </c>
      <c r="J694" t="s">
        <v>17</v>
      </c>
      <c r="K694">
        <v>100</v>
      </c>
      <c r="L694">
        <v>50</v>
      </c>
      <c r="M694" t="s">
        <v>182</v>
      </c>
      <c r="N694" t="s">
        <v>183</v>
      </c>
    </row>
    <row r="695" spans="1:14" hidden="1" x14ac:dyDescent="0.3">
      <c r="A695">
        <v>1252441</v>
      </c>
      <c r="B695" t="s">
        <v>1056</v>
      </c>
      <c r="C695" t="s">
        <v>1104</v>
      </c>
      <c r="H695" t="s">
        <v>16</v>
      </c>
      <c r="I695" t="s">
        <v>16</v>
      </c>
      <c r="J695" t="s">
        <v>17</v>
      </c>
      <c r="K695">
        <v>0</v>
      </c>
      <c r="L695">
        <v>0</v>
      </c>
    </row>
    <row r="696" spans="1:14" x14ac:dyDescent="0.3">
      <c r="A696">
        <v>1252441</v>
      </c>
      <c r="B696" t="s">
        <v>1056</v>
      </c>
      <c r="C696" t="s">
        <v>1095</v>
      </c>
      <c r="D696" t="s">
        <v>1094</v>
      </c>
      <c r="E696" t="s">
        <v>1093</v>
      </c>
      <c r="G696" t="s">
        <v>1103</v>
      </c>
      <c r="H696" t="s">
        <v>46</v>
      </c>
      <c r="I696" t="s">
        <v>46</v>
      </c>
      <c r="J696" t="s">
        <v>17</v>
      </c>
      <c r="K696">
        <v>100</v>
      </c>
      <c r="L696">
        <v>50</v>
      </c>
    </row>
    <row r="697" spans="1:14" x14ac:dyDescent="0.3">
      <c r="A697">
        <v>1252441</v>
      </c>
      <c r="B697" t="s">
        <v>1056</v>
      </c>
      <c r="C697" t="s">
        <v>1095</v>
      </c>
      <c r="D697" t="s">
        <v>1094</v>
      </c>
      <c r="E697" t="s">
        <v>1093</v>
      </c>
      <c r="G697" t="s">
        <v>1102</v>
      </c>
      <c r="H697" t="s">
        <v>46</v>
      </c>
      <c r="I697" t="s">
        <v>46</v>
      </c>
      <c r="J697" t="s">
        <v>17</v>
      </c>
      <c r="K697">
        <v>100</v>
      </c>
      <c r="L697">
        <v>50</v>
      </c>
    </row>
    <row r="698" spans="1:14" x14ac:dyDescent="0.3">
      <c r="A698">
        <v>1252441</v>
      </c>
      <c r="B698" t="s">
        <v>1056</v>
      </c>
      <c r="C698" t="s">
        <v>1095</v>
      </c>
      <c r="D698" t="s">
        <v>1094</v>
      </c>
      <c r="E698" t="s">
        <v>1093</v>
      </c>
      <c r="G698" t="s">
        <v>1101</v>
      </c>
      <c r="H698" t="s">
        <v>46</v>
      </c>
      <c r="I698" t="s">
        <v>46</v>
      </c>
      <c r="J698" t="s">
        <v>17</v>
      </c>
      <c r="K698">
        <v>100</v>
      </c>
      <c r="L698">
        <v>50</v>
      </c>
    </row>
    <row r="699" spans="1:14" x14ac:dyDescent="0.3">
      <c r="A699">
        <v>1252441</v>
      </c>
      <c r="B699" t="s">
        <v>1056</v>
      </c>
      <c r="C699" t="s">
        <v>1095</v>
      </c>
      <c r="D699" t="s">
        <v>1094</v>
      </c>
      <c r="E699" t="s">
        <v>1093</v>
      </c>
      <c r="G699" t="s">
        <v>1100</v>
      </c>
      <c r="H699" t="s">
        <v>46</v>
      </c>
      <c r="I699" t="s">
        <v>46</v>
      </c>
      <c r="J699" t="s">
        <v>17</v>
      </c>
      <c r="K699">
        <v>100</v>
      </c>
      <c r="L699">
        <v>50</v>
      </c>
    </row>
    <row r="700" spans="1:14" x14ac:dyDescent="0.3">
      <c r="A700">
        <v>1252441</v>
      </c>
      <c r="B700" t="s">
        <v>1056</v>
      </c>
      <c r="C700" t="s">
        <v>1095</v>
      </c>
      <c r="D700" t="s">
        <v>1094</v>
      </c>
      <c r="E700" t="s">
        <v>1093</v>
      </c>
      <c r="G700" t="s">
        <v>1099</v>
      </c>
      <c r="H700" t="s">
        <v>46</v>
      </c>
      <c r="I700" t="s">
        <v>46</v>
      </c>
      <c r="J700" t="s">
        <v>17</v>
      </c>
      <c r="K700">
        <v>100</v>
      </c>
      <c r="L700">
        <v>50</v>
      </c>
    </row>
    <row r="701" spans="1:14" x14ac:dyDescent="0.3">
      <c r="A701">
        <v>1252441</v>
      </c>
      <c r="B701" t="s">
        <v>1056</v>
      </c>
      <c r="C701" t="s">
        <v>1095</v>
      </c>
      <c r="D701" t="s">
        <v>1094</v>
      </c>
      <c r="E701" t="s">
        <v>1093</v>
      </c>
      <c r="G701" t="s">
        <v>1098</v>
      </c>
      <c r="H701" t="s">
        <v>46</v>
      </c>
      <c r="I701" t="s">
        <v>46</v>
      </c>
      <c r="J701" t="s">
        <v>17</v>
      </c>
      <c r="K701">
        <v>100</v>
      </c>
      <c r="L701">
        <v>50</v>
      </c>
    </row>
    <row r="702" spans="1:14" x14ac:dyDescent="0.3">
      <c r="A702">
        <v>1252441</v>
      </c>
      <c r="B702" t="s">
        <v>1056</v>
      </c>
      <c r="C702" t="s">
        <v>1095</v>
      </c>
      <c r="D702" t="s">
        <v>1094</v>
      </c>
      <c r="E702" t="s">
        <v>1093</v>
      </c>
      <c r="G702" t="s">
        <v>1097</v>
      </c>
      <c r="H702" t="s">
        <v>46</v>
      </c>
      <c r="I702" t="s">
        <v>46</v>
      </c>
      <c r="J702" t="s">
        <v>17</v>
      </c>
      <c r="K702">
        <v>100</v>
      </c>
      <c r="L702">
        <v>50</v>
      </c>
    </row>
    <row r="703" spans="1:14" x14ac:dyDescent="0.3">
      <c r="A703">
        <v>1252441</v>
      </c>
      <c r="B703" t="s">
        <v>1056</v>
      </c>
      <c r="C703" t="s">
        <v>1095</v>
      </c>
      <c r="D703" t="s">
        <v>1094</v>
      </c>
      <c r="E703" t="s">
        <v>1093</v>
      </c>
      <c r="G703" t="s">
        <v>1096</v>
      </c>
      <c r="H703" t="s">
        <v>46</v>
      </c>
      <c r="I703" t="s">
        <v>46</v>
      </c>
      <c r="J703" t="s">
        <v>17</v>
      </c>
      <c r="K703">
        <v>100</v>
      </c>
      <c r="L703">
        <v>50</v>
      </c>
    </row>
    <row r="704" spans="1:14" x14ac:dyDescent="0.3">
      <c r="A704">
        <v>1252441</v>
      </c>
      <c r="B704" t="s">
        <v>1056</v>
      </c>
      <c r="C704" t="s">
        <v>1095</v>
      </c>
      <c r="D704" t="s">
        <v>1094</v>
      </c>
      <c r="E704" t="s">
        <v>1093</v>
      </c>
      <c r="G704" t="s">
        <v>1092</v>
      </c>
      <c r="H704" t="s">
        <v>46</v>
      </c>
      <c r="I704" t="s">
        <v>46</v>
      </c>
      <c r="J704" t="s">
        <v>17</v>
      </c>
      <c r="K704">
        <v>100</v>
      </c>
      <c r="L704">
        <v>50</v>
      </c>
    </row>
    <row r="705" spans="1:14" hidden="1" x14ac:dyDescent="0.3">
      <c r="A705">
        <v>1252441</v>
      </c>
      <c r="B705" t="s">
        <v>1056</v>
      </c>
      <c r="C705" t="s">
        <v>1091</v>
      </c>
      <c r="H705" t="s">
        <v>16</v>
      </c>
      <c r="I705" t="s">
        <v>16</v>
      </c>
      <c r="J705" t="s">
        <v>17</v>
      </c>
      <c r="K705">
        <v>0</v>
      </c>
      <c r="L705">
        <v>0</v>
      </c>
    </row>
    <row r="706" spans="1:14" hidden="1" x14ac:dyDescent="0.3">
      <c r="A706">
        <v>1252441</v>
      </c>
      <c r="B706" t="s">
        <v>1056</v>
      </c>
      <c r="C706" t="s">
        <v>1090</v>
      </c>
      <c r="H706" t="s">
        <v>16</v>
      </c>
      <c r="I706" t="s">
        <v>16</v>
      </c>
      <c r="J706" t="s">
        <v>17</v>
      </c>
      <c r="K706">
        <v>0</v>
      </c>
      <c r="L706">
        <v>0</v>
      </c>
    </row>
    <row r="707" spans="1:14" x14ac:dyDescent="0.3">
      <c r="A707">
        <v>1252441</v>
      </c>
      <c r="B707" t="s">
        <v>1056</v>
      </c>
      <c r="C707" t="s">
        <v>1064</v>
      </c>
      <c r="D707" t="s">
        <v>1063</v>
      </c>
      <c r="E707" t="s">
        <v>1062</v>
      </c>
      <c r="F707">
        <v>170665424</v>
      </c>
      <c r="G707" t="s">
        <v>101</v>
      </c>
      <c r="H707" t="s">
        <v>46</v>
      </c>
      <c r="I707" t="s">
        <v>46</v>
      </c>
      <c r="J707" t="s">
        <v>17</v>
      </c>
      <c r="K707">
        <v>100</v>
      </c>
      <c r="L707">
        <v>50</v>
      </c>
      <c r="M707" t="s">
        <v>1060</v>
      </c>
      <c r="N707" t="s">
        <v>1059</v>
      </c>
    </row>
    <row r="708" spans="1:14" x14ac:dyDescent="0.3">
      <c r="A708">
        <v>1252441</v>
      </c>
      <c r="B708" t="s">
        <v>1056</v>
      </c>
      <c r="C708" t="s">
        <v>1064</v>
      </c>
      <c r="D708" t="s">
        <v>1063</v>
      </c>
      <c r="E708" t="s">
        <v>1062</v>
      </c>
      <c r="F708">
        <v>170665424</v>
      </c>
      <c r="G708" t="s">
        <v>1089</v>
      </c>
      <c r="H708" t="s">
        <v>46</v>
      </c>
      <c r="I708" t="s">
        <v>46</v>
      </c>
      <c r="J708" t="s">
        <v>17</v>
      </c>
      <c r="K708">
        <v>100</v>
      </c>
      <c r="L708">
        <v>50</v>
      </c>
      <c r="M708" t="s">
        <v>1060</v>
      </c>
      <c r="N708" t="s">
        <v>1059</v>
      </c>
    </row>
    <row r="709" spans="1:14" x14ac:dyDescent="0.3">
      <c r="A709">
        <v>1252441</v>
      </c>
      <c r="B709" t="s">
        <v>1056</v>
      </c>
      <c r="C709" t="s">
        <v>1064</v>
      </c>
      <c r="D709" t="s">
        <v>1063</v>
      </c>
      <c r="E709" t="s">
        <v>1062</v>
      </c>
      <c r="F709">
        <v>170665424</v>
      </c>
      <c r="G709" t="s">
        <v>1088</v>
      </c>
      <c r="H709" t="s">
        <v>46</v>
      </c>
      <c r="I709" t="s">
        <v>46</v>
      </c>
      <c r="J709" t="s">
        <v>17</v>
      </c>
      <c r="K709">
        <v>100</v>
      </c>
      <c r="L709">
        <v>50</v>
      </c>
      <c r="M709" t="s">
        <v>1060</v>
      </c>
      <c r="N709" t="s">
        <v>1059</v>
      </c>
    </row>
    <row r="710" spans="1:14" x14ac:dyDescent="0.3">
      <c r="A710">
        <v>1252441</v>
      </c>
      <c r="B710" t="s">
        <v>1056</v>
      </c>
      <c r="C710" t="s">
        <v>1064</v>
      </c>
      <c r="D710" t="s">
        <v>1063</v>
      </c>
      <c r="E710" t="s">
        <v>1062</v>
      </c>
      <c r="F710">
        <v>170665424</v>
      </c>
      <c r="G710" t="s">
        <v>1087</v>
      </c>
      <c r="H710" t="s">
        <v>46</v>
      </c>
      <c r="I710" t="s">
        <v>46</v>
      </c>
      <c r="J710" t="s">
        <v>17</v>
      </c>
      <c r="K710">
        <v>100</v>
      </c>
      <c r="L710">
        <v>50</v>
      </c>
      <c r="M710" t="s">
        <v>1060</v>
      </c>
      <c r="N710" t="s">
        <v>1059</v>
      </c>
    </row>
    <row r="711" spans="1:14" x14ac:dyDescent="0.3">
      <c r="A711">
        <v>1252441</v>
      </c>
      <c r="B711" t="s">
        <v>1056</v>
      </c>
      <c r="C711" t="s">
        <v>1064</v>
      </c>
      <c r="D711" t="s">
        <v>1063</v>
      </c>
      <c r="E711" t="s">
        <v>1062</v>
      </c>
      <c r="F711">
        <v>170665424</v>
      </c>
      <c r="G711" t="s">
        <v>102</v>
      </c>
      <c r="H711" t="s">
        <v>46</v>
      </c>
      <c r="I711" t="s">
        <v>46</v>
      </c>
      <c r="J711" t="s">
        <v>17</v>
      </c>
      <c r="K711">
        <v>100</v>
      </c>
      <c r="L711">
        <v>50</v>
      </c>
      <c r="M711" t="s">
        <v>1060</v>
      </c>
      <c r="N711" t="s">
        <v>1059</v>
      </c>
    </row>
    <row r="712" spans="1:14" x14ac:dyDescent="0.3">
      <c r="A712">
        <v>1252441</v>
      </c>
      <c r="B712" t="s">
        <v>1056</v>
      </c>
      <c r="C712" t="s">
        <v>1064</v>
      </c>
      <c r="D712" t="s">
        <v>1063</v>
      </c>
      <c r="E712" t="s">
        <v>1062</v>
      </c>
      <c r="F712">
        <v>170665424</v>
      </c>
      <c r="G712" t="s">
        <v>103</v>
      </c>
      <c r="H712" t="s">
        <v>46</v>
      </c>
      <c r="I712" t="s">
        <v>46</v>
      </c>
      <c r="J712" t="s">
        <v>17</v>
      </c>
      <c r="K712">
        <v>100</v>
      </c>
      <c r="L712">
        <v>50</v>
      </c>
      <c r="M712" t="s">
        <v>1060</v>
      </c>
      <c r="N712" t="s">
        <v>1059</v>
      </c>
    </row>
    <row r="713" spans="1:14" x14ac:dyDescent="0.3">
      <c r="A713">
        <v>1252441</v>
      </c>
      <c r="B713" t="s">
        <v>1056</v>
      </c>
      <c r="C713" t="s">
        <v>1064</v>
      </c>
      <c r="D713" t="s">
        <v>1063</v>
      </c>
      <c r="E713" t="s">
        <v>1062</v>
      </c>
      <c r="F713">
        <v>170665424</v>
      </c>
      <c r="G713" t="s">
        <v>104</v>
      </c>
      <c r="H713" t="s">
        <v>46</v>
      </c>
      <c r="I713" t="s">
        <v>46</v>
      </c>
      <c r="J713" t="s">
        <v>17</v>
      </c>
      <c r="K713">
        <v>100</v>
      </c>
      <c r="L713">
        <v>50</v>
      </c>
      <c r="M713" t="s">
        <v>1060</v>
      </c>
      <c r="N713" t="s">
        <v>1059</v>
      </c>
    </row>
    <row r="714" spans="1:14" x14ac:dyDescent="0.3">
      <c r="A714">
        <v>1252441</v>
      </c>
      <c r="B714" t="s">
        <v>1056</v>
      </c>
      <c r="C714" t="s">
        <v>1064</v>
      </c>
      <c r="D714" t="s">
        <v>1063</v>
      </c>
      <c r="E714" t="s">
        <v>1062</v>
      </c>
      <c r="F714">
        <v>170665424</v>
      </c>
      <c r="G714" t="s">
        <v>105</v>
      </c>
      <c r="H714" t="s">
        <v>46</v>
      </c>
      <c r="I714" t="s">
        <v>46</v>
      </c>
      <c r="J714" t="s">
        <v>17</v>
      </c>
      <c r="K714">
        <v>100</v>
      </c>
      <c r="L714">
        <v>50</v>
      </c>
      <c r="M714" t="s">
        <v>1060</v>
      </c>
      <c r="N714" t="s">
        <v>1059</v>
      </c>
    </row>
    <row r="715" spans="1:14" x14ac:dyDescent="0.3">
      <c r="A715">
        <v>1252441</v>
      </c>
      <c r="B715" t="s">
        <v>1056</v>
      </c>
      <c r="C715" t="s">
        <v>1064</v>
      </c>
      <c r="D715" t="s">
        <v>1063</v>
      </c>
      <c r="E715" t="s">
        <v>1062</v>
      </c>
      <c r="F715">
        <v>170665424</v>
      </c>
      <c r="G715" t="s">
        <v>106</v>
      </c>
      <c r="H715" t="s">
        <v>46</v>
      </c>
      <c r="I715" t="s">
        <v>46</v>
      </c>
      <c r="J715" t="s">
        <v>17</v>
      </c>
      <c r="K715">
        <v>100</v>
      </c>
      <c r="L715">
        <v>50</v>
      </c>
      <c r="M715" t="s">
        <v>1060</v>
      </c>
      <c r="N715" t="s">
        <v>1059</v>
      </c>
    </row>
    <row r="716" spans="1:14" x14ac:dyDescent="0.3">
      <c r="A716">
        <v>1252441</v>
      </c>
      <c r="B716" t="s">
        <v>1056</v>
      </c>
      <c r="C716" t="s">
        <v>1064</v>
      </c>
      <c r="D716" t="s">
        <v>1063</v>
      </c>
      <c r="E716" t="s">
        <v>1062</v>
      </c>
      <c r="F716">
        <v>170665424</v>
      </c>
      <c r="G716" t="s">
        <v>107</v>
      </c>
      <c r="H716" t="s">
        <v>46</v>
      </c>
      <c r="I716" t="s">
        <v>46</v>
      </c>
      <c r="J716" t="s">
        <v>17</v>
      </c>
      <c r="K716">
        <v>100</v>
      </c>
      <c r="L716">
        <v>50</v>
      </c>
      <c r="M716" t="s">
        <v>1060</v>
      </c>
      <c r="N716" t="s">
        <v>1059</v>
      </c>
    </row>
    <row r="717" spans="1:14" x14ac:dyDescent="0.3">
      <c r="A717">
        <v>1252441</v>
      </c>
      <c r="B717" t="s">
        <v>1056</v>
      </c>
      <c r="C717" t="s">
        <v>1064</v>
      </c>
      <c r="D717" t="s">
        <v>1063</v>
      </c>
      <c r="E717" t="s">
        <v>1062</v>
      </c>
      <c r="F717">
        <v>170665424</v>
      </c>
      <c r="G717" t="s">
        <v>108</v>
      </c>
      <c r="H717" t="s">
        <v>46</v>
      </c>
      <c r="I717" t="s">
        <v>46</v>
      </c>
      <c r="J717" t="s">
        <v>17</v>
      </c>
      <c r="K717">
        <v>100</v>
      </c>
      <c r="L717">
        <v>50</v>
      </c>
      <c r="M717" t="s">
        <v>1060</v>
      </c>
      <c r="N717" t="s">
        <v>1059</v>
      </c>
    </row>
    <row r="718" spans="1:14" x14ac:dyDescent="0.3">
      <c r="A718">
        <v>1252441</v>
      </c>
      <c r="B718" t="s">
        <v>1056</v>
      </c>
      <c r="C718" t="s">
        <v>1064</v>
      </c>
      <c r="D718" t="s">
        <v>1063</v>
      </c>
      <c r="E718" t="s">
        <v>1062</v>
      </c>
      <c r="F718">
        <v>170665424</v>
      </c>
      <c r="G718" t="s">
        <v>109</v>
      </c>
      <c r="H718" t="s">
        <v>46</v>
      </c>
      <c r="I718" t="s">
        <v>46</v>
      </c>
      <c r="J718" t="s">
        <v>17</v>
      </c>
      <c r="K718">
        <v>100</v>
      </c>
      <c r="L718">
        <v>50</v>
      </c>
      <c r="M718" t="s">
        <v>1060</v>
      </c>
      <c r="N718" t="s">
        <v>1059</v>
      </c>
    </row>
    <row r="719" spans="1:14" x14ac:dyDescent="0.3">
      <c r="A719">
        <v>1252441</v>
      </c>
      <c r="B719" t="s">
        <v>1056</v>
      </c>
      <c r="C719" t="s">
        <v>1064</v>
      </c>
      <c r="D719" t="s">
        <v>1063</v>
      </c>
      <c r="E719" t="s">
        <v>1062</v>
      </c>
      <c r="F719">
        <v>170665424</v>
      </c>
      <c r="G719" t="s">
        <v>110</v>
      </c>
      <c r="H719" t="s">
        <v>46</v>
      </c>
      <c r="I719" t="s">
        <v>46</v>
      </c>
      <c r="J719" t="s">
        <v>17</v>
      </c>
      <c r="K719">
        <v>100</v>
      </c>
      <c r="L719">
        <v>50</v>
      </c>
      <c r="M719" t="s">
        <v>1060</v>
      </c>
      <c r="N719" t="s">
        <v>1059</v>
      </c>
    </row>
    <row r="720" spans="1:14" x14ac:dyDescent="0.3">
      <c r="A720">
        <v>1252441</v>
      </c>
      <c r="B720" t="s">
        <v>1056</v>
      </c>
      <c r="C720" t="s">
        <v>1064</v>
      </c>
      <c r="D720" t="s">
        <v>1063</v>
      </c>
      <c r="E720" t="s">
        <v>1062</v>
      </c>
      <c r="F720">
        <v>170665424</v>
      </c>
      <c r="G720" t="s">
        <v>111</v>
      </c>
      <c r="H720" t="s">
        <v>46</v>
      </c>
      <c r="I720" t="s">
        <v>46</v>
      </c>
      <c r="J720" t="s">
        <v>17</v>
      </c>
      <c r="K720">
        <v>100</v>
      </c>
      <c r="L720">
        <v>50</v>
      </c>
      <c r="M720" t="s">
        <v>1060</v>
      </c>
      <c r="N720" t="s">
        <v>1059</v>
      </c>
    </row>
    <row r="721" spans="1:14" x14ac:dyDescent="0.3">
      <c r="A721">
        <v>1252441</v>
      </c>
      <c r="B721" t="s">
        <v>1056</v>
      </c>
      <c r="C721" t="s">
        <v>1064</v>
      </c>
      <c r="D721" t="s">
        <v>1063</v>
      </c>
      <c r="E721" t="s">
        <v>1062</v>
      </c>
      <c r="F721">
        <v>170665424</v>
      </c>
      <c r="G721" t="s">
        <v>112</v>
      </c>
      <c r="H721" t="s">
        <v>46</v>
      </c>
      <c r="I721" t="s">
        <v>46</v>
      </c>
      <c r="J721" t="s">
        <v>17</v>
      </c>
      <c r="K721">
        <v>100</v>
      </c>
      <c r="L721">
        <v>50</v>
      </c>
      <c r="M721" t="s">
        <v>1060</v>
      </c>
      <c r="N721" t="s">
        <v>1059</v>
      </c>
    </row>
    <row r="722" spans="1:14" x14ac:dyDescent="0.3">
      <c r="A722">
        <v>1252441</v>
      </c>
      <c r="B722" t="s">
        <v>1056</v>
      </c>
      <c r="C722" t="s">
        <v>1064</v>
      </c>
      <c r="D722" t="s">
        <v>1063</v>
      </c>
      <c r="E722" t="s">
        <v>1062</v>
      </c>
      <c r="F722">
        <v>170665424</v>
      </c>
      <c r="G722" t="s">
        <v>113</v>
      </c>
      <c r="H722" t="s">
        <v>46</v>
      </c>
      <c r="I722" t="s">
        <v>46</v>
      </c>
      <c r="J722" t="s">
        <v>17</v>
      </c>
      <c r="K722">
        <v>100</v>
      </c>
      <c r="L722">
        <v>50</v>
      </c>
      <c r="M722" t="s">
        <v>1060</v>
      </c>
      <c r="N722" t="s">
        <v>1059</v>
      </c>
    </row>
    <row r="723" spans="1:14" x14ac:dyDescent="0.3">
      <c r="A723">
        <v>1252441</v>
      </c>
      <c r="B723" t="s">
        <v>1056</v>
      </c>
      <c r="C723" t="s">
        <v>1064</v>
      </c>
      <c r="D723" t="s">
        <v>1063</v>
      </c>
      <c r="E723" t="s">
        <v>1062</v>
      </c>
      <c r="F723">
        <v>170665424</v>
      </c>
      <c r="G723" t="s">
        <v>114</v>
      </c>
      <c r="H723" t="s">
        <v>46</v>
      </c>
      <c r="I723" t="s">
        <v>46</v>
      </c>
      <c r="J723" t="s">
        <v>17</v>
      </c>
      <c r="K723">
        <v>100</v>
      </c>
      <c r="L723">
        <v>50</v>
      </c>
      <c r="M723" t="s">
        <v>1060</v>
      </c>
      <c r="N723" t="s">
        <v>1059</v>
      </c>
    </row>
    <row r="724" spans="1:14" x14ac:dyDescent="0.3">
      <c r="A724">
        <v>1252441</v>
      </c>
      <c r="B724" t="s">
        <v>1056</v>
      </c>
      <c r="C724" t="s">
        <v>1064</v>
      </c>
      <c r="D724" t="s">
        <v>1063</v>
      </c>
      <c r="E724" t="s">
        <v>1062</v>
      </c>
      <c r="F724">
        <v>170665424</v>
      </c>
      <c r="G724" t="s">
        <v>115</v>
      </c>
      <c r="H724" t="s">
        <v>46</v>
      </c>
      <c r="I724" t="s">
        <v>46</v>
      </c>
      <c r="J724" t="s">
        <v>17</v>
      </c>
      <c r="K724">
        <v>100</v>
      </c>
      <c r="L724">
        <v>50</v>
      </c>
      <c r="M724" t="s">
        <v>1060</v>
      </c>
      <c r="N724" t="s">
        <v>1059</v>
      </c>
    </row>
    <row r="725" spans="1:14" x14ac:dyDescent="0.3">
      <c r="A725">
        <v>1252441</v>
      </c>
      <c r="B725" t="s">
        <v>1056</v>
      </c>
      <c r="C725" t="s">
        <v>1064</v>
      </c>
      <c r="D725" t="s">
        <v>1063</v>
      </c>
      <c r="E725" t="s">
        <v>1062</v>
      </c>
      <c r="F725">
        <v>170665424</v>
      </c>
      <c r="G725" t="s">
        <v>116</v>
      </c>
      <c r="H725" t="s">
        <v>46</v>
      </c>
      <c r="I725" t="s">
        <v>46</v>
      </c>
      <c r="J725" t="s">
        <v>17</v>
      </c>
      <c r="K725">
        <v>100</v>
      </c>
      <c r="L725">
        <v>50</v>
      </c>
      <c r="M725" t="s">
        <v>1060</v>
      </c>
      <c r="N725" t="s">
        <v>1059</v>
      </c>
    </row>
    <row r="726" spans="1:14" x14ac:dyDescent="0.3">
      <c r="A726">
        <v>1252441</v>
      </c>
      <c r="B726" t="s">
        <v>1056</v>
      </c>
      <c r="C726" t="s">
        <v>1064</v>
      </c>
      <c r="D726" t="s">
        <v>1063</v>
      </c>
      <c r="E726" t="s">
        <v>1062</v>
      </c>
      <c r="F726">
        <v>170665424</v>
      </c>
      <c r="G726" t="s">
        <v>117</v>
      </c>
      <c r="H726" t="s">
        <v>46</v>
      </c>
      <c r="I726" t="s">
        <v>46</v>
      </c>
      <c r="J726" t="s">
        <v>17</v>
      </c>
      <c r="K726">
        <v>100</v>
      </c>
      <c r="L726">
        <v>50</v>
      </c>
      <c r="M726" t="s">
        <v>1060</v>
      </c>
      <c r="N726" t="s">
        <v>1059</v>
      </c>
    </row>
    <row r="727" spans="1:14" x14ac:dyDescent="0.3">
      <c r="A727">
        <v>1252441</v>
      </c>
      <c r="B727" t="s">
        <v>1056</v>
      </c>
      <c r="C727" t="s">
        <v>1064</v>
      </c>
      <c r="D727" t="s">
        <v>1063</v>
      </c>
      <c r="E727" t="s">
        <v>1062</v>
      </c>
      <c r="F727">
        <v>170665424</v>
      </c>
      <c r="G727" t="s">
        <v>118</v>
      </c>
      <c r="H727" t="s">
        <v>46</v>
      </c>
      <c r="I727" t="s">
        <v>46</v>
      </c>
      <c r="J727" t="s">
        <v>17</v>
      </c>
      <c r="K727">
        <v>100</v>
      </c>
      <c r="L727">
        <v>50</v>
      </c>
      <c r="M727" t="s">
        <v>1060</v>
      </c>
      <c r="N727" t="s">
        <v>1059</v>
      </c>
    </row>
    <row r="728" spans="1:14" x14ac:dyDescent="0.3">
      <c r="A728">
        <v>1252441</v>
      </c>
      <c r="B728" t="s">
        <v>1056</v>
      </c>
      <c r="C728" t="s">
        <v>1064</v>
      </c>
      <c r="D728" t="s">
        <v>1063</v>
      </c>
      <c r="E728" t="s">
        <v>1062</v>
      </c>
      <c r="F728">
        <v>170665424</v>
      </c>
      <c r="G728" t="s">
        <v>119</v>
      </c>
      <c r="H728" t="s">
        <v>46</v>
      </c>
      <c r="I728" t="s">
        <v>46</v>
      </c>
      <c r="J728" t="s">
        <v>17</v>
      </c>
      <c r="K728">
        <v>100</v>
      </c>
      <c r="L728">
        <v>50</v>
      </c>
      <c r="M728" t="s">
        <v>1060</v>
      </c>
      <c r="N728" t="s">
        <v>1059</v>
      </c>
    </row>
    <row r="729" spans="1:14" x14ac:dyDescent="0.3">
      <c r="A729">
        <v>1252441</v>
      </c>
      <c r="B729" t="s">
        <v>1056</v>
      </c>
      <c r="C729" t="s">
        <v>1064</v>
      </c>
      <c r="D729" t="s">
        <v>1063</v>
      </c>
      <c r="E729" t="s">
        <v>1062</v>
      </c>
      <c r="F729">
        <v>170665424</v>
      </c>
      <c r="G729" t="s">
        <v>120</v>
      </c>
      <c r="H729" t="s">
        <v>46</v>
      </c>
      <c r="I729" t="s">
        <v>46</v>
      </c>
      <c r="J729" t="s">
        <v>17</v>
      </c>
      <c r="K729">
        <v>100</v>
      </c>
      <c r="L729">
        <v>50</v>
      </c>
      <c r="M729" t="s">
        <v>1060</v>
      </c>
      <c r="N729" t="s">
        <v>1059</v>
      </c>
    </row>
    <row r="730" spans="1:14" x14ac:dyDescent="0.3">
      <c r="A730">
        <v>1252441</v>
      </c>
      <c r="B730" t="s">
        <v>1056</v>
      </c>
      <c r="C730" t="s">
        <v>1064</v>
      </c>
      <c r="D730" t="s">
        <v>1063</v>
      </c>
      <c r="E730" t="s">
        <v>1062</v>
      </c>
      <c r="F730">
        <v>170665424</v>
      </c>
      <c r="G730" t="s">
        <v>121</v>
      </c>
      <c r="H730" t="s">
        <v>46</v>
      </c>
      <c r="I730" t="s">
        <v>46</v>
      </c>
      <c r="J730" t="s">
        <v>17</v>
      </c>
      <c r="K730">
        <v>100</v>
      </c>
      <c r="L730">
        <v>50</v>
      </c>
      <c r="M730" t="s">
        <v>1060</v>
      </c>
      <c r="N730" t="s">
        <v>1059</v>
      </c>
    </row>
    <row r="731" spans="1:14" x14ac:dyDescent="0.3">
      <c r="A731">
        <v>1252441</v>
      </c>
      <c r="B731" t="s">
        <v>1056</v>
      </c>
      <c r="C731" t="s">
        <v>1064</v>
      </c>
      <c r="D731" t="s">
        <v>1063</v>
      </c>
      <c r="E731" t="s">
        <v>1062</v>
      </c>
      <c r="F731">
        <v>170665424</v>
      </c>
      <c r="G731" t="s">
        <v>122</v>
      </c>
      <c r="H731" t="s">
        <v>46</v>
      </c>
      <c r="I731" t="s">
        <v>46</v>
      </c>
      <c r="J731" t="s">
        <v>17</v>
      </c>
      <c r="K731">
        <v>100</v>
      </c>
      <c r="L731">
        <v>50</v>
      </c>
      <c r="M731" t="s">
        <v>1060</v>
      </c>
      <c r="N731" t="s">
        <v>1059</v>
      </c>
    </row>
    <row r="732" spans="1:14" x14ac:dyDescent="0.3">
      <c r="A732">
        <v>1252441</v>
      </c>
      <c r="B732" t="s">
        <v>1056</v>
      </c>
      <c r="C732" t="s">
        <v>1064</v>
      </c>
      <c r="D732" t="s">
        <v>1063</v>
      </c>
      <c r="E732" t="s">
        <v>1062</v>
      </c>
      <c r="F732">
        <v>170665424</v>
      </c>
      <c r="G732" t="s">
        <v>123</v>
      </c>
      <c r="H732" t="s">
        <v>46</v>
      </c>
      <c r="I732" t="s">
        <v>46</v>
      </c>
      <c r="J732" t="s">
        <v>17</v>
      </c>
      <c r="K732">
        <v>100</v>
      </c>
      <c r="L732">
        <v>50</v>
      </c>
      <c r="M732" t="s">
        <v>1060</v>
      </c>
      <c r="N732" t="s">
        <v>1059</v>
      </c>
    </row>
    <row r="733" spans="1:14" x14ac:dyDescent="0.3">
      <c r="A733">
        <v>1252441</v>
      </c>
      <c r="B733" t="s">
        <v>1056</v>
      </c>
      <c r="C733" t="s">
        <v>1064</v>
      </c>
      <c r="D733" t="s">
        <v>1063</v>
      </c>
      <c r="E733" t="s">
        <v>1062</v>
      </c>
      <c r="F733">
        <v>170665424</v>
      </c>
      <c r="G733" t="s">
        <v>124</v>
      </c>
      <c r="H733" t="s">
        <v>46</v>
      </c>
      <c r="I733" t="s">
        <v>46</v>
      </c>
      <c r="J733" t="s">
        <v>17</v>
      </c>
      <c r="K733">
        <v>100</v>
      </c>
      <c r="L733">
        <v>50</v>
      </c>
      <c r="M733" t="s">
        <v>1060</v>
      </c>
      <c r="N733" t="s">
        <v>1059</v>
      </c>
    </row>
    <row r="734" spans="1:14" x14ac:dyDescent="0.3">
      <c r="A734">
        <v>1252441</v>
      </c>
      <c r="B734" t="s">
        <v>1056</v>
      </c>
      <c r="C734" t="s">
        <v>1064</v>
      </c>
      <c r="D734" t="s">
        <v>1063</v>
      </c>
      <c r="E734" t="s">
        <v>1062</v>
      </c>
      <c r="F734">
        <v>170665424</v>
      </c>
      <c r="G734" t="s">
        <v>125</v>
      </c>
      <c r="H734" t="s">
        <v>46</v>
      </c>
      <c r="I734" t="s">
        <v>46</v>
      </c>
      <c r="J734" t="s">
        <v>17</v>
      </c>
      <c r="K734">
        <v>100</v>
      </c>
      <c r="L734">
        <v>50</v>
      </c>
      <c r="M734" t="s">
        <v>1060</v>
      </c>
      <c r="N734" t="s">
        <v>1059</v>
      </c>
    </row>
    <row r="735" spans="1:14" x14ac:dyDescent="0.3">
      <c r="A735">
        <v>1252441</v>
      </c>
      <c r="B735" t="s">
        <v>1056</v>
      </c>
      <c r="C735" t="s">
        <v>1064</v>
      </c>
      <c r="D735" t="s">
        <v>1063</v>
      </c>
      <c r="E735" t="s">
        <v>1062</v>
      </c>
      <c r="F735">
        <v>170665424</v>
      </c>
      <c r="G735" t="s">
        <v>126</v>
      </c>
      <c r="H735" t="s">
        <v>46</v>
      </c>
      <c r="I735" t="s">
        <v>46</v>
      </c>
      <c r="J735" t="s">
        <v>17</v>
      </c>
      <c r="K735">
        <v>100</v>
      </c>
      <c r="L735">
        <v>50</v>
      </c>
      <c r="M735" t="s">
        <v>1060</v>
      </c>
      <c r="N735" t="s">
        <v>1059</v>
      </c>
    </row>
    <row r="736" spans="1:14" x14ac:dyDescent="0.3">
      <c r="A736">
        <v>1252441</v>
      </c>
      <c r="B736" t="s">
        <v>1056</v>
      </c>
      <c r="C736" t="s">
        <v>1064</v>
      </c>
      <c r="D736" t="s">
        <v>1063</v>
      </c>
      <c r="E736" t="s">
        <v>1062</v>
      </c>
      <c r="F736">
        <v>170665424</v>
      </c>
      <c r="G736" t="s">
        <v>127</v>
      </c>
      <c r="H736" t="s">
        <v>46</v>
      </c>
      <c r="I736" t="s">
        <v>46</v>
      </c>
      <c r="J736" t="s">
        <v>17</v>
      </c>
      <c r="K736">
        <v>100</v>
      </c>
      <c r="L736">
        <v>50</v>
      </c>
      <c r="M736" t="s">
        <v>1060</v>
      </c>
      <c r="N736" t="s">
        <v>1059</v>
      </c>
    </row>
    <row r="737" spans="1:14" x14ac:dyDescent="0.3">
      <c r="A737">
        <v>1252441</v>
      </c>
      <c r="B737" t="s">
        <v>1056</v>
      </c>
      <c r="C737" t="s">
        <v>1064</v>
      </c>
      <c r="D737" t="s">
        <v>1063</v>
      </c>
      <c r="E737" t="s">
        <v>1062</v>
      </c>
      <c r="F737">
        <v>170665424</v>
      </c>
      <c r="G737" t="s">
        <v>128</v>
      </c>
      <c r="H737" t="s">
        <v>46</v>
      </c>
      <c r="I737" t="s">
        <v>46</v>
      </c>
      <c r="J737" t="s">
        <v>17</v>
      </c>
      <c r="K737">
        <v>100</v>
      </c>
      <c r="L737">
        <v>50</v>
      </c>
      <c r="M737" t="s">
        <v>1060</v>
      </c>
      <c r="N737" t="s">
        <v>1059</v>
      </c>
    </row>
    <row r="738" spans="1:14" x14ac:dyDescent="0.3">
      <c r="A738">
        <v>1252441</v>
      </c>
      <c r="B738" t="s">
        <v>1056</v>
      </c>
      <c r="C738" t="s">
        <v>1064</v>
      </c>
      <c r="D738" t="s">
        <v>1063</v>
      </c>
      <c r="E738" t="s">
        <v>1062</v>
      </c>
      <c r="F738">
        <v>170665424</v>
      </c>
      <c r="G738" t="s">
        <v>129</v>
      </c>
      <c r="H738" t="s">
        <v>46</v>
      </c>
      <c r="I738" t="s">
        <v>46</v>
      </c>
      <c r="J738" t="s">
        <v>17</v>
      </c>
      <c r="K738">
        <v>100</v>
      </c>
      <c r="L738">
        <v>50</v>
      </c>
      <c r="M738" t="s">
        <v>1060</v>
      </c>
      <c r="N738" t="s">
        <v>1059</v>
      </c>
    </row>
    <row r="739" spans="1:14" x14ac:dyDescent="0.3">
      <c r="A739">
        <v>1252441</v>
      </c>
      <c r="B739" t="s">
        <v>1056</v>
      </c>
      <c r="C739" t="s">
        <v>1064</v>
      </c>
      <c r="D739" t="s">
        <v>1063</v>
      </c>
      <c r="E739" t="s">
        <v>1062</v>
      </c>
      <c r="F739">
        <v>170665424</v>
      </c>
      <c r="G739" t="s">
        <v>1086</v>
      </c>
      <c r="H739" t="s">
        <v>46</v>
      </c>
      <c r="I739" t="s">
        <v>46</v>
      </c>
      <c r="J739" t="s">
        <v>17</v>
      </c>
      <c r="K739">
        <v>100</v>
      </c>
      <c r="L739">
        <v>50</v>
      </c>
      <c r="M739" t="s">
        <v>1060</v>
      </c>
      <c r="N739" t="s">
        <v>1059</v>
      </c>
    </row>
    <row r="740" spans="1:14" x14ac:dyDescent="0.3">
      <c r="A740">
        <v>1252441</v>
      </c>
      <c r="B740" t="s">
        <v>1056</v>
      </c>
      <c r="C740" t="s">
        <v>1064</v>
      </c>
      <c r="D740" t="s">
        <v>1063</v>
      </c>
      <c r="E740" t="s">
        <v>1062</v>
      </c>
      <c r="F740">
        <v>170665424</v>
      </c>
      <c r="G740" t="s">
        <v>1085</v>
      </c>
      <c r="H740" t="s">
        <v>46</v>
      </c>
      <c r="I740" t="s">
        <v>46</v>
      </c>
      <c r="J740" t="s">
        <v>17</v>
      </c>
      <c r="K740">
        <v>100</v>
      </c>
      <c r="L740">
        <v>50</v>
      </c>
      <c r="M740" t="s">
        <v>1060</v>
      </c>
      <c r="N740" t="s">
        <v>1059</v>
      </c>
    </row>
    <row r="741" spans="1:14" x14ac:dyDescent="0.3">
      <c r="A741">
        <v>1252441</v>
      </c>
      <c r="B741" t="s">
        <v>1056</v>
      </c>
      <c r="C741" t="s">
        <v>1064</v>
      </c>
      <c r="D741" t="s">
        <v>1063</v>
      </c>
      <c r="E741" t="s">
        <v>1062</v>
      </c>
      <c r="F741">
        <v>170665424</v>
      </c>
      <c r="G741" t="s">
        <v>1084</v>
      </c>
      <c r="H741" t="s">
        <v>46</v>
      </c>
      <c r="I741" t="s">
        <v>46</v>
      </c>
      <c r="J741" t="s">
        <v>17</v>
      </c>
      <c r="K741">
        <v>100</v>
      </c>
      <c r="L741">
        <v>50</v>
      </c>
      <c r="M741" t="s">
        <v>1060</v>
      </c>
      <c r="N741" t="s">
        <v>1059</v>
      </c>
    </row>
    <row r="742" spans="1:14" x14ac:dyDescent="0.3">
      <c r="A742">
        <v>1252441</v>
      </c>
      <c r="B742" t="s">
        <v>1056</v>
      </c>
      <c r="C742" t="s">
        <v>1064</v>
      </c>
      <c r="D742" t="s">
        <v>1063</v>
      </c>
      <c r="E742" t="s">
        <v>1062</v>
      </c>
      <c r="F742">
        <v>170665424</v>
      </c>
      <c r="G742" t="s">
        <v>1083</v>
      </c>
      <c r="H742" t="s">
        <v>46</v>
      </c>
      <c r="I742" t="s">
        <v>46</v>
      </c>
      <c r="J742" t="s">
        <v>17</v>
      </c>
      <c r="K742">
        <v>100</v>
      </c>
      <c r="L742">
        <v>50</v>
      </c>
      <c r="M742" t="s">
        <v>1060</v>
      </c>
      <c r="N742" t="s">
        <v>1059</v>
      </c>
    </row>
    <row r="743" spans="1:14" x14ac:dyDescent="0.3">
      <c r="A743">
        <v>1252441</v>
      </c>
      <c r="B743" t="s">
        <v>1056</v>
      </c>
      <c r="C743" t="s">
        <v>1064</v>
      </c>
      <c r="D743" t="s">
        <v>1063</v>
      </c>
      <c r="E743" t="s">
        <v>1062</v>
      </c>
      <c r="F743">
        <v>170665424</v>
      </c>
      <c r="G743" t="s">
        <v>1082</v>
      </c>
      <c r="H743" t="s">
        <v>46</v>
      </c>
      <c r="I743" t="s">
        <v>46</v>
      </c>
      <c r="J743" t="s">
        <v>17</v>
      </c>
      <c r="K743">
        <v>100</v>
      </c>
      <c r="L743">
        <v>50</v>
      </c>
      <c r="M743" t="s">
        <v>1060</v>
      </c>
      <c r="N743" t="s">
        <v>1059</v>
      </c>
    </row>
    <row r="744" spans="1:14" x14ac:dyDescent="0.3">
      <c r="A744">
        <v>1252441</v>
      </c>
      <c r="B744" t="s">
        <v>1056</v>
      </c>
      <c r="C744" t="s">
        <v>1064</v>
      </c>
      <c r="D744" t="s">
        <v>1063</v>
      </c>
      <c r="E744" t="s">
        <v>1062</v>
      </c>
      <c r="F744">
        <v>170665424</v>
      </c>
      <c r="G744" t="s">
        <v>1081</v>
      </c>
      <c r="H744" t="s">
        <v>46</v>
      </c>
      <c r="I744" t="s">
        <v>46</v>
      </c>
      <c r="J744" t="s">
        <v>17</v>
      </c>
      <c r="K744">
        <v>100</v>
      </c>
      <c r="L744">
        <v>50</v>
      </c>
      <c r="M744" t="s">
        <v>1060</v>
      </c>
      <c r="N744" t="s">
        <v>1059</v>
      </c>
    </row>
    <row r="745" spans="1:14" x14ac:dyDescent="0.3">
      <c r="A745">
        <v>1252441</v>
      </c>
      <c r="B745" t="s">
        <v>1056</v>
      </c>
      <c r="C745" t="s">
        <v>1064</v>
      </c>
      <c r="D745" t="s">
        <v>1063</v>
      </c>
      <c r="E745" t="s">
        <v>1062</v>
      </c>
      <c r="F745">
        <v>170665424</v>
      </c>
      <c r="G745" t="s">
        <v>1080</v>
      </c>
      <c r="H745" t="s">
        <v>46</v>
      </c>
      <c r="I745" t="s">
        <v>46</v>
      </c>
      <c r="J745" t="s">
        <v>17</v>
      </c>
      <c r="K745">
        <v>100</v>
      </c>
      <c r="L745">
        <v>50</v>
      </c>
      <c r="M745" t="s">
        <v>1060</v>
      </c>
      <c r="N745" t="s">
        <v>1059</v>
      </c>
    </row>
    <row r="746" spans="1:14" x14ac:dyDescent="0.3">
      <c r="A746">
        <v>1252441</v>
      </c>
      <c r="B746" t="s">
        <v>1056</v>
      </c>
      <c r="C746" t="s">
        <v>1064</v>
      </c>
      <c r="D746" t="s">
        <v>1063</v>
      </c>
      <c r="E746" t="s">
        <v>1062</v>
      </c>
      <c r="F746">
        <v>170665424</v>
      </c>
      <c r="G746" t="s">
        <v>1079</v>
      </c>
      <c r="H746" t="s">
        <v>46</v>
      </c>
      <c r="I746" t="s">
        <v>46</v>
      </c>
      <c r="J746" t="s">
        <v>17</v>
      </c>
      <c r="K746">
        <v>100</v>
      </c>
      <c r="L746">
        <v>50</v>
      </c>
      <c r="M746" t="s">
        <v>1060</v>
      </c>
      <c r="N746" t="s">
        <v>1059</v>
      </c>
    </row>
    <row r="747" spans="1:14" x14ac:dyDescent="0.3">
      <c r="A747">
        <v>1252441</v>
      </c>
      <c r="B747" t="s">
        <v>1056</v>
      </c>
      <c r="C747" t="s">
        <v>1064</v>
      </c>
      <c r="D747" t="s">
        <v>1063</v>
      </c>
      <c r="E747" t="s">
        <v>1062</v>
      </c>
      <c r="F747">
        <v>170665424</v>
      </c>
      <c r="G747" t="s">
        <v>1078</v>
      </c>
      <c r="H747" t="s">
        <v>46</v>
      </c>
      <c r="I747" t="s">
        <v>46</v>
      </c>
      <c r="J747" t="s">
        <v>17</v>
      </c>
      <c r="K747">
        <v>100</v>
      </c>
      <c r="L747">
        <v>50</v>
      </c>
      <c r="M747" t="s">
        <v>1060</v>
      </c>
      <c r="N747" t="s">
        <v>1059</v>
      </c>
    </row>
    <row r="748" spans="1:14" x14ac:dyDescent="0.3">
      <c r="A748">
        <v>1252441</v>
      </c>
      <c r="B748" t="s">
        <v>1056</v>
      </c>
      <c r="C748" t="s">
        <v>1064</v>
      </c>
      <c r="D748" t="s">
        <v>1063</v>
      </c>
      <c r="E748" t="s">
        <v>1062</v>
      </c>
      <c r="F748">
        <v>170665424</v>
      </c>
      <c r="G748" t="s">
        <v>1077</v>
      </c>
      <c r="H748" t="s">
        <v>46</v>
      </c>
      <c r="I748" t="s">
        <v>46</v>
      </c>
      <c r="J748" t="s">
        <v>17</v>
      </c>
      <c r="K748">
        <v>100</v>
      </c>
      <c r="L748">
        <v>50</v>
      </c>
      <c r="M748" t="s">
        <v>1060</v>
      </c>
      <c r="N748" t="s">
        <v>1059</v>
      </c>
    </row>
    <row r="749" spans="1:14" x14ac:dyDescent="0.3">
      <c r="A749">
        <v>1252441</v>
      </c>
      <c r="B749" t="s">
        <v>1056</v>
      </c>
      <c r="C749" t="s">
        <v>1064</v>
      </c>
      <c r="D749" t="s">
        <v>1063</v>
      </c>
      <c r="E749" t="s">
        <v>1062</v>
      </c>
      <c r="F749">
        <v>170665424</v>
      </c>
      <c r="G749" t="s">
        <v>1076</v>
      </c>
      <c r="H749" t="s">
        <v>46</v>
      </c>
      <c r="I749" t="s">
        <v>46</v>
      </c>
      <c r="J749" t="s">
        <v>17</v>
      </c>
      <c r="K749">
        <v>100</v>
      </c>
      <c r="L749">
        <v>50</v>
      </c>
      <c r="M749" t="s">
        <v>1060</v>
      </c>
      <c r="N749" t="s">
        <v>1059</v>
      </c>
    </row>
    <row r="750" spans="1:14" x14ac:dyDescent="0.3">
      <c r="A750">
        <v>1252441</v>
      </c>
      <c r="B750" t="s">
        <v>1056</v>
      </c>
      <c r="C750" t="s">
        <v>1064</v>
      </c>
      <c r="D750" t="s">
        <v>1063</v>
      </c>
      <c r="E750" t="s">
        <v>1062</v>
      </c>
      <c r="F750">
        <v>170665424</v>
      </c>
      <c r="G750" t="s">
        <v>1075</v>
      </c>
      <c r="H750" t="s">
        <v>46</v>
      </c>
      <c r="I750" t="s">
        <v>46</v>
      </c>
      <c r="J750" t="s">
        <v>17</v>
      </c>
      <c r="K750">
        <v>100</v>
      </c>
      <c r="L750">
        <v>50</v>
      </c>
      <c r="M750" t="s">
        <v>1060</v>
      </c>
      <c r="N750" t="s">
        <v>1059</v>
      </c>
    </row>
    <row r="751" spans="1:14" x14ac:dyDescent="0.3">
      <c r="A751">
        <v>1252441</v>
      </c>
      <c r="B751" t="s">
        <v>1056</v>
      </c>
      <c r="C751" t="s">
        <v>1064</v>
      </c>
      <c r="D751" t="s">
        <v>1063</v>
      </c>
      <c r="E751" t="s">
        <v>1062</v>
      </c>
      <c r="F751">
        <v>170665424</v>
      </c>
      <c r="G751" t="s">
        <v>1074</v>
      </c>
      <c r="H751" t="s">
        <v>46</v>
      </c>
      <c r="I751" t="s">
        <v>46</v>
      </c>
      <c r="J751" t="s">
        <v>17</v>
      </c>
      <c r="K751">
        <v>100</v>
      </c>
      <c r="L751">
        <v>50</v>
      </c>
      <c r="M751" t="s">
        <v>1060</v>
      </c>
      <c r="N751" t="s">
        <v>1059</v>
      </c>
    </row>
    <row r="752" spans="1:14" x14ac:dyDescent="0.3">
      <c r="A752">
        <v>1252441</v>
      </c>
      <c r="B752" t="s">
        <v>1056</v>
      </c>
      <c r="C752" t="s">
        <v>1064</v>
      </c>
      <c r="D752" t="s">
        <v>1063</v>
      </c>
      <c r="E752" t="s">
        <v>1062</v>
      </c>
      <c r="F752">
        <v>170665424</v>
      </c>
      <c r="G752" t="s">
        <v>1073</v>
      </c>
      <c r="H752" t="s">
        <v>46</v>
      </c>
      <c r="I752" t="s">
        <v>46</v>
      </c>
      <c r="J752" t="s">
        <v>17</v>
      </c>
      <c r="K752">
        <v>100</v>
      </c>
      <c r="L752">
        <v>50</v>
      </c>
      <c r="M752" t="s">
        <v>1060</v>
      </c>
      <c r="N752" t="s">
        <v>1059</v>
      </c>
    </row>
    <row r="753" spans="1:14" x14ac:dyDescent="0.3">
      <c r="A753">
        <v>1252441</v>
      </c>
      <c r="B753" t="s">
        <v>1056</v>
      </c>
      <c r="C753" t="s">
        <v>1064</v>
      </c>
      <c r="D753" t="s">
        <v>1063</v>
      </c>
      <c r="E753" t="s">
        <v>1062</v>
      </c>
      <c r="F753">
        <v>170665424</v>
      </c>
      <c r="G753" t="s">
        <v>1072</v>
      </c>
      <c r="H753" t="s">
        <v>46</v>
      </c>
      <c r="I753" t="s">
        <v>46</v>
      </c>
      <c r="J753" t="s">
        <v>17</v>
      </c>
      <c r="K753">
        <v>100</v>
      </c>
      <c r="L753">
        <v>50</v>
      </c>
      <c r="M753" t="s">
        <v>1060</v>
      </c>
      <c r="N753" t="s">
        <v>1059</v>
      </c>
    </row>
    <row r="754" spans="1:14" x14ac:dyDescent="0.3">
      <c r="A754">
        <v>1252441</v>
      </c>
      <c r="B754" t="s">
        <v>1056</v>
      </c>
      <c r="C754" t="s">
        <v>1064</v>
      </c>
      <c r="D754" t="s">
        <v>1063</v>
      </c>
      <c r="E754" t="s">
        <v>1062</v>
      </c>
      <c r="F754">
        <v>170665424</v>
      </c>
      <c r="G754" t="s">
        <v>1071</v>
      </c>
      <c r="H754" t="s">
        <v>46</v>
      </c>
      <c r="I754" t="s">
        <v>46</v>
      </c>
      <c r="J754" t="s">
        <v>17</v>
      </c>
      <c r="K754">
        <v>100</v>
      </c>
      <c r="L754">
        <v>50</v>
      </c>
      <c r="M754" t="s">
        <v>1060</v>
      </c>
      <c r="N754" t="s">
        <v>1059</v>
      </c>
    </row>
    <row r="755" spans="1:14" x14ac:dyDescent="0.3">
      <c r="A755">
        <v>1252441</v>
      </c>
      <c r="B755" t="s">
        <v>1056</v>
      </c>
      <c r="C755" t="s">
        <v>1064</v>
      </c>
      <c r="D755" t="s">
        <v>1063</v>
      </c>
      <c r="E755" t="s">
        <v>1062</v>
      </c>
      <c r="F755">
        <v>170665424</v>
      </c>
      <c r="G755" t="s">
        <v>1070</v>
      </c>
      <c r="H755" t="s">
        <v>46</v>
      </c>
      <c r="I755" t="s">
        <v>46</v>
      </c>
      <c r="J755" t="s">
        <v>17</v>
      </c>
      <c r="K755">
        <v>100</v>
      </c>
      <c r="L755">
        <v>50</v>
      </c>
      <c r="M755" t="s">
        <v>1060</v>
      </c>
      <c r="N755" t="s">
        <v>1059</v>
      </c>
    </row>
    <row r="756" spans="1:14" x14ac:dyDescent="0.3">
      <c r="A756">
        <v>1252441</v>
      </c>
      <c r="B756" t="s">
        <v>1056</v>
      </c>
      <c r="C756" t="s">
        <v>1064</v>
      </c>
      <c r="D756" t="s">
        <v>1063</v>
      </c>
      <c r="E756" t="s">
        <v>1062</v>
      </c>
      <c r="F756">
        <v>170665424</v>
      </c>
      <c r="G756" t="s">
        <v>1069</v>
      </c>
      <c r="H756" t="s">
        <v>46</v>
      </c>
      <c r="I756" t="s">
        <v>46</v>
      </c>
      <c r="J756" t="s">
        <v>17</v>
      </c>
      <c r="K756">
        <v>100</v>
      </c>
      <c r="L756">
        <v>50</v>
      </c>
      <c r="M756" t="s">
        <v>1060</v>
      </c>
      <c r="N756" t="s">
        <v>1059</v>
      </c>
    </row>
    <row r="757" spans="1:14" x14ac:dyDescent="0.3">
      <c r="A757">
        <v>1252441</v>
      </c>
      <c r="B757" t="s">
        <v>1056</v>
      </c>
      <c r="C757" t="s">
        <v>1064</v>
      </c>
      <c r="D757" t="s">
        <v>1063</v>
      </c>
      <c r="E757" t="s">
        <v>1062</v>
      </c>
      <c r="F757">
        <v>170665424</v>
      </c>
      <c r="G757" t="s">
        <v>1068</v>
      </c>
      <c r="H757" t="s">
        <v>46</v>
      </c>
      <c r="I757" t="s">
        <v>46</v>
      </c>
      <c r="J757" t="s">
        <v>17</v>
      </c>
      <c r="K757">
        <v>100</v>
      </c>
      <c r="L757">
        <v>50</v>
      </c>
      <c r="M757" t="s">
        <v>1060</v>
      </c>
      <c r="N757" t="s">
        <v>1059</v>
      </c>
    </row>
    <row r="758" spans="1:14" x14ac:dyDescent="0.3">
      <c r="A758">
        <v>1252441</v>
      </c>
      <c r="B758" t="s">
        <v>1056</v>
      </c>
      <c r="C758" t="s">
        <v>1064</v>
      </c>
      <c r="D758" t="s">
        <v>1063</v>
      </c>
      <c r="E758" t="s">
        <v>1062</v>
      </c>
      <c r="F758">
        <v>170665424</v>
      </c>
      <c r="G758" t="s">
        <v>1067</v>
      </c>
      <c r="H758" t="s">
        <v>46</v>
      </c>
      <c r="I758" t="s">
        <v>46</v>
      </c>
      <c r="J758" t="s">
        <v>17</v>
      </c>
      <c r="K758">
        <v>100</v>
      </c>
      <c r="L758">
        <v>50</v>
      </c>
      <c r="M758" t="s">
        <v>1060</v>
      </c>
      <c r="N758" t="s">
        <v>1059</v>
      </c>
    </row>
    <row r="759" spans="1:14" x14ac:dyDescent="0.3">
      <c r="A759">
        <v>1252441</v>
      </c>
      <c r="B759" t="s">
        <v>1056</v>
      </c>
      <c r="C759" t="s">
        <v>1064</v>
      </c>
      <c r="D759" t="s">
        <v>1063</v>
      </c>
      <c r="E759" t="s">
        <v>1062</v>
      </c>
      <c r="F759">
        <v>170665424</v>
      </c>
      <c r="G759" t="s">
        <v>1066</v>
      </c>
      <c r="H759" t="s">
        <v>46</v>
      </c>
      <c r="I759" t="s">
        <v>46</v>
      </c>
      <c r="J759" t="s">
        <v>17</v>
      </c>
      <c r="K759">
        <v>100</v>
      </c>
      <c r="L759">
        <v>50</v>
      </c>
      <c r="M759" t="s">
        <v>1060</v>
      </c>
      <c r="N759" t="s">
        <v>1059</v>
      </c>
    </row>
    <row r="760" spans="1:14" x14ac:dyDescent="0.3">
      <c r="A760">
        <v>1252441</v>
      </c>
      <c r="B760" t="s">
        <v>1056</v>
      </c>
      <c r="C760" t="s">
        <v>1064</v>
      </c>
      <c r="D760" t="s">
        <v>1063</v>
      </c>
      <c r="E760" t="s">
        <v>1062</v>
      </c>
      <c r="F760">
        <v>170665424</v>
      </c>
      <c r="G760" t="s">
        <v>1065</v>
      </c>
      <c r="H760" t="s">
        <v>46</v>
      </c>
      <c r="I760" t="s">
        <v>46</v>
      </c>
      <c r="J760" t="s">
        <v>17</v>
      </c>
      <c r="K760">
        <v>100</v>
      </c>
      <c r="L760">
        <v>50</v>
      </c>
      <c r="M760" t="s">
        <v>1060</v>
      </c>
      <c r="N760" t="s">
        <v>1059</v>
      </c>
    </row>
    <row r="761" spans="1:14" x14ac:dyDescent="0.3">
      <c r="A761">
        <v>1252441</v>
      </c>
      <c r="B761" t="s">
        <v>1056</v>
      </c>
      <c r="C761" t="s">
        <v>1064</v>
      </c>
      <c r="D761" t="s">
        <v>1063</v>
      </c>
      <c r="E761" t="s">
        <v>1062</v>
      </c>
      <c r="F761">
        <v>170665424</v>
      </c>
      <c r="G761" t="s">
        <v>1061</v>
      </c>
      <c r="H761" t="s">
        <v>46</v>
      </c>
      <c r="I761" t="s">
        <v>46</v>
      </c>
      <c r="J761" t="s">
        <v>17</v>
      </c>
      <c r="K761">
        <v>100</v>
      </c>
      <c r="L761">
        <v>50</v>
      </c>
      <c r="M761" t="s">
        <v>1060</v>
      </c>
      <c r="N761" t="s">
        <v>1059</v>
      </c>
    </row>
    <row r="762" spans="1:14" hidden="1" x14ac:dyDescent="0.3">
      <c r="A762">
        <v>1252441</v>
      </c>
      <c r="B762" t="s">
        <v>1056</v>
      </c>
      <c r="C762" t="s">
        <v>1058</v>
      </c>
      <c r="H762" t="s">
        <v>16</v>
      </c>
      <c r="I762" t="s">
        <v>16</v>
      </c>
      <c r="J762" t="s">
        <v>17</v>
      </c>
      <c r="K762">
        <v>0</v>
      </c>
      <c r="L762">
        <v>0</v>
      </c>
    </row>
    <row r="763" spans="1:14" hidden="1" x14ac:dyDescent="0.3">
      <c r="A763">
        <v>1252441</v>
      </c>
      <c r="B763" t="s">
        <v>1056</v>
      </c>
      <c r="C763" t="s">
        <v>1057</v>
      </c>
      <c r="H763" t="s">
        <v>16</v>
      </c>
      <c r="I763" t="s">
        <v>16</v>
      </c>
      <c r="J763" t="s">
        <v>17</v>
      </c>
      <c r="K763">
        <v>0</v>
      </c>
      <c r="L763">
        <v>0</v>
      </c>
    </row>
    <row r="764" spans="1:14" hidden="1" x14ac:dyDescent="0.3">
      <c r="A764">
        <v>1252441</v>
      </c>
      <c r="B764" t="s">
        <v>1056</v>
      </c>
      <c r="C764" t="s">
        <v>1055</v>
      </c>
      <c r="H764" t="s">
        <v>16</v>
      </c>
      <c r="I764" t="s">
        <v>16</v>
      </c>
      <c r="J764" t="s">
        <v>17</v>
      </c>
      <c r="K764">
        <v>0</v>
      </c>
      <c r="L764">
        <v>0</v>
      </c>
    </row>
  </sheetData>
  <autoFilter ref="A1:AF764" xr:uid="{4DAA0C66-B5A4-4C27-9B6F-FD7C12BCD5A5}">
    <filterColumn colId="4">
      <customFilters>
        <customFilter operator="notEqual" val=" "/>
      </customFilters>
    </filterColumn>
  </autoFilter>
  <mergeCells count="14">
    <mergeCell ref="R2:R71"/>
    <mergeCell ref="S2:S71"/>
    <mergeCell ref="R72:R74"/>
    <mergeCell ref="S72:S74"/>
    <mergeCell ref="R75:R129"/>
    <mergeCell ref="S75:S129"/>
    <mergeCell ref="R182:R192"/>
    <mergeCell ref="S182:S192"/>
    <mergeCell ref="R130:R150"/>
    <mergeCell ref="S130:S150"/>
    <mergeCell ref="R151:R162"/>
    <mergeCell ref="S151:S162"/>
    <mergeCell ref="R163:R181"/>
    <mergeCell ref="S163:S1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A079-BF5E-4E73-8AE3-FF3B3FCDD640}">
  <dimension ref="A1:I97"/>
  <sheetViews>
    <sheetView workbookViewId="0">
      <selection activeCell="G5" sqref="G5"/>
    </sheetView>
  </sheetViews>
  <sheetFormatPr defaultRowHeight="14.4" x14ac:dyDescent="0.3"/>
  <cols>
    <col min="3" max="3" width="11" customWidth="1"/>
  </cols>
  <sheetData>
    <row r="1" spans="1:9" x14ac:dyDescent="0.3">
      <c r="A1" t="str" cm="1">
        <f t="array" ref="A1:A22">_xlfn.UNIQUE(Wikidata_upec_chemical_20!A:A)</f>
        <v>docid</v>
      </c>
      <c r="B1" t="str" cm="1">
        <f t="array" ref="B1:B97">_xlfn.UNIQUE(Wikidata_upec_chemical_20!C:C)</f>
        <v>keyword</v>
      </c>
      <c r="D1" t="s">
        <v>533</v>
      </c>
      <c r="E1" t="s">
        <v>534</v>
      </c>
      <c r="G1" t="s">
        <v>538</v>
      </c>
      <c r="H1">
        <f>COUNTA($A$2:$A$21)</f>
        <v>20</v>
      </c>
    </row>
    <row r="2" spans="1:9" x14ac:dyDescent="0.3">
      <c r="A2">
        <v>1006198</v>
      </c>
      <c r="B2" t="str">
        <v>Mixed convection</v>
      </c>
      <c r="C2" t="str">
        <f>VLOOKUP(B2,Wikidata_upec_chemical_20!$C:$O,13,FALSE)</f>
        <v>ok</v>
      </c>
      <c r="D2" t="str">
        <f>IF(VLOOKUP(B2,Wikidata_upec_chemical_20!$C:$O,3,FALSE)&lt;&gt;0,"yes","no")</f>
        <v>no</v>
      </c>
      <c r="E2" t="str">
        <f>IF(VLOOKUP(B2,Wikidata_upec_chemical_20!$C:$O,4,FALSE)&lt;&gt;0,"yes","no")</f>
        <v>no</v>
      </c>
      <c r="G2" t="s">
        <v>535</v>
      </c>
      <c r="H2">
        <f>COUNTA($B$2:$B$96)</f>
        <v>95</v>
      </c>
    </row>
    <row r="3" spans="1:9" x14ac:dyDescent="0.3">
      <c r="A3">
        <v>1025697</v>
      </c>
      <c r="B3" t="str">
        <v>Poiseuille-Rayleigh-BÃ©nard flow</v>
      </c>
      <c r="C3" t="str">
        <f>VLOOKUP(B3,Wikidata_upec_chemical_20!$C:$O,13,FALSE)</f>
        <v>ok</v>
      </c>
      <c r="D3" t="str">
        <f>IF(VLOOKUP(B3,Wikidata_upec_chemical_20!$C:$O,3,FALSE)&lt;&gt;0,"yes","no")</f>
        <v>no</v>
      </c>
      <c r="E3" t="str">
        <f>IF(VLOOKUP(B3,Wikidata_upec_chemical_20!$C:$O,4,FALSE)&lt;&gt;0,"yes","no")</f>
        <v>no</v>
      </c>
      <c r="G3" t="s">
        <v>521</v>
      </c>
      <c r="H3">
        <f>COUNTIF($C$2:$C$96,G3)</f>
        <v>73</v>
      </c>
      <c r="I3" s="2">
        <f>H3/H2</f>
        <v>0.76842105263157889</v>
      </c>
    </row>
    <row r="4" spans="1:9" x14ac:dyDescent="0.3">
      <c r="A4">
        <v>1060481</v>
      </c>
      <c r="B4" t="str">
        <v>Convective instability</v>
      </c>
      <c r="C4" t="str">
        <f>VLOOKUP(B4,Wikidata_upec_chemical_20!$C:$O,13,FALSE)</f>
        <v>ok</v>
      </c>
      <c r="D4" t="str">
        <f>IF(VLOOKUP(B4,Wikidata_upec_chemical_20!$C:$O,3,FALSE)&lt;&gt;0,"yes","no")</f>
        <v>yes</v>
      </c>
      <c r="E4" t="str">
        <f>IF(VLOOKUP(B4,Wikidata_upec_chemical_20!$C:$O,4,FALSE)&lt;&gt;0,"yes","no")</f>
        <v>no</v>
      </c>
      <c r="G4" t="s">
        <v>522</v>
      </c>
      <c r="H4">
        <f>COUNTIF($C$2:$C$96,G4)</f>
        <v>22</v>
      </c>
      <c r="I4" s="3">
        <f>1-I3</f>
        <v>0.23157894736842111</v>
      </c>
    </row>
    <row r="5" spans="1:9" x14ac:dyDescent="0.3">
      <c r="A5">
        <v>1064801</v>
      </c>
      <c r="B5" t="str">
        <v>Rectangular channel</v>
      </c>
      <c r="C5" t="str">
        <f>VLOOKUP(B5,Wikidata_upec_chemical_20!$C:$O,13,FALSE)</f>
        <v>ok</v>
      </c>
      <c r="D5" t="str">
        <f>IF(VLOOKUP(B5,Wikidata_upec_chemical_20!$C:$O,3,FALSE)&lt;&gt;0,"yes","no")</f>
        <v>no</v>
      </c>
      <c r="E5" t="str">
        <f>IF(VLOOKUP(B5,Wikidata_upec_chemical_20!$C:$O,4,FALSE)&lt;&gt;0,"yes","no")</f>
        <v>no</v>
      </c>
      <c r="G5" t="s">
        <v>533</v>
      </c>
      <c r="H5">
        <f>COUNTIF($D$2:$D$96,"yes")</f>
        <v>44</v>
      </c>
      <c r="I5" s="2">
        <f>H5/H2</f>
        <v>0.4631578947368421</v>
      </c>
    </row>
    <row r="6" spans="1:9" x14ac:dyDescent="0.3">
      <c r="A6">
        <v>1067996</v>
      </c>
      <c r="B6" t="str">
        <v>Harmonic inlet excitation</v>
      </c>
      <c r="C6" t="str">
        <f>VLOOKUP(B6,Wikidata_upec_chemical_20!$C:$O,13,FALSE)</f>
        <v>ok</v>
      </c>
      <c r="D6" t="str">
        <f>IF(VLOOKUP(B6,Wikidata_upec_chemical_20!$C:$O,3,FALSE)&lt;&gt;0,"yes","no")</f>
        <v>no</v>
      </c>
      <c r="E6" t="str">
        <f>IF(VLOOKUP(B6,Wikidata_upec_chemical_20!$C:$O,4,FALSE)&lt;&gt;0,"yes","no")</f>
        <v>no</v>
      </c>
      <c r="G6" t="s">
        <v>536</v>
      </c>
      <c r="H6">
        <f>COUNTIF($E$2:$E$96,"yes")</f>
        <v>5</v>
      </c>
      <c r="I6" s="2">
        <f>H6/H2</f>
        <v>5.2631578947368418E-2</v>
      </c>
    </row>
    <row r="7" spans="1:9" x14ac:dyDescent="0.3">
      <c r="A7">
        <v>1078652</v>
      </c>
      <c r="B7" t="str">
        <v>CVD</v>
      </c>
      <c r="C7" t="str">
        <f>VLOOKUP(B7,Wikidata_upec_chemical_20!$C:$O,13,FALSE)</f>
        <v>ok</v>
      </c>
      <c r="D7" t="str">
        <f>IF(VLOOKUP(B7,Wikidata_upec_chemical_20!$C:$O,3,FALSE)&lt;&gt;0,"yes","no")</f>
        <v>no</v>
      </c>
      <c r="E7" t="str">
        <f>IF(VLOOKUP(B7,Wikidata_upec_chemical_20!$C:$O,4,FALSE)&lt;&gt;0,"yes","no")</f>
        <v>no</v>
      </c>
    </row>
    <row r="8" spans="1:9" x14ac:dyDescent="0.3">
      <c r="A8">
        <v>1078896</v>
      </c>
      <c r="B8" t="str">
        <v>3D numerical simulations</v>
      </c>
      <c r="C8" t="str">
        <f>VLOOKUP(B8,Wikidata_upec_chemical_20!$C:$O,13,FALSE)</f>
        <v>ok</v>
      </c>
      <c r="D8" t="str">
        <f>IF(VLOOKUP(B8,Wikidata_upec_chemical_20!$C:$O,3,FALSE)&lt;&gt;0,"yes","no")</f>
        <v>no</v>
      </c>
      <c r="E8" t="str">
        <f>IF(VLOOKUP(B8,Wikidata_upec_chemical_20!$C:$O,4,FALSE)&lt;&gt;0,"yes","no")</f>
        <v>no</v>
      </c>
    </row>
    <row r="9" spans="1:9" x14ac:dyDescent="0.3">
      <c r="A9">
        <v>1083001</v>
      </c>
      <c r="B9" t="str">
        <v>Design of experiments</v>
      </c>
      <c r="C9" t="str">
        <f>VLOOKUP(B9,Wikidata_upec_chemical_20!$C:$O,13,FALSE)</f>
        <v>Ok</v>
      </c>
      <c r="D9" t="str">
        <f>IF(VLOOKUP(B9,Wikidata_upec_chemical_20!$C:$O,3,FALSE)&lt;&gt;0,"yes","no")</f>
        <v>yes</v>
      </c>
      <c r="E9" t="str">
        <f>IF(VLOOKUP(B9,Wikidata_upec_chemical_20!$C:$O,4,FALSE)&lt;&gt;0,"yes","no")</f>
        <v>no</v>
      </c>
    </row>
    <row r="10" spans="1:9" x14ac:dyDescent="0.3">
      <c r="A10">
        <v>1083004</v>
      </c>
      <c r="B10" t="str">
        <v>Corrosion</v>
      </c>
      <c r="C10" t="str">
        <f>VLOOKUP(B10,Wikidata_upec_chemical_20!$C:$O,13,FALSE)</f>
        <v>Wrong</v>
      </c>
      <c r="D10" t="str">
        <f>IF(VLOOKUP(B10,Wikidata_upec_chemical_20!$C:$O,3,FALSE)&lt;&gt;0,"yes","no")</f>
        <v>yes</v>
      </c>
      <c r="E10" t="str">
        <f>IF(VLOOKUP(B10,Wikidata_upec_chemical_20!$C:$O,4,FALSE)&lt;&gt;0,"yes","no")</f>
        <v>no</v>
      </c>
    </row>
    <row r="11" spans="1:9" x14ac:dyDescent="0.3">
      <c r="A11">
        <v>1083007</v>
      </c>
      <c r="B11" t="str">
        <v>Ni-MH batteries</v>
      </c>
      <c r="C11" t="str">
        <f>VLOOKUP(B11,Wikidata_upec_chemical_20!$C:$O,13,FALSE)</f>
        <v>ok</v>
      </c>
      <c r="D11" t="str">
        <f>IF(VLOOKUP(B11,Wikidata_upec_chemical_20!$C:$O,3,FALSE)&lt;&gt;0,"yes","no")</f>
        <v>no</v>
      </c>
      <c r="E11" t="str">
        <f>IF(VLOOKUP(B11,Wikidata_upec_chemical_20!$C:$O,4,FALSE)&lt;&gt;0,"yes","no")</f>
        <v>no</v>
      </c>
    </row>
    <row r="12" spans="1:9" x14ac:dyDescent="0.3">
      <c r="A12">
        <v>1083014</v>
      </c>
      <c r="B12" t="str">
        <v>Raman micro spectroscopy</v>
      </c>
      <c r="C12" t="str">
        <f>VLOOKUP(B12,Wikidata_upec_chemical_20!$C:$O,13,FALSE)</f>
        <v>ok</v>
      </c>
      <c r="D12" t="str">
        <f>IF(VLOOKUP(B12,Wikidata_upec_chemical_20!$C:$O,3,FALSE)&lt;&gt;0,"yes","no")</f>
        <v>no</v>
      </c>
      <c r="E12" t="str">
        <f>IF(VLOOKUP(B12,Wikidata_upec_chemical_20!$C:$O,4,FALSE)&lt;&gt;0,"yes","no")</f>
        <v>no</v>
      </c>
    </row>
    <row r="13" spans="1:9" x14ac:dyDescent="0.3">
      <c r="A13">
        <v>1083157</v>
      </c>
      <c r="B13" t="str">
        <v>TEM</v>
      </c>
      <c r="C13" t="str">
        <f>VLOOKUP(B13,Wikidata_upec_chemical_20!$C:$O,13,FALSE)</f>
        <v>Ok</v>
      </c>
      <c r="D13" t="str">
        <f>IF(VLOOKUP(B13,Wikidata_upec_chemical_20!$C:$O,3,FALSE)&lt;&gt;0,"yes","no")</f>
        <v>yes</v>
      </c>
      <c r="E13" t="str">
        <f>IF(VLOOKUP(B13,Wikidata_upec_chemical_20!$C:$O,4,FALSE)&lt;&gt;0,"yes","no")</f>
        <v>yes</v>
      </c>
    </row>
    <row r="14" spans="1:9" x14ac:dyDescent="0.3">
      <c r="A14">
        <v>1083160</v>
      </c>
      <c r="B14" t="str">
        <v>Combination of techniques</v>
      </c>
      <c r="C14" t="str">
        <f>VLOOKUP(B14,Wikidata_upec_chemical_20!$C:$O,13,FALSE)</f>
        <v>ok</v>
      </c>
      <c r="D14" t="str">
        <f>IF(VLOOKUP(B14,Wikidata_upec_chemical_20!$C:$O,3,FALSE)&lt;&gt;0,"yes","no")</f>
        <v>no</v>
      </c>
      <c r="E14" t="str">
        <f>IF(VLOOKUP(B14,Wikidata_upec_chemical_20!$C:$O,4,FALSE)&lt;&gt;0,"yes","no")</f>
        <v>no</v>
      </c>
    </row>
    <row r="15" spans="1:9" x14ac:dyDescent="0.3">
      <c r="A15">
        <v>1084520</v>
      </c>
      <c r="B15">
        <v>20902069</v>
      </c>
      <c r="C15" t="str">
        <f>VLOOKUP(B15,Wikidata_upec_chemical_20!$C:$O,13,FALSE)</f>
        <v>ok</v>
      </c>
      <c r="D15" t="str">
        <f>IF(VLOOKUP(B15,Wikidata_upec_chemical_20!$C:$O,3,FALSE)&lt;&gt;0,"yes","no")</f>
        <v>no</v>
      </c>
      <c r="E15" t="str">
        <f>IF(VLOOKUP(B15,Wikidata_upec_chemical_20!$C:$O,4,FALSE)&lt;&gt;0,"yes","no")</f>
        <v>no</v>
      </c>
    </row>
    <row r="16" spans="1:9" x14ac:dyDescent="0.3">
      <c r="A16">
        <v>1084657</v>
      </c>
      <c r="B16" t="str">
        <v>Nsfc</v>
      </c>
      <c r="C16" t="str">
        <f>VLOOKUP(B16,Wikidata_upec_chemical_20!$C:$O,13,FALSE)</f>
        <v>ok</v>
      </c>
      <c r="D16" t="str">
        <f>IF(VLOOKUP(B16,Wikidata_upec_chemical_20!$C:$O,3,FALSE)&lt;&gt;0,"yes","no")</f>
        <v>no</v>
      </c>
      <c r="E16" t="str">
        <f>IF(VLOOKUP(B16,Wikidata_upec_chemical_20!$C:$O,4,FALSE)&lt;&gt;0,"yes","no")</f>
        <v>no</v>
      </c>
    </row>
    <row r="17" spans="1:5" x14ac:dyDescent="0.3">
      <c r="A17">
        <v>1084678</v>
      </c>
      <c r="B17" t="str">
        <v>National natural science foundation of china</v>
      </c>
      <c r="C17" t="str">
        <f>VLOOKUP(B17,Wikidata_upec_chemical_20!$C:$O,13,FALSE)</f>
        <v>ok</v>
      </c>
      <c r="D17" t="str">
        <f>IF(VLOOKUP(B17,Wikidata_upec_chemical_20!$C:$O,3,FALSE)&lt;&gt;0,"yes","no")</f>
        <v>yes</v>
      </c>
      <c r="E17" t="str">
        <f>IF(VLOOKUP(B17,Wikidata_upec_chemical_20!$C:$O,4,FALSE)&lt;&gt;0,"yes","no")</f>
        <v>no</v>
      </c>
    </row>
    <row r="18" spans="1:5" x14ac:dyDescent="0.3">
      <c r="A18">
        <v>1086746</v>
      </c>
      <c r="B18">
        <v>21074094</v>
      </c>
      <c r="C18" t="str">
        <f>VLOOKUP(B18,Wikidata_upec_chemical_20!$C:$O,13,FALSE)</f>
        <v>ok</v>
      </c>
      <c r="D18" t="str">
        <f>IF(VLOOKUP(B18,Wikidata_upec_chemical_20!$C:$O,3,FALSE)&lt;&gt;0,"yes","no")</f>
        <v>no</v>
      </c>
      <c r="E18" t="str">
        <f>IF(VLOOKUP(B18,Wikidata_upec_chemical_20!$C:$O,4,FALSE)&lt;&gt;0,"yes","no")</f>
        <v>no</v>
      </c>
    </row>
    <row r="19" spans="1:5" x14ac:dyDescent="0.3">
      <c r="A19">
        <v>1086752</v>
      </c>
      <c r="B19">
        <v>51173134</v>
      </c>
      <c r="C19" t="str">
        <f>VLOOKUP(B19,Wikidata_upec_chemical_20!$C:$O,13,FALSE)</f>
        <v>ok</v>
      </c>
      <c r="D19" t="str">
        <f>IF(VLOOKUP(B19,Wikidata_upec_chemical_20!$C:$O,3,FALSE)&lt;&gt;0,"yes","no")</f>
        <v>no</v>
      </c>
      <c r="E19" t="str">
        <f>IF(VLOOKUP(B19,Wikidata_upec_chemical_20!$C:$O,4,FALSE)&lt;&gt;0,"yes","no")</f>
        <v>no</v>
      </c>
    </row>
    <row r="20" spans="1:5" x14ac:dyDescent="0.3">
      <c r="A20">
        <v>1087358</v>
      </c>
      <c r="B20" t="str">
        <v>Potential curves</v>
      </c>
      <c r="C20" t="str">
        <f>VLOOKUP(B20,Wikidata_upec_chemical_20!$C:$O,13,FALSE)</f>
        <v>ok</v>
      </c>
      <c r="D20" t="str">
        <f>IF(VLOOKUP(B20,Wikidata_upec_chemical_20!$C:$O,3,FALSE)&lt;&gt;0,"yes","no")</f>
        <v>no</v>
      </c>
      <c r="E20" t="str">
        <f>IF(VLOOKUP(B20,Wikidata_upec_chemical_20!$C:$O,4,FALSE)&lt;&gt;0,"yes","no")</f>
        <v>no</v>
      </c>
    </row>
    <row r="21" spans="1:5" x14ac:dyDescent="0.3">
      <c r="A21">
        <v>1088019</v>
      </c>
      <c r="B21" t="str">
        <v>Long range interactions</v>
      </c>
      <c r="C21" t="str">
        <f>VLOOKUP(B21,Wikidata_upec_chemical_20!$C:$O,13,FALSE)</f>
        <v>ok</v>
      </c>
      <c r="D21" t="str">
        <f>IF(VLOOKUP(B21,Wikidata_upec_chemical_20!$C:$O,3,FALSE)&lt;&gt;0,"yes","no")</f>
        <v>no</v>
      </c>
      <c r="E21" t="str">
        <f>IF(VLOOKUP(B21,Wikidata_upec_chemical_20!$C:$O,4,FALSE)&lt;&gt;0,"yes","no")</f>
        <v>no</v>
      </c>
    </row>
    <row r="22" spans="1:5" x14ac:dyDescent="0.3">
      <c r="A22">
        <v>0</v>
      </c>
      <c r="B22" t="str">
        <v>Ab-initio calculations</v>
      </c>
      <c r="C22" t="str">
        <f>VLOOKUP(B22,Wikidata_upec_chemical_20!$C:$O,13,FALSE)</f>
        <v>ok</v>
      </c>
      <c r="D22" t="str">
        <f>IF(VLOOKUP(B22,Wikidata_upec_chemical_20!$C:$O,3,FALSE)&lt;&gt;0,"yes","no")</f>
        <v>no</v>
      </c>
      <c r="E22" t="str">
        <f>IF(VLOOKUP(B22,Wikidata_upec_chemical_20!$C:$O,4,FALSE)&lt;&gt;0,"yes","no")</f>
        <v>no</v>
      </c>
    </row>
    <row r="23" spans="1:5" x14ac:dyDescent="0.3">
      <c r="B23" t="str">
        <v>Hydrogen halides</v>
      </c>
      <c r="C23" t="str">
        <f>VLOOKUP(B23,Wikidata_upec_chemical_20!$C:$O,13,FALSE)</f>
        <v>ok</v>
      </c>
      <c r="D23" t="str">
        <f>IF(VLOOKUP(B23,Wikidata_upec_chemical_20!$C:$O,3,FALSE)&lt;&gt;0,"yes","no")</f>
        <v>yes</v>
      </c>
      <c r="E23" t="str">
        <f>IF(VLOOKUP(B23,Wikidata_upec_chemical_20!$C:$O,4,FALSE)&lt;&gt;0,"yes","no")</f>
        <v>no</v>
      </c>
    </row>
    <row r="24" spans="1:5" x14ac:dyDescent="0.3">
      <c r="B24" t="str">
        <v>5210 PLANETARY SCIENCES ASTROBIOLOGY Planetary atmospheres</v>
      </c>
      <c r="C24" t="str">
        <f>VLOOKUP(B24,Wikidata_upec_chemical_20!$C:$O,13,FALSE)</f>
        <v>ok</v>
      </c>
      <c r="D24" t="str">
        <f>IF(VLOOKUP(B24,Wikidata_upec_chemical_20!$C:$O,3,FALSE)&lt;&gt;0,"yes","no")</f>
        <v>no</v>
      </c>
      <c r="E24" t="str">
        <f>IF(VLOOKUP(B24,Wikidata_upec_chemical_20!$C:$O,4,FALSE)&lt;&gt;0,"yes","no")</f>
        <v>no</v>
      </c>
    </row>
    <row r="25" spans="1:5" x14ac:dyDescent="0.3">
      <c r="B25" t="str">
        <v>Clouds</v>
      </c>
      <c r="C25" t="str">
        <f>VLOOKUP(B25,Wikidata_upec_chemical_20!$C:$O,13,FALSE)</f>
        <v>Wrong</v>
      </c>
      <c r="D25" t="str">
        <f>IF(VLOOKUP(B25,Wikidata_upec_chemical_20!$C:$O,3,FALSE)&lt;&gt;0,"yes","no")</f>
        <v>yes</v>
      </c>
      <c r="E25" t="str">
        <f>IF(VLOOKUP(B25,Wikidata_upec_chemical_20!$C:$O,4,FALSE)&lt;&gt;0,"yes","no")</f>
        <v>no</v>
      </c>
    </row>
    <row r="26" spans="1:5" x14ac:dyDescent="0.3">
      <c r="B26" t="str">
        <v>And hazes</v>
      </c>
      <c r="C26" t="str">
        <f>VLOOKUP(B26,Wikidata_upec_chemical_20!$C:$O,13,FALSE)</f>
        <v>ok</v>
      </c>
      <c r="D26" t="str">
        <f>IF(VLOOKUP(B26,Wikidata_upec_chemical_20!$C:$O,3,FALSE)&lt;&gt;0,"yes","no")</f>
        <v>no</v>
      </c>
      <c r="E26" t="str">
        <f>IF(VLOOKUP(B26,Wikidata_upec_chemical_20!$C:$O,4,FALSE)&lt;&gt;0,"yes","no")</f>
        <v>no</v>
      </c>
    </row>
    <row r="27" spans="1:5" x14ac:dyDescent="0.3">
      <c r="B27" t="str">
        <v>5405 PLANETARY SCIENCES SOLID SURFACE PLANETS Atmospheres</v>
      </c>
      <c r="C27" t="str">
        <f>VLOOKUP(B27,Wikidata_upec_chemical_20!$C:$O,13,FALSE)</f>
        <v>ok</v>
      </c>
      <c r="D27" t="str">
        <f>IF(VLOOKUP(B27,Wikidata_upec_chemical_20!$C:$O,3,FALSE)&lt;&gt;0,"yes","no")</f>
        <v>no</v>
      </c>
      <c r="E27" t="str">
        <f>IF(VLOOKUP(B27,Wikidata_upec_chemical_20!$C:$O,4,FALSE)&lt;&gt;0,"yes","no")</f>
        <v>no</v>
      </c>
    </row>
    <row r="28" spans="1:5" x14ac:dyDescent="0.3">
      <c r="B28" t="str">
        <v>0305 ATMOSPHERIC COMPOSITION AND STRUCTURE Aerosols and particles</v>
      </c>
      <c r="C28" t="str">
        <f>VLOOKUP(B28,Wikidata_upec_chemical_20!$C:$O,13,FALSE)</f>
        <v>ok</v>
      </c>
      <c r="D28" t="str">
        <f>IF(VLOOKUP(B28,Wikidata_upec_chemical_20!$C:$O,3,FALSE)&lt;&gt;0,"yes","no")</f>
        <v>no</v>
      </c>
      <c r="E28" t="str">
        <f>IF(VLOOKUP(B28,Wikidata_upec_chemical_20!$C:$O,4,FALSE)&lt;&gt;0,"yes","no")</f>
        <v>no</v>
      </c>
    </row>
    <row r="29" spans="1:5" x14ac:dyDescent="0.3">
      <c r="B29" t="str">
        <v>Parallel Charging</v>
      </c>
      <c r="C29" t="str">
        <f>VLOOKUP(B29,Wikidata_upec_chemical_20!$C:$O,13,FALSE)</f>
        <v>ok</v>
      </c>
      <c r="D29" t="str">
        <f>IF(VLOOKUP(B29,Wikidata_upec_chemical_20!$C:$O,3,FALSE)&lt;&gt;0,"yes","no")</f>
        <v>no</v>
      </c>
      <c r="E29" t="str">
        <f>IF(VLOOKUP(B29,Wikidata_upec_chemical_20!$C:$O,4,FALSE)&lt;&gt;0,"yes","no")</f>
        <v>no</v>
      </c>
    </row>
    <row r="30" spans="1:5" x14ac:dyDescent="0.3">
      <c r="B30" t="str">
        <v>Parallel Tempering</v>
      </c>
      <c r="C30" t="str">
        <f>VLOOKUP(B30,Wikidata_upec_chemical_20!$C:$O,13,FALSE)</f>
        <v>ok</v>
      </c>
      <c r="D30" t="str">
        <f>IF(VLOOKUP(B30,Wikidata_upec_chemical_20!$C:$O,3,FALSE)&lt;&gt;0,"yes","no")</f>
        <v>yes</v>
      </c>
      <c r="E30" t="str">
        <f>IF(VLOOKUP(B30,Wikidata_upec_chemical_20!$C:$O,4,FALSE)&lt;&gt;0,"yes","no")</f>
        <v>no</v>
      </c>
    </row>
    <row r="31" spans="1:5" x14ac:dyDescent="0.3">
      <c r="B31" t="str">
        <v>Electrospray ionisation</v>
      </c>
      <c r="C31" t="str">
        <f>VLOOKUP(B31,Wikidata_upec_chemical_20!$C:$O,13,FALSE)</f>
        <v>ok</v>
      </c>
      <c r="D31" t="str">
        <f>IF(VLOOKUP(B31,Wikidata_upec_chemical_20!$C:$O,3,FALSE)&lt;&gt;0,"yes","no")</f>
        <v>no</v>
      </c>
      <c r="E31" t="str">
        <f>IF(VLOOKUP(B31,Wikidata_upec_chemical_20!$C:$O,4,FALSE)&lt;&gt;0,"yes","no")</f>
        <v>no</v>
      </c>
    </row>
    <row r="32" spans="1:5" x14ac:dyDescent="0.3">
      <c r="B32" t="str">
        <v>Charged droplets</v>
      </c>
      <c r="C32" t="str">
        <f>VLOOKUP(B32,Wikidata_upec_chemical_20!$C:$O,13,FALSE)</f>
        <v>ok</v>
      </c>
      <c r="D32" t="str">
        <f>IF(VLOOKUP(B32,Wikidata_upec_chemical_20!$C:$O,3,FALSE)&lt;&gt;0,"yes","no")</f>
        <v>no</v>
      </c>
      <c r="E32" t="str">
        <f>IF(VLOOKUP(B32,Wikidata_upec_chemical_20!$C:$O,4,FALSE)&lt;&gt;0,"yes","no")</f>
        <v>no</v>
      </c>
    </row>
    <row r="33" spans="2:5" x14ac:dyDescent="0.3">
      <c r="B33" t="str">
        <v>Charged clusters</v>
      </c>
      <c r="C33" t="str">
        <f>VLOOKUP(B33,Wikidata_upec_chemical_20!$C:$O,13,FALSE)</f>
        <v>ok</v>
      </c>
      <c r="D33" t="str">
        <f>IF(VLOOKUP(B33,Wikidata_upec_chemical_20!$C:$O,3,FALSE)&lt;&gt;0,"yes","no")</f>
        <v>no</v>
      </c>
      <c r="E33" t="str">
        <f>IF(VLOOKUP(B33,Wikidata_upec_chemical_20!$C:$O,4,FALSE)&lt;&gt;0,"yes","no")</f>
        <v>no</v>
      </c>
    </row>
    <row r="34" spans="2:5" x14ac:dyDescent="0.3">
      <c r="B34" t="str">
        <v>Coarse-grained models</v>
      </c>
      <c r="C34" t="str">
        <f>VLOOKUP(B34,Wikidata_upec_chemical_20!$C:$O,13,FALSE)</f>
        <v>ok</v>
      </c>
      <c r="D34" t="str">
        <f>IF(VLOOKUP(B34,Wikidata_upec_chemical_20!$C:$O,3,FALSE)&lt;&gt;0,"yes","no")</f>
        <v>yes</v>
      </c>
      <c r="E34" t="str">
        <f>IF(VLOOKUP(B34,Wikidata_upec_chemical_20!$C:$O,4,FALSE)&lt;&gt;0,"yes","no")</f>
        <v>no</v>
      </c>
    </row>
    <row r="35" spans="2:5" x14ac:dyDescent="0.3">
      <c r="B35" t="str">
        <v>Monte Carlo simulations</v>
      </c>
      <c r="C35" t="str">
        <f>VLOOKUP(B35,Wikidata_upec_chemical_20!$C:$O,13,FALSE)</f>
        <v>Wrong</v>
      </c>
      <c r="D35" t="str">
        <f>IF(VLOOKUP(B35,Wikidata_upec_chemical_20!$C:$O,3,FALSE)&lt;&gt;0,"yes","no")</f>
        <v>yes</v>
      </c>
      <c r="E35" t="str">
        <f>IF(VLOOKUP(B35,Wikidata_upec_chemical_20!$C:$O,4,FALSE)&lt;&gt;0,"yes","no")</f>
        <v>no</v>
      </c>
    </row>
    <row r="36" spans="2:5" x14ac:dyDescent="0.3">
      <c r="B36" t="str">
        <v>Potential energy functions</v>
      </c>
      <c r="C36" t="str">
        <f>VLOOKUP(B36,Wikidata_upec_chemical_20!$C:$O,13,FALSE)</f>
        <v>ok</v>
      </c>
      <c r="D36" t="str">
        <f>IF(VLOOKUP(B36,Wikidata_upec_chemical_20!$C:$O,3,FALSE)&lt;&gt;0,"yes","no")</f>
        <v>no</v>
      </c>
      <c r="E36" t="str">
        <f>IF(VLOOKUP(B36,Wikidata_upec_chemical_20!$C:$O,4,FALSE)&lt;&gt;0,"yes","no")</f>
        <v>no</v>
      </c>
    </row>
    <row r="37" spans="2:5" x14ac:dyDescent="0.3">
      <c r="B37" t="str">
        <v>Excited states</v>
      </c>
      <c r="C37" t="str">
        <f>VLOOKUP(B37,Wikidata_upec_chemical_20!$C:$O,13,FALSE)</f>
        <v>ok</v>
      </c>
      <c r="D37" t="str">
        <f>IF(VLOOKUP(B37,Wikidata_upec_chemical_20!$C:$O,3,FALSE)&lt;&gt;0,"yes","no")</f>
        <v>yes</v>
      </c>
      <c r="E37" t="str">
        <f>IF(VLOOKUP(B37,Wikidata_upec_chemical_20!$C:$O,4,FALSE)&lt;&gt;0,"yes","no")</f>
        <v>no</v>
      </c>
    </row>
    <row r="38" spans="2:5" x14ac:dyDescent="0.3">
      <c r="B38" t="str">
        <v>Molecular anions</v>
      </c>
      <c r="C38" t="str">
        <f>VLOOKUP(B38,Wikidata_upec_chemical_20!$C:$O,13,FALSE)</f>
        <v>ok</v>
      </c>
      <c r="D38" t="str">
        <f>IF(VLOOKUP(B38,Wikidata_upec_chemical_20!$C:$O,3,FALSE)&lt;&gt;0,"yes","no")</f>
        <v>no</v>
      </c>
      <c r="E38" t="str">
        <f>IF(VLOOKUP(B38,Wikidata_upec_chemical_20!$C:$O,4,FALSE)&lt;&gt;0,"yes","no")</f>
        <v>no</v>
      </c>
    </row>
    <row r="39" spans="2:5" x14ac:dyDescent="0.3">
      <c r="B39" t="str">
        <v>Glocose oxidase</v>
      </c>
      <c r="C39" t="str">
        <f>VLOOKUP(B39,Wikidata_upec_chemical_20!$C:$O,13,FALSE)</f>
        <v>ok</v>
      </c>
      <c r="D39" t="str">
        <f>IF(VLOOKUP(B39,Wikidata_upec_chemical_20!$C:$O,3,FALSE)&lt;&gt;0,"yes","no")</f>
        <v>no</v>
      </c>
      <c r="E39" t="str">
        <f>IF(VLOOKUP(B39,Wikidata_upec_chemical_20!$C:$O,4,FALSE)&lt;&gt;0,"yes","no")</f>
        <v>no</v>
      </c>
    </row>
    <row r="40" spans="2:5" x14ac:dyDescent="0.3">
      <c r="B40" t="str">
        <v>Amperometric biosensor</v>
      </c>
      <c r="C40" t="str">
        <f>VLOOKUP(B40,Wikidata_upec_chemical_20!$C:$O,13,FALSE)</f>
        <v>ok</v>
      </c>
      <c r="D40" t="str">
        <f>IF(VLOOKUP(B40,Wikidata_upec_chemical_20!$C:$O,3,FALSE)&lt;&gt;0,"yes","no")</f>
        <v>no</v>
      </c>
      <c r="E40" t="str">
        <f>IF(VLOOKUP(B40,Wikidata_upec_chemical_20!$C:$O,4,FALSE)&lt;&gt;0,"yes","no")</f>
        <v>no</v>
      </c>
    </row>
    <row r="41" spans="2:5" x14ac:dyDescent="0.3">
      <c r="B41" t="str">
        <v>Collagen</v>
      </c>
      <c r="C41" t="str">
        <f>VLOOKUP(B41,Wikidata_upec_chemical_20!$C:$O,13,FALSE)</f>
        <v>ok</v>
      </c>
      <c r="D41" t="str">
        <f>IF(VLOOKUP(B41,Wikidata_upec_chemical_20!$C:$O,3,FALSE)&lt;&gt;0,"yes","no")</f>
        <v>yes</v>
      </c>
      <c r="E41" t="str">
        <f>IF(VLOOKUP(B41,Wikidata_upec_chemical_20!$C:$O,4,FALSE)&lt;&gt;0,"yes","no")</f>
        <v>no</v>
      </c>
    </row>
    <row r="42" spans="2:5" x14ac:dyDescent="0.3">
      <c r="B42" t="str">
        <v>Biosensors</v>
      </c>
      <c r="C42" t="str">
        <f>VLOOKUP(B42,Wikidata_upec_chemical_20!$C:$O,13,FALSE)</f>
        <v>Wrong</v>
      </c>
      <c r="D42" t="str">
        <f>IF(VLOOKUP(B42,Wikidata_upec_chemical_20!$C:$O,3,FALSE)&lt;&gt;0,"yes","no")</f>
        <v>yes</v>
      </c>
      <c r="E42" t="str">
        <f>IF(VLOOKUP(B42,Wikidata_upec_chemical_20!$C:$O,4,FALSE)&lt;&gt;0,"yes","no")</f>
        <v>no</v>
      </c>
    </row>
    <row r="43" spans="2:5" x14ac:dyDescent="0.3">
      <c r="B43" t="str">
        <v>Electrochemical biosensor</v>
      </c>
      <c r="C43" t="str">
        <f>VLOOKUP(B43,Wikidata_upec_chemical_20!$C:$O,13,FALSE)</f>
        <v>ok</v>
      </c>
      <c r="D43" t="str">
        <f>IF(VLOOKUP(B43,Wikidata_upec_chemical_20!$C:$O,3,FALSE)&lt;&gt;0,"yes","no")</f>
        <v>no</v>
      </c>
      <c r="E43" t="str">
        <f>IF(VLOOKUP(B43,Wikidata_upec_chemical_20!$C:$O,4,FALSE)&lt;&gt;0,"yes","no")</f>
        <v>no</v>
      </c>
    </row>
    <row r="44" spans="2:5" x14ac:dyDescent="0.3">
      <c r="B44" t="str">
        <v>Classification</v>
      </c>
      <c r="C44" t="str">
        <f>VLOOKUP(B44,Wikidata_upec_chemical_20!$C:$O,13,FALSE)</f>
        <v>ok</v>
      </c>
      <c r="D44" t="str">
        <f>IF(VLOOKUP(B44,Wikidata_upec_chemical_20!$C:$O,3,FALSE)&lt;&gt;0,"yes","no")</f>
        <v>yes</v>
      </c>
      <c r="E44" t="str">
        <f>IF(VLOOKUP(B44,Wikidata_upec_chemical_20!$C:$O,4,FALSE)&lt;&gt;0,"yes","no")</f>
        <v>no</v>
      </c>
    </row>
    <row r="45" spans="2:5" x14ac:dyDescent="0.3">
      <c r="B45" t="str">
        <v>Definition</v>
      </c>
      <c r="C45" t="str">
        <f>VLOOKUP(B45,Wikidata_upec_chemical_20!$C:$O,13,FALSE)</f>
        <v>Wrong</v>
      </c>
      <c r="D45" t="str">
        <f>IF(VLOOKUP(B45,Wikidata_upec_chemical_20!$C:$O,3,FALSE)&lt;&gt;0,"yes","no")</f>
        <v>yes</v>
      </c>
      <c r="E45" t="str">
        <f>IF(VLOOKUP(B45,Wikidata_upec_chemical_20!$C:$O,4,FALSE)&lt;&gt;0,"yes","no")</f>
        <v>no</v>
      </c>
    </row>
    <row r="46" spans="2:5" x14ac:dyDescent="0.3">
      <c r="B46" t="str">
        <v>Implantable sensor</v>
      </c>
      <c r="C46" t="str">
        <f>VLOOKUP(B46,Wikidata_upec_chemical_20!$C:$O,13,FALSE)</f>
        <v>Wrong</v>
      </c>
      <c r="D46" t="str">
        <f>IF(VLOOKUP(B46,Wikidata_upec_chemical_20!$C:$O,3,FALSE)&lt;&gt;0,"yes","no")</f>
        <v>yes</v>
      </c>
      <c r="E46" t="str">
        <f>IF(VLOOKUP(B46,Wikidata_upec_chemical_20!$C:$O,4,FALSE)&lt;&gt;0,"yes","no")</f>
        <v>no</v>
      </c>
    </row>
    <row r="47" spans="2:5" x14ac:dyDescent="0.3">
      <c r="B47" t="str">
        <v>Glucose</v>
      </c>
      <c r="C47" t="str">
        <f>VLOOKUP(B47,Wikidata_upec_chemical_20!$C:$O,13,FALSE)</f>
        <v>ok</v>
      </c>
      <c r="D47" t="str">
        <f>IF(VLOOKUP(B47,Wikidata_upec_chemical_20!$C:$O,3,FALSE)&lt;&gt;0,"yes","no")</f>
        <v>yes</v>
      </c>
      <c r="E47" t="str">
        <f>IF(VLOOKUP(B47,Wikidata_upec_chemical_20!$C:$O,4,FALSE)&lt;&gt;0,"yes","no")</f>
        <v>no</v>
      </c>
    </row>
    <row r="48" spans="2:5" x14ac:dyDescent="0.3">
      <c r="B48" t="str">
        <v>Glucose oxidase</v>
      </c>
      <c r="C48" t="str">
        <f>VLOOKUP(B48,Wikidata_upec_chemical_20!$C:$O,13,FALSE)</f>
        <v>ok</v>
      </c>
      <c r="D48" t="str">
        <f>IF(VLOOKUP(B48,Wikidata_upec_chemical_20!$C:$O,3,FALSE)&lt;&gt;0,"yes","no")</f>
        <v>yes</v>
      </c>
      <c r="E48" t="str">
        <f>IF(VLOOKUP(B48,Wikidata_upec_chemical_20!$C:$O,4,FALSE)&lt;&gt;0,"yes","no")</f>
        <v>no</v>
      </c>
    </row>
    <row r="49" spans="2:5" x14ac:dyDescent="0.3">
      <c r="B49" t="str">
        <v>Chemistry history</v>
      </c>
      <c r="C49" t="str">
        <f>VLOOKUP(B49,Wikidata_upec_chemical_20!$C:$O,13,FALSE)</f>
        <v>ok</v>
      </c>
      <c r="D49" t="str">
        <f>IF(VLOOKUP(B49,Wikidata_upec_chemical_20!$C:$O,3,FALSE)&lt;&gt;0,"yes","no")</f>
        <v>no</v>
      </c>
      <c r="E49" t="str">
        <f>IF(VLOOKUP(B49,Wikidata_upec_chemical_20!$C:$O,4,FALSE)&lt;&gt;0,"yes","no")</f>
        <v>no</v>
      </c>
    </row>
    <row r="50" spans="2:5" x14ac:dyDescent="0.3">
      <c r="B50" t="str">
        <v>Chemical bond concepts</v>
      </c>
      <c r="C50" t="str">
        <f>VLOOKUP(B50,Wikidata_upec_chemical_20!$C:$O,13,FALSE)</f>
        <v>ok</v>
      </c>
      <c r="D50" t="str">
        <f>IF(VLOOKUP(B50,Wikidata_upec_chemical_20!$C:$O,3,FALSE)&lt;&gt;0,"yes","no")</f>
        <v>no</v>
      </c>
      <c r="E50" t="str">
        <f>IF(VLOOKUP(B50,Wikidata_upec_chemical_20!$C:$O,4,FALSE)&lt;&gt;0,"yes","no")</f>
        <v>no</v>
      </c>
    </row>
    <row r="51" spans="2:5" x14ac:dyDescent="0.3">
      <c r="B51" t="str">
        <v>Control</v>
      </c>
      <c r="C51" t="str">
        <f>VLOOKUP(B51,Wikidata_upec_chemical_20!$C:$O,13,FALSE)</f>
        <v>Wrong</v>
      </c>
      <c r="D51" t="str">
        <f>IF(VLOOKUP(B51,Wikidata_upec_chemical_20!$C:$O,3,FALSE)&lt;&gt;0,"yes","no")</f>
        <v>yes</v>
      </c>
      <c r="E51" t="str">
        <f>IF(VLOOKUP(B51,Wikidata_upec_chemical_20!$C:$O,4,FALSE)&lt;&gt;0,"yes","no")</f>
        <v>no</v>
      </c>
    </row>
    <row r="52" spans="2:5" x14ac:dyDescent="0.3">
      <c r="B52" t="str">
        <v>Instrumentation</v>
      </c>
      <c r="C52" t="str">
        <f>VLOOKUP(B52,Wikidata_upec_chemical_20!$C:$O,13,FALSE)</f>
        <v>Wrong</v>
      </c>
      <c r="D52" t="str">
        <f>IF(VLOOKUP(B52,Wikidata_upec_chemical_20!$C:$O,3,FALSE)&lt;&gt;0,"yes","no")</f>
        <v>yes</v>
      </c>
      <c r="E52" t="str">
        <f>IF(VLOOKUP(B52,Wikidata_upec_chemical_20!$C:$O,4,FALSE)&lt;&gt;0,"yes","no")</f>
        <v>no</v>
      </c>
    </row>
    <row r="53" spans="2:5" x14ac:dyDescent="0.3">
      <c r="B53" t="str">
        <v>Waste water treatment plant</v>
      </c>
      <c r="C53" t="str">
        <f>VLOOKUP(B53,Wikidata_upec_chemical_20!$C:$O,13,FALSE)</f>
        <v>Wrong</v>
      </c>
      <c r="D53" t="str">
        <f>IF(VLOOKUP(B53,Wikidata_upec_chemical_20!$C:$O,3,FALSE)&lt;&gt;0,"yes","no")</f>
        <v>yes</v>
      </c>
      <c r="E53" t="str">
        <f>IF(VLOOKUP(B53,Wikidata_upec_chemical_20!$C:$O,4,FALSE)&lt;&gt;0,"yes","no")</f>
        <v>no</v>
      </c>
    </row>
    <row r="54" spans="2:5" x14ac:dyDescent="0.3">
      <c r="B54" t="str">
        <v>Oxygen</v>
      </c>
      <c r="C54" t="str">
        <f>VLOOKUP(B54,Wikidata_upec_chemical_20!$C:$O,13,FALSE)</f>
        <v>Wrong</v>
      </c>
      <c r="D54" t="str">
        <f>IF(VLOOKUP(B54,Wikidata_upec_chemical_20!$C:$O,3,FALSE)&lt;&gt;0,"yes","no")</f>
        <v>yes</v>
      </c>
      <c r="E54" t="str">
        <f>IF(VLOOKUP(B54,Wikidata_upec_chemical_20!$C:$O,4,FALSE)&lt;&gt;0,"yes","no")</f>
        <v>no</v>
      </c>
    </row>
    <row r="55" spans="2:5" x14ac:dyDescent="0.3">
      <c r="B55" t="str">
        <v>Activated sludge</v>
      </c>
      <c r="C55" t="str">
        <f>VLOOKUP(B55,Wikidata_upec_chemical_20!$C:$O,13,FALSE)</f>
        <v>ok</v>
      </c>
      <c r="D55" t="str">
        <f>IF(VLOOKUP(B55,Wikidata_upec_chemical_20!$C:$O,3,FALSE)&lt;&gt;0,"yes","no")</f>
        <v>yes</v>
      </c>
      <c r="E55" t="str">
        <f>IF(VLOOKUP(B55,Wikidata_upec_chemical_20!$C:$O,4,FALSE)&lt;&gt;0,"yes","no")</f>
        <v>no</v>
      </c>
    </row>
    <row r="56" spans="2:5" x14ac:dyDescent="0.3">
      <c r="B56" t="str">
        <v>Redox potential</v>
      </c>
      <c r="C56" t="str">
        <f>VLOOKUP(B56,Wikidata_upec_chemical_20!$C:$O,13,FALSE)</f>
        <v>ok</v>
      </c>
      <c r="D56" t="str">
        <f>IF(VLOOKUP(B56,Wikidata_upec_chemical_20!$C:$O,3,FALSE)&lt;&gt;0,"yes","no")</f>
        <v>yes</v>
      </c>
      <c r="E56" t="str">
        <f>IF(VLOOKUP(B56,Wikidata_upec_chemical_20!$C:$O,4,FALSE)&lt;&gt;0,"yes","no")</f>
        <v>no</v>
      </c>
    </row>
    <row r="57" spans="2:5" x14ac:dyDescent="0.3">
      <c r="B57" t="str">
        <v>Glucose sensor</v>
      </c>
      <c r="C57" t="str">
        <f>VLOOKUP(B57,Wikidata_upec_chemical_20!$C:$O,13,FALSE)</f>
        <v>Wrong</v>
      </c>
      <c r="D57" t="str">
        <f>IF(VLOOKUP(B57,Wikidata_upec_chemical_20!$C:$O,3,FALSE)&lt;&gt;0,"yes","no")</f>
        <v>yes</v>
      </c>
      <c r="E57" t="str">
        <f>IF(VLOOKUP(B57,Wikidata_upec_chemical_20!$C:$O,4,FALSE)&lt;&gt;0,"yes","no")</f>
        <v>no</v>
      </c>
    </row>
    <row r="58" spans="2:5" x14ac:dyDescent="0.3">
      <c r="B58" t="str">
        <v>Calcium</v>
      </c>
      <c r="C58" t="str">
        <f>VLOOKUP(B58,Wikidata_upec_chemical_20!$C:$O,13,FALSE)</f>
        <v>Wrong</v>
      </c>
      <c r="D58" t="str">
        <f>IF(VLOOKUP(B58,Wikidata_upec_chemical_20!$C:$O,3,FALSE)&lt;&gt;0,"yes","no")</f>
        <v>yes</v>
      </c>
      <c r="E58" t="str">
        <f>IF(VLOOKUP(B58,Wikidata_upec_chemical_20!$C:$O,4,FALSE)&lt;&gt;0,"yes","no")</f>
        <v>no</v>
      </c>
    </row>
    <row r="59" spans="2:5" x14ac:dyDescent="0.3">
      <c r="B59" t="str">
        <v>Hydrogen peroxide</v>
      </c>
      <c r="C59" t="str">
        <f>VLOOKUP(B59,Wikidata_upec_chemical_20!$C:$O,13,FALSE)</f>
        <v>ok</v>
      </c>
      <c r="D59" t="str">
        <f>IF(VLOOKUP(B59,Wikidata_upec_chemical_20!$C:$O,3,FALSE)&lt;&gt;0,"yes","no")</f>
        <v>yes</v>
      </c>
      <c r="E59" t="str">
        <f>IF(VLOOKUP(B59,Wikidata_upec_chemical_20!$C:$O,4,FALSE)&lt;&gt;0,"yes","no")</f>
        <v>yes</v>
      </c>
    </row>
    <row r="60" spans="2:5" x14ac:dyDescent="0.3">
      <c r="B60" t="str">
        <v>Koutecky-Levich plots</v>
      </c>
      <c r="C60" t="str">
        <f>VLOOKUP(B60,Wikidata_upec_chemical_20!$C:$O,13,FALSE)</f>
        <v>ok</v>
      </c>
      <c r="D60" t="str">
        <f>IF(VLOOKUP(B60,Wikidata_upec_chemical_20!$C:$O,3,FALSE)&lt;&gt;0,"yes","no")</f>
        <v>no</v>
      </c>
      <c r="E60" t="str">
        <f>IF(VLOOKUP(B60,Wikidata_upec_chemical_20!$C:$O,4,FALSE)&lt;&gt;0,"yes","no")</f>
        <v>no</v>
      </c>
    </row>
    <row r="61" spans="2:5" x14ac:dyDescent="0.3">
      <c r="B61" t="str">
        <v>Platinum</v>
      </c>
      <c r="C61" t="str">
        <f>VLOOKUP(B61,Wikidata_upec_chemical_20!$C:$O,13,FALSE)</f>
        <v>Wrong</v>
      </c>
      <c r="D61" t="str">
        <f>IF(VLOOKUP(B61,Wikidata_upec_chemical_20!$C:$O,3,FALSE)&lt;&gt;0,"yes","no")</f>
        <v>yes</v>
      </c>
      <c r="E61" t="str">
        <f>IF(VLOOKUP(B61,Wikidata_upec_chemical_20!$C:$O,4,FALSE)&lt;&gt;0,"yes","no")</f>
        <v>no</v>
      </c>
    </row>
    <row r="62" spans="2:5" x14ac:dyDescent="0.3">
      <c r="B62" t="str">
        <v>Single use biosensor</v>
      </c>
      <c r="C62" t="str">
        <f>VLOOKUP(B62,Wikidata_upec_chemical_20!$C:$O,13,FALSE)</f>
        <v>ok</v>
      </c>
      <c r="D62" t="str">
        <f>IF(VLOOKUP(B62,Wikidata_upec_chemical_20!$C:$O,3,FALSE)&lt;&gt;0,"yes","no")</f>
        <v>no</v>
      </c>
      <c r="E62" t="str">
        <f>IF(VLOOKUP(B62,Wikidata_upec_chemical_20!$C:$O,4,FALSE)&lt;&gt;0,"yes","no")</f>
        <v>no</v>
      </c>
    </row>
    <row r="63" spans="2:5" x14ac:dyDescent="0.3">
      <c r="B63" t="str">
        <v>Calibration characteristics</v>
      </c>
      <c r="C63" t="str">
        <f>VLOOKUP(B63,Wikidata_upec_chemical_20!$C:$O,13,FALSE)</f>
        <v>ok</v>
      </c>
      <c r="D63" t="str">
        <f>IF(VLOOKUP(B63,Wikidata_upec_chemical_20!$C:$O,3,FALSE)&lt;&gt;0,"yes","no")</f>
        <v>no</v>
      </c>
      <c r="E63" t="str">
        <f>IF(VLOOKUP(B63,Wikidata_upec_chemical_20!$C:$O,4,FALSE)&lt;&gt;0,"yes","no")</f>
        <v>no</v>
      </c>
    </row>
    <row r="64" spans="2:5" x14ac:dyDescent="0.3">
      <c r="B64" t="str">
        <v>Performance criteria</v>
      </c>
      <c r="C64" t="str">
        <f>VLOOKUP(B64,Wikidata_upec_chemical_20!$C:$O,13,FALSE)</f>
        <v>Wrong</v>
      </c>
      <c r="D64" t="str">
        <f>IF(VLOOKUP(B64,Wikidata_upec_chemical_20!$C:$O,3,FALSE)&lt;&gt;0,"yes","no")</f>
        <v>yes</v>
      </c>
      <c r="E64" t="str">
        <f>IF(VLOOKUP(B64,Wikidata_upec_chemical_20!$C:$O,4,FALSE)&lt;&gt;0,"yes","no")</f>
        <v>no</v>
      </c>
    </row>
    <row r="65" spans="2:5" x14ac:dyDescent="0.3">
      <c r="B65" t="str">
        <v>Analytes</v>
      </c>
      <c r="C65" t="str">
        <f>VLOOKUP(B65,Wikidata_upec_chemical_20!$C:$O,13,FALSE)</f>
        <v>ok</v>
      </c>
      <c r="D65" t="str">
        <f>IF(VLOOKUP(B65,Wikidata_upec_chemical_20!$C:$O,3,FALSE)&lt;&gt;0,"yes","no")</f>
        <v>yes</v>
      </c>
      <c r="E65" t="str">
        <f>IF(VLOOKUP(B65,Wikidata_upec_chemical_20!$C:$O,4,FALSE)&lt;&gt;0,"yes","no")</f>
        <v>no</v>
      </c>
    </row>
    <row r="66" spans="2:5" x14ac:dyDescent="0.3">
      <c r="B66" t="str">
        <v>Cr</v>
      </c>
      <c r="C66" t="str">
        <f>VLOOKUP(B66,Wikidata_upec_chemical_20!$C:$O,13,FALSE)</f>
        <v>ok</v>
      </c>
      <c r="D66" t="str">
        <f>IF(VLOOKUP(B66,Wikidata_upec_chemical_20!$C:$O,3,FALSE)&lt;&gt;0,"yes","no")</f>
        <v>no</v>
      </c>
      <c r="E66" t="str">
        <f>IF(VLOOKUP(B66,Wikidata_upec_chemical_20!$C:$O,4,FALSE)&lt;&gt;0,"yes","no")</f>
        <v>no</v>
      </c>
    </row>
    <row r="67" spans="2:5" x14ac:dyDescent="0.3">
      <c r="B67" t="str">
        <v>Cu</v>
      </c>
      <c r="C67" t="str">
        <f>VLOOKUP(B67,Wikidata_upec_chemical_20!$C:$O,13,FALSE)</f>
        <v>ok</v>
      </c>
      <c r="D67" t="str">
        <f>IF(VLOOKUP(B67,Wikidata_upec_chemical_20!$C:$O,3,FALSE)&lt;&gt;0,"yes","no")</f>
        <v>no</v>
      </c>
      <c r="E67" t="str">
        <f>IF(VLOOKUP(B67,Wikidata_upec_chemical_20!$C:$O,4,FALSE)&lt;&gt;0,"yes","no")</f>
        <v>no</v>
      </c>
    </row>
    <row r="68" spans="2:5" x14ac:dyDescent="0.3">
      <c r="B68" t="str">
        <v>Cd</v>
      </c>
      <c r="C68" t="str">
        <f>VLOOKUP(B68,Wikidata_upec_chemical_20!$C:$O,13,FALSE)</f>
        <v>ok</v>
      </c>
      <c r="D68" t="str">
        <f>IF(VLOOKUP(B68,Wikidata_upec_chemical_20!$C:$O,3,FALSE)&lt;&gt;0,"yes","no")</f>
        <v>no</v>
      </c>
      <c r="E68" t="str">
        <f>IF(VLOOKUP(B68,Wikidata_upec_chemical_20!$C:$O,4,FALSE)&lt;&gt;0,"yes","no")</f>
        <v>no</v>
      </c>
    </row>
    <row r="69" spans="2:5" x14ac:dyDescent="0.3">
      <c r="B69" t="str">
        <v>Zn</v>
      </c>
      <c r="C69" t="str">
        <f>VLOOKUP(B69,Wikidata_upec_chemical_20!$C:$O,13,FALSE)</f>
        <v>ok</v>
      </c>
      <c r="D69" t="str">
        <f>IF(VLOOKUP(B69,Wikidata_upec_chemical_20!$C:$O,3,FALSE)&lt;&gt;0,"yes","no")</f>
        <v>no</v>
      </c>
      <c r="E69" t="str">
        <f>IF(VLOOKUP(B69,Wikidata_upec_chemical_20!$C:$O,4,FALSE)&lt;&gt;0,"yes","no")</f>
        <v>no</v>
      </c>
    </row>
    <row r="70" spans="2:5" x14ac:dyDescent="0.3">
      <c r="B70" t="str">
        <v>Hg</v>
      </c>
      <c r="C70" t="str">
        <f>VLOOKUP(B70,Wikidata_upec_chemical_20!$C:$O,13,FALSE)</f>
        <v>ok</v>
      </c>
      <c r="D70" t="str">
        <f>IF(VLOOKUP(B70,Wikidata_upec_chemical_20!$C:$O,3,FALSE)&lt;&gt;0,"yes","no")</f>
        <v>no</v>
      </c>
      <c r="E70" t="str">
        <f>IF(VLOOKUP(B70,Wikidata_upec_chemical_20!$C:$O,4,FALSE)&lt;&gt;0,"yes","no")</f>
        <v>no</v>
      </c>
    </row>
    <row r="71" spans="2:5" x14ac:dyDescent="0.3">
      <c r="B71" t="str">
        <v>Pb</v>
      </c>
      <c r="C71" t="str">
        <f>VLOOKUP(B71,Wikidata_upec_chemical_20!$C:$O,13,FALSE)</f>
        <v>ok</v>
      </c>
      <c r="D71" t="str">
        <f>IF(VLOOKUP(B71,Wikidata_upec_chemical_20!$C:$O,3,FALSE)&lt;&gt;0,"yes","no")</f>
        <v>no</v>
      </c>
      <c r="E71" t="str">
        <f>IF(VLOOKUP(B71,Wikidata_upec_chemical_20!$C:$O,4,FALSE)&lt;&gt;0,"yes","no")</f>
        <v>no</v>
      </c>
    </row>
    <row r="72" spans="2:5" x14ac:dyDescent="0.3">
      <c r="B72" t="str">
        <v>Heavy metals</v>
      </c>
      <c r="C72" t="str">
        <f>VLOOKUP(B72,Wikidata_upec_chemical_20!$C:$O,13,FALSE)</f>
        <v>Wrong</v>
      </c>
      <c r="D72" t="str">
        <f>IF(VLOOKUP(B72,Wikidata_upec_chemical_20!$C:$O,3,FALSE)&lt;&gt;0,"yes","no")</f>
        <v>yes</v>
      </c>
      <c r="E72" t="str">
        <f>IF(VLOOKUP(B72,Wikidata_upec_chemical_20!$C:$O,4,FALSE)&lt;&gt;0,"yes","no")</f>
        <v>no</v>
      </c>
    </row>
    <row r="73" spans="2:5" x14ac:dyDescent="0.3">
      <c r="B73" t="str">
        <v>Budget</v>
      </c>
      <c r="C73" t="str">
        <f>VLOOKUP(B73,Wikidata_upec_chemical_20!$C:$O,13,FALSE)</f>
        <v>Wrong</v>
      </c>
      <c r="D73" t="str">
        <f>IF(VLOOKUP(B73,Wikidata_upec_chemical_20!$C:$O,3,FALSE)&lt;&gt;0,"yes","no")</f>
        <v>yes</v>
      </c>
      <c r="E73" t="str">
        <f>IF(VLOOKUP(B73,Wikidata_upec_chemical_20!$C:$O,4,FALSE)&lt;&gt;0,"yes","no")</f>
        <v>no</v>
      </c>
    </row>
    <row r="74" spans="2:5" x14ac:dyDescent="0.3">
      <c r="B74" t="str">
        <v>Seine</v>
      </c>
      <c r="C74" t="str">
        <f>VLOOKUP(B74,Wikidata_upec_chemical_20!$C:$O,13,FALSE)</f>
        <v>Wrong</v>
      </c>
      <c r="D74" t="str">
        <f>IF(VLOOKUP(B74,Wikidata_upec_chemical_20!$C:$O,3,FALSE)&lt;&gt;0,"yes","no")</f>
        <v>yes</v>
      </c>
      <c r="E74" t="str">
        <f>IF(VLOOKUP(B74,Wikidata_upec_chemical_20!$C:$O,4,FALSE)&lt;&gt;0,"yes","no")</f>
        <v>no</v>
      </c>
    </row>
    <row r="75" spans="2:5" x14ac:dyDescent="0.3">
      <c r="B75" t="str">
        <v>River</v>
      </c>
      <c r="C75" t="str">
        <f>VLOOKUP(B75,Wikidata_upec_chemical_20!$C:$O,13,FALSE)</f>
        <v>Wrong</v>
      </c>
      <c r="D75" t="str">
        <f>IF(VLOOKUP(B75,Wikidata_upec_chemical_20!$C:$O,3,FALSE)&lt;&gt;0,"yes","no")</f>
        <v>yes</v>
      </c>
      <c r="E75" t="str">
        <f>IF(VLOOKUP(B75,Wikidata_upec_chemical_20!$C:$O,4,FALSE)&lt;&gt;0,"yes","no")</f>
        <v>no</v>
      </c>
    </row>
    <row r="76" spans="2:5" x14ac:dyDescent="0.3">
      <c r="B76" t="str">
        <v>Ni</v>
      </c>
      <c r="C76" t="str">
        <f>VLOOKUP(B76,Wikidata_upec_chemical_20!$C:$O,13,FALSE)</f>
        <v>Wrong</v>
      </c>
      <c r="D76" t="str">
        <f>IF(VLOOKUP(B76,Wikidata_upec_chemical_20!$C:$O,3,FALSE)&lt;&gt;0,"yes","no")</f>
        <v>yes</v>
      </c>
      <c r="E76" t="str">
        <f>IF(VLOOKUP(B76,Wikidata_upec_chemical_20!$C:$O,4,FALSE)&lt;&gt;0,"yes","no")</f>
        <v>no</v>
      </c>
    </row>
    <row r="77" spans="2:5" x14ac:dyDescent="0.3">
      <c r="B77" t="str">
        <v>Anthropogenic impacts</v>
      </c>
      <c r="C77" t="str">
        <f>VLOOKUP(B77,Wikidata_upec_chemical_20!$C:$O,13,FALSE)</f>
        <v>ok</v>
      </c>
      <c r="D77" t="str">
        <f>IF(VLOOKUP(B77,Wikidata_upec_chemical_20!$C:$O,3,FALSE)&lt;&gt;0,"yes","no")</f>
        <v>no</v>
      </c>
      <c r="E77" t="str">
        <f>IF(VLOOKUP(B77,Wikidata_upec_chemical_20!$C:$O,4,FALSE)&lt;&gt;0,"yes","no")</f>
        <v>no</v>
      </c>
    </row>
    <row r="78" spans="2:5" x14ac:dyDescent="0.3">
      <c r="B78" t="str">
        <v>Sampling procedures</v>
      </c>
      <c r="C78" t="str">
        <f>VLOOKUP(B78,Wikidata_upec_chemical_20!$C:$O,13,FALSE)</f>
        <v>ok</v>
      </c>
      <c r="D78" t="str">
        <f>IF(VLOOKUP(B78,Wikidata_upec_chemical_20!$C:$O,3,FALSE)&lt;&gt;0,"yes","no")</f>
        <v>yes</v>
      </c>
      <c r="E78" t="str">
        <f>IF(VLOOKUP(B78,Wikidata_upec_chemical_20!$C:$O,4,FALSE)&lt;&gt;0,"yes","no")</f>
        <v>no</v>
      </c>
    </row>
    <row r="79" spans="2:5" x14ac:dyDescent="0.3">
      <c r="B79" t="str">
        <v>Atmospheric fallout</v>
      </c>
      <c r="C79" t="str">
        <f>VLOOKUP(B79,Wikidata_upec_chemical_20!$C:$O,13,FALSE)</f>
        <v>ok</v>
      </c>
      <c r="D79" t="str">
        <f>IF(VLOOKUP(B79,Wikidata_upec_chemical_20!$C:$O,3,FALSE)&lt;&gt;0,"yes","no")</f>
        <v>no</v>
      </c>
      <c r="E79" t="str">
        <f>IF(VLOOKUP(B79,Wikidata_upec_chemical_20!$C:$O,4,FALSE)&lt;&gt;0,"yes","no")</f>
        <v>no</v>
      </c>
    </row>
    <row r="80" spans="2:5" x14ac:dyDescent="0.3">
      <c r="B80" t="str">
        <v>Trace elements</v>
      </c>
      <c r="C80" t="str">
        <f>VLOOKUP(B80,Wikidata_upec_chemical_20!$C:$O,13,FALSE)</f>
        <v>ok</v>
      </c>
      <c r="D80" t="str">
        <f>IF(VLOOKUP(B80,Wikidata_upec_chemical_20!$C:$O,3,FALSE)&lt;&gt;0,"yes","no")</f>
        <v>yes</v>
      </c>
      <c r="E80" t="str">
        <f>IF(VLOOKUP(B80,Wikidata_upec_chemical_20!$C:$O,4,FALSE)&lt;&gt;0,"yes","no")</f>
        <v>yes</v>
      </c>
    </row>
    <row r="81" spans="2:5" x14ac:dyDescent="0.3">
      <c r="B81" t="str">
        <v>Vibronic states</v>
      </c>
      <c r="C81" t="str">
        <f>VLOOKUP(B81,Wikidata_upec_chemical_20!$C:$O,13,FALSE)</f>
        <v>ok</v>
      </c>
      <c r="D81" t="str">
        <f>IF(VLOOKUP(B81,Wikidata_upec_chemical_20!$C:$O,3,FALSE)&lt;&gt;0,"yes","no")</f>
        <v>no</v>
      </c>
      <c r="E81" t="str">
        <f>IF(VLOOKUP(B81,Wikidata_upec_chemical_20!$C:$O,4,FALSE)&lt;&gt;0,"yes","no")</f>
        <v>no</v>
      </c>
    </row>
    <row r="82" spans="2:5" x14ac:dyDescent="0.3">
      <c r="B82" t="str">
        <v>Spinâ€“orbit coupling</v>
      </c>
      <c r="C82" t="str">
        <f>VLOOKUP(B82,Wikidata_upec_chemical_20!$C:$O,13,FALSE)</f>
        <v>ok</v>
      </c>
      <c r="D82" t="str">
        <f>IF(VLOOKUP(B82,Wikidata_upec_chemical_20!$C:$O,3,FALSE)&lt;&gt;0,"yes","no")</f>
        <v>no</v>
      </c>
      <c r="E82" t="str">
        <f>IF(VLOOKUP(B82,Wikidata_upec_chemical_20!$C:$O,4,FALSE)&lt;&gt;0,"yes","no")</f>
        <v>no</v>
      </c>
    </row>
    <row r="83" spans="2:5" x14ac:dyDescent="0.3">
      <c r="B83" t="str">
        <v>MRCI+Q</v>
      </c>
      <c r="C83" t="str">
        <f>VLOOKUP(B83,Wikidata_upec_chemical_20!$C:$O,13,FALSE)</f>
        <v>ok</v>
      </c>
      <c r="D83" t="str">
        <f>IF(VLOOKUP(B83,Wikidata_upec_chemical_20!$C:$O,3,FALSE)&lt;&gt;0,"yes","no")</f>
        <v>no</v>
      </c>
      <c r="E83" t="str">
        <f>IF(VLOOKUP(B83,Wikidata_upec_chemical_20!$C:$O,4,FALSE)&lt;&gt;0,"yes","no")</f>
        <v>no</v>
      </c>
    </row>
    <row r="84" spans="2:5" x14ac:dyDescent="0.3">
      <c r="B84" t="str">
        <v>Stable dication</v>
      </c>
      <c r="C84" t="str">
        <f>VLOOKUP(B84,Wikidata_upec_chemical_20!$C:$O,13,FALSE)</f>
        <v>ok</v>
      </c>
      <c r="D84" t="str">
        <f>IF(VLOOKUP(B84,Wikidata_upec_chemical_20!$C:$O,3,FALSE)&lt;&gt;0,"yes","no")</f>
        <v>no</v>
      </c>
      <c r="E84" t="str">
        <f>IF(VLOOKUP(B84,Wikidata_upec_chemical_20!$C:$O,4,FALSE)&lt;&gt;0,"yes","no")</f>
        <v>no</v>
      </c>
    </row>
    <row r="85" spans="2:5" x14ac:dyDescent="0.3">
      <c r="B85" t="str">
        <v>CaO</v>
      </c>
      <c r="C85" t="str">
        <f>VLOOKUP(B85,Wikidata_upec_chemical_20!$C:$O,13,FALSE)</f>
        <v>Wrong</v>
      </c>
      <c r="D85" t="str">
        <f>IF(VLOOKUP(B85,Wikidata_upec_chemical_20!$C:$O,3,FALSE)&lt;&gt;0,"yes","no")</f>
        <v>yes</v>
      </c>
      <c r="E85" t="str">
        <f>IF(VLOOKUP(B85,Wikidata_upec_chemical_20!$C:$O,4,FALSE)&lt;&gt;0,"yes","no")</f>
        <v>no</v>
      </c>
    </row>
    <row r="86" spans="2:5" x14ac:dyDescent="0.3">
      <c r="B86" t="str">
        <v>Calcium monoxide</v>
      </c>
      <c r="C86" t="str">
        <f>VLOOKUP(B86,Wikidata_upec_chemical_20!$C:$O,13,FALSE)</f>
        <v>ok</v>
      </c>
      <c r="D86" t="str">
        <f>IF(VLOOKUP(B86,Wikidata_upec_chemical_20!$C:$O,3,FALSE)&lt;&gt;0,"yes","no")</f>
        <v>no</v>
      </c>
      <c r="E86" t="str">
        <f>IF(VLOOKUP(B86,Wikidata_upec_chemical_20!$C:$O,4,FALSE)&lt;&gt;0,"yes","no")</f>
        <v>no</v>
      </c>
    </row>
    <row r="87" spans="2:5" x14ac:dyDescent="0.3">
      <c r="B87" t="str">
        <v>SILANE-GRAFTED POLYPROPYLENE</v>
      </c>
      <c r="C87" t="str">
        <f>VLOOKUP(B87,Wikidata_upec_chemical_20!$C:$O,13,FALSE)</f>
        <v>ok</v>
      </c>
      <c r="D87" t="str">
        <f>IF(VLOOKUP(B87,Wikidata_upec_chemical_20!$C:$O,3,FALSE)&lt;&gt;0,"yes","no")</f>
        <v>no</v>
      </c>
      <c r="E87" t="str">
        <f>IF(VLOOKUP(B87,Wikidata_upec_chemical_20!$C:$O,4,FALSE)&lt;&gt;0,"yes","no")</f>
        <v>no</v>
      </c>
    </row>
    <row r="88" spans="2:5" x14ac:dyDescent="0.3">
      <c r="B88" t="str">
        <v>GAS BARRIER PROPERTIES</v>
      </c>
      <c r="C88" t="str">
        <f>VLOOKUP(B88,Wikidata_upec_chemical_20!$C:$O,13,FALSE)</f>
        <v>ok</v>
      </c>
      <c r="D88" t="str">
        <f>IF(VLOOKUP(B88,Wikidata_upec_chemical_20!$C:$O,3,FALSE)&lt;&gt;0,"yes","no")</f>
        <v>no</v>
      </c>
      <c r="E88" t="str">
        <f>IF(VLOOKUP(B88,Wikidata_upec_chemical_20!$C:$O,4,FALSE)&lt;&gt;0,"yes","no")</f>
        <v>no</v>
      </c>
    </row>
    <row r="89" spans="2:5" x14ac:dyDescent="0.3">
      <c r="B89" t="str">
        <v>MECHANICAL-PROPERTIES</v>
      </c>
      <c r="C89" t="str">
        <f>VLOOKUP(B89,Wikidata_upec_chemical_20!$C:$O,13,FALSE)</f>
        <v>ok</v>
      </c>
      <c r="D89" t="str">
        <f>IF(VLOOKUP(B89,Wikidata_upec_chemical_20!$C:$O,3,FALSE)&lt;&gt;0,"yes","no")</f>
        <v>no</v>
      </c>
      <c r="E89" t="str">
        <f>IF(VLOOKUP(B89,Wikidata_upec_chemical_20!$C:$O,4,FALSE)&lt;&gt;0,"yes","no")</f>
        <v>no</v>
      </c>
    </row>
    <row r="90" spans="2:5" x14ac:dyDescent="0.3">
      <c r="B90" t="str">
        <v>CLAY NANOCOMPOSITES</v>
      </c>
      <c r="C90" t="str">
        <f>VLOOKUP(B90,Wikidata_upec_chemical_20!$C:$O,13,FALSE)</f>
        <v>ok</v>
      </c>
      <c r="D90" t="str">
        <f>IF(VLOOKUP(B90,Wikidata_upec_chemical_20!$C:$O,3,FALSE)&lt;&gt;0,"yes","no")</f>
        <v>no</v>
      </c>
      <c r="E90" t="str">
        <f>IF(VLOOKUP(B90,Wikidata_upec_chemical_20!$C:$O,4,FALSE)&lt;&gt;0,"yes","no")</f>
        <v>no</v>
      </c>
    </row>
    <row r="91" spans="2:5" x14ac:dyDescent="0.3">
      <c r="B91" t="str">
        <v>CARBON NANOTUBES</v>
      </c>
      <c r="C91" t="str">
        <f>VLOOKUP(B91,Wikidata_upec_chemical_20!$C:$O,13,FALSE)</f>
        <v>ok</v>
      </c>
      <c r="D91" t="str">
        <f>IF(VLOOKUP(B91,Wikidata_upec_chemical_20!$C:$O,3,FALSE)&lt;&gt;0,"yes","no")</f>
        <v>yes</v>
      </c>
      <c r="E91" t="str">
        <f>IF(VLOOKUP(B91,Wikidata_upec_chemical_20!$C:$O,4,FALSE)&lt;&gt;0,"yes","no")</f>
        <v>no</v>
      </c>
    </row>
    <row r="92" spans="2:5" x14ac:dyDescent="0.3">
      <c r="B92" t="str">
        <v>POLYMER</v>
      </c>
      <c r="C92" t="str">
        <f>VLOOKUP(B92,Wikidata_upec_chemical_20!$C:$O,13,FALSE)</f>
        <v>Wrong</v>
      </c>
      <c r="D92" t="str">
        <f>IF(VLOOKUP(B92,Wikidata_upec_chemical_20!$C:$O,3,FALSE)&lt;&gt;0,"yes","no")</f>
        <v>yes</v>
      </c>
      <c r="E92" t="str">
        <f>IF(VLOOKUP(B92,Wikidata_upec_chemical_20!$C:$O,4,FALSE)&lt;&gt;0,"yes","no")</f>
        <v>no</v>
      </c>
    </row>
    <row r="93" spans="2:5" x14ac:dyDescent="0.3">
      <c r="B93" t="str">
        <v>COMPOSITES</v>
      </c>
      <c r="C93" t="str">
        <f>VLOOKUP(B93,Wikidata_upec_chemical_20!$C:$O,13,FALSE)</f>
        <v>ok</v>
      </c>
      <c r="D93" t="str">
        <f>IF(VLOOKUP(B93,Wikidata_upec_chemical_20!$C:$O,3,FALSE)&lt;&gt;0,"yes","no")</f>
        <v>yes</v>
      </c>
      <c r="E93" t="str">
        <f>IF(VLOOKUP(B93,Wikidata_upec_chemical_20!$C:$O,4,FALSE)&lt;&gt;0,"yes","no")</f>
        <v>no</v>
      </c>
    </row>
    <row r="94" spans="2:5" x14ac:dyDescent="0.3">
      <c r="B94" t="str">
        <v>BLENDS</v>
      </c>
      <c r="C94" t="str">
        <f>VLOOKUP(B94,Wikidata_upec_chemical_20!$C:$O,13,FALSE)</f>
        <v>Wrong</v>
      </c>
      <c r="D94" t="str">
        <f>IF(VLOOKUP(B94,Wikidata_upec_chemical_20!$C:$O,3,FALSE)&lt;&gt;0,"yes","no")</f>
        <v>yes</v>
      </c>
      <c r="E94" t="str">
        <f>IF(VLOOKUP(B94,Wikidata_upec_chemical_20!$C:$O,4,FALSE)&lt;&gt;0,"yes","no")</f>
        <v>no</v>
      </c>
    </row>
    <row r="95" spans="2:5" x14ac:dyDescent="0.3">
      <c r="B95" t="str">
        <v>NANOPARTICLES</v>
      </c>
      <c r="C95" t="str">
        <f>VLOOKUP(B95,Wikidata_upec_chemical_20!$C:$O,13,FALSE)</f>
        <v>ok</v>
      </c>
      <c r="D95" t="str">
        <f>IF(VLOOKUP(B95,Wikidata_upec_chemical_20!$C:$O,3,FALSE)&lt;&gt;0,"yes","no")</f>
        <v>yes</v>
      </c>
      <c r="E95" t="str">
        <f>IF(VLOOKUP(B95,Wikidata_upec_chemical_20!$C:$O,4,FALSE)&lt;&gt;0,"yes","no")</f>
        <v>yes</v>
      </c>
    </row>
    <row r="96" spans="2:5" x14ac:dyDescent="0.3">
      <c r="B96" t="str">
        <v>CRYSTALLIZATION</v>
      </c>
      <c r="C96" t="str">
        <f>VLOOKUP(B96,Wikidata_upec_chemical_20!$C:$O,13,FALSE)</f>
        <v>ok</v>
      </c>
      <c r="D96" t="str">
        <f>IF(VLOOKUP(B96,Wikidata_upec_chemical_20!$C:$O,3,FALSE)&lt;&gt;0,"yes","no")</f>
        <v>yes</v>
      </c>
      <c r="E96" t="str">
        <f>IF(VLOOKUP(B96,Wikidata_upec_chemical_20!$C:$O,4,FALSE)&lt;&gt;0,"yes","no")</f>
        <v>yes</v>
      </c>
    </row>
    <row r="97" spans="2:5" x14ac:dyDescent="0.3">
      <c r="B97">
        <v>0</v>
      </c>
      <c r="D97" t="e">
        <f>IF(VLOOKUP(B97,Wikidata_upec_chemical_20!$C:$O,3,FALSE)&lt;&gt;0,"yes","no")</f>
        <v>#N/A</v>
      </c>
      <c r="E97" t="e">
        <f>IF(VLOOKUP(B97,Wikidata_upec_chemical_20!$C:$O,4,FALSE)&lt;&gt;0,"yes","no")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9807-4124-4E65-BB68-420CF378C741}">
  <dimension ref="A1:L7"/>
  <sheetViews>
    <sheetView tabSelected="1" workbookViewId="0">
      <selection activeCell="E2" sqref="E2"/>
    </sheetView>
  </sheetViews>
  <sheetFormatPr defaultRowHeight="14.4" x14ac:dyDescent="0.3"/>
  <cols>
    <col min="1" max="1" width="9.77734375" customWidth="1"/>
    <col min="2" max="2" width="21.5546875" bestFit="1" customWidth="1"/>
    <col min="3" max="3" width="12.44140625" customWidth="1"/>
    <col min="4" max="4" width="13.109375" customWidth="1"/>
    <col min="5" max="5" width="14.44140625" customWidth="1"/>
    <col min="6" max="6" width="15.6640625" customWidth="1"/>
    <col min="9" max="9" width="13" customWidth="1"/>
    <col min="10" max="10" width="12" customWidth="1"/>
    <col min="11" max="11" width="11.6640625" customWidth="1"/>
  </cols>
  <sheetData>
    <row r="1" spans="1:12" s="4" customFormat="1" ht="43.2" x14ac:dyDescent="0.3">
      <c r="A1" s="5" t="s">
        <v>560</v>
      </c>
      <c r="B1" s="5" t="s">
        <v>559</v>
      </c>
      <c r="C1" s="5" t="s">
        <v>538</v>
      </c>
      <c r="D1" s="5" t="s">
        <v>539</v>
      </c>
      <c r="E1" s="5" t="s">
        <v>540</v>
      </c>
      <c r="F1" s="5" t="s">
        <v>542</v>
      </c>
      <c r="G1" s="5" t="s">
        <v>544</v>
      </c>
      <c r="H1" s="5" t="s">
        <v>545</v>
      </c>
      <c r="I1" s="5" t="s">
        <v>541</v>
      </c>
      <c r="J1" s="5" t="s">
        <v>543</v>
      </c>
      <c r="K1" s="5" t="s">
        <v>546</v>
      </c>
      <c r="L1" s="5" t="s">
        <v>547</v>
      </c>
    </row>
    <row r="2" spans="1:12" x14ac:dyDescent="0.3">
      <c r="A2" s="6" t="s">
        <v>553</v>
      </c>
      <c r="B2" s="6" t="s">
        <v>537</v>
      </c>
      <c r="C2" s="7">
        <f>Sheet1!H1</f>
        <v>20</v>
      </c>
      <c r="D2" s="7">
        <f>Sheet1!H2</f>
        <v>95</v>
      </c>
      <c r="E2" s="7">
        <f>Sheet1!$H$3</f>
        <v>73</v>
      </c>
      <c r="F2" s="7">
        <f>Sheet1!H4</f>
        <v>22</v>
      </c>
      <c r="G2" s="7">
        <f>Sheet1!H5</f>
        <v>44</v>
      </c>
      <c r="H2" s="7">
        <f>Sheet1!H6</f>
        <v>5</v>
      </c>
      <c r="I2" s="8">
        <f>E2/D2</f>
        <v>0.76842105263157889</v>
      </c>
      <c r="J2" s="8">
        <f>F2/D2</f>
        <v>0.23157894736842105</v>
      </c>
      <c r="K2" s="8">
        <f>G2/$D2</f>
        <v>0.4631578947368421</v>
      </c>
      <c r="L2" s="8">
        <f>H2/$D2</f>
        <v>5.2631578947368418E-2</v>
      </c>
    </row>
    <row r="3" spans="1:12" x14ac:dyDescent="0.3">
      <c r="A3" s="6" t="s">
        <v>554</v>
      </c>
      <c r="B3" s="6" t="s">
        <v>548</v>
      </c>
      <c r="C3" s="7">
        <f>Wikidata_upec_civil_20!W7</f>
        <v>20</v>
      </c>
      <c r="D3" s="7">
        <f>Wikidata_upec_civil_20!X7</f>
        <v>93</v>
      </c>
      <c r="E3" s="7">
        <f>Wikidata_upec_civil_20!Y7</f>
        <v>67</v>
      </c>
      <c r="F3" s="7">
        <f>Wikidata_upec_civil_20!Z7</f>
        <v>26</v>
      </c>
      <c r="G3" s="7">
        <f>Wikidata_upec_civil_20!AA7</f>
        <v>43</v>
      </c>
      <c r="H3" s="7">
        <f>Wikidata_upec_civil_20!AB7</f>
        <v>7</v>
      </c>
      <c r="I3" s="8">
        <f>Wikidata_upec_civil_20!AC7</f>
        <v>0.72043010752688175</v>
      </c>
      <c r="J3" s="8">
        <f>Wikidata_upec_civil_20!AD7</f>
        <v>0.27956989247311825</v>
      </c>
      <c r="K3" s="8">
        <f>Wikidata_upec_civil_20!AE7</f>
        <v>0.46236559139784944</v>
      </c>
      <c r="L3" s="8">
        <f>Wikidata_upec_civil_20!AF7</f>
        <v>7.5268817204301078E-2</v>
      </c>
    </row>
    <row r="4" spans="1:12" x14ac:dyDescent="0.3">
      <c r="A4" s="6" t="s">
        <v>555</v>
      </c>
      <c r="B4" s="6" t="s">
        <v>552</v>
      </c>
      <c r="C4" s="7">
        <f>Wikidata_upec_civil_20_part2!W12</f>
        <v>9</v>
      </c>
      <c r="D4" s="7">
        <f>Wikidata_upec_civil_20_part2!X12</f>
        <v>48</v>
      </c>
      <c r="E4" s="7">
        <f>Wikidata_upec_civil_20_part2!Y12</f>
        <v>41</v>
      </c>
      <c r="F4" s="7">
        <f>Wikidata_upec_civil_20_part2!Z12</f>
        <v>7</v>
      </c>
      <c r="G4" s="7">
        <f>Wikidata_upec_civil_20_part2!AA12</f>
        <v>17</v>
      </c>
      <c r="H4" s="7">
        <f>Wikidata_upec_civil_20_part2!AB12</f>
        <v>2</v>
      </c>
      <c r="I4" s="8">
        <f>Wikidata_upec_civil_20_part2!AC12</f>
        <v>0.85416666666666663</v>
      </c>
      <c r="J4" s="8">
        <f>Wikidata_upec_civil_20_part2!AD12</f>
        <v>0.14583333333333334</v>
      </c>
      <c r="K4" s="8">
        <f>Wikidata_upec_civil_20_part2!AE12</f>
        <v>0.35416666666666669</v>
      </c>
      <c r="L4" s="8">
        <f>Wikidata_upec_civil_20_part2!AF12</f>
        <v>4.1666666666666664E-2</v>
      </c>
    </row>
    <row r="5" spans="1:12" x14ac:dyDescent="0.3">
      <c r="A5" s="6" t="s">
        <v>558</v>
      </c>
      <c r="B5" s="6" t="s">
        <v>551</v>
      </c>
      <c r="C5" s="7"/>
      <c r="D5" s="7"/>
      <c r="E5" s="7"/>
      <c r="F5" s="7"/>
      <c r="G5" s="7"/>
      <c r="H5" s="7"/>
      <c r="I5" s="8"/>
      <c r="J5" s="8"/>
      <c r="K5" s="8"/>
      <c r="L5" s="8"/>
    </row>
    <row r="6" spans="1:12" x14ac:dyDescent="0.3">
      <c r="A6" s="6" t="s">
        <v>556</v>
      </c>
      <c r="B6" s="6" t="s">
        <v>549</v>
      </c>
      <c r="C6" s="7"/>
      <c r="D6" s="7"/>
      <c r="E6" s="7"/>
      <c r="F6" s="7"/>
      <c r="G6" s="7"/>
      <c r="H6" s="7"/>
      <c r="I6" s="8"/>
      <c r="J6" s="8"/>
      <c r="K6" s="8"/>
      <c r="L6" s="8"/>
    </row>
    <row r="7" spans="1:12" x14ac:dyDescent="0.3">
      <c r="A7" s="6" t="s">
        <v>557</v>
      </c>
      <c r="B7" s="6" t="s">
        <v>550</v>
      </c>
      <c r="C7" s="7"/>
      <c r="D7" s="7"/>
      <c r="E7" s="7"/>
      <c r="F7" s="7"/>
      <c r="G7" s="7"/>
      <c r="H7" s="7"/>
      <c r="I7" s="8"/>
      <c r="J7" s="8"/>
      <c r="K7" s="8"/>
      <c r="L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Wikidata_upec_chemical_20</vt:lpstr>
      <vt:lpstr>Wikidata_upec_civil_20</vt:lpstr>
      <vt:lpstr>Wikidata_upec_civil_20_part2</vt:lpstr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2025-10-29T03:57:26Z</dcterms:created>
  <dcterms:modified xsi:type="dcterms:W3CDTF">2025-11-05T16:20:19Z</dcterms:modified>
</cp:coreProperties>
</file>