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3B5A41E8-CECF-45DA-856E-4C013D8E7992}" xr6:coauthVersionLast="47" xr6:coauthVersionMax="47" xr10:uidLastSave="{00000000-0000-0000-0000-000000000000}"/>
  <bookViews>
    <workbookView xWindow="11508" yWindow="-12" windowWidth="11544" windowHeight="12264" activeTab="1" xr2:uid="{7CE82651-D189-4583-9CC8-EB750387BE3D}"/>
  </bookViews>
  <sheets>
    <sheet name="Summary" sheetId="3" r:id="rId1"/>
    <sheet name="Wikidata_upec_chemical_20" sheetId="1" r:id="rId2"/>
    <sheet name="Wikidata_upec_civil_20" sheetId="4" r:id="rId3"/>
    <sheet name="Wikidata_upec_civil_20_part2" sheetId="5" r:id="rId4"/>
    <sheet name="Sheet1" sheetId="2" state="hidden" r:id="rId5"/>
    <sheet name="Wikidata_upec_computer_20" sheetId="8" r:id="rId6"/>
    <sheet name="Wikidata_upec_computer_20_check" sheetId="7" r:id="rId7"/>
    <sheet name="Wikidata_upec_political_20" sheetId="6" r:id="rId8"/>
    <sheet name="Wikidata_upec_marketing_20.csv" sheetId="9" r:id="rId9"/>
  </sheets>
  <definedNames>
    <definedName name="_xlnm._FilterDatabase" localSheetId="0" hidden="1">Summary!$A$1:$L$1</definedName>
    <definedName name="_xlnm._FilterDatabase" localSheetId="1" hidden="1">Wikidata_upec_chemical_20!$A$1:$Q$371</definedName>
    <definedName name="_xlnm._FilterDatabase" localSheetId="2" hidden="1">Wikidata_upec_civil_20!$T$1:$T$389</definedName>
    <definedName name="_xlnm._FilterDatabase" localSheetId="3" hidden="1">Wikidata_upec_civil_20_part2!$A$1:$AF$764</definedName>
    <definedName name="_xlnm._FilterDatabase" localSheetId="8" hidden="1">Wikidata_upec_marketing_20.csv!$A$1:$O$493</definedName>
    <definedName name="_xlnm._FilterDatabase" localSheetId="7" hidden="1">Wikidata_upec_political_20!$O$1:$S$329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J6" i="3"/>
  <c r="K6" i="3"/>
  <c r="L6" i="3"/>
  <c r="L3" i="3"/>
  <c r="K3" i="3"/>
  <c r="J3" i="3"/>
  <c r="I3" i="3"/>
  <c r="L4" i="3"/>
  <c r="K4" i="3"/>
  <c r="J4" i="3"/>
  <c r="I4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AD12" i="5" l="1"/>
  <c r="AE12" i="5"/>
  <c r="AF12" i="5"/>
  <c r="F4" i="3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AD7" i="4" l="1"/>
  <c r="H4" i="2"/>
  <c r="F2" i="3" s="1"/>
  <c r="H3" i="2"/>
  <c r="E2" i="3" s="1"/>
  <c r="H5" i="2"/>
  <c r="H6" i="2"/>
  <c r="J2" i="3" l="1"/>
  <c r="F8" i="3"/>
  <c r="J8" i="3" s="1"/>
  <c r="I2" i="3"/>
  <c r="E8" i="3"/>
  <c r="I8" i="3" s="1"/>
  <c r="I6" i="2"/>
  <c r="H2" i="3"/>
  <c r="I5" i="2"/>
  <c r="G2" i="3"/>
  <c r="I3" i="2"/>
  <c r="I4" i="2" s="1"/>
  <c r="K2" i="3" l="1"/>
  <c r="G8" i="3"/>
  <c r="K8" i="3" s="1"/>
  <c r="L2" i="3"/>
  <c r="H8" i="3"/>
  <c r="L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<sst xmlns="http://schemas.openxmlformats.org/spreadsheetml/2006/main" count="28088" uniqueCount="3450">
  <si>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</si>
  <si>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</si>
  <si>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</si>
  <si>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</si>
  <si>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</si>
  <si>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</si>
  <si>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</si>
  <si>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</si>
  <si>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</si>
  <si>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</si>
  <si>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</si>
  <si>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</si>
  <si>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</si>
  <si>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</si>
  <si>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</si>
  <si>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</si>
  <si>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</si>
  <si>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</si>
  <si>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</si>
  <si>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</si>
  <si>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</si>
  <si>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</si>
  <si>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</si>
  <si>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</si>
  <si>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</si>
  <si>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</si>
  <si>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</si>
  <si>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</si>
  <si>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</si>
  <si>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</si>
  <si>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</si>
  <si>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</si>
  <si>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</si>
  <si>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</si>
  <si>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</si>
  <si>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</si>
  <si>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</si>
  <si>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</si>
  <si>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</si>
  <si>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</si>
  <si>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</si>
  <si>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</si>
  <si>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</si>
  <si>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</si>
  <si>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</si>
  <si>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</si>
  <si>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</si>
  <si>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</si>
  <si>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</si>
  <si>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</si>
  <si>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</si>
  <si>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</si>
  <si>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</si>
  <si>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</si>
  <si>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</si>
  <si>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</si>
  <si>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</si>
  <si>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</si>
  <si>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</si>
  <si>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</si>
  <si>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</si>
  <si>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</si>
  <si>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</si>
  <si>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</si>
  <si>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</si>
  <si>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</si>
  <si>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</si>
  <si>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</si>
  <si>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</si>
  <si>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</si>
  <si>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</si>
  <si>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</si>
  <si>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</si>
  <si>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</si>
  <si>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</si>
  <si>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</si>
  <si>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</si>
  <si>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</si>
  <si>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</si>
  <si>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</si>
  <si>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</si>
  <si>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</si>
  <si>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</si>
  <si>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</si>
  <si>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</si>
  <si>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</si>
  <si>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</si>
  <si>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</si>
  <si>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</si>
  <si>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</si>
  <si>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</si>
  <si>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</si>
  <si>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</si>
  <si>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</si>
  <si>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</si>
  <si>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</si>
  <si>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</si>
  <si>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</si>
  <si>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</si>
  <si>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</si>
  <si>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</si>
  <si>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</si>
  <si>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</si>
  <si>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</si>
  <si>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</si>
  <si>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</si>
  <si>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</si>
  <si>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</si>
  <si>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</si>
  <si>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</si>
  <si>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</si>
  <si>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</si>
  <si>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</si>
  <si>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</si>
  <si>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</si>
  <si>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</si>
  <si>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</si>
  <si>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</si>
  <si>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</si>
  <si>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</si>
  <si>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</si>
  <si>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</si>
  <si>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</si>
  <si>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</si>
  <si>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</si>
  <si>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</si>
  <si>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</si>
  <si>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</si>
  <si>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</si>
  <si>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</si>
  <si>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</si>
  <si>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</si>
  <si>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</si>
  <si>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</si>
  <si>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</si>
  <si>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</si>
  <si>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</si>
  <si>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</si>
  <si>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</si>
  <si>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</si>
  <si>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</si>
  <si>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</si>
  <si>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</si>
  <si>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</si>
  <si>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</si>
  <si>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</si>
  <si>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</si>
  <si>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</si>
  <si>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</si>
  <si>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</si>
  <si>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</si>
  <si>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</si>
  <si>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</si>
  <si>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</si>
  <si>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</si>
  <si>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</si>
  <si>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</si>
  <si>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</si>
  <si>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</si>
  <si>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</si>
  <si>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</si>
  <si>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</si>
  <si>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</si>
  <si>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</si>
  <si>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</si>
  <si>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</si>
  <si>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</si>
  <si>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</si>
  <si>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</si>
  <si>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</si>
  <si>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</si>
  <si>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</si>
  <si>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</si>
  <si>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</si>
  <si>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</si>
  <si>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</si>
  <si>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</si>
  <si>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</si>
  <si>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</si>
  <si>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</si>
  <si>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</si>
  <si>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</si>
  <si>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</si>
  <si>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</si>
  <si>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</si>
  <si>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</si>
  <si>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</si>
  <si>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</si>
  <si>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</si>
  <si>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</si>
  <si>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</si>
  <si>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</si>
  <si>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</si>
  <si>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</si>
  <si>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</si>
  <si>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</si>
  <si>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</si>
  <si>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</si>
  <si>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</si>
  <si>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</si>
  <si>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</si>
  <si>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</si>
  <si>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</si>
  <si>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</si>
  <si>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</si>
  <si>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</si>
  <si>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</si>
  <si>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</si>
  <si>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</si>
  <si>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</si>
  <si>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</si>
  <si>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</si>
  <si>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</si>
  <si>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</si>
  <si>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</si>
  <si>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</si>
  <si>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</si>
  <si>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</si>
  <si>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</si>
  <si>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</si>
  <si>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</si>
  <si>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</si>
  <si>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</si>
  <si>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</si>
  <si>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</si>
  <si>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</si>
  <si>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</si>
  <si>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</si>
  <si>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</si>
  <si>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</si>
  <si>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</si>
  <si>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</si>
  <si>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</si>
  <si>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</si>
  <si>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</si>
  <si>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</si>
  <si>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</si>
  <si>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</si>
  <si>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</si>
  <si>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</si>
  <si>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</si>
  <si>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</si>
  <si>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</si>
  <si>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</si>
  <si>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</si>
  <si>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</si>
  <si>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</si>
  <si>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</si>
  <si>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</si>
  <si>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</si>
  <si>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</si>
  <si>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</si>
  <si>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</si>
  <si>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</si>
  <si>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</si>
  <si>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</si>
  <si>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</si>
  <si>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</si>
  <si>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</si>
  <si>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</si>
  <si>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</si>
  <si>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</si>
  <si>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</si>
  <si>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</si>
  <si>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</si>
  <si>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</si>
  <si>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</si>
  <si>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</si>
  <si>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</si>
  <si>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</si>
  <si>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</si>
  <si>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</si>
  <si>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</si>
  <si>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</si>
  <si>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</si>
  <si>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</si>
  <si>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</si>
  <si>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</si>
  <si>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</si>
  <si>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</si>
  <si>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</si>
  <si>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</si>
  <si>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</si>
  <si>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</si>
  <si>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</si>
  <si>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</si>
  <si>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</si>
  <si>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</si>
  <si>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</si>
  <si>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</si>
  <si>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</si>
  <si>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</si>
  <si>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</si>
  <si>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</si>
  <si>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</si>
  <si>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</si>
  <si>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</si>
  <si>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</si>
  <si>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</si>
  <si>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</si>
  <si>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</si>
  <si>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</si>
  <si>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</si>
  <si>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</si>
  <si>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</si>
  <si>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</si>
  <si>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</si>
  <si>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</si>
  <si>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</si>
  <si>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</si>
  <si>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</si>
  <si>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</si>
  <si>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</si>
  <si>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</si>
  <si>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</si>
  <si>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</si>
  <si>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</si>
  <si>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</si>
  <si>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</si>
  <si>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</si>
  <si>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</si>
  <si>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</si>
  <si>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</si>
  <si>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</si>
  <si>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</si>
  <si>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</si>
  <si>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</si>
  <si>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</si>
  <si>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</si>
  <si>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</si>
  <si>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</si>
  <si>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</si>
  <si>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</si>
  <si>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</si>
  <si>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</si>
  <si>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</si>
  <si>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</si>
  <si>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</si>
  <si>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</si>
  <si>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</si>
  <si>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</si>
  <si>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</si>
  <si>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</si>
  <si>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</si>
  <si>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</si>
  <si>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</si>
  <si>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</si>
  <si>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</si>
  <si>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</si>
  <si>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</si>
  <si>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</si>
  <si>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</si>
  <si>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</si>
  <si>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</si>
  <si>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</si>
  <si>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</si>
  <si>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</si>
  <si>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</si>
  <si>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</si>
  <si>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</si>
  <si>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</si>
  <si>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</si>
  <si>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</si>
  <si>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</si>
  <si>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</si>
  <si>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</si>
  <si>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</si>
  <si>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</si>
  <si>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</si>
  <si>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</si>
  <si>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</si>
  <si>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</si>
  <si>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</si>
  <si>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</si>
  <si>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</si>
  <si>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</si>
  <si>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</si>
  <si>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</si>
  <si>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</si>
  <si>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</si>
  <si>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</si>
  <si>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</si>
  <si>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</si>
  <si>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</si>
  <si>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</si>
  <si>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</si>
  <si>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</si>
  <si>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</si>
  <si>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</si>
  <si>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</si>
  <si>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</si>
  <si>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</si>
  <si>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</si>
  <si>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</si>
  <si>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</si>
  <si>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</si>
  <si>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</si>
  <si>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</si>
  <si>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</si>
  <si>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</si>
  <si>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</si>
  <si>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</si>
  <si>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</si>
  <si>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</si>
  <si>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</si>
  <si>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</si>
  <si>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</si>
  <si>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</si>
  <si>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</si>
  <si>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</si>
  <si>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</si>
  <si>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</si>
  <si>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</si>
  <si>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</si>
  <si>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</si>
  <si>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</si>
  <si>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</si>
  <si>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</si>
  <si>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</si>
  <si>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</si>
  <si>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</si>
  <si>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</si>
  <si>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</si>
  <si>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</si>
  <si>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</si>
  <si>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</si>
  <si>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</si>
  <si>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</si>
  <si>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</si>
  <si>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</si>
  <si>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</si>
  <si>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</si>
  <si>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</si>
  <si>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</si>
  <si>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</si>
  <si>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</si>
  <si>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</si>
  <si>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</si>
  <si>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</si>
  <si>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</si>
  <si>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</si>
  <si>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</si>
  <si>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</si>
  <si>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</si>
  <si>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</si>
  <si>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</si>
  <si>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</si>
  <si>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</si>
  <si>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</si>
  <si>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</si>
  <si>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</si>
  <si>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</si>
  <si>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</si>
  <si>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</si>
  <si>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</si>
  <si>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</si>
  <si>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</si>
  <si>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</si>
  <si>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</si>
  <si>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</si>
  <si>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</si>
  <si>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</si>
  <si>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</si>
  <si>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</si>
  <si>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</si>
  <si>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</si>
  <si>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</si>
  <si>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</si>
  <si>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</si>
  <si>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</si>
  <si>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</si>
  <si>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</si>
  <si>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</si>
  <si>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</si>
  <si>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</si>
  <si>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</si>
  <si>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</si>
  <si>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</si>
  <si>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</si>
  <si>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</si>
  <si>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</si>
  <si>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</si>
  <si>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</si>
  <si>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</si>
  <si>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</si>
  <si>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</si>
  <si>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</si>
  <si>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</si>
  <si>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</si>
  <si>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</si>
  <si>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</si>
  <si>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</si>
  <si>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</si>
  <si>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</si>
  <si>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</si>
  <si>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</si>
  <si>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</si>
  <si>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</si>
  <si>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</si>
  <si>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</si>
  <si>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</si>
  <si>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</si>
  <si>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</si>
  <si>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</si>
  <si>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</si>
  <si>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</si>
  <si>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</si>
  <si>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</si>
  <si>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</si>
  <si>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</si>
  <si>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</si>
  <si>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</si>
  <si>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</si>
  <si>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</si>
  <si>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</si>
  <si>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</si>
  <si>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</si>
  <si>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</si>
  <si>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</si>
  <si>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</si>
  <si>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</si>
  <si>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</si>
  <si>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</si>
  <si>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</si>
  <si>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</si>
  <si>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</si>
  <si>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</si>
  <si>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</si>
  <si>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</si>
  <si>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</si>
  <si>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</si>
  <si>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</si>
  <si>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</si>
  <si>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</si>
  <si>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</si>
  <si>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</si>
  <si>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</si>
  <si>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</si>
  <si>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</si>
  <si>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</si>
  <si>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</si>
  <si>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</si>
  <si>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</si>
  <si>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</si>
  <si>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</si>
  <si>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</si>
  <si>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</si>
  <si>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</si>
  <si>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</si>
  <si>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</si>
  <si>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</si>
  <si>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</si>
  <si>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</si>
  <si>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</si>
  <si>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</si>
  <si>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</si>
  <si>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</si>
  <si>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</si>
  <si>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</si>
  <si>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</si>
  <si>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</si>
  <si>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</si>
  <si>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</si>
  <si>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</si>
  <si>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</si>
  <si>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</si>
  <si>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</si>
  <si>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</si>
  <si>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</si>
  <si>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</si>
  <si>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</si>
  <si>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</si>
  <si>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</si>
  <si>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</si>
  <si>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</si>
  <si>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</si>
  <si>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</si>
  <si>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</si>
  <si>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</si>
  <si>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</si>
  <si>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</si>
  <si>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</si>
  <si>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</si>
  <si>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</si>
  <si>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</si>
  <si>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</si>
  <si>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</si>
  <si>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</si>
  <si>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</si>
  <si>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</si>
  <si>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</si>
  <si>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</si>
  <si>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</si>
  <si>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</si>
  <si>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</si>
  <si>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</si>
  <si>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</si>
  <si>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</si>
  <si>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</si>
  <si>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</si>
  <si>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</si>
  <si>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</si>
  <si>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</si>
  <si>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</si>
  <si>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</si>
  <si>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</si>
  <si>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</si>
  <si>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</si>
  <si>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</si>
  <si>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</si>
  <si>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</si>
  <si>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</si>
  <si>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</si>
  <si>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</si>
  <si>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</si>
  <si>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</si>
  <si>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</si>
  <si>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</si>
  <si>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</si>
  <si>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</si>
  <si>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</si>
  <si>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</si>
  <si>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</si>
  <si>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</si>
  <si>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</si>
  <si>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</si>
  <si>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</si>
  <si>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</si>
  <si>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</si>
  <si>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</si>
  <si>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</si>
  <si>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</si>
  <si>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</si>
  <si>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</si>
  <si>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</si>
  <si>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</si>
  <si>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</si>
  <si>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</si>
  <si>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</si>
  <si>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</si>
  <si>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</si>
  <si>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</si>
  <si>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</si>
  <si>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</si>
  <si>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</si>
  <si>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</si>
  <si>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</si>
  <si>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</si>
  <si>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</si>
  <si>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</si>
  <si>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</si>
  <si>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</si>
  <si>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</si>
  <si>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</si>
  <si>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</si>
  <si>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</si>
  <si>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</si>
  <si>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</si>
  <si>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</si>
  <si>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</si>
  <si>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</si>
  <si>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</si>
  <si>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</si>
  <si>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</si>
  <si>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</si>
  <si>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</si>
  <si>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</si>
  <si>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</si>
  <si>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</si>
  <si>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</si>
  <si>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</si>
  <si>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</si>
  <si>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</si>
  <si>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</si>
  <si>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</si>
  <si>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</si>
  <si>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</si>
  <si>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</si>
  <si>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</si>
  <si>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</si>
  <si>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</si>
  <si>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</si>
  <si>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</si>
  <si>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</si>
  <si>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</si>
  <si>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</si>
  <si>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</si>
  <si>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</si>
  <si>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</si>
  <si>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</si>
  <si>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</si>
  <si>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</si>
  <si>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</si>
  <si>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</si>
  <si>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</si>
  <si>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</si>
  <si>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</si>
  <si>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</si>
  <si>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</si>
  <si>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</si>
  <si>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</si>
  <si>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</si>
  <si>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</si>
  <si>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</si>
  <si>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</si>
  <si>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</si>
  <si>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</si>
  <si>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</si>
  <si>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</si>
  <si>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</si>
  <si>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</si>
  <si>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</si>
  <si>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</si>
  <si>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</si>
  <si>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</si>
  <si>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</si>
  <si>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</si>
  <si>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</si>
  <si>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</si>
  <si>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</si>
  <si>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</si>
  <si>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</si>
  <si>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</si>
  <si>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</si>
  <si>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</si>
  <si>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</si>
  <si>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</si>
  <si>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</si>
  <si>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</si>
  <si>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</si>
  <si>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</si>
  <si>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</si>
  <si>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</si>
  <si>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</si>
  <si>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</si>
  <si>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</si>
  <si>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</si>
  <si>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</si>
  <si>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</si>
  <si>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</si>
  <si>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</si>
  <si>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</si>
  <si>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</si>
  <si>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</si>
  <si>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</si>
  <si>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</si>
  <si>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</si>
  <si>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</si>
  <si>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</si>
  <si>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</si>
  <si>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</si>
  <si>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</si>
  <si>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</si>
  <si>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</si>
  <si>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</si>
  <si>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</si>
  <si>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</si>
  <si>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</si>
  <si>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</si>
  <si>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</si>
  <si>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</si>
  <si>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</si>
  <si>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</si>
  <si>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</si>
  <si>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</si>
  <si>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</si>
  <si>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</si>
  <si>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</si>
  <si>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</si>
  <si>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</si>
  <si>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</si>
  <si>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</si>
  <si>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</si>
  <si>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</si>
  <si>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</si>
  <si>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</si>
  <si>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</si>
  <si>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</si>
  <si>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</si>
  <si>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</si>
  <si>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</si>
  <si>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</si>
  <si>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</si>
  <si>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</si>
  <si>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</si>
  <si>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</si>
  <si>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</si>
  <si>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</si>
  <si>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</si>
  <si>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</si>
  <si>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</si>
  <si>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</si>
  <si>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</si>
  <si>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</si>
  <si>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</si>
  <si>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</si>
  <si>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</si>
  <si>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</si>
  <si>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</si>
  <si>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</si>
  <si>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</si>
  <si>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</si>
  <si>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</si>
  <si>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</si>
  <si>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</si>
  <si>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</si>
  <si>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</si>
  <si>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</si>
  <si>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</si>
  <si>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</si>
  <si>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</si>
  <si>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</si>
  <si>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</si>
  <si>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</si>
  <si>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</si>
  <si>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</si>
  <si>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</si>
  <si>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</si>
  <si>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</si>
  <si>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</si>
  <si>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</si>
  <si>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</si>
  <si>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</si>
  <si>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</si>
  <si>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</si>
  <si>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</si>
  <si>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</si>
  <si>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</si>
  <si>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</si>
  <si>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</si>
  <si>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</si>
  <si>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</si>
  <si>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</si>
  <si>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</si>
  <si>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</si>
  <si>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</si>
  <si>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</si>
  <si>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</si>
  <si>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</si>
  <si>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</si>
  <si>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</si>
  <si>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</si>
  <si>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</si>
  <si>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</si>
  <si>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</si>
  <si>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</si>
  <si>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</si>
  <si>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</si>
  <si>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</si>
  <si>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</si>
  <si>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</si>
  <si>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</si>
  <si>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</si>
  <si>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</si>
  <si>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</si>
  <si>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</si>
  <si>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</si>
  <si>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</si>
  <si>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</si>
  <si>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</si>
  <si>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</si>
  <si>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</si>
  <si>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</si>
  <si>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</si>
  <si>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</si>
  <si>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</si>
  <si>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</si>
  <si>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</si>
  <si>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</si>
  <si>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</si>
  <si>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</si>
  <si>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</si>
  <si>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</si>
  <si>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</si>
  <si>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</si>
  <si>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</si>
  <si>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</si>
  <si>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</si>
  <si>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</si>
  <si>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</si>
  <si>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</si>
  <si>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</si>
  <si>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</si>
  <si>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</si>
  <si>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</si>
  <si>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</si>
  <si>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</si>
  <si>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</si>
  <si>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</si>
  <si>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</si>
  <si>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</si>
  <si>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</si>
  <si>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</si>
  <si>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</si>
  <si>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</si>
  <si>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</si>
  <si>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</si>
  <si>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</si>
  <si>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</si>
  <si>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</si>
  <si>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</si>
  <si>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</si>
  <si>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</si>
  <si>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</si>
  <si>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</si>
  <si>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</si>
  <si>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</si>
  <si>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</si>
  <si>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</si>
  <si>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</si>
  <si>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</si>
  <si>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</si>
  <si>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</si>
  <si>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</si>
  <si>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</si>
  <si>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</si>
  <si>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</si>
  <si>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</si>
  <si>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</si>
  <si>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</si>
  <si>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</si>
  <si>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</si>
  <si>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</si>
  <si>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</si>
  <si>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</si>
  <si>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</si>
  <si>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</si>
  <si>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</si>
  <si>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</si>
  <si>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</si>
  <si>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</si>
  <si>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</si>
  <si>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</si>
  <si>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</si>
  <si>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</si>
  <si>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</si>
  <si>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</si>
  <si>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</si>
  <si>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</si>
  <si>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</si>
  <si>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</si>
  <si>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</si>
  <si>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</si>
  <si>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</si>
  <si>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</si>
  <si>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</si>
  <si>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</si>
  <si>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</si>
  <si>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</si>
  <si>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</si>
  <si>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</si>
  <si>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</si>
  <si>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</si>
  <si>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</si>
  <si>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</si>
  <si>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</si>
  <si>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</si>
  <si>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</si>
  <si>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</si>
  <si>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</si>
  <si>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</si>
  <si>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</si>
  <si>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</si>
  <si>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</si>
  <si>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</si>
  <si>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</si>
  <si>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</si>
  <si>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</si>
  <si>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</si>
  <si>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</si>
  <si>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</si>
  <si>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</si>
  <si>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</si>
  <si>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</si>
  <si>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</si>
  <si>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</si>
  <si>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</si>
  <si>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</si>
  <si>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</si>
  <si>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</si>
  <si>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</si>
  <si>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</si>
  <si>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</si>
  <si>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</si>
  <si>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</si>
  <si>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</si>
  <si>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</si>
  <si>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</si>
  <si>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</si>
  <si>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</si>
  <si>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</si>
  <si>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</si>
  <si>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</si>
  <si>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</si>
  <si>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</si>
  <si>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</si>
  <si>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</si>
  <si>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</si>
  <si>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</si>
  <si>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</si>
  <si>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</si>
  <si>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</si>
  <si>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</si>
  <si>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</si>
  <si>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</si>
  <si>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</si>
  <si>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</si>
  <si>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</si>
  <si>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</si>
  <si>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</si>
  <si>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</si>
  <si>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</si>
  <si>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</si>
  <si>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</si>
  <si>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</si>
  <si>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</si>
  <si>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</si>
  <si>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</si>
  <si>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</si>
  <si>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</si>
  <si>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</si>
  <si>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</si>
  <si>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</si>
  <si>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</si>
  <si>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</si>
  <si>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</si>
  <si>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</si>
  <si>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</si>
  <si>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</si>
  <si>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</si>
  <si>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</si>
  <si>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</si>
  <si>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</si>
  <si>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</si>
  <si>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</si>
  <si>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</si>
  <si>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</si>
  <si>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</si>
  <si>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</si>
  <si>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</si>
  <si>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</si>
  <si>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</si>
  <si>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</si>
  <si>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</si>
  <si>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</si>
  <si>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</si>
  <si>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</si>
  <si>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</si>
  <si>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</si>
  <si>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</si>
  <si>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</si>
  <si>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</si>
  <si>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</si>
  <si>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</si>
  <si>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</si>
  <si>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</si>
  <si>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</si>
  <si>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</si>
  <si>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</si>
  <si>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</si>
  <si>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</si>
  <si>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</si>
  <si>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</si>
  <si>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</si>
  <si>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</si>
  <si>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</si>
  <si>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</si>
  <si>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</si>
  <si>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</si>
  <si>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</si>
  <si>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</si>
  <si>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</si>
  <si>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</si>
  <si>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</si>
  <si>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</si>
  <si>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</si>
  <si>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</si>
  <si>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</si>
  <si>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</si>
  <si>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</si>
  <si>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</si>
  <si>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</si>
  <si>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</si>
  <si>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</si>
  <si>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</si>
  <si>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</si>
  <si>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</si>
  <si>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</si>
  <si>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</si>
  <si>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</si>
  <si>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</si>
  <si>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</si>
  <si>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</si>
  <si>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</si>
  <si>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</si>
  <si>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</si>
  <si>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</si>
  <si>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</si>
  <si>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</si>
  <si>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</si>
  <si>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</si>
  <si>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</si>
  <si>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</si>
  <si>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</si>
  <si>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</si>
  <si>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</si>
  <si>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</si>
  <si>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</si>
  <si>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</si>
  <si>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</si>
  <si>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</si>
  <si>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</si>
  <si>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</si>
  <si>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</si>
  <si>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</si>
  <si>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</si>
  <si>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</si>
  <si>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</si>
  <si>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</si>
  <si>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</si>
  <si>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</si>
  <si>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</si>
  <si>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</si>
  <si>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</si>
  <si>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</si>
  <si>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</si>
  <si>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</si>
  <si>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</si>
  <si>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</si>
  <si>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</si>
  <si>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</si>
  <si>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</si>
  <si>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</si>
  <si>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</si>
  <si>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</si>
  <si>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</si>
  <si>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</si>
  <si>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</si>
  <si>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</si>
  <si>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</si>
  <si>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</si>
  <si>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</si>
  <si>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</si>
  <si>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</si>
  <si>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</si>
  <si>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</si>
  <si>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</si>
  <si>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</si>
  <si>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</si>
  <si>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</si>
  <si>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</si>
  <si>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</si>
  <si>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</si>
  <si>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</si>
  <si>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</si>
  <si>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</si>
  <si>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</si>
  <si>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</si>
  <si>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</si>
  <si>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</si>
  <si>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</si>
  <si>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</si>
  <si>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</si>
  <si>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</si>
  <si>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</si>
  <si>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</si>
  <si>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</si>
  <si>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</si>
  <si>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</si>
  <si>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</si>
  <si>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</si>
  <si>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</si>
  <si>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</si>
  <si>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</si>
  <si>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</si>
  <si>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</si>
  <si>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</si>
  <si>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</si>
  <si>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</si>
  <si>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</si>
  <si>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</si>
  <si>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</si>
  <si>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</si>
  <si>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</si>
  <si>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</si>
  <si>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</si>
  <si>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</si>
  <si>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</si>
  <si>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</si>
  <si>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</si>
  <si>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</si>
  <si>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</si>
  <si>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</si>
  <si>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</si>
  <si>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</si>
  <si>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</si>
  <si>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</si>
  <si>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</si>
  <si>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</si>
  <si>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</si>
  <si>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</si>
  <si>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</si>
  <si>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</si>
  <si>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</si>
  <si>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</si>
  <si>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</si>
  <si>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</si>
  <si>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</si>
  <si>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</si>
  <si>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</si>
  <si>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</si>
  <si>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</si>
  <si>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</si>
  <si>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</si>
  <si>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</si>
  <si>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</si>
  <si>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</si>
  <si>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</si>
  <si>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</si>
  <si>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</si>
  <si>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</si>
  <si>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</si>
  <si>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</si>
  <si>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</si>
  <si>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</si>
  <si>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</si>
  <si>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</si>
  <si>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</si>
  <si>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</si>
  <si>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</si>
  <si>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</si>
  <si>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</si>
  <si>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</si>
  <si>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</si>
  <si>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</si>
  <si>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</si>
  <si>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</si>
  <si>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</si>
  <si>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</si>
  <si>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</si>
  <si>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</si>
  <si>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</si>
  <si>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</si>
  <si>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</si>
  <si>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</si>
  <si>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</si>
  <si>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</si>
  <si>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</si>
  <si>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</si>
  <si>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</si>
  <si>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</si>
  <si>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</si>
  <si>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</si>
  <si>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</si>
  <si>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</si>
  <si>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</si>
  <si>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</si>
  <si>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</si>
  <si>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</si>
  <si>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</si>
  <si>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</si>
  <si>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</si>
  <si>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</si>
  <si>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</si>
  <si>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</si>
  <si>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</si>
  <si>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</si>
  <si>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</si>
  <si>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</si>
  <si>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</si>
  <si>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</si>
  <si>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</si>
  <si>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</si>
  <si>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</si>
  <si>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</si>
  <si>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</si>
  <si>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</si>
  <si>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</si>
  <si>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</si>
  <si>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</si>
  <si>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</si>
  <si>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</si>
  <si>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</si>
  <si>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</si>
  <si>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</si>
  <si>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</si>
  <si>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</si>
  <si>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</si>
  <si>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</si>
  <si>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</si>
  <si>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</si>
  <si>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</si>
  <si>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</si>
  <si>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</si>
  <si>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</si>
  <si>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</si>
  <si>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</si>
  <si>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</si>
  <si>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</si>
  <si>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</si>
  <si>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</si>
  <si>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</si>
  <si>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</si>
  <si>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</si>
  <si>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</si>
  <si>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</si>
  <si>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</si>
  <si>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</si>
  <si>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</si>
  <si>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</si>
  <si>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</si>
  <si>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</si>
  <si>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</si>
  <si>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</si>
  <si>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</si>
  <si>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</si>
  <si>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</si>
  <si>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</si>
  <si>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</si>
  <si>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</si>
  <si>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</si>
  <si>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</si>
  <si>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</si>
  <si>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</si>
  <si>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</si>
  <si>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</si>
  <si>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</si>
  <si>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</si>
  <si>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</si>
  <si>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</si>
  <si>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</si>
  <si>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</si>
  <si>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</si>
  <si>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</si>
  <si>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</si>
  <si>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</si>
  <si>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</si>
  <si>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</si>
  <si>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</si>
  <si>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</si>
  <si>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</si>
  <si>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</si>
  <si>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</si>
  <si>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</si>
  <si>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</si>
  <si>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</si>
  <si>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</si>
  <si>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</si>
  <si>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</si>
  <si>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</si>
  <si>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</si>
  <si>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</si>
  <si>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</si>
  <si>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</si>
  <si>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</si>
  <si>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</si>
  <si>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</si>
  <si>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</si>
  <si>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</si>
  <si>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</si>
  <si>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</si>
  <si>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</si>
  <si>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</si>
  <si>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</si>
  <si>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</si>
  <si>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</si>
  <si>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</si>
  <si>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</si>
  <si>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</si>
  <si>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</si>
  <si>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</si>
  <si>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</si>
  <si>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</si>
  <si>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</si>
  <si>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</si>
  <si>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</si>
  <si>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</si>
  <si>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</si>
  <si>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</si>
  <si>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</si>
  <si>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</si>
  <si>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</si>
  <si>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</si>
  <si>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</si>
  <si>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</si>
  <si>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</si>
  <si>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</si>
  <si>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</si>
  <si>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</si>
  <si>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</si>
  <si>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</si>
  <si>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</si>
  <si>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</si>
  <si>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</si>
  <si>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</si>
  <si>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</si>
  <si>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</si>
  <si>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</si>
  <si>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</si>
  <si>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</si>
  <si>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</si>
  <si>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</si>
  <si>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</si>
  <si>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</si>
  <si>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</si>
  <si>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</si>
  <si>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</si>
  <si>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</si>
  <si>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</si>
  <si>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</si>
  <si>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</si>
  <si>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</si>
  <si>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</si>
  <si>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</si>
  <si>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</si>
  <si>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</si>
  <si>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</si>
  <si>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</si>
  <si>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</si>
  <si>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</si>
  <si>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</si>
  <si>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</si>
  <si>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</si>
  <si>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</si>
  <si>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</si>
  <si>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</si>
  <si>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</si>
  <si>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</si>
  <si>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</si>
  <si>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</si>
  <si>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</si>
  <si>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</si>
  <si>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</si>
  <si>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</si>
  <si>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</si>
  <si>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</si>
  <si>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</si>
  <si>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</si>
  <si>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</si>
  <si>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</si>
  <si>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</si>
  <si>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</si>
  <si>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</si>
  <si>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</si>
  <si>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</si>
  <si>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</si>
  <si>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</si>
  <si>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</si>
  <si>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</si>
  <si>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</si>
  <si>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</si>
  <si>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</si>
  <si>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</si>
  <si>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</si>
  <si>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</si>
  <si>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</si>
  <si>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</si>
  <si>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</si>
  <si>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</si>
  <si>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</si>
  <si>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</si>
  <si>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</si>
  <si>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</si>
  <si>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</si>
  <si>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</si>
  <si>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</si>
  <si>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</si>
  <si>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</si>
  <si>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</si>
  <si>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</si>
  <si>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</si>
  <si>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</si>
  <si>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</si>
  <si>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</si>
  <si>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</si>
  <si>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</si>
  <si>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</si>
  <si>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</si>
  <si>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</si>
  <si>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</si>
  <si>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</si>
  <si>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</si>
  <si>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</si>
  <si>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</si>
  <si>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</si>
  <si>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</si>
  <si>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</si>
  <si>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</si>
  <si>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</si>
  <si>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</si>
  <si>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</si>
  <si>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</si>
  <si>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</si>
  <si>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</si>
  <si>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</si>
  <si>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</si>
  <si>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</si>
  <si>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</si>
  <si>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</si>
  <si>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</si>
  <si>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</si>
  <si>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</si>
  <si>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</si>
  <si>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</si>
  <si>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</si>
  <si>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</si>
  <si>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</si>
  <si>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</si>
  <si>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</si>
  <si>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</si>
  <si>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</si>
  <si>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</si>
  <si>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</si>
  <si>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</si>
  <si>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</si>
  <si>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</si>
  <si>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</si>
  <si>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</si>
  <si>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</si>
  <si>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</si>
  <si>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</si>
  <si>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</si>
  <si>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</si>
  <si>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</si>
  <si>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</si>
  <si>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</si>
  <si>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</si>
  <si>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</si>
  <si>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</si>
  <si>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</si>
  <si>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</si>
  <si>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</si>
  <si>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</si>
  <si>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</si>
  <si>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</si>
  <si>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</si>
  <si>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</si>
  <si>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</si>
  <si>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</si>
  <si>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</si>
  <si>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</si>
  <si>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</si>
  <si>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</si>
  <si>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</si>
  <si>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</si>
  <si>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</si>
  <si>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</si>
  <si>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</si>
  <si>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</si>
  <si>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</si>
  <si>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</si>
  <si>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</si>
  <si>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</si>
  <si>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</si>
  <si>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</si>
  <si>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</si>
  <si>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</si>
  <si>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</si>
  <si>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</si>
  <si>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</si>
  <si>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</si>
  <si>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</si>
  <si>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</si>
  <si>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</si>
  <si>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</si>
  <si>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</si>
  <si>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</si>
  <si>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</si>
  <si>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</si>
  <si>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</si>
  <si>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</si>
  <si>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</si>
  <si>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</si>
  <si>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</si>
  <si>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</si>
  <si>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</si>
  <si>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</si>
  <si>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</si>
  <si>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</si>
  <si>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</si>
  <si>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</si>
  <si>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</si>
  <si>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</si>
  <si>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</si>
  <si>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</si>
  <si>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</si>
  <si>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</si>
  <si>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</si>
  <si>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</si>
  <si>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</si>
  <si>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</si>
  <si>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</si>
  <si>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</si>
  <si>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</si>
  <si>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</si>
  <si>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</si>
  <si>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</si>
  <si>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</si>
  <si>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</si>
  <si>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</si>
  <si>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</si>
  <si>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</si>
  <si>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</si>
  <si>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</si>
  <si>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</si>
  <si>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</si>
  <si>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</si>
  <si>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</si>
  <si>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</si>
  <si>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</si>
  <si>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</si>
  <si>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</si>
  <si>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</si>
  <si>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</si>
  <si>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</si>
  <si>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</si>
  <si>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</si>
  <si>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</si>
  <si>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</si>
  <si>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</si>
  <si>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</si>
  <si>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</si>
  <si>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</si>
  <si>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</si>
  <si>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</si>
  <si>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</si>
  <si>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</si>
  <si>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</si>
  <si>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</si>
  <si>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</si>
  <si>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</si>
  <si>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</si>
  <si>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</si>
  <si>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</si>
  <si>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</si>
  <si>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</si>
  <si>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</si>
  <si>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</si>
  <si>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</si>
  <si>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</si>
  <si>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</si>
  <si>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</si>
  <si>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</si>
  <si>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</si>
  <si>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</si>
  <si>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</si>
  <si>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</si>
  <si>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</si>
  <si>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</si>
  <si>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</si>
  <si>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</si>
  <si>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</si>
  <si>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</si>
  <si>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</si>
  <si>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</si>
  <si>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</si>
  <si>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</si>
  <si>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</si>
  <si>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</si>
  <si>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</si>
  <si>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</si>
  <si>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</si>
  <si>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</si>
  <si>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</si>
  <si>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</si>
  <si>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</si>
  <si>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</si>
  <si>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</si>
  <si>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</si>
  <si>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</si>
  <si>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</si>
  <si>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</si>
  <si>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</si>
  <si>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</si>
  <si>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</si>
  <si>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</si>
  <si>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</si>
  <si>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</si>
  <si>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</si>
  <si>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</si>
  <si>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</si>
  <si>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</si>
  <si>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</si>
  <si>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</si>
  <si>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</si>
  <si>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</si>
  <si>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</si>
  <si>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</si>
  <si>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</si>
  <si>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</si>
  <si>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</si>
  <si>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</si>
  <si>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</si>
  <si>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</si>
  <si>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</si>
  <si>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</si>
  <si>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</si>
  <si>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</si>
  <si>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</si>
  <si>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</si>
  <si>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</si>
  <si>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</si>
  <si>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</si>
  <si>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</si>
  <si>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</si>
  <si>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</si>
  <si>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</si>
  <si>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</si>
  <si>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</si>
  <si>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</si>
  <si>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</si>
  <si>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</si>
  <si>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</si>
  <si>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</si>
  <si>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</si>
  <si>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</si>
  <si>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</si>
  <si>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</si>
  <si>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</si>
  <si>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</si>
  <si>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</si>
  <si>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</si>
  <si>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</si>
  <si>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</si>
  <si>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</si>
  <si>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</si>
  <si>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</si>
  <si>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</si>
  <si>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</si>
  <si>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</si>
  <si>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</si>
  <si>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</si>
  <si>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</si>
  <si>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</si>
  <si>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</si>
  <si>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</si>
  <si>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</si>
  <si>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</si>
  <si>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</si>
  <si>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</si>
  <si>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</si>
  <si>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</si>
  <si>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</si>
  <si>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</si>
  <si>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</si>
  <si>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</si>
  <si>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</si>
  <si>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</si>
  <si>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</si>
  <si>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</si>
  <si>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</si>
  <si>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</si>
  <si>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</si>
  <si>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</si>
  <si>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</si>
  <si>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</si>
  <si>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</si>
  <si>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</si>
  <si>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</si>
  <si>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</si>
  <si>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</si>
  <si>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</si>
  <si>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</si>
  <si>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</si>
  <si>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</si>
  <si>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</si>
  <si>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</si>
  <si>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</si>
  <si>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</si>
  <si>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</si>
  <si>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</si>
  <si>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</si>
  <si>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</si>
  <si>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</si>
  <si>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</si>
  <si>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</si>
  <si>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</si>
  <si>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</si>
  <si>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</si>
  <si>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</si>
  <si>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</si>
  <si>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</si>
  <si>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</si>
  <si>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</si>
  <si>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</si>
  <si>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</si>
  <si>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</si>
  <si>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</si>
  <si>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</si>
  <si>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</si>
  <si>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</si>
  <si>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</si>
  <si>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</si>
  <si>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</si>
  <si>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</si>
  <si>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</si>
  <si>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</si>
  <si>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</si>
  <si>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</si>
  <si>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</si>
  <si>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</si>
  <si>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</si>
  <si>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</si>
  <si>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</si>
  <si>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</si>
  <si>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</si>
  <si>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</si>
  <si>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</si>
  <si>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</si>
  <si>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</si>
  <si>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</si>
  <si>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</si>
  <si>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</si>
  <si>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</si>
  <si>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</si>
  <si>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</si>
  <si>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</si>
  <si>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</si>
  <si>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</si>
  <si>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</si>
  <si>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</si>
  <si>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</si>
  <si>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</si>
  <si>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</si>
  <si>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</si>
  <si>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</si>
  <si>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</si>
  <si>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</si>
  <si>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</si>
  <si>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</si>
  <si>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</si>
  <si>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</si>
  <si>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</si>
  <si>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</si>
  <si>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</si>
  <si>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</si>
  <si>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</si>
  <si>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</si>
  <si>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</si>
  <si>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</si>
  <si>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</si>
  <si>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</si>
  <si>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</si>
  <si>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</si>
  <si>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</si>
  <si>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</si>
  <si>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</si>
  <si>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</si>
  <si>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</si>
  <si>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</si>
  <si>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</si>
  <si>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</si>
  <si>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</si>
  <si>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</si>
  <si>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</si>
  <si>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</si>
  <si>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</si>
  <si>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</si>
  <si>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</si>
  <si>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</si>
  <si>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</si>
  <si>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</si>
  <si>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</si>
  <si>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</si>
  <si>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</si>
  <si>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</si>
  <si>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</si>
  <si>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</si>
  <si>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</si>
  <si>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</si>
  <si>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</si>
  <si>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</si>
  <si>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</si>
  <si>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</si>
  <si>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</si>
  <si>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</si>
  <si>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</si>
  <si>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</si>
  <si>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</si>
  <si>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</si>
  <si>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</si>
  <si>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</si>
  <si>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</si>
  <si>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</si>
  <si>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</si>
  <si>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</si>
  <si>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</si>
  <si>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</si>
  <si>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</si>
  <si>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</si>
  <si>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</si>
  <si>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</si>
  <si>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</si>
  <si>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</si>
  <si>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</si>
  <si>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</si>
  <si>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</si>
  <si>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</si>
  <si>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</si>
  <si>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</si>
  <si>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</si>
  <si>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</si>
  <si>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</si>
  <si>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</si>
  <si>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</si>
  <si>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</si>
  <si>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</si>
  <si>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</si>
  <si>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</si>
  <si>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</si>
  <si>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</si>
  <si>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</si>
  <si>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</si>
  <si>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</si>
  <si>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</si>
  <si>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</si>
  <si>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</si>
  <si>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</si>
  <si>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</si>
  <si>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</si>
  <si>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</si>
  <si>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</si>
  <si>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</si>
  <si>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</si>
  <si>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</si>
  <si>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</si>
  <si>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</si>
  <si>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</si>
  <si>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</si>
  <si>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</si>
  <si>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</si>
  <si>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</si>
  <si>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</si>
  <si>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</si>
  <si>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</si>
  <si>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</si>
  <si>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</si>
  <si>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</si>
  <si>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</si>
  <si>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</si>
  <si>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</si>
  <si>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</si>
  <si>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</si>
  <si>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</si>
  <si>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</si>
  <si>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</si>
  <si>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</si>
  <si>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</si>
  <si>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</si>
  <si>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</si>
  <si>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</si>
  <si>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</si>
  <si>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</si>
  <si>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</si>
  <si>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</si>
  <si>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</si>
  <si>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</si>
  <si>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</si>
  <si>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</si>
  <si>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</si>
  <si>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</si>
  <si>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</si>
  <si>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</si>
  <si>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</si>
  <si>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</si>
  <si>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</si>
  <si>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</si>
  <si>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</si>
  <si>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</si>
  <si>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</si>
  <si>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</si>
  <si>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</si>
  <si>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</si>
  <si>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</si>
  <si>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</si>
  <si>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</si>
  <si>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</si>
  <si>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</si>
  <si>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</si>
  <si>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</si>
  <si>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</si>
  <si>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</si>
  <si>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</si>
  <si>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</si>
  <si>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</si>
  <si>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</si>
  <si>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</si>
  <si>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</si>
  <si>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</si>
  <si>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</si>
  <si>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</si>
  <si>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</si>
  <si>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</si>
  <si>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</si>
  <si>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</si>
  <si>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</si>
  <si>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</si>
  <si>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</si>
  <si>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</si>
  <si>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</si>
  <si>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</si>
  <si>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</si>
  <si>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</si>
  <si>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</si>
  <si>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</si>
  <si>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</si>
  <si>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</si>
  <si>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</si>
  <si>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</si>
  <si>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</si>
  <si>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</si>
  <si>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</si>
  <si>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</si>
  <si>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</si>
  <si>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</si>
  <si>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</si>
  <si>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</si>
  <si>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</si>
  <si>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</si>
  <si>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</si>
  <si>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</si>
  <si>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</si>
  <si>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</si>
  <si>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</si>
  <si>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</si>
  <si>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</si>
  <si>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</si>
  <si>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</si>
  <si>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</si>
  <si>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</si>
  <si>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</si>
  <si>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</si>
  <si>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</si>
  <si>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</si>
  <si>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</si>
  <si>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</si>
  <si>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</si>
  <si>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</si>
  <si>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</si>
  <si>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</si>
  <si>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</si>
  <si>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</si>
  <si>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</si>
  <si>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</si>
  <si>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</si>
  <si>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</si>
  <si>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</si>
  <si>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</si>
  <si>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</si>
  <si>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</si>
  <si>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</si>
  <si>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</si>
  <si>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</si>
  <si>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</si>
  <si>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</si>
  <si>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</si>
  <si>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</si>
  <si>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</si>
  <si>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</si>
  <si>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</si>
  <si>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</si>
  <si>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</si>
  <si>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</si>
  <si>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</si>
  <si>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</si>
  <si>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</si>
  <si>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</si>
  <si>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</si>
  <si>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</si>
  <si>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</si>
  <si>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</si>
  <si>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</si>
  <si>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</si>
  <si>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</si>
  <si>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</si>
  <si>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</si>
  <si>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</si>
  <si>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</si>
  <si>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</si>
  <si>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</si>
  <si>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</si>
  <si>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</si>
  <si>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</si>
  <si>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</si>
  <si>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</si>
  <si>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</si>
  <si>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</si>
  <si>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</si>
  <si>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</si>
  <si>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</si>
  <si>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</si>
  <si>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</si>
  <si>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</si>
  <si>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</si>
  <si>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</si>
  <si>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</si>
  <si>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</si>
  <si>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</si>
  <si>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</si>
  <si>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</si>
  <si>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</si>
  <si>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</si>
  <si>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</si>
  <si>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</si>
  <si>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</si>
  <si>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</si>
  <si>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</si>
  <si>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</si>
  <si>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</si>
  <si>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</si>
  <si>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</si>
  <si>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</si>
  <si>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</si>
  <si>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</si>
  <si>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</si>
  <si>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</si>
  <si>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</si>
  <si>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</si>
  <si>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</si>
  <si>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</si>
  <si>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</si>
  <si>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</si>
  <si>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</si>
  <si>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</si>
  <si>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</si>
  <si>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</si>
  <si>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</si>
  <si>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</si>
  <si>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</si>
  <si>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</si>
  <si>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</si>
  <si>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</si>
  <si>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</si>
  <si>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</si>
  <si>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</si>
  <si>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</si>
  <si>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</si>
  <si>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</si>
  <si>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</si>
  <si>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</si>
  <si>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</si>
  <si>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</si>
  <si>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</si>
  <si>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</si>
  <si>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</si>
  <si>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</si>
  <si>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</si>
  <si>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</si>
  <si>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</si>
  <si>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</si>
  <si>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</si>
  <si>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</si>
  <si>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</si>
  <si>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</si>
  <si>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</si>
  <si>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</si>
  <si>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</si>
  <si>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</si>
  <si>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</si>
  <si>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</si>
  <si>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</si>
  <si>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</si>
  <si>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</si>
  <si>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</si>
  <si>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</si>
  <si>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</si>
  <si>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</si>
  <si>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</si>
  <si>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</si>
  <si>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</si>
  <si>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</si>
  <si>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</si>
  <si>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</si>
  <si>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</si>
  <si>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</si>
  <si>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</si>
  <si>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</si>
  <si>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</si>
  <si>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</si>
  <si>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</si>
  <si>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</si>
  <si>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</si>
  <si>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</si>
  <si>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</si>
  <si>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</si>
  <si>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</si>
  <si>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</si>
  <si>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</si>
  <si>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</si>
  <si>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</si>
  <si>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</si>
  <si>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</si>
  <si>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</si>
  <si>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</si>
  <si>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</si>
  <si>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</si>
  <si>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</si>
  <si>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</si>
  <si>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</si>
  <si>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</si>
  <si>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</si>
  <si>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</si>
  <si>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</si>
  <si>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</si>
  <si>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</si>
  <si>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</si>
  <si>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</si>
  <si>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</si>
  <si>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</si>
  <si>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</si>
  <si>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</si>
  <si>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</si>
  <si>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</si>
  <si>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</si>
  <si>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</si>
  <si>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</si>
  <si>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</si>
  <si>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</si>
  <si>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</si>
  <si>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</si>
  <si>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</si>
  <si>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</si>
  <si>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</si>
  <si>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</si>
  <si>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</si>
  <si>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</si>
  <si>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</si>
  <si>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</si>
  <si>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</si>
  <si>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</si>
  <si>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</si>
  <si>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</si>
  <si>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</si>
  <si>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</si>
  <si>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</si>
  <si>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</si>
  <si>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</si>
  <si>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</si>
  <si>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</si>
  <si>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</si>
  <si>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</si>
  <si>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</si>
  <si>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</si>
  <si>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</si>
  <si>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</si>
  <si>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</si>
  <si>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</si>
  <si>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</si>
  <si>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</si>
  <si>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</si>
  <si>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</si>
  <si>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</si>
  <si>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</si>
  <si>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</si>
  <si>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</si>
  <si>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</si>
  <si>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</si>
  <si>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</si>
  <si>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</si>
  <si>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</si>
  <si>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</si>
  <si>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</si>
  <si>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</si>
  <si>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</si>
  <si>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</si>
  <si>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</si>
  <si>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</si>
  <si>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</si>
  <si>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</si>
  <si>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</si>
  <si>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</si>
  <si>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</si>
  <si>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</si>
  <si>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</si>
  <si>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</si>
  <si>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</si>
  <si>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</si>
  <si>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</si>
  <si>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</si>
  <si>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</si>
  <si>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</si>
  <si>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</si>
  <si>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</si>
  <si>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</si>
  <si>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</si>
  <si>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</si>
  <si>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</si>
  <si>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</si>
  <si>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</si>
  <si>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</si>
  <si>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</si>
  <si>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</si>
  <si>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</si>
  <si>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</si>
  <si>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</si>
  <si>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</si>
  <si>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</si>
  <si>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</si>
  <si>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</si>
  <si>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</si>
  <si>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</si>
  <si>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</si>
  <si>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</si>
  <si>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</si>
  <si>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</si>
  <si>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</si>
  <si>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</si>
  <si>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</si>
  <si>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</si>
  <si>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</si>
  <si>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</si>
  <si>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</si>
  <si>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</si>
  <si>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</si>
  <si>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</si>
  <si>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</si>
  <si>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</si>
  <si>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</si>
  <si>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</si>
  <si>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</si>
  <si>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</si>
  <si>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</si>
  <si>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</si>
  <si>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</si>
  <si>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</si>
  <si>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</si>
  <si>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</si>
  <si>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</si>
  <si>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</si>
  <si>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</si>
  <si>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</si>
  <si>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</si>
  <si>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</si>
  <si>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</si>
  <si>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</si>
  <si>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</si>
  <si>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</si>
  <si>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</si>
  <si>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</si>
  <si>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</si>
  <si>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</si>
  <si>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</si>
  <si>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</si>
  <si>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</si>
  <si>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</si>
  <si>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</si>
  <si>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</si>
  <si>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</si>
  <si>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</si>
  <si>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</si>
  <si>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</si>
  <si>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</si>
  <si>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</si>
  <si>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</si>
  <si>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</si>
  <si>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</si>
  <si>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</si>
  <si>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</si>
  <si>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</si>
  <si>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</si>
  <si>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</si>
  <si>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</si>
  <si>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</si>
  <si>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</si>
  <si>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</si>
  <si>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</si>
  <si>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</si>
  <si>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</si>
  <si>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</si>
  <si>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</si>
  <si>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</si>
  <si>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</si>
  <si>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</si>
  <si>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</si>
  <si>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</si>
  <si>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</si>
  <si>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</si>
  <si>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</si>
  <si>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</si>
  <si>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</si>
  <si>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</si>
  <si>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</si>
  <si>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</si>
  <si>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</si>
  <si>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</si>
  <si>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</si>
  <si>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</si>
  <si>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</si>
  <si>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</si>
  <si>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</si>
  <si>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</si>
  <si>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</si>
  <si>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</si>
  <si>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</si>
  <si>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</si>
  <si>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</si>
  <si>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</si>
  <si>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</si>
  <si>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</si>
  <si>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</si>
  <si>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</si>
  <si>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</si>
  <si>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</si>
  <si>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</si>
  <si>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</si>
  <si>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</si>
  <si>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</si>
  <si>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</si>
  <si>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</si>
  <si>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</si>
  <si>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</si>
  <si>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</si>
  <si>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</si>
  <si>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</si>
  <si>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</si>
  <si>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</si>
  <si>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</si>
  <si>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</si>
  <si>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</si>
  <si>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</si>
  <si>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</si>
  <si>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</si>
  <si>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</si>
  <si>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</si>
  <si>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</si>
  <si>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</si>
  <si>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</si>
  <si>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</si>
  <si>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</si>
  <si>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</si>
  <si>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</si>
  <si>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</si>
  <si>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</si>
  <si>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</si>
  <si>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</si>
  <si>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</si>
  <si>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</si>
  <si>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</si>
  <si>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</si>
  <si>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</si>
  <si>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</si>
  <si>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</si>
  <si>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</si>
  <si>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</si>
  <si>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</si>
  <si>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</si>
  <si>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</si>
  <si>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</si>
  <si>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</si>
  <si>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</si>
  <si>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</si>
  <si>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</si>
  <si>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</si>
  <si>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</si>
  <si>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</si>
  <si>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</si>
  <si>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</si>
  <si>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</si>
  <si>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</si>
  <si>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</si>
  <si>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</si>
  <si>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</si>
  <si>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</si>
  <si>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</si>
  <si>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</si>
  <si>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</si>
  <si>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</si>
  <si>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</si>
  <si>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</si>
  <si>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</si>
  <si>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</si>
  <si>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</si>
  <si>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</si>
  <si>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</si>
  <si>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</si>
  <si>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</si>
  <si>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</si>
  <si>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</si>
  <si>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</si>
  <si>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</si>
  <si>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</si>
  <si>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</si>
  <si>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</si>
  <si>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</si>
  <si>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</si>
  <si>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</si>
  <si>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</si>
  <si>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</si>
  <si>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</si>
  <si>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</si>
  <si>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</si>
  <si>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</si>
  <si>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</si>
  <si>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</si>
  <si>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</si>
  <si>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</si>
  <si>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</si>
  <si>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</si>
  <si>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</si>
  <si>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</si>
  <si>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</si>
  <si>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</si>
  <si>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</si>
  <si>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</si>
  <si>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</si>
  <si>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</si>
  <si>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</si>
  <si>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</si>
  <si>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</si>
  <si>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</si>
  <si>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</si>
  <si>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</si>
  <si>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</si>
  <si>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</si>
  <si>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</si>
  <si>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</si>
  <si>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</si>
  <si>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</si>
  <si>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</si>
  <si>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</si>
  <si>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</si>
  <si>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</si>
  <si>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</si>
  <si>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</si>
  <si>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</si>
  <si>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</si>
  <si>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</si>
  <si>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</si>
  <si>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</si>
  <si>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</si>
  <si>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</si>
  <si>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</si>
  <si>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</si>
  <si>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</si>
  <si>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</si>
  <si>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</si>
  <si>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</si>
  <si>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</si>
  <si>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</si>
  <si>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</si>
  <si>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</si>
  <si>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</si>
  <si>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</si>
  <si>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</si>
  <si>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</si>
  <si>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</si>
  <si>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</si>
  <si>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</si>
  <si>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</si>
  <si>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</si>
  <si>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</si>
  <si>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</si>
  <si>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</si>
  <si>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</si>
  <si>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</si>
  <si>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</si>
  <si>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</si>
  <si>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</si>
  <si>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</si>
  <si>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</si>
  <si>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</si>
  <si>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</si>
  <si>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</si>
  <si>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</si>
  <si>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</si>
  <si>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</si>
  <si>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</si>
  <si>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</si>
  <si>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</si>
  <si>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</si>
  <si>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</si>
  <si>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</si>
  <si>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</si>
  <si>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</si>
  <si>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</si>
  <si>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</si>
  <si>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</si>
  <si>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</si>
  <si>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</si>
  <si>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</si>
  <si>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</si>
  <si>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</si>
  <si>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</si>
  <si>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</si>
  <si>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</si>
  <si>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</si>
  <si>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</si>
  <si>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</si>
  <si>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</si>
  <si>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</si>
  <si>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</si>
  <si>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</si>
  <si>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</si>
  <si>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</si>
  <si>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</si>
  <si>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</si>
  <si>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</si>
  <si>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</si>
  <si>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</si>
  <si>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</si>
  <si>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</si>
  <si>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</si>
  <si>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</si>
  <si>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</si>
  <si>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</si>
  <si>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</si>
  <si>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</si>
  <si>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</si>
  <si>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</si>
  <si>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</si>
  <si>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</si>
  <si>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</si>
  <si>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</si>
  <si>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</si>
  <si>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</si>
  <si>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</si>
  <si>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</si>
  <si>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</si>
  <si>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</si>
  <si>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</si>
  <si>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</si>
  <si>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</si>
  <si>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</si>
  <si>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</si>
  <si>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</si>
  <si>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</si>
  <si>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</si>
  <si>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</si>
  <si>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</si>
  <si>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</si>
  <si>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</si>
  <si>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</si>
  <si>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</si>
  <si>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</si>
  <si>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</si>
  <si>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</si>
  <si>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</si>
  <si>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</si>
  <si>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</si>
  <si>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</si>
  <si>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</si>
  <si>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</si>
  <si>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</si>
  <si>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</si>
  <si>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</si>
  <si>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</si>
  <si>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</si>
  <si>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</si>
  <si>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</si>
  <si>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</si>
  <si>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</si>
  <si>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</si>
  <si>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</si>
  <si>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</si>
  <si>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</si>
  <si>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</si>
  <si>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</si>
  <si>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</si>
  <si>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</si>
  <si>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</si>
  <si>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</si>
  <si>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</si>
  <si>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</si>
  <si>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</si>
  <si>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</si>
  <si>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</si>
  <si>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</si>
  <si>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</si>
  <si>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</si>
  <si>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</si>
  <si>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</si>
  <si>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</si>
  <si>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</si>
  <si>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</si>
  <si>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</si>
  <si>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</si>
  <si>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</si>
  <si>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</si>
  <si>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</si>
  <si>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</si>
  <si>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</si>
  <si>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</si>
  <si>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</si>
  <si>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</si>
  <si>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</si>
  <si>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</si>
  <si>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</si>
  <si>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</si>
  <si>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</si>
  <si>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</si>
  <si>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</si>
  <si>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</si>
  <si>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</si>
  <si>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</si>
  <si>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</si>
  <si>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</si>
  <si>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</si>
  <si>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</si>
  <si>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</si>
  <si>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</si>
  <si>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</si>
  <si>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</si>
  <si>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</si>
  <si>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</si>
  <si>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</si>
  <si>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</si>
  <si>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</si>
  <si>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</si>
  <si>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</si>
  <si>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</si>
  <si>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</si>
  <si>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</si>
  <si>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</si>
  <si>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</si>
  <si>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</si>
  <si>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</si>
  <si>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</si>
  <si>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</si>
  <si>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</si>
  <si>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</si>
  <si>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</si>
  <si>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</si>
  <si>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</si>
  <si>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</si>
  <si>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</si>
  <si>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</si>
  <si>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</si>
  <si>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</si>
  <si>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</si>
  <si>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</si>
  <si>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</si>
  <si>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</si>
  <si>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</si>
  <si>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</si>
  <si>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</si>
  <si>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</si>
  <si>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</si>
  <si>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</si>
  <si>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</si>
  <si>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</si>
  <si>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</si>
  <si>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</si>
  <si>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</si>
  <si>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</si>
  <si>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</si>
  <si>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</si>
  <si>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</si>
  <si>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</si>
  <si>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</si>
  <si>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</si>
  <si>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</si>
  <si>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</si>
  <si>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</si>
  <si>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</si>
  <si>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</si>
  <si>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</si>
  <si>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</si>
  <si>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</si>
  <si>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</si>
  <si>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</si>
  <si>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</si>
  <si>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</si>
  <si>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</si>
  <si>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</si>
  <si>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</si>
  <si>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</si>
  <si>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</si>
  <si>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</si>
  <si>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</si>
  <si>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</si>
  <si>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</si>
  <si>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</si>
  <si>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</si>
  <si>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</si>
  <si>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</si>
  <si>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</si>
  <si>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</si>
  <si>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</si>
  <si>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</si>
  <si>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</si>
  <si>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</si>
  <si>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</si>
  <si>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</si>
  <si>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</si>
  <si>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</si>
  <si>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</si>
  <si>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</si>
  <si>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</si>
  <si>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</si>
  <si>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</si>
  <si>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</si>
  <si>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</si>
  <si>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</si>
  <si>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</si>
  <si>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</si>
  <si>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</si>
  <si>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</si>
  <si>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</si>
  <si>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</si>
  <si>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</si>
  <si>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</si>
  <si>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</si>
  <si>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</si>
  <si>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</si>
  <si>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</si>
  <si>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</si>
  <si>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</si>
  <si>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</si>
  <si>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</si>
  <si>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</si>
  <si>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</si>
  <si>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</si>
  <si>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</si>
  <si>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</si>
  <si>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</si>
  <si>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</si>
  <si>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</si>
  <si>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</si>
  <si>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</si>
  <si>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</si>
  <si>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</si>
  <si>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</si>
  <si>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</si>
  <si>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</si>
  <si>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</si>
  <si>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</si>
  <si>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</si>
  <si>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</si>
  <si>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</si>
  <si>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</si>
  <si>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</si>
  <si>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</si>
  <si>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</si>
  <si>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</si>
  <si>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</si>
  <si>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</si>
  <si>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</si>
  <si>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</si>
  <si>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</si>
  <si>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</si>
  <si>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</si>
  <si>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</si>
  <si>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</si>
  <si>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</si>
  <si>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</si>
  <si>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</si>
  <si>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</si>
  <si>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</si>
  <si>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</si>
  <si>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</si>
  <si>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</si>
  <si>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</si>
  <si>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</si>
  <si>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</si>
  <si>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</si>
  <si>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</si>
  <si>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</si>
  <si>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</si>
  <si>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</si>
  <si>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</si>
  <si>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</si>
  <si>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</si>
  <si>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</si>
  <si>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</si>
  <si>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</si>
  <si>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</si>
  <si>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</si>
  <si>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</si>
  <si>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</si>
  <si>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</si>
  <si>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</si>
  <si>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</si>
  <si>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</si>
  <si>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</si>
  <si>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</si>
  <si>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</si>
  <si>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</si>
  <si>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</si>
  <si>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</si>
  <si>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</si>
  <si>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</si>
  <si>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</si>
  <si>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</si>
  <si>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</si>
  <si>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</si>
  <si>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</si>
  <si>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</si>
  <si>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</si>
  <si>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</si>
  <si>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</si>
  <si>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</si>
  <si>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</si>
  <si>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</si>
  <si>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</si>
  <si>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</si>
  <si>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</si>
  <si>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</si>
  <si>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</si>
  <si>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</si>
  <si>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</si>
  <si>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</si>
  <si>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</si>
  <si>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</si>
  <si>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</si>
  <si>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</si>
  <si>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</si>
  <si>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</si>
  <si>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</si>
  <si>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</si>
  <si>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</si>
  <si>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</si>
  <si>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</si>
  <si>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</si>
  <si>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</si>
  <si>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</si>
  <si>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</si>
  <si>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</si>
  <si>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</si>
  <si>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</si>
  <si>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</si>
  <si>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</si>
  <si>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</si>
  <si>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</si>
  <si>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</si>
  <si>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</si>
  <si>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</si>
  <si>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</si>
  <si>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</si>
  <si>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</rPr>
      <t xml:space="preserve">higher education institution &gt; educational institution &gt; educational institution </t>
    </r>
    <r>
      <rPr>
        <sz val="10"/>
        <color rgb="FF000000"/>
        <rFont val="Arial"/>
      </rPr>
      <t>&gt; institution &gt; social structure</t>
    </r>
  </si>
  <si>
    <r>
      <rPr>
        <sz val="10"/>
        <color rgb="FF000000"/>
        <rFont val="Arial"/>
      </rPr>
      <t xml:space="preserve">higher education institution &gt; educational institution &gt; educational institution &gt; </t>
    </r>
    <r>
      <rPr>
        <sz val="10"/>
        <color rgb="FF000000"/>
        <rFont val="Arial"/>
      </rPr>
      <t>institution &gt; person or organization</t>
    </r>
  </si>
  <si>
    <r>
      <rPr>
        <sz val="10"/>
        <color rgb="FF000000"/>
        <rFont val="Arial"/>
      </rPr>
      <t>higher education institution &gt; educational institution &gt; educational institution &gt;</t>
    </r>
    <r>
      <rPr>
        <sz val="10"/>
        <color rgb="FF000000"/>
        <rFont val="Arial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</si>
  <si>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</si>
  <si>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</si>
  <si>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</si>
  <si>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</si>
  <si>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</si>
  <si>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</si>
  <si>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</si>
  <si>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</si>
  <si>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</si>
  <si>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</si>
  <si>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</si>
  <si>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social structure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</si>
  <si>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person or organization</t>
    </r>
  </si>
  <si>
    <r>
      <rPr>
        <sz val="10"/>
        <color rgb="FF000000"/>
        <rFont val="Arial"/>
      </rPr>
      <t xml:space="preserve">academic institution &gt; educational institution &gt; </t>
    </r>
    <r>
      <rPr>
        <sz val="10"/>
        <color rgb="FF000000"/>
        <rFont val="Arial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</si>
  <si>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</si>
  <si>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</si>
  <si>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</si>
  <si>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</si>
  <si>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</si>
  <si>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</si>
  <si>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</si>
  <si>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</si>
  <si>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</si>
  <si>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</si>
  <si>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</si>
  <si>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</si>
  <si>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</si>
  <si>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</si>
  <si>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</si>
  <si>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</si>
  <si>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</si>
  <si>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</si>
  <si>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</si>
  <si>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</si>
  <si>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</si>
  <si>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</si>
  <si>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</si>
  <si>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</si>
  <si>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</si>
  <si>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</si>
  <si>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</si>
  <si>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</si>
  <si>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</si>
  <si>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</si>
  <si>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</si>
  <si>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</si>
  <si>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</si>
  <si>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</si>
  <si>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</si>
  <si>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</si>
  <si>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</si>
  <si>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</si>
  <si>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</si>
  <si>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</si>
  <si>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</si>
  <si>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</si>
  <si>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</si>
  <si>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</si>
  <si>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</si>
  <si>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</si>
  <si>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</si>
  <si>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</si>
  <si>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</si>
  <si>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</si>
  <si>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</si>
  <si>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</si>
  <si>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</si>
  <si>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</si>
  <si>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</si>
  <si>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</si>
  <si>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</si>
  <si>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</si>
  <si>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</si>
  <si>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</si>
  <si>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</si>
  <si>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</si>
  <si>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</si>
  <si>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</si>
  <si>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</si>
  <si>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</si>
  <si>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</si>
  <si>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</si>
  <si>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</si>
  <si>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</si>
  <si>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</si>
  <si>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</si>
  <si>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</si>
  <si>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</si>
  <si>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</si>
  <si>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</si>
  <si>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</si>
  <si>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</si>
  <si>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</si>
  <si>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</si>
  <si>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</si>
  <si>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</si>
  <si>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</si>
  <si>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</si>
  <si>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</si>
  <si>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</si>
  <si>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</si>
  <si>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</si>
  <si>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</si>
  <si>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</si>
  <si>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</si>
  <si>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</si>
  <si>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</si>
  <si>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</si>
  <si>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</si>
  <si>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</si>
  <si>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</si>
  <si>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</si>
  <si>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</si>
  <si>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</si>
  <si>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</si>
  <si>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</si>
  <si>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</si>
  <si>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</si>
  <si>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</si>
  <si>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</si>
  <si>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</si>
  <si>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</si>
  <si>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</si>
  <si>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</si>
  <si>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</si>
  <si>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</si>
  <si>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</si>
  <si>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</si>
  <si>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</si>
  <si>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</si>
  <si>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</si>
  <si>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</si>
  <si>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</si>
  <si>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</si>
  <si>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</si>
  <si>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</si>
  <si>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</si>
  <si>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</si>
  <si>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</si>
  <si>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</si>
  <si>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</si>
  <si>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</si>
  <si>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</si>
  <si>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</si>
  <si>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</si>
  <si>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</si>
  <si>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</si>
  <si>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</si>
  <si>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</si>
  <si>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</si>
  <si>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</si>
  <si>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</si>
  <si>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</si>
  <si>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</si>
  <si>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</si>
  <si>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</si>
  <si>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</si>
  <si>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</si>
  <si>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</si>
  <si>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</si>
  <si>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</si>
  <si>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</si>
  <si>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</si>
  <si>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</si>
  <si>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</si>
  <si>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</si>
  <si>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</si>
  <si>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</si>
  <si>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</si>
  <si>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</si>
  <si>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</si>
  <si>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</si>
  <si>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</si>
  <si>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</si>
  <si>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</si>
  <si>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</si>
  <si>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</si>
  <si>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</si>
  <si>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</si>
  <si>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</si>
  <si>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</si>
  <si>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</si>
  <si>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</si>
  <si>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</si>
  <si>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</si>
  <si>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</si>
  <si>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</si>
  <si>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</si>
  <si>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</si>
  <si>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</si>
  <si>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</si>
  <si>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</si>
  <si>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</rPr>
      <t xml:space="preserve">Burnout </t>
    </r>
    <r>
      <rPr>
        <u/>
        <sz val="10"/>
        <color rgb="FF1155CC"/>
        <rFont val="Arial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</si>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</sst>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52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0" fillId="38" borderId="0" xfId="0" applyFill="1" applyAlignment="1">
      <alignment horizontal="center" wrapText="1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8"/>
  <sheetViews>
    <sheetView workbookViewId="0">
      <selection activeCell="D8" sqref="D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Sheet1!H1</f>
        <v>20</v>
      </c>
      <c r="D2" s="7">
        <f>Sheet1!H2</f>
        <v>95</v>
      </c>
      <c r="E2" s="7">
        <f>Sheet1!$H$3</f>
        <v>70</v>
      </c>
      <c r="F2" s="7">
        <f>Sheet1!H4</f>
        <v>25</v>
      </c>
      <c r="G2" s="7">
        <f>Sheet1!H5</f>
        <v>44</v>
      </c>
      <c r="H2" s="7">
        <f>Sheet1!H6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41</v>
      </c>
      <c r="F4" s="7">
        <f>Wikidata_upec_civil_20_part2!Z12</f>
        <v>7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0.85416666666666663</v>
      </c>
      <c r="J4" s="8">
        <f t="shared" si="1"/>
        <v>0.14583333333333334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363</v>
      </c>
      <c r="F8" s="25">
        <f t="shared" si="5"/>
        <v>117</v>
      </c>
      <c r="G8" s="25">
        <f t="shared" si="5"/>
        <v>263</v>
      </c>
      <c r="H8" s="25">
        <f t="shared" si="5"/>
        <v>38</v>
      </c>
      <c r="I8" s="26">
        <f t="shared" si="0"/>
        <v>0.72023809523809523</v>
      </c>
      <c r="J8" s="26">
        <f t="shared" si="1"/>
        <v>0.23214285714285715</v>
      </c>
      <c r="K8" s="26">
        <f>G8/$D8</f>
        <v>0.52182539682539686</v>
      </c>
      <c r="L8" s="26">
        <f>H8/$D8</f>
        <v>7.5396825396825393E-2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abSelected="1" topLeftCell="I1" workbookViewId="0">
      <selection activeCell="Q15" sqref="Q15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N1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P37" sqref="P37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44">
        <f>COUNTIF(O2:O39,"*YES*")/COUNTA(O2:O39)</f>
        <v>0.92105263157894735</v>
      </c>
      <c r="S2" s="44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44"/>
      <c r="S3" s="44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44"/>
      <c r="S4" s="44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44"/>
      <c r="S5" s="44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44"/>
      <c r="S6" s="44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44"/>
      <c r="S7" s="44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0.95811518324607325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44"/>
      <c r="S8" s="44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44"/>
      <c r="S9" s="44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44"/>
      <c r="S10" s="44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44"/>
      <c r="S11" s="44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44"/>
      <c r="S12" s="44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41</v>
      </c>
      <c r="Z12" s="9" cm="1">
        <f t="array" ref="Z12">COUNTA(_xlfn.UNIQUE(_xlfn._xlws.FILTER(C2:C192 &amp; E2:E192, O2:O192="NO")))</f>
        <v>7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0.85416666666666663</v>
      </c>
      <c r="AD12" s="13">
        <f>Z12 / (Y12 + Z12)</f>
        <v>0.14583333333333334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44"/>
      <c r="S13" s="44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44"/>
      <c r="S14" s="44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44"/>
      <c r="S15" s="44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44"/>
      <c r="S16" s="44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44"/>
      <c r="S17" s="44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44"/>
      <c r="S18" s="44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44"/>
      <c r="S19" s="44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44"/>
      <c r="S20" s="44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44"/>
      <c r="S21" s="44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44"/>
      <c r="S22" s="44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44"/>
      <c r="S23" s="44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44"/>
      <c r="S24" s="44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44"/>
      <c r="S25" s="44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44"/>
      <c r="S26" s="44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44"/>
      <c r="S27" s="44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44"/>
      <c r="S28" s="44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44"/>
      <c r="S29" s="44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44"/>
      <c r="S30" s="44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44"/>
      <c r="S31" s="44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44"/>
      <c r="S32" s="44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44"/>
      <c r="S33" s="44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44"/>
      <c r="S34" s="44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44"/>
      <c r="S35" s="44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44"/>
      <c r="S36" s="44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t="s">
        <v>1790</v>
      </c>
      <c r="P37" t="s">
        <v>1743</v>
      </c>
      <c r="Q37" s="19" t="s">
        <v>1793</v>
      </c>
      <c r="R37" s="44"/>
      <c r="S37" s="44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44"/>
      <c r="S38" s="44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44"/>
      <c r="S39" s="44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44"/>
      <c r="S40" s="44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44"/>
      <c r="S41" s="44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44"/>
      <c r="S42" s="44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44"/>
      <c r="S43" s="44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44"/>
      <c r="S44" s="44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44"/>
      <c r="S45" s="44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44"/>
      <c r="S46" s="44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44"/>
      <c r="S47" s="44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44"/>
      <c r="S48" s="44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44"/>
      <c r="S49" s="44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44"/>
      <c r="S50" s="44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44"/>
      <c r="S51" s="44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44"/>
      <c r="S52" s="44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44"/>
      <c r="S53" s="44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44"/>
      <c r="S54" s="44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44"/>
      <c r="S55" s="44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44"/>
      <c r="S56" s="44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44"/>
      <c r="S57" s="44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44"/>
      <c r="S58" s="44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44"/>
      <c r="S59" s="44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44"/>
      <c r="S60" s="44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44"/>
      <c r="S61" s="44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44"/>
      <c r="S62" s="44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44"/>
      <c r="S63" s="44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44"/>
      <c r="S64" s="44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44"/>
      <c r="S65" s="44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44"/>
      <c r="S66" s="44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44"/>
      <c r="S67" s="44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44"/>
      <c r="S68" s="44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44"/>
      <c r="S69" s="44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44"/>
      <c r="S70" s="44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44"/>
      <c r="S71" s="44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44">
        <f>COUNTIF(O72:O74,"*YES*")/COUNTA(O72:O74)</f>
        <v>1</v>
      </c>
      <c r="S72" s="44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44"/>
      <c r="S73" s="44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44"/>
      <c r="S74" s="44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44">
        <f>COUNTIF(O75:O129,"*YES*")/COUNTA(O75:O129)</f>
        <v>0.94545454545454544</v>
      </c>
      <c r="S75" s="44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44"/>
      <c r="S76" s="44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44"/>
      <c r="S77" s="44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44"/>
      <c r="S78" s="44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44"/>
      <c r="S79" s="44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44"/>
      <c r="S80" s="44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44"/>
      <c r="S81" s="44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44"/>
      <c r="S82" s="44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44"/>
      <c r="S83" s="44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44"/>
      <c r="S84" s="44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44"/>
      <c r="S85" s="44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44"/>
      <c r="S86" s="44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44"/>
      <c r="S87" s="44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44"/>
      <c r="S88" s="44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44"/>
      <c r="S89" s="44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44"/>
      <c r="S90" s="44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44"/>
      <c r="S91" s="44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44"/>
      <c r="S92" s="44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44"/>
      <c r="S93" s="44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44"/>
      <c r="S94" s="44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44"/>
      <c r="S95" s="44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44"/>
      <c r="S96" s="44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44"/>
      <c r="S97" s="44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44"/>
      <c r="S98" s="44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44"/>
      <c r="S99" s="44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44"/>
      <c r="S100" s="44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44"/>
      <c r="S101" s="44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44"/>
      <c r="S102" s="44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44"/>
      <c r="S103" s="44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44"/>
      <c r="S104" s="44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44"/>
      <c r="S105" s="44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44"/>
      <c r="S106" s="44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44"/>
      <c r="S107" s="44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44"/>
      <c r="S108" s="44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44"/>
      <c r="S109" s="44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44"/>
      <c r="S110" s="44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44"/>
      <c r="S111" s="44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44"/>
      <c r="S112" s="44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44"/>
      <c r="S113" s="44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44"/>
      <c r="S114" s="44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44"/>
      <c r="S115" s="44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44"/>
      <c r="S116" s="44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44"/>
      <c r="S117" s="44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44"/>
      <c r="S118" s="44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44"/>
      <c r="S119" s="44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44"/>
      <c r="S120" s="44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44"/>
      <c r="S121" s="44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44"/>
      <c r="S122" s="44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44"/>
      <c r="S123" s="44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44"/>
      <c r="S124" s="44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44"/>
      <c r="S125" s="44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44"/>
      <c r="S126" s="44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44"/>
      <c r="S127" s="44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44"/>
      <c r="S128" s="44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44"/>
      <c r="S129" s="44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44">
        <f>COUNTIF(O130:O150,"*YES*")/COUNTA(O130:O150)</f>
        <v>0.90476190476190477</v>
      </c>
      <c r="S130" s="44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44"/>
      <c r="S131" s="44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44"/>
      <c r="S132" s="44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44"/>
      <c r="S133" s="44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44"/>
      <c r="S134" s="44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44"/>
      <c r="S135" s="44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44"/>
      <c r="S136" s="44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44"/>
      <c r="S137" s="44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44"/>
      <c r="S138" s="44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44"/>
      <c r="S139" s="44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44"/>
      <c r="S140" s="44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44"/>
      <c r="S141" s="44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44"/>
      <c r="S142" s="44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44"/>
      <c r="S143" s="44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44"/>
      <c r="S144" s="44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44"/>
      <c r="S145" s="44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44"/>
      <c r="S146" s="44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44"/>
      <c r="S147" s="44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44"/>
      <c r="S148" s="44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44"/>
      <c r="S149" s="44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44"/>
      <c r="S150" s="44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44">
        <f>COUNTIF(O151:O162,"*YES*")/COUNTA(O151:O162)</f>
        <v>1</v>
      </c>
      <c r="S151" s="44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44"/>
      <c r="S152" s="44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44"/>
      <c r="S153" s="44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44"/>
      <c r="S154" s="44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44"/>
      <c r="S155" s="44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44"/>
      <c r="S156" s="44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44"/>
      <c r="S157" s="44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44"/>
      <c r="S158" s="44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44"/>
      <c r="S159" s="44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44"/>
      <c r="S160" s="44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44"/>
      <c r="S161" s="44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44"/>
      <c r="S162" s="44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44">
        <f>COUNTIF(O163:O181,"*YES*")/COUNTA(O163:O181)</f>
        <v>1</v>
      </c>
      <c r="S163" s="44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44"/>
      <c r="S164" s="44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44"/>
      <c r="S165" s="44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44"/>
      <c r="S166" s="44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44"/>
      <c r="S167" s="44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44"/>
      <c r="S168" s="44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44"/>
      <c r="S169" s="44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44"/>
      <c r="S170" s="44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44"/>
      <c r="S171" s="44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44"/>
      <c r="S172" s="44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44"/>
      <c r="S173" s="44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44"/>
      <c r="S174" s="44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44"/>
      <c r="S175" s="44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44"/>
      <c r="S176" s="44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44"/>
      <c r="S177" s="44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44"/>
      <c r="S178" s="44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44"/>
      <c r="S179" s="44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44"/>
      <c r="S180" s="44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44"/>
      <c r="S181" s="44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44">
        <f>COUNTIF(O182:O192,"*YES*")/COUNTA(O182:O192)</f>
        <v>1</v>
      </c>
      <c r="S182" s="44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44"/>
      <c r="S183" s="44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44"/>
      <c r="S184" s="44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44"/>
      <c r="S185" s="44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44"/>
      <c r="S186" s="44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44"/>
      <c r="S187" s="44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44"/>
      <c r="S188" s="44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44"/>
      <c r="S189" s="44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44"/>
      <c r="S190" s="44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44"/>
      <c r="S191" s="44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44"/>
      <c r="S192" s="44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2:R71"/>
    <mergeCell ref="S2:S71"/>
    <mergeCell ref="R72:R74"/>
    <mergeCell ref="S72:S74"/>
    <mergeCell ref="R75:R129"/>
    <mergeCell ref="S75:S129"/>
    <mergeCell ref="R182:R192"/>
    <mergeCell ref="S182:S192"/>
    <mergeCell ref="R130:R150"/>
    <mergeCell ref="S130:S150"/>
    <mergeCell ref="R151:R162"/>
    <mergeCell ref="S151:S162"/>
    <mergeCell ref="R163:R181"/>
    <mergeCell ref="S163:S18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workbookViewId="0">
      <selection activeCell="F1" sqref="F1:G6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B1" workbookViewId="0">
      <selection activeCell="D107" sqref="D107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44">
        <f>COUNTIF(O2:O329,"*YES*")/COUNTA(O2:O329)</f>
        <v>0.82317073170731703</v>
      </c>
      <c r="S2" s="44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44"/>
      <c r="S3" s="44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44"/>
      <c r="S4" s="44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45" t="s">
        <v>1831</v>
      </c>
      <c r="R5" s="44"/>
      <c r="S5" s="44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45"/>
      <c r="R6" s="44"/>
      <c r="S6" s="44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45"/>
      <c r="R7" s="44"/>
      <c r="S7" s="44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45"/>
      <c r="R8" s="44"/>
      <c r="S8" s="44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45"/>
      <c r="R9" s="44"/>
      <c r="S9" s="44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45"/>
      <c r="R10" s="44"/>
      <c r="S10" s="44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45"/>
      <c r="R11" s="44"/>
      <c r="S11" s="44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45"/>
      <c r="R12" s="44"/>
      <c r="S12" s="44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45"/>
      <c r="R13" s="44"/>
      <c r="S13" s="44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45"/>
      <c r="R14" s="44"/>
      <c r="S14" s="44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45"/>
      <c r="R15" s="44"/>
      <c r="S15" s="44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45"/>
      <c r="R16" s="44"/>
      <c r="S16" s="44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45"/>
      <c r="R17" s="44"/>
      <c r="S17" s="44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45"/>
      <c r="R18" s="44"/>
      <c r="S18" s="44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45"/>
      <c r="R19" s="44"/>
      <c r="S19" s="44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45"/>
      <c r="R20" s="44"/>
      <c r="S20" s="44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44"/>
      <c r="S21" s="44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44"/>
      <c r="S22" s="44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44"/>
      <c r="S23" s="44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44"/>
      <c r="S24" s="44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44"/>
      <c r="S25" s="44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44"/>
      <c r="S26" s="44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44"/>
      <c r="S27" s="44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44"/>
      <c r="S28" s="44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44"/>
      <c r="S29" s="44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44"/>
      <c r="S30" s="44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44"/>
      <c r="S31" s="44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45" t="s">
        <v>1887</v>
      </c>
      <c r="R32" s="44"/>
      <c r="S32" s="44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45"/>
      <c r="R33" s="44"/>
      <c r="S33" s="44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45"/>
      <c r="R34" s="44"/>
      <c r="S34" s="44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45"/>
      <c r="R35" s="44"/>
      <c r="S35" s="44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45"/>
      <c r="R36" s="44"/>
      <c r="S36" s="44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45"/>
      <c r="R37" s="44"/>
      <c r="S37" s="44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45"/>
      <c r="R38" s="44"/>
      <c r="S38" s="44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45"/>
      <c r="R39" s="44"/>
      <c r="S39" s="44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45"/>
      <c r="R40" s="44"/>
      <c r="S40" s="44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45"/>
      <c r="R41" s="44"/>
      <c r="S41" s="44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45"/>
      <c r="R42" s="44"/>
      <c r="S42" s="44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45"/>
      <c r="R43" s="44"/>
      <c r="S43" s="44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45"/>
      <c r="R44" s="44"/>
      <c r="S44" s="44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45"/>
      <c r="R45" s="44"/>
      <c r="S45" s="44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45"/>
      <c r="R46" s="44"/>
      <c r="S46" s="44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44"/>
      <c r="S47" s="44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44"/>
      <c r="S48" s="44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48" t="s">
        <v>1917</v>
      </c>
      <c r="R49" s="44"/>
      <c r="S49" s="44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48"/>
      <c r="R50" s="44"/>
      <c r="S50" s="44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48"/>
      <c r="R51" s="44"/>
      <c r="S51" s="44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48"/>
      <c r="R52" s="44"/>
      <c r="S52" s="44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48"/>
      <c r="R53" s="44"/>
      <c r="S53" s="44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48"/>
      <c r="R54" s="44"/>
      <c r="S54" s="44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48"/>
      <c r="R55" s="44"/>
      <c r="S55" s="44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48"/>
      <c r="R56" s="44"/>
      <c r="S56" s="44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48"/>
      <c r="R57" s="44"/>
      <c r="S57" s="44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48"/>
      <c r="R58" s="44"/>
      <c r="S58" s="44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48"/>
      <c r="R59" s="44"/>
      <c r="S59" s="44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48"/>
      <c r="R60" s="44"/>
      <c r="S60" s="44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48"/>
      <c r="R61" s="44"/>
      <c r="S61" s="44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48"/>
      <c r="R62" s="44"/>
      <c r="S62" s="44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48"/>
      <c r="R63" s="44"/>
      <c r="S63" s="44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48"/>
      <c r="R64" s="44"/>
      <c r="S64" s="44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48"/>
      <c r="R65" s="44"/>
      <c r="S65" s="44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48"/>
      <c r="R66" s="44"/>
      <c r="S66" s="44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48"/>
      <c r="R67" s="44"/>
      <c r="S67" s="44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48"/>
      <c r="R68" s="44"/>
      <c r="S68" s="44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48"/>
      <c r="R69" s="44"/>
      <c r="S69" s="44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48"/>
      <c r="R70" s="44"/>
      <c r="S70" s="44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48"/>
      <c r="R71" s="47"/>
      <c r="S71" s="44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48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48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48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48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48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48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48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48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48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46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46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45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45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45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45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45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45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46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46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46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46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46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46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46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46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46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46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46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46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46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46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46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46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46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46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46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46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46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46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46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46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46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S2:S71"/>
    <mergeCell ref="Q5:Q20"/>
    <mergeCell ref="Q32:Q46"/>
    <mergeCell ref="Q49:Q80"/>
    <mergeCell ref="Q87:Q88"/>
    <mergeCell ref="Q90:Q95"/>
    <mergeCell ref="Q114:Q116"/>
    <mergeCell ref="Q122:Q131"/>
    <mergeCell ref="Q300:Q311"/>
    <mergeCell ref="R2:R7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49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50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50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50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50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50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50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50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50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50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50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50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50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50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50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50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50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50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50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50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50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50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50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50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50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50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50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50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50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49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50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50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50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50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50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50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50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50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50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50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50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50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50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50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50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50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50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50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50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50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50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50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50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50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50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50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50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50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51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50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50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50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50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50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50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50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50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50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50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50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50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50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50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50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50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50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50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50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50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50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50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51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50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50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50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50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50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50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50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50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50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50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50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50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50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50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50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50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50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50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50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50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50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51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50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50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50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Wikidata_upec_chemical_20</vt:lpstr>
      <vt:lpstr>Wikidata_upec_civil_20</vt:lpstr>
      <vt:lpstr>Wikidata_upec_civil_20_part2</vt:lpstr>
      <vt:lpstr>Sheet1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2025-11-06T03:39:41Z</dcterms:modified>
</cp:coreProperties>
</file>