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E670DF29-CEDB-4C9C-A93B-7BB9BD2E42A2}" xr6:coauthVersionLast="47" xr6:coauthVersionMax="47" xr10:uidLastSave="{00000000-0000-0000-0000-000000000000}"/>
  <bookViews>
    <workbookView xWindow="-108" yWindow="-108" windowWidth="23256" windowHeight="12456" firstSheet="6" activeTab="2" xr2:uid="{7CE82651-D189-4583-9CC8-EB750387BE3D}"/>
  </bookViews>
  <sheets>
    <sheet name="Summary" sheetId="3" r:id="rId1"/>
    <sheet name="Wikidata_upec_chemical_20" sheetId="1" r:id="rId2"/>
    <sheet name="Sheet2" sheetId="10" r:id="rId3"/>
    <sheet name="Wikidata_upec_civil_20" sheetId="4" r:id="rId4"/>
    <sheet name="Wikidata_upec_civil_20_part2" sheetId="5" r:id="rId5"/>
    <sheet name="Sheet1" sheetId="2" state="hidden" r:id="rId6"/>
    <sheet name="Wikidata_upec_computer_20" sheetId="8" r:id="rId7"/>
    <sheet name="Wikidata_upec_computer_20_check" sheetId="7" r:id="rId8"/>
    <sheet name="Wikidata_upec_political_20" sheetId="6" r:id="rId9"/>
    <sheet name="Wikidata_upec_marketing_20.csv" sheetId="9" r:id="rId10"/>
  </sheets>
  <definedNames>
    <definedName name="_xlnm._FilterDatabase" localSheetId="0" hidden="1">Summary!$A$1:$L$1</definedName>
    <definedName name="_xlnm._FilterDatabase" localSheetId="1" hidden="1">Wikidata_upec_chemical_20!$A$1:$Q$371</definedName>
    <definedName name="_xlnm._FilterDatabase" localSheetId="3" hidden="1">Wikidata_upec_civil_20!$T$1:$T$389</definedName>
    <definedName name="_xlnm._FilterDatabase" localSheetId="4" hidden="1">Wikidata_upec_civil_20_part2!$A$1:$AF$764</definedName>
    <definedName name="_xlnm._FilterDatabase" localSheetId="9" hidden="1">Wikidata_upec_marketing_20.csv!$A$1:$O$493</definedName>
    <definedName name="_xlnm._FilterDatabase" localSheetId="8" hidden="1">Wikidata_upec_political_20!$O$1:$S$329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J6" i="3"/>
  <c r="K6" i="3"/>
  <c r="L6" i="3"/>
  <c r="L3" i="3"/>
  <c r="K3" i="3"/>
  <c r="J3" i="3"/>
  <c r="I3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I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K4" i="3" l="1"/>
  <c r="L4" i="3"/>
  <c r="AD12" i="5"/>
  <c r="AE12" i="5"/>
  <c r="AF12" i="5"/>
  <c r="F4" i="3"/>
  <c r="J4" i="3" s="1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AD7" i="4" l="1"/>
  <c r="H4" i="2"/>
  <c r="F2" i="3" s="1"/>
  <c r="H3" i="2"/>
  <c r="E2" i="3" s="1"/>
  <c r="H5" i="2"/>
  <c r="H6" i="2"/>
  <c r="J2" i="3" l="1"/>
  <c r="F8" i="3"/>
  <c r="J8" i="3" s="1"/>
  <c r="I2" i="3"/>
  <c r="E8" i="3"/>
  <c r="I8" i="3" s="1"/>
  <c r="I6" i="2"/>
  <c r="H2" i="3"/>
  <c r="I5" i="2"/>
  <c r="G2" i="3"/>
  <c r="I3" i="2"/>
  <c r="I4" i="2" s="1"/>
  <c r="K2" i="3" l="1"/>
  <c r="G8" i="3"/>
  <c r="K8" i="3" s="1"/>
  <c r="L2" i="3"/>
  <c r="H8" i="3"/>
  <c r="L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<sst xmlns="http://schemas.openxmlformats.org/spreadsheetml/2006/main" count="28785" uniqueCount="3450">
  <si>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</si>
  <si>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</si>
  <si>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</si>
  <si>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</si>
  <si>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</si>
  <si>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</si>
  <si>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</si>
  <si>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</si>
  <si>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</si>
  <si>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</si>
  <si>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</si>
  <si>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</si>
  <si>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</si>
  <si>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</si>
  <si>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</si>
  <si>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</si>
  <si>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</si>
  <si>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</si>
  <si>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</si>
  <si>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</si>
  <si>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</si>
  <si>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</si>
  <si>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</si>
  <si>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</si>
  <si>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</si>
  <si>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</si>
  <si>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</si>
  <si>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</si>
  <si>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</si>
  <si>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</si>
  <si>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</si>
  <si>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</si>
  <si>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</si>
  <si>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</si>
  <si>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</si>
  <si>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</si>
  <si>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</si>
  <si>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</si>
  <si>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</si>
  <si>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</si>
  <si>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</si>
  <si>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</si>
  <si>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</si>
  <si>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</si>
  <si>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</si>
  <si>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</si>
  <si>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</si>
  <si>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</si>
  <si>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</si>
  <si>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</si>
  <si>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</si>
  <si>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</si>
  <si>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</si>
  <si>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</si>
  <si>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</si>
  <si>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</si>
  <si>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</si>
  <si>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</si>
  <si>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</si>
  <si>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</si>
  <si>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</si>
  <si>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</si>
  <si>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</si>
  <si>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</si>
  <si>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</si>
  <si>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</si>
  <si>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</si>
  <si>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</si>
  <si>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</si>
  <si>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</si>
  <si>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</si>
  <si>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</si>
  <si>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</si>
  <si>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</si>
  <si>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</si>
  <si>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</si>
  <si>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</si>
  <si>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</si>
  <si>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</si>
  <si>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</si>
  <si>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</si>
  <si>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</si>
  <si>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</si>
  <si>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</si>
  <si>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</si>
  <si>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</si>
  <si>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</si>
  <si>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</si>
  <si>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</si>
  <si>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</si>
  <si>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</si>
  <si>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</si>
  <si>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</si>
  <si>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</si>
  <si>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</si>
  <si>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</si>
  <si>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</si>
  <si>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</si>
  <si>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</si>
  <si>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</si>
  <si>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</si>
  <si>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</si>
  <si>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</si>
  <si>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</si>
  <si>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</si>
  <si>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</si>
  <si>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</si>
  <si>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</si>
  <si>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</si>
  <si>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</si>
  <si>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</si>
  <si>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</si>
  <si>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</si>
  <si>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</si>
  <si>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</si>
  <si>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</si>
  <si>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</si>
  <si>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</si>
  <si>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</si>
  <si>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</si>
  <si>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</si>
  <si>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</si>
  <si>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</si>
  <si>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</si>
  <si>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</si>
  <si>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</si>
  <si>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</si>
  <si>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</si>
  <si>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</si>
  <si>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</si>
  <si>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</si>
  <si>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</si>
  <si>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</si>
  <si>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</si>
  <si>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</si>
  <si>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</si>
  <si>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</si>
  <si>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</si>
  <si>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</si>
  <si>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</si>
  <si>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</si>
  <si>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</si>
  <si>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</si>
  <si>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</si>
  <si>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</si>
  <si>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</si>
  <si>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</si>
  <si>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</si>
  <si>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</si>
  <si>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</si>
  <si>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</si>
  <si>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</si>
  <si>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</si>
  <si>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</si>
  <si>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</si>
  <si>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</si>
  <si>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</si>
  <si>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</si>
  <si>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</si>
  <si>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</si>
  <si>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</si>
  <si>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</si>
  <si>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</si>
  <si>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</si>
  <si>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</si>
  <si>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</si>
  <si>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</si>
  <si>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</si>
  <si>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</si>
  <si>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</si>
  <si>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</si>
  <si>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</si>
  <si>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</si>
  <si>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</si>
  <si>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</si>
  <si>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</si>
  <si>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</si>
  <si>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</si>
  <si>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</si>
  <si>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</si>
  <si>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</si>
  <si>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</si>
  <si>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</si>
  <si>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</si>
  <si>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</si>
  <si>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</si>
  <si>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</si>
  <si>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</si>
  <si>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</si>
  <si>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</si>
  <si>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</si>
  <si>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</si>
  <si>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</si>
  <si>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</si>
  <si>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</si>
  <si>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</si>
  <si>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</si>
  <si>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</si>
  <si>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</si>
  <si>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</si>
  <si>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</si>
  <si>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</si>
  <si>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</si>
  <si>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</si>
  <si>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</si>
  <si>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</si>
  <si>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</si>
  <si>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</si>
  <si>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</si>
  <si>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</si>
  <si>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</si>
  <si>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</si>
  <si>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</si>
  <si>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</si>
  <si>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</si>
  <si>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</si>
  <si>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</si>
  <si>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</si>
  <si>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</si>
  <si>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</si>
  <si>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</si>
  <si>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</si>
  <si>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</si>
  <si>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</si>
  <si>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</si>
  <si>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</si>
  <si>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</si>
  <si>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</si>
  <si>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</si>
  <si>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</si>
  <si>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</si>
  <si>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</si>
  <si>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</si>
  <si>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</si>
  <si>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</si>
  <si>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</si>
  <si>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</si>
  <si>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</si>
  <si>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</si>
  <si>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</si>
  <si>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</si>
  <si>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</si>
  <si>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</si>
  <si>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</si>
  <si>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</si>
  <si>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</si>
  <si>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</si>
  <si>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</si>
  <si>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</si>
  <si>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</si>
  <si>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</si>
  <si>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</si>
  <si>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</si>
  <si>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</si>
  <si>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</si>
  <si>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</si>
  <si>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</si>
  <si>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</si>
  <si>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</si>
  <si>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</si>
  <si>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</si>
  <si>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</si>
  <si>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</si>
  <si>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</si>
  <si>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</si>
  <si>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</si>
  <si>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</si>
  <si>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</si>
  <si>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</si>
  <si>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</si>
  <si>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</si>
  <si>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</si>
  <si>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</si>
  <si>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</si>
  <si>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</si>
  <si>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</si>
  <si>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</si>
  <si>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</si>
  <si>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</si>
  <si>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</si>
  <si>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</si>
  <si>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</si>
  <si>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</si>
  <si>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</si>
  <si>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</si>
  <si>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</si>
  <si>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</si>
  <si>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</si>
  <si>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</si>
  <si>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</si>
  <si>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</si>
  <si>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</si>
  <si>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</si>
  <si>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</si>
  <si>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</si>
  <si>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</si>
  <si>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</si>
  <si>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</si>
  <si>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</si>
  <si>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</si>
  <si>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</si>
  <si>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</si>
  <si>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</si>
  <si>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</si>
  <si>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</si>
  <si>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</si>
  <si>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</si>
  <si>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</si>
  <si>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</si>
  <si>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</si>
  <si>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</si>
  <si>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</si>
  <si>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</si>
  <si>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</si>
  <si>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</si>
  <si>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</si>
  <si>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</si>
  <si>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</si>
  <si>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</si>
  <si>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</si>
  <si>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</si>
  <si>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</si>
  <si>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</si>
  <si>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</si>
  <si>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</si>
  <si>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</si>
  <si>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</si>
  <si>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</si>
  <si>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</si>
  <si>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</si>
  <si>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</si>
  <si>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</si>
  <si>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</si>
  <si>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</si>
  <si>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</si>
  <si>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</si>
  <si>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</si>
  <si>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</si>
  <si>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</si>
  <si>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</si>
  <si>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</si>
  <si>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</si>
  <si>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</si>
  <si>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</si>
  <si>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</si>
  <si>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</si>
  <si>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</si>
  <si>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</si>
  <si>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</si>
  <si>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</si>
  <si>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</si>
  <si>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</si>
  <si>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</si>
  <si>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</si>
  <si>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</si>
  <si>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</si>
  <si>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</si>
  <si>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</si>
  <si>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</si>
  <si>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</si>
  <si>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</si>
  <si>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</si>
  <si>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</si>
  <si>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</si>
  <si>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</si>
  <si>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</si>
  <si>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</si>
  <si>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</si>
  <si>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</si>
  <si>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</si>
  <si>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</si>
  <si>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</si>
  <si>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</si>
  <si>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</si>
  <si>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</si>
  <si>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</si>
  <si>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</si>
  <si>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</si>
  <si>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</si>
  <si>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</si>
  <si>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</si>
  <si>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</si>
  <si>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</si>
  <si>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</si>
  <si>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</si>
  <si>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</si>
  <si>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</si>
  <si>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</si>
  <si>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</si>
  <si>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</si>
  <si>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</si>
  <si>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</si>
  <si>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</si>
  <si>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</si>
  <si>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</si>
  <si>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</si>
  <si>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</si>
  <si>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</si>
  <si>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</si>
  <si>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</si>
  <si>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</si>
  <si>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</si>
  <si>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</si>
  <si>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</si>
  <si>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</si>
  <si>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</si>
  <si>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</si>
  <si>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</si>
  <si>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</si>
  <si>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</si>
  <si>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</si>
  <si>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</si>
  <si>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</si>
  <si>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</si>
  <si>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</si>
  <si>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</si>
  <si>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</si>
  <si>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</si>
  <si>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</si>
  <si>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</si>
  <si>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</si>
  <si>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</si>
  <si>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</si>
  <si>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</si>
  <si>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</si>
  <si>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</si>
  <si>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</si>
  <si>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</si>
  <si>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</si>
  <si>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</si>
  <si>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</si>
  <si>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</si>
  <si>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</si>
  <si>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</si>
  <si>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</si>
  <si>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</si>
  <si>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</si>
  <si>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</si>
  <si>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</si>
  <si>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</si>
  <si>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</si>
  <si>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</si>
  <si>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</si>
  <si>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</si>
  <si>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</si>
  <si>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</si>
  <si>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</si>
  <si>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</si>
  <si>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</si>
  <si>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</si>
  <si>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</si>
  <si>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</si>
  <si>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</si>
  <si>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</si>
  <si>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</si>
  <si>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</si>
  <si>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</si>
  <si>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</si>
  <si>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</si>
  <si>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</si>
  <si>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</si>
  <si>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</si>
  <si>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</si>
  <si>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</si>
  <si>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</si>
  <si>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</si>
  <si>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</si>
  <si>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</si>
  <si>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</si>
  <si>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</si>
  <si>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</si>
  <si>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</si>
  <si>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</si>
  <si>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</si>
  <si>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</si>
  <si>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</si>
  <si>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</si>
  <si>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</si>
  <si>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</si>
  <si>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</si>
  <si>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</si>
  <si>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</si>
  <si>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</si>
  <si>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</si>
  <si>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</si>
  <si>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</si>
  <si>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</si>
  <si>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</si>
  <si>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</si>
  <si>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</si>
  <si>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</si>
  <si>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</si>
  <si>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</si>
  <si>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</si>
  <si>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</si>
  <si>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</si>
  <si>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</si>
  <si>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</si>
  <si>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</si>
  <si>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</si>
  <si>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</si>
  <si>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</si>
  <si>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</si>
  <si>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</si>
  <si>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</si>
  <si>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</si>
  <si>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</si>
  <si>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</si>
  <si>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</si>
  <si>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</si>
  <si>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</si>
  <si>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</si>
  <si>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</si>
  <si>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</si>
  <si>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</si>
  <si>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</si>
  <si>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</si>
  <si>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</si>
  <si>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</si>
  <si>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</si>
  <si>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</si>
  <si>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</si>
  <si>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</si>
  <si>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</si>
  <si>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</si>
  <si>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</si>
  <si>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</si>
  <si>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</si>
  <si>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</si>
  <si>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</si>
  <si>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</si>
  <si>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</si>
  <si>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</si>
  <si>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</si>
  <si>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</si>
  <si>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</si>
  <si>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</si>
  <si>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</si>
  <si>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</si>
  <si>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</si>
  <si>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</si>
  <si>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</si>
  <si>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</si>
  <si>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</si>
  <si>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</si>
  <si>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</si>
  <si>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</si>
  <si>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</si>
  <si>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</si>
  <si>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</si>
  <si>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</si>
  <si>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</si>
  <si>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</si>
  <si>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</si>
  <si>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</si>
  <si>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</si>
  <si>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</si>
  <si>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</si>
  <si>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</si>
  <si>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</si>
  <si>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</si>
  <si>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</si>
  <si>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</si>
  <si>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</si>
  <si>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</si>
  <si>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</si>
  <si>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</si>
  <si>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</si>
  <si>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</si>
  <si>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</si>
  <si>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</si>
  <si>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</si>
  <si>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</si>
  <si>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</si>
  <si>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</si>
  <si>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</si>
  <si>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</si>
  <si>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</si>
  <si>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</si>
  <si>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</si>
  <si>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</si>
  <si>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</si>
  <si>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</si>
  <si>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</si>
  <si>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</si>
  <si>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</si>
  <si>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</si>
  <si>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</si>
  <si>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</si>
  <si>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</si>
  <si>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</si>
  <si>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</si>
  <si>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</si>
  <si>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</si>
  <si>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</si>
  <si>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</si>
  <si>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</si>
  <si>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</si>
  <si>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</si>
  <si>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</si>
  <si>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</si>
  <si>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</si>
  <si>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</si>
  <si>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</si>
  <si>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</si>
  <si>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</si>
  <si>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</si>
  <si>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</si>
  <si>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</si>
  <si>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</si>
  <si>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</si>
  <si>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</si>
  <si>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</si>
  <si>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</si>
  <si>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</si>
  <si>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</si>
  <si>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</si>
  <si>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</si>
  <si>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</si>
  <si>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</si>
  <si>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</si>
  <si>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</si>
  <si>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</si>
  <si>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</si>
  <si>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</si>
  <si>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</si>
  <si>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</si>
  <si>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</si>
  <si>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</si>
  <si>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</si>
  <si>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</si>
  <si>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</si>
  <si>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</si>
  <si>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</si>
  <si>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</si>
  <si>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</si>
  <si>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</si>
  <si>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</si>
  <si>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</si>
  <si>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</si>
  <si>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</si>
  <si>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</si>
  <si>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</si>
  <si>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</si>
  <si>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</si>
  <si>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</si>
  <si>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</si>
  <si>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</si>
  <si>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</si>
  <si>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</si>
  <si>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</si>
  <si>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</si>
  <si>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</si>
  <si>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</si>
  <si>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</si>
  <si>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</si>
  <si>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</si>
  <si>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</si>
  <si>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</si>
  <si>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</si>
  <si>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</si>
  <si>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</si>
  <si>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</si>
  <si>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</si>
  <si>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</si>
  <si>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</si>
  <si>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</si>
  <si>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</si>
  <si>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</si>
  <si>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</si>
  <si>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</si>
  <si>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</si>
  <si>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</si>
  <si>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</si>
  <si>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</si>
  <si>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</si>
  <si>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</si>
  <si>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</si>
  <si>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</si>
  <si>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</si>
  <si>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</si>
  <si>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</si>
  <si>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</si>
  <si>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</si>
  <si>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</si>
  <si>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</si>
  <si>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</si>
  <si>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</si>
  <si>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</si>
  <si>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</si>
  <si>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</si>
  <si>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</si>
  <si>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</si>
  <si>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</si>
  <si>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</si>
  <si>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</si>
  <si>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</si>
  <si>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</si>
  <si>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</si>
  <si>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</si>
  <si>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</si>
  <si>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</si>
  <si>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</si>
  <si>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</si>
  <si>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</si>
  <si>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</si>
  <si>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</si>
  <si>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</si>
  <si>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</si>
  <si>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</si>
  <si>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</si>
  <si>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</si>
  <si>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</si>
  <si>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</si>
  <si>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</si>
  <si>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</si>
  <si>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</si>
  <si>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</si>
  <si>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</si>
  <si>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</si>
  <si>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</si>
  <si>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</si>
  <si>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</si>
  <si>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</si>
  <si>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</si>
  <si>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</si>
  <si>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</si>
  <si>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</si>
  <si>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</si>
  <si>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</si>
  <si>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</si>
  <si>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</si>
  <si>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</si>
  <si>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</si>
  <si>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</si>
  <si>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</si>
  <si>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</si>
  <si>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</si>
  <si>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</si>
  <si>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</si>
  <si>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</si>
  <si>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</si>
  <si>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</si>
  <si>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</si>
  <si>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</si>
  <si>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</si>
  <si>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</si>
  <si>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</si>
  <si>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</si>
  <si>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</si>
  <si>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</si>
  <si>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</si>
  <si>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</si>
  <si>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</si>
  <si>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</si>
  <si>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</si>
  <si>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</si>
  <si>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</si>
  <si>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</si>
  <si>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</si>
  <si>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</si>
  <si>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</si>
  <si>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</si>
  <si>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</si>
  <si>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</si>
  <si>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</si>
  <si>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</si>
  <si>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</si>
  <si>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</si>
  <si>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</si>
  <si>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</si>
  <si>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</si>
  <si>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</si>
  <si>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</si>
  <si>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</si>
  <si>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</si>
  <si>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</si>
  <si>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</si>
  <si>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</si>
  <si>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</si>
  <si>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</si>
  <si>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</si>
  <si>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</si>
  <si>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</si>
  <si>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</si>
  <si>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</si>
  <si>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</si>
  <si>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</si>
  <si>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</si>
  <si>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</si>
  <si>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</si>
  <si>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</si>
  <si>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</si>
  <si>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</si>
  <si>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</si>
  <si>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</si>
  <si>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</si>
  <si>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</si>
  <si>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</si>
  <si>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</si>
  <si>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</si>
  <si>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</si>
  <si>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</si>
  <si>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</si>
  <si>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</si>
  <si>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</si>
  <si>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</si>
  <si>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</si>
  <si>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</si>
  <si>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</si>
  <si>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</si>
  <si>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</si>
  <si>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</si>
  <si>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</si>
  <si>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</si>
  <si>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</si>
  <si>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</si>
  <si>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</si>
  <si>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</si>
  <si>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</si>
  <si>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</si>
  <si>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</si>
  <si>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</si>
  <si>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</si>
  <si>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</si>
  <si>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</si>
  <si>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</si>
  <si>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</si>
  <si>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</si>
  <si>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</si>
  <si>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</si>
  <si>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</si>
  <si>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</si>
  <si>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</si>
  <si>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</si>
  <si>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</si>
  <si>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</si>
  <si>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</si>
  <si>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</si>
  <si>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</si>
  <si>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</si>
  <si>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</si>
  <si>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</si>
  <si>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</si>
  <si>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</si>
  <si>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</si>
  <si>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</si>
  <si>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</si>
  <si>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</si>
  <si>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</si>
  <si>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</si>
  <si>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</si>
  <si>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</si>
  <si>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</si>
  <si>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</si>
  <si>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</si>
  <si>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</si>
  <si>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</si>
  <si>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</si>
  <si>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</si>
  <si>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</si>
  <si>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</si>
  <si>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</si>
  <si>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</si>
  <si>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</si>
  <si>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</si>
  <si>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</si>
  <si>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</si>
  <si>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</si>
  <si>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</si>
  <si>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</si>
  <si>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</si>
  <si>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</si>
  <si>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</si>
  <si>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</si>
  <si>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</si>
  <si>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</si>
  <si>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</si>
  <si>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</si>
  <si>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</si>
  <si>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</si>
  <si>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</si>
  <si>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</si>
  <si>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</si>
  <si>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</si>
  <si>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</si>
  <si>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</si>
  <si>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</si>
  <si>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</si>
  <si>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</si>
  <si>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</si>
  <si>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</si>
  <si>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</si>
  <si>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</si>
  <si>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</si>
  <si>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</si>
  <si>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</si>
  <si>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</si>
  <si>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</si>
  <si>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</si>
  <si>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</si>
  <si>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</si>
  <si>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</si>
  <si>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</si>
  <si>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</si>
  <si>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</si>
  <si>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</si>
  <si>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</si>
  <si>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</si>
  <si>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</si>
  <si>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</si>
  <si>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</si>
  <si>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</si>
  <si>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</si>
  <si>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</si>
  <si>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</si>
  <si>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</si>
  <si>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</si>
  <si>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</si>
  <si>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</si>
  <si>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</si>
  <si>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</si>
  <si>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</si>
  <si>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</si>
  <si>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</si>
  <si>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</si>
  <si>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</si>
  <si>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</si>
  <si>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</si>
  <si>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</si>
  <si>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</si>
  <si>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</si>
  <si>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</si>
  <si>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</si>
  <si>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</si>
  <si>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</si>
  <si>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</si>
  <si>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</si>
  <si>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</si>
  <si>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</si>
  <si>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</si>
  <si>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</si>
  <si>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</si>
  <si>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</si>
  <si>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</si>
  <si>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</si>
  <si>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</si>
  <si>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</si>
  <si>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</si>
  <si>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</si>
  <si>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</si>
  <si>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</si>
  <si>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</si>
  <si>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</si>
  <si>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</si>
  <si>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</si>
  <si>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</si>
  <si>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</si>
  <si>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</si>
  <si>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</si>
  <si>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</si>
  <si>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</si>
  <si>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</si>
  <si>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</si>
  <si>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</si>
  <si>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</si>
  <si>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</si>
  <si>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</si>
  <si>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</si>
  <si>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</si>
  <si>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</si>
  <si>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</si>
  <si>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</si>
  <si>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</si>
  <si>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</si>
  <si>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</si>
  <si>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</si>
  <si>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</si>
  <si>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</si>
  <si>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</si>
  <si>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</si>
  <si>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</si>
  <si>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</si>
  <si>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</si>
  <si>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</si>
  <si>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</si>
  <si>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</si>
  <si>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</si>
  <si>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</si>
  <si>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</si>
  <si>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</si>
  <si>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</si>
  <si>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</si>
  <si>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</si>
  <si>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</si>
  <si>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</si>
  <si>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</si>
  <si>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</si>
  <si>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</si>
  <si>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</si>
  <si>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</si>
  <si>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</si>
  <si>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</si>
  <si>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</si>
  <si>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</si>
  <si>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</si>
  <si>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</si>
  <si>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</si>
  <si>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</si>
  <si>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</si>
  <si>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</si>
  <si>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</si>
  <si>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</si>
  <si>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</si>
  <si>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</si>
  <si>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</si>
  <si>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</si>
  <si>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</si>
  <si>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</si>
  <si>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</si>
  <si>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</si>
  <si>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</si>
  <si>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</si>
  <si>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</si>
  <si>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</si>
  <si>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</si>
  <si>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</si>
  <si>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</si>
  <si>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</si>
  <si>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</si>
  <si>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</si>
  <si>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</si>
  <si>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</si>
  <si>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</si>
  <si>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</si>
  <si>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</si>
  <si>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</si>
  <si>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</si>
  <si>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</si>
  <si>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</si>
  <si>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</si>
  <si>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</si>
  <si>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</si>
  <si>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</si>
  <si>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</si>
  <si>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</si>
  <si>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</si>
  <si>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</si>
  <si>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</si>
  <si>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</si>
  <si>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</si>
  <si>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</si>
  <si>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</si>
  <si>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</si>
  <si>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</si>
  <si>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</si>
  <si>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</si>
  <si>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</si>
  <si>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</si>
  <si>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</si>
  <si>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</si>
  <si>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</si>
  <si>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</si>
  <si>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</si>
  <si>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</si>
  <si>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</si>
  <si>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</si>
  <si>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</si>
  <si>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</si>
  <si>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</si>
  <si>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</si>
  <si>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</si>
  <si>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</si>
  <si>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</si>
  <si>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</si>
  <si>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</si>
  <si>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</si>
  <si>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</si>
  <si>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</si>
  <si>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</si>
  <si>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</si>
  <si>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</si>
  <si>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</si>
  <si>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</si>
  <si>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</si>
  <si>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</si>
  <si>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</si>
  <si>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</si>
  <si>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</si>
  <si>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</si>
  <si>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</si>
  <si>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</si>
  <si>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</si>
  <si>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</si>
  <si>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</si>
  <si>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</si>
  <si>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</si>
  <si>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</si>
  <si>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</si>
  <si>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</si>
  <si>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</si>
  <si>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</si>
  <si>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</si>
  <si>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</si>
  <si>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</si>
  <si>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</si>
  <si>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</si>
  <si>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</si>
  <si>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</si>
  <si>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</si>
  <si>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</si>
  <si>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</si>
  <si>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</si>
  <si>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</si>
  <si>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</si>
  <si>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</si>
  <si>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</si>
  <si>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</si>
  <si>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</si>
  <si>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</si>
  <si>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</si>
  <si>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</si>
  <si>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</si>
  <si>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</si>
  <si>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</si>
  <si>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</si>
  <si>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</si>
  <si>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</si>
  <si>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</si>
  <si>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</si>
  <si>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</si>
  <si>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</si>
  <si>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</si>
  <si>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</si>
  <si>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</si>
  <si>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</si>
  <si>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</si>
  <si>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</si>
  <si>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</si>
  <si>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</si>
  <si>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</si>
  <si>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</si>
  <si>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</si>
  <si>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</si>
  <si>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</si>
  <si>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</si>
  <si>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</si>
  <si>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</si>
  <si>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</si>
  <si>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</si>
  <si>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</si>
  <si>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</si>
  <si>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</si>
  <si>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</si>
  <si>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</si>
  <si>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</si>
  <si>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</si>
  <si>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</si>
  <si>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</si>
  <si>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</si>
  <si>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</si>
  <si>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</si>
  <si>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</si>
  <si>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</si>
  <si>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</si>
  <si>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</si>
  <si>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</si>
  <si>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</si>
  <si>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</si>
  <si>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</si>
  <si>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</si>
  <si>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</si>
  <si>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</si>
  <si>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</si>
  <si>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</si>
  <si>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</si>
  <si>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</si>
  <si>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</si>
  <si>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</si>
  <si>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</si>
  <si>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</si>
  <si>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</si>
  <si>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</si>
  <si>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</si>
  <si>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</si>
  <si>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</si>
  <si>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</si>
  <si>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</si>
  <si>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</si>
  <si>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</si>
  <si>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</si>
  <si>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</si>
  <si>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</si>
  <si>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</si>
  <si>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</si>
  <si>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</si>
  <si>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</si>
  <si>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</si>
  <si>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</si>
  <si>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</si>
  <si>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</si>
  <si>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</si>
  <si>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</si>
  <si>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</si>
  <si>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</si>
  <si>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</si>
  <si>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</si>
  <si>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</si>
  <si>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</si>
  <si>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</si>
  <si>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</si>
  <si>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</si>
  <si>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</si>
  <si>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</si>
  <si>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</si>
  <si>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</si>
  <si>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</si>
  <si>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</si>
  <si>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</si>
  <si>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</si>
  <si>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</si>
  <si>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</si>
  <si>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</si>
  <si>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</si>
  <si>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</si>
  <si>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</si>
  <si>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</si>
  <si>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</si>
  <si>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</si>
  <si>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</si>
  <si>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</si>
  <si>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</si>
  <si>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</si>
  <si>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</si>
  <si>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</si>
  <si>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</si>
  <si>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</si>
  <si>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</si>
  <si>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</si>
  <si>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</si>
  <si>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</si>
  <si>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</si>
  <si>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</si>
  <si>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</si>
  <si>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</si>
  <si>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</si>
  <si>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</si>
  <si>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</si>
  <si>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</si>
  <si>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</si>
  <si>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</si>
  <si>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</si>
  <si>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</si>
  <si>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</si>
  <si>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</si>
  <si>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</si>
  <si>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</si>
  <si>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</si>
  <si>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</si>
  <si>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</si>
  <si>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</si>
  <si>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</si>
  <si>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</si>
  <si>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</si>
  <si>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</si>
  <si>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</si>
  <si>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</si>
  <si>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</si>
  <si>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</si>
  <si>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</si>
  <si>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</si>
  <si>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</si>
  <si>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</si>
  <si>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</si>
  <si>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</si>
  <si>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</si>
  <si>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</si>
  <si>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</si>
  <si>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</si>
  <si>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</si>
  <si>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</si>
  <si>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</si>
  <si>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</si>
  <si>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</si>
  <si>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</si>
  <si>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</si>
  <si>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</si>
  <si>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</si>
  <si>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</si>
  <si>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</si>
  <si>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</si>
  <si>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</si>
  <si>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</si>
  <si>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</si>
  <si>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</si>
  <si>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</si>
  <si>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</si>
  <si>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</si>
  <si>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</si>
  <si>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</si>
  <si>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</si>
  <si>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</si>
  <si>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</si>
  <si>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</si>
  <si>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</si>
  <si>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</si>
  <si>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</si>
  <si>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</si>
  <si>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</si>
  <si>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</si>
  <si>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</si>
  <si>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</si>
  <si>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</si>
  <si>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</si>
  <si>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</si>
  <si>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</si>
  <si>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</si>
  <si>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</si>
  <si>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</si>
  <si>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</si>
  <si>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</si>
  <si>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</si>
  <si>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</si>
  <si>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</si>
  <si>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</si>
  <si>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</si>
  <si>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</si>
  <si>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</si>
  <si>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</si>
  <si>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</si>
  <si>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</si>
  <si>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</si>
  <si>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</si>
  <si>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</si>
  <si>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</si>
  <si>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</si>
  <si>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</si>
  <si>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</si>
  <si>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</si>
  <si>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</si>
  <si>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</si>
  <si>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</si>
  <si>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</si>
  <si>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</si>
  <si>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</si>
  <si>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</si>
  <si>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</si>
  <si>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</si>
  <si>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</si>
  <si>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</si>
  <si>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</si>
  <si>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</si>
  <si>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</si>
  <si>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</si>
  <si>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</si>
  <si>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</si>
  <si>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</si>
  <si>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</si>
  <si>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</si>
  <si>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</si>
  <si>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</si>
  <si>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</si>
  <si>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</si>
  <si>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</si>
  <si>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</si>
  <si>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</si>
  <si>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</si>
  <si>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</si>
  <si>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</si>
  <si>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</si>
  <si>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</si>
  <si>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</si>
  <si>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</si>
  <si>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</si>
  <si>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</si>
  <si>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</si>
  <si>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</si>
  <si>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</si>
  <si>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</si>
  <si>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</si>
  <si>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</si>
  <si>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</si>
  <si>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</si>
  <si>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</si>
  <si>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</si>
  <si>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</si>
  <si>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</si>
  <si>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</si>
  <si>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</si>
  <si>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</si>
  <si>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</si>
  <si>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</si>
  <si>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</si>
  <si>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</si>
  <si>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</si>
  <si>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</si>
  <si>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</si>
  <si>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</si>
  <si>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</si>
  <si>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</si>
  <si>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</si>
  <si>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</si>
  <si>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</si>
  <si>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</si>
  <si>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</si>
  <si>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</si>
  <si>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</si>
  <si>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</si>
  <si>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</si>
  <si>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</si>
  <si>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</si>
  <si>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</si>
  <si>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</si>
  <si>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</si>
  <si>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</si>
  <si>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</si>
  <si>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</si>
  <si>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</si>
  <si>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</si>
  <si>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</si>
  <si>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</si>
  <si>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</si>
  <si>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</si>
  <si>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</si>
  <si>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</si>
  <si>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</si>
  <si>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</si>
  <si>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</si>
  <si>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</si>
  <si>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</si>
  <si>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</si>
  <si>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</si>
  <si>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</si>
  <si>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</si>
  <si>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</si>
  <si>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</si>
  <si>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</si>
  <si>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</si>
  <si>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</si>
  <si>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</si>
  <si>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</si>
  <si>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</si>
  <si>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</si>
  <si>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</si>
  <si>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</si>
  <si>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</si>
  <si>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</si>
  <si>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</si>
  <si>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</si>
  <si>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</si>
  <si>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</si>
  <si>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</si>
  <si>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</si>
  <si>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</si>
  <si>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</si>
  <si>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</si>
  <si>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</si>
  <si>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</si>
  <si>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</si>
  <si>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</si>
  <si>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</si>
  <si>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</si>
  <si>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</si>
  <si>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</si>
  <si>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</si>
  <si>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</si>
  <si>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</si>
  <si>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</si>
  <si>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</si>
  <si>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</si>
  <si>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</si>
  <si>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</si>
  <si>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</si>
  <si>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</si>
  <si>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</si>
  <si>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</si>
  <si>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</si>
  <si>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</si>
  <si>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</si>
  <si>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</si>
  <si>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</si>
  <si>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</si>
  <si>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</si>
  <si>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</si>
  <si>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</si>
  <si>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</si>
  <si>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</si>
  <si>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</si>
  <si>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</si>
  <si>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</si>
  <si>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</si>
  <si>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</si>
  <si>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</si>
  <si>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</si>
  <si>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</si>
  <si>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</si>
  <si>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</si>
  <si>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</si>
  <si>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</si>
  <si>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</si>
  <si>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</si>
  <si>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</si>
  <si>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</si>
  <si>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</si>
  <si>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</si>
  <si>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</si>
  <si>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</si>
  <si>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</si>
  <si>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</si>
  <si>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</si>
  <si>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</si>
  <si>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</si>
  <si>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</si>
  <si>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</si>
  <si>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</si>
  <si>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</si>
  <si>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</si>
  <si>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</si>
  <si>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</si>
  <si>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</si>
  <si>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</si>
  <si>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</si>
  <si>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</si>
  <si>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</si>
  <si>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</si>
  <si>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</si>
  <si>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</si>
  <si>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</si>
  <si>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</si>
  <si>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</si>
  <si>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</si>
  <si>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</si>
  <si>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</si>
  <si>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</si>
  <si>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</si>
  <si>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</si>
  <si>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</si>
  <si>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</si>
  <si>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</si>
  <si>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</si>
  <si>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</si>
  <si>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</si>
  <si>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</si>
  <si>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</si>
  <si>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</si>
  <si>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</si>
  <si>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</si>
  <si>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</si>
  <si>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</si>
  <si>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</si>
  <si>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</si>
  <si>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</si>
  <si>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</si>
  <si>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</si>
  <si>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</si>
  <si>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</si>
  <si>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</si>
  <si>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</si>
  <si>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</si>
  <si>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</si>
  <si>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</si>
  <si>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</si>
  <si>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</si>
  <si>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</si>
  <si>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</si>
  <si>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</si>
  <si>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</si>
  <si>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</si>
  <si>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</si>
  <si>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</si>
  <si>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</si>
  <si>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</si>
  <si>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</si>
  <si>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</si>
  <si>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</si>
  <si>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</si>
  <si>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</si>
  <si>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</si>
  <si>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</si>
  <si>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</si>
  <si>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</si>
  <si>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</si>
  <si>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</si>
  <si>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</si>
  <si>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</si>
  <si>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</si>
  <si>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</si>
  <si>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</si>
  <si>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</si>
  <si>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</si>
  <si>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</si>
  <si>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</si>
  <si>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</si>
  <si>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</si>
  <si>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</si>
  <si>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</si>
  <si>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</si>
  <si>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</si>
  <si>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</si>
  <si>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</si>
  <si>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</si>
  <si>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</si>
  <si>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</si>
  <si>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</si>
  <si>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</si>
  <si>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</si>
  <si>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</si>
  <si>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</si>
  <si>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</si>
  <si>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</si>
  <si>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</si>
  <si>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</si>
  <si>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</si>
  <si>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</si>
  <si>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</si>
  <si>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</si>
  <si>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</si>
  <si>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</si>
  <si>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</si>
  <si>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</si>
  <si>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</si>
  <si>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</si>
  <si>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</si>
  <si>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</si>
  <si>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</si>
  <si>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</si>
  <si>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</si>
  <si>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</si>
  <si>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</si>
  <si>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</si>
  <si>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</si>
  <si>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</si>
  <si>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</si>
  <si>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</si>
  <si>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</si>
  <si>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</si>
  <si>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</si>
  <si>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</si>
  <si>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</si>
  <si>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</si>
  <si>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</si>
  <si>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</si>
  <si>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</si>
  <si>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</si>
  <si>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</si>
  <si>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</si>
  <si>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</si>
  <si>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</si>
  <si>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</si>
  <si>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</si>
  <si>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</si>
  <si>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</si>
  <si>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</si>
  <si>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</si>
  <si>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</si>
  <si>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</si>
  <si>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</si>
  <si>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</si>
  <si>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</si>
  <si>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</si>
  <si>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</si>
  <si>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</si>
  <si>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</si>
  <si>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</si>
  <si>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</si>
  <si>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</si>
  <si>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</si>
  <si>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</si>
  <si>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</si>
  <si>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</si>
  <si>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</si>
  <si>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</si>
  <si>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</si>
  <si>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</si>
  <si>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</si>
  <si>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</si>
  <si>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</si>
  <si>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</si>
  <si>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</si>
  <si>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</si>
  <si>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</si>
  <si>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</si>
  <si>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</si>
  <si>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</si>
  <si>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</si>
  <si>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</si>
  <si>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</si>
  <si>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</si>
  <si>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</si>
  <si>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</si>
  <si>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</si>
  <si>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</si>
  <si>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</si>
  <si>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</si>
  <si>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</si>
  <si>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</si>
  <si>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</si>
  <si>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</si>
  <si>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</si>
  <si>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</si>
  <si>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</si>
  <si>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</si>
  <si>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</si>
  <si>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</si>
  <si>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</si>
  <si>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</si>
  <si>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</si>
  <si>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</si>
  <si>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</si>
  <si>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</si>
  <si>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</si>
  <si>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</si>
  <si>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</si>
  <si>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</si>
  <si>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</si>
  <si>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</si>
  <si>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</si>
  <si>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</si>
  <si>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</si>
  <si>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</si>
  <si>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</si>
  <si>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</si>
  <si>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</si>
  <si>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</si>
  <si>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</si>
  <si>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</si>
  <si>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</si>
  <si>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</si>
  <si>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</si>
  <si>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</si>
  <si>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</si>
  <si>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</si>
  <si>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</si>
  <si>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</si>
  <si>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</si>
  <si>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</si>
  <si>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</si>
  <si>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</si>
  <si>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</si>
  <si>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</si>
  <si>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</si>
  <si>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</si>
  <si>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</si>
  <si>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</si>
  <si>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</si>
  <si>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</si>
  <si>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</si>
  <si>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</si>
  <si>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</si>
  <si>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</si>
  <si>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</si>
  <si>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</si>
  <si>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</si>
  <si>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</si>
  <si>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</si>
  <si>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</si>
  <si>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</si>
  <si>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</si>
  <si>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</si>
  <si>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</si>
  <si>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</si>
  <si>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</si>
  <si>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</si>
  <si>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</si>
  <si>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</si>
  <si>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</si>
  <si>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</si>
  <si>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</si>
  <si>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</si>
  <si>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</si>
  <si>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</si>
  <si>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</si>
  <si>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</si>
  <si>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</si>
  <si>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</si>
  <si>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</si>
  <si>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</si>
  <si>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</si>
  <si>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</si>
  <si>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</si>
  <si>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</si>
  <si>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</si>
  <si>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</si>
  <si>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</si>
  <si>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</si>
  <si>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</si>
  <si>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</si>
  <si>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</si>
  <si>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</si>
  <si>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</si>
  <si>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</si>
  <si>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</si>
  <si>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</si>
  <si>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</si>
  <si>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</si>
  <si>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</si>
  <si>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</si>
  <si>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</si>
  <si>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</si>
  <si>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</si>
  <si>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</si>
  <si>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</si>
  <si>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</si>
  <si>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</si>
  <si>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</si>
  <si>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</si>
  <si>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</si>
  <si>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</si>
  <si>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</si>
  <si>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</si>
  <si>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</si>
  <si>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</si>
  <si>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</si>
  <si>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</si>
  <si>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</si>
  <si>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</si>
  <si>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</si>
  <si>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</si>
  <si>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</si>
  <si>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</si>
  <si>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</si>
  <si>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</si>
  <si>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</si>
  <si>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</si>
  <si>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</si>
  <si>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</si>
  <si>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</si>
  <si>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</si>
  <si>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</si>
  <si>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</si>
  <si>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</si>
  <si>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</si>
  <si>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</si>
  <si>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</si>
  <si>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</si>
  <si>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</si>
  <si>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</si>
  <si>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</si>
  <si>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</si>
  <si>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</si>
  <si>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</si>
  <si>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</si>
  <si>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</si>
  <si>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</si>
  <si>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</si>
  <si>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</si>
  <si>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</si>
  <si>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</si>
  <si>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</si>
  <si>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</si>
  <si>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</si>
  <si>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</si>
  <si>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</si>
  <si>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</si>
  <si>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</si>
  <si>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</si>
  <si>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</si>
  <si>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</si>
  <si>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</si>
  <si>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</si>
  <si>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</si>
  <si>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</si>
  <si>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</si>
  <si>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</si>
  <si>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</si>
  <si>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</si>
  <si>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</si>
  <si>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</si>
  <si>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</si>
  <si>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</si>
  <si>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</si>
  <si>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</si>
  <si>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</si>
  <si>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</si>
  <si>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</si>
  <si>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</si>
  <si>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</si>
  <si>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</si>
  <si>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</si>
  <si>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</si>
  <si>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</si>
  <si>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</si>
  <si>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</si>
  <si>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</si>
  <si>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</si>
  <si>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</si>
  <si>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</si>
  <si>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</si>
  <si>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</si>
  <si>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</si>
  <si>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</si>
  <si>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</si>
  <si>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</si>
  <si>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</si>
  <si>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</si>
  <si>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</si>
  <si>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</si>
  <si>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</si>
  <si>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</si>
  <si>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</si>
  <si>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</si>
  <si>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</si>
  <si>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</si>
  <si>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</si>
  <si>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</si>
  <si>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</si>
  <si>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</si>
  <si>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</si>
  <si>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</si>
  <si>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</si>
  <si>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</si>
  <si>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</si>
  <si>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</si>
  <si>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</si>
  <si>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</si>
  <si>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</si>
  <si>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</si>
  <si>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</si>
  <si>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</si>
  <si>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</si>
  <si>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</si>
  <si>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</si>
  <si>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</si>
  <si>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</si>
  <si>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</si>
  <si>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</si>
  <si>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</si>
  <si>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</si>
  <si>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</si>
  <si>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</si>
  <si>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</si>
  <si>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</si>
  <si>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</si>
  <si>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</si>
  <si>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</si>
  <si>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</si>
  <si>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</si>
  <si>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</si>
  <si>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</si>
  <si>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</si>
  <si>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</si>
  <si>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</si>
  <si>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</si>
  <si>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</si>
  <si>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</si>
  <si>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</si>
  <si>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</si>
  <si>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</si>
  <si>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</si>
  <si>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</si>
  <si>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</si>
  <si>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</si>
  <si>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</si>
  <si>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</si>
  <si>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</si>
  <si>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</si>
  <si>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</si>
  <si>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</si>
  <si>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</si>
  <si>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</si>
  <si>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</si>
  <si>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</si>
  <si>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</si>
  <si>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</si>
  <si>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</si>
  <si>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</si>
  <si>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</si>
  <si>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</si>
  <si>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</si>
  <si>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</si>
  <si>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</si>
  <si>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</si>
  <si>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</si>
  <si>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</si>
  <si>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</si>
  <si>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</si>
  <si>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</si>
  <si>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</si>
  <si>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</si>
  <si>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</si>
  <si>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</si>
  <si>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</si>
  <si>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</si>
  <si>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</si>
  <si>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</si>
  <si>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</si>
  <si>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</si>
  <si>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</si>
  <si>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</si>
  <si>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</si>
  <si>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</si>
  <si>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</si>
  <si>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</si>
  <si>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</si>
  <si>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</si>
  <si>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</si>
  <si>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</si>
  <si>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</si>
  <si>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</si>
  <si>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</si>
  <si>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</si>
  <si>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</si>
  <si>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</si>
  <si>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</si>
  <si>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</si>
  <si>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</si>
  <si>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</si>
  <si>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</si>
  <si>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</si>
  <si>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</si>
  <si>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</si>
  <si>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</si>
  <si>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</si>
  <si>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</si>
  <si>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</si>
  <si>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</si>
  <si>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</si>
  <si>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</si>
  <si>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</si>
  <si>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</si>
  <si>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</si>
  <si>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</si>
  <si>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</si>
  <si>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</si>
  <si>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</si>
  <si>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</si>
  <si>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</si>
  <si>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</si>
  <si>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</si>
  <si>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</si>
  <si>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</si>
  <si>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</si>
  <si>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</si>
  <si>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</si>
  <si>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</si>
  <si>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</si>
  <si>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</si>
  <si>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</si>
  <si>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</si>
  <si>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</si>
  <si>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</si>
  <si>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</si>
  <si>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</si>
  <si>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</si>
  <si>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</si>
  <si>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</si>
  <si>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</si>
  <si>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</si>
  <si>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</si>
  <si>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</si>
  <si>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</si>
  <si>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</si>
  <si>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</si>
  <si>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</si>
  <si>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</si>
  <si>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</si>
  <si>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</si>
  <si>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</si>
  <si>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</si>
  <si>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</si>
  <si>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</si>
  <si>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</si>
  <si>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</si>
  <si>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</si>
  <si>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</si>
  <si>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</si>
  <si>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</si>
  <si>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</si>
  <si>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</si>
  <si>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</si>
  <si>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</si>
  <si>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</si>
  <si>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</si>
  <si>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</si>
  <si>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</si>
  <si>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</si>
  <si>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</si>
  <si>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</si>
  <si>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</si>
  <si>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</si>
  <si>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</si>
  <si>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</si>
  <si>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</si>
  <si>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</si>
  <si>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</si>
  <si>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</si>
  <si>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</si>
  <si>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</si>
  <si>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</si>
  <si>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</si>
  <si>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</si>
  <si>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</si>
  <si>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</si>
  <si>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</si>
  <si>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</si>
  <si>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</si>
  <si>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</si>
  <si>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</si>
  <si>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</si>
  <si>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</si>
  <si>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</si>
  <si>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</si>
  <si>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</si>
  <si>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</si>
  <si>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</si>
  <si>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</si>
  <si>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</si>
  <si>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</si>
  <si>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</si>
  <si>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</si>
  <si>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</si>
  <si>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</si>
  <si>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</si>
  <si>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</si>
  <si>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</si>
  <si>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</si>
  <si>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</si>
  <si>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</si>
  <si>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</si>
  <si>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</si>
  <si>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</si>
  <si>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</si>
  <si>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</si>
  <si>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</si>
  <si>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</si>
  <si>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</si>
  <si>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</si>
  <si>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</si>
  <si>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</si>
  <si>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</si>
  <si>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</si>
  <si>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</si>
  <si>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</si>
  <si>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</si>
  <si>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</si>
  <si>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</si>
  <si>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</si>
  <si>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</si>
  <si>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</si>
  <si>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</si>
  <si>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</si>
  <si>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</si>
  <si>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</si>
  <si>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</si>
  <si>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</si>
  <si>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</si>
  <si>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</si>
  <si>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</si>
  <si>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</si>
  <si>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</si>
  <si>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</si>
  <si>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</si>
  <si>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</si>
  <si>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</si>
  <si>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</si>
  <si>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</si>
  <si>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</si>
  <si>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</si>
  <si>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</si>
  <si>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</si>
  <si>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</si>
  <si>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</si>
  <si>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</si>
  <si>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</si>
  <si>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</si>
  <si>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</si>
  <si>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</si>
  <si>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</si>
  <si>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</si>
  <si>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</si>
  <si>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</si>
  <si>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</si>
  <si>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</si>
  <si>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</si>
  <si>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</si>
  <si>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</si>
  <si>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</si>
  <si>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</si>
  <si>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</si>
  <si>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</si>
  <si>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</si>
  <si>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</si>
  <si>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</si>
  <si>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</si>
  <si>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</si>
  <si>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</si>
  <si>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</si>
  <si>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</si>
  <si>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</si>
  <si>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</si>
  <si>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</si>
  <si>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</si>
  <si>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</si>
  <si>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</si>
  <si>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</si>
  <si>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</si>
  <si>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</si>
  <si>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</si>
  <si>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</si>
  <si>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</si>
  <si>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</si>
  <si>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</si>
  <si>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</si>
  <si>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</si>
  <si>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</si>
  <si>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</si>
  <si>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</si>
  <si>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</si>
  <si>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</si>
  <si>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</si>
  <si>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</si>
  <si>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</si>
  <si>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</si>
  <si>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</si>
  <si>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</si>
  <si>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</si>
  <si>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</si>
  <si>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</si>
  <si>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</si>
  <si>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</si>
  <si>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</si>
  <si>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</si>
  <si>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</si>
  <si>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</si>
  <si>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</si>
  <si>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</si>
  <si>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</si>
  <si>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</si>
  <si>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</si>
  <si>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</si>
  <si>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</si>
  <si>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</si>
  <si>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</si>
  <si>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</si>
  <si>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</si>
  <si>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</si>
  <si>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</si>
  <si>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</si>
  <si>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</si>
  <si>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</si>
  <si>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</si>
  <si>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</si>
  <si>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</si>
  <si>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</si>
  <si>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</si>
  <si>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</si>
  <si>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</si>
  <si>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</si>
  <si>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</si>
  <si>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</si>
  <si>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</si>
  <si>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</si>
  <si>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</si>
  <si>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</si>
  <si>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</si>
  <si>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</si>
  <si>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</si>
  <si>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</si>
  <si>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</si>
  <si>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</si>
  <si>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</si>
  <si>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</si>
  <si>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</si>
  <si>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</si>
  <si>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</si>
  <si>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</si>
  <si>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</si>
  <si>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</si>
  <si>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</si>
  <si>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</si>
  <si>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</si>
  <si>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</si>
  <si>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</si>
  <si>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</si>
  <si>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</si>
  <si>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</si>
  <si>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</si>
  <si>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</si>
  <si>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</si>
  <si>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</si>
  <si>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</si>
  <si>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</si>
  <si>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</si>
  <si>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</si>
  <si>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</si>
  <si>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</si>
  <si>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</si>
  <si>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</si>
  <si>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</si>
  <si>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</si>
  <si>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</si>
  <si>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</si>
  <si>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</si>
  <si>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</si>
  <si>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</si>
  <si>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</si>
  <si>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</si>
  <si>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</si>
  <si>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</si>
  <si>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</si>
  <si>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</si>
  <si>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</si>
  <si>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</si>
  <si>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</si>
  <si>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</si>
  <si>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</si>
  <si>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</si>
  <si>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</si>
  <si>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</si>
  <si>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</si>
  <si>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</si>
  <si>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</si>
  <si>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</si>
  <si>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</si>
  <si>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</si>
  <si>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</si>
  <si>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</si>
  <si>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</si>
  <si>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</si>
  <si>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</si>
  <si>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</si>
  <si>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</si>
  <si>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</si>
  <si>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</si>
  <si>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</si>
  <si>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</si>
  <si>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</si>
  <si>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</si>
  <si>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</si>
  <si>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</si>
  <si>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</si>
  <si>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</si>
  <si>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</si>
  <si>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</si>
  <si>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</si>
  <si>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</si>
  <si>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</si>
  <si>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</si>
  <si>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</si>
  <si>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</si>
  <si>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</si>
  <si>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</si>
  <si>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</si>
  <si>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</si>
  <si>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</si>
  <si>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</si>
  <si>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</si>
  <si>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</si>
  <si>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</si>
  <si>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</si>
  <si>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</si>
  <si>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</si>
  <si>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</si>
  <si>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</si>
  <si>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</si>
  <si>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</si>
  <si>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</si>
  <si>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</si>
  <si>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</si>
  <si>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</si>
  <si>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</si>
  <si>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</si>
  <si>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</si>
  <si>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</si>
  <si>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</si>
  <si>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</si>
  <si>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</si>
  <si>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</si>
  <si>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</si>
  <si>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</si>
  <si>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</si>
  <si>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</si>
  <si>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</si>
  <si>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</si>
  <si>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</si>
  <si>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</si>
  <si>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</si>
  <si>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</si>
  <si>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</si>
  <si>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</si>
  <si>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</si>
  <si>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</si>
  <si>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</si>
  <si>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</si>
  <si>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</si>
  <si>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</si>
  <si>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</si>
  <si>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</si>
  <si>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</si>
  <si>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</si>
  <si>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</si>
  <si>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</si>
  <si>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</si>
  <si>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</si>
  <si>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</si>
  <si>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</si>
  <si>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</si>
  <si>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</si>
  <si>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</si>
  <si>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</si>
  <si>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</si>
  <si>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</si>
  <si>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</si>
  <si>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</si>
  <si>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</si>
  <si>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</si>
  <si>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</si>
  <si>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</si>
  <si>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</si>
  <si>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</si>
  <si>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</si>
  <si>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</si>
  <si>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</si>
  <si>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</si>
  <si>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</si>
  <si>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</si>
  <si>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</si>
  <si>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</si>
  <si>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</si>
  <si>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</si>
  <si>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</si>
  <si>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</si>
  <si>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</si>
  <si>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</si>
  <si>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</si>
  <si>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</si>
  <si>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</si>
  <si>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</si>
  <si>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</si>
  <si>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</si>
  <si>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</si>
  <si>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</si>
  <si>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</si>
  <si>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</si>
  <si>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</si>
  <si>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</si>
  <si>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</si>
  <si>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</si>
  <si>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</si>
  <si>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</si>
  <si>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</si>
  <si>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</si>
  <si>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</si>
  <si>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</si>
  <si>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</si>
  <si>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</si>
  <si>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</si>
  <si>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</si>
  <si>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</si>
  <si>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</si>
  <si>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</si>
  <si>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</si>
  <si>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</si>
  <si>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</si>
  <si>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</si>
  <si>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</si>
  <si>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</si>
  <si>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</si>
  <si>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</si>
  <si>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</si>
  <si>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</si>
  <si>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</si>
  <si>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</si>
  <si>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</si>
  <si>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</si>
  <si>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</si>
  <si>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</si>
  <si>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</si>
  <si>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</si>
  <si>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</si>
  <si>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</si>
  <si>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</si>
  <si>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</si>
  <si>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</si>
  <si>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</si>
  <si>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</si>
  <si>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</si>
  <si>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</si>
  <si>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</si>
  <si>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</si>
  <si>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</si>
  <si>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</si>
  <si>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</si>
  <si>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</si>
  <si>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</si>
  <si>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</si>
  <si>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</si>
  <si>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</si>
  <si>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</si>
  <si>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</si>
  <si>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</si>
  <si>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</si>
  <si>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</si>
  <si>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</si>
  <si>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</si>
  <si>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</si>
  <si>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</si>
  <si>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</si>
  <si>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</si>
  <si>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</si>
  <si>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</si>
  <si>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</si>
  <si>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</si>
  <si>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</si>
  <si>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</si>
  <si>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</si>
  <si>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</si>
  <si>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</si>
  <si>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</si>
  <si>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</si>
  <si>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</si>
  <si>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</si>
  <si>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</si>
  <si>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</si>
  <si>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</si>
  <si>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</si>
  <si>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</si>
  <si>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</si>
  <si>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</si>
  <si>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</si>
  <si>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</si>
  <si>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</si>
  <si>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</si>
  <si>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</si>
  <si>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</si>
  <si>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</si>
  <si>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</si>
  <si>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</si>
  <si>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</si>
  <si>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</si>
  <si>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</si>
  <si>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</si>
  <si>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</si>
  <si>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</si>
  <si>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</si>
  <si>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</si>
  <si>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</si>
  <si>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</si>
  <si>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</si>
  <si>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</si>
  <si>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</si>
  <si>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</si>
  <si>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</si>
  <si>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</si>
  <si>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</si>
  <si>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</si>
  <si>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</si>
  <si>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</si>
  <si>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</si>
  <si>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</si>
  <si>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</si>
  <si>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</si>
  <si>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</si>
  <si>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</si>
  <si>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</si>
  <si>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</si>
  <si>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</si>
  <si>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</si>
  <si>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</si>
  <si>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</si>
  <si>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</si>
  <si>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</si>
  <si>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</si>
  <si>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</si>
  <si>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</si>
  <si>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</si>
  <si>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</si>
  <si>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</si>
  <si>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</si>
  <si>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</si>
  <si>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</si>
  <si>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</si>
  <si>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</si>
  <si>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</si>
  <si>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</si>
  <si>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</si>
  <si>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</si>
  <si>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</si>
  <si>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</si>
  <si>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</si>
  <si>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</si>
  <si>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</si>
  <si>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</si>
  <si>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</si>
  <si>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</si>
  <si>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</si>
  <si>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</si>
  <si>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</si>
  <si>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</si>
  <si>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</si>
  <si>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</si>
  <si>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</si>
  <si>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</si>
  <si>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</si>
  <si>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</si>
  <si>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</si>
  <si>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</si>
  <si>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</si>
  <si>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</si>
  <si>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</si>
  <si>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</si>
  <si>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</si>
  <si>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</si>
  <si>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</si>
  <si>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</si>
  <si>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</si>
  <si>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</si>
  <si>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</si>
  <si>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</si>
  <si>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</si>
  <si>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</si>
  <si>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</si>
  <si>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</si>
  <si>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</si>
  <si>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</si>
  <si>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</si>
  <si>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</si>
  <si>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</si>
  <si>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</si>
  <si>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</si>
  <si>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</si>
  <si>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</si>
  <si>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</si>
  <si>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</si>
  <si>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</si>
  <si>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</si>
  <si>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</si>
  <si>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</si>
  <si>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</si>
  <si>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</si>
  <si>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</si>
  <si>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</si>
  <si>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</si>
  <si>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</si>
  <si>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</si>
  <si>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</si>
  <si>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</si>
  <si>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</si>
  <si>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</si>
  <si>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</si>
  <si>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</si>
  <si>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</si>
  <si>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</si>
  <si>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</si>
  <si>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</si>
  <si>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</si>
  <si>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</si>
  <si>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</si>
  <si>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</si>
  <si>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</si>
  <si>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</si>
  <si>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</si>
  <si>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</si>
  <si>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</si>
  <si>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</si>
  <si>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</si>
  <si>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</si>
  <si>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</si>
  <si>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</si>
  <si>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</si>
  <si>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</si>
  <si>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</si>
  <si>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</si>
  <si>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</si>
  <si>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</si>
  <si>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</si>
  <si>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</si>
  <si>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</si>
  <si>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</si>
  <si>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</si>
  <si>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</si>
  <si>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</si>
  <si>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</si>
  <si>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</si>
  <si>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</si>
  <si>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</si>
  <si>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</si>
  <si>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</si>
  <si>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</si>
  <si>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</si>
  <si>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</si>
  <si>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</si>
  <si>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</si>
  <si>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</si>
  <si>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</si>
  <si>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</si>
  <si>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</si>
  <si>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</si>
  <si>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</si>
  <si>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</si>
  <si>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</si>
  <si>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</si>
  <si>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</si>
  <si>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</si>
  <si>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</si>
  <si>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</si>
  <si>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</si>
  <si>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</si>
  <si>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</si>
  <si>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</si>
  <si>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</si>
  <si>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</si>
  <si>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</si>
  <si>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</si>
  <si>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</si>
  <si>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</si>
  <si>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</si>
  <si>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</si>
  <si>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</si>
  <si>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</si>
  <si>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</si>
  <si>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</si>
  <si>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</si>
  <si>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</si>
  <si>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</si>
  <si>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</si>
  <si>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</si>
  <si>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</si>
  <si>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</si>
  <si>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</si>
  <si>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</si>
  <si>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</si>
  <si>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</si>
  <si>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</si>
  <si>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</si>
  <si>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</si>
  <si>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</si>
  <si>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</si>
  <si>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</si>
  <si>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</si>
  <si>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</si>
  <si>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</si>
  <si>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</si>
  <si>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</si>
  <si>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</si>
  <si>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</si>
  <si>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</si>
  <si>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</si>
  <si>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</si>
  <si>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</si>
  <si>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</si>
  <si>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</si>
  <si>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</si>
  <si>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</si>
  <si>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</si>
  <si>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</si>
  <si>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</si>
  <si>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</si>
  <si>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</si>
  <si>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</si>
  <si>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</si>
  <si>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</si>
  <si>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</si>
  <si>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</si>
  <si>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</si>
  <si>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</si>
  <si>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</si>
  <si>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</si>
  <si>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</si>
  <si>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</si>
  <si>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</si>
  <si>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</si>
  <si>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</si>
  <si>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</si>
  <si>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</si>
  <si>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</si>
  <si>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</si>
  <si>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</si>
  <si>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</si>
  <si>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</si>
  <si>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</si>
  <si>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</si>
  <si>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</si>
  <si>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</si>
  <si>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</si>
  <si>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</si>
  <si>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</si>
  <si>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</si>
  <si>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</si>
  <si>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</si>
  <si>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</si>
  <si>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</si>
  <si>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</si>
  <si>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</si>
  <si>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</si>
  <si>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</si>
  <si>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</si>
  <si>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</si>
  <si>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</si>
  <si>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</si>
  <si>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</si>
  <si>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</si>
  <si>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</si>
  <si>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</si>
  <si>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</si>
  <si>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</si>
  <si>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</si>
  <si>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</si>
  <si>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</si>
  <si>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</si>
  <si>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</si>
  <si>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</si>
  <si>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</si>
  <si>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</si>
  <si>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</si>
  <si>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</si>
  <si>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</si>
  <si>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</si>
  <si>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</si>
  <si>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</si>
  <si>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</si>
  <si>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</si>
  <si>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</si>
  <si>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</si>
  <si>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</si>
  <si>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</si>
  <si>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</si>
  <si>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</si>
  <si>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</si>
  <si>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</si>
  <si>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</si>
  <si>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</si>
  <si>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</si>
  <si>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</si>
  <si>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</si>
  <si>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</si>
  <si>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</si>
  <si>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</si>
  <si>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</si>
  <si>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</si>
  <si>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</si>
  <si>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</si>
  <si>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</si>
  <si>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</si>
  <si>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</si>
  <si>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</si>
  <si>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</si>
  <si>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</si>
  <si>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</si>
  <si>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</si>
  <si>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</si>
  <si>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</si>
  <si>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</si>
  <si>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</si>
  <si>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</si>
  <si>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</si>
  <si>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</si>
  <si>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</si>
  <si>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</si>
  <si>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</si>
  <si>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</si>
  <si>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</si>
  <si>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</si>
  <si>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</si>
  <si>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</si>
  <si>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</si>
  <si>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</si>
  <si>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</si>
  <si>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</si>
  <si>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</si>
  <si>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</si>
  <si>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</si>
  <si>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</si>
  <si>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</si>
  <si>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</si>
  <si>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</si>
  <si>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</si>
  <si>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</si>
  <si>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</si>
  <si>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</si>
  <si>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</si>
  <si>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</si>
  <si>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</si>
  <si>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</si>
  <si>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</si>
  <si>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</si>
  <si>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</si>
  <si>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</si>
  <si>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</si>
  <si>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</si>
  <si>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</si>
  <si>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</si>
  <si>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</si>
  <si>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</si>
  <si>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</si>
  <si>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</si>
  <si>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</si>
  <si>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</si>
  <si>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</si>
  <si>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</si>
  <si>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</si>
  <si>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</si>
  <si>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</si>
  <si>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</si>
  <si>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</si>
  <si>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</si>
  <si>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</si>
  <si>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</si>
  <si>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</si>
  <si>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</si>
  <si>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</si>
  <si>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</si>
  <si>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</si>
  <si>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</si>
  <si>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</si>
  <si>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</si>
  <si>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</si>
  <si>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</si>
  <si>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</si>
  <si>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</si>
  <si>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</si>
  <si>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</si>
  <si>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</si>
  <si>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</si>
  <si>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</si>
  <si>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</si>
  <si>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</si>
  <si>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</si>
  <si>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</si>
  <si>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</si>
  <si>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</si>
  <si>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</si>
  <si>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</si>
  <si>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</si>
  <si>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</si>
  <si>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</si>
  <si>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</si>
  <si>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</si>
  <si>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</rPr>
      <t xml:space="preserve">higher education institution &gt; educational institution &gt; educational institution </t>
    </r>
    <r>
      <rPr>
        <sz val="10"/>
        <color rgb="FF000000"/>
        <rFont val="Arial"/>
      </rPr>
      <t>&gt; institution &gt; social structure</t>
    </r>
  </si>
  <si>
    <r>
      <rPr>
        <sz val="10"/>
        <color rgb="FF000000"/>
        <rFont val="Arial"/>
      </rPr>
      <t xml:space="preserve">higher education institution &gt; educational institution &gt; educational institution &gt; </t>
    </r>
    <r>
      <rPr>
        <sz val="10"/>
        <color rgb="FF000000"/>
        <rFont val="Arial"/>
      </rPr>
      <t>institution &gt; person or organization</t>
    </r>
  </si>
  <si>
    <r>
      <rPr>
        <sz val="10"/>
        <color rgb="FF000000"/>
        <rFont val="Arial"/>
      </rPr>
      <t>higher education institution &gt; educational institution &gt; educational institution &gt;</t>
    </r>
    <r>
      <rPr>
        <sz val="10"/>
        <color rgb="FF000000"/>
        <rFont val="Arial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</si>
  <si>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</si>
  <si>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</si>
  <si>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</si>
  <si>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</si>
  <si>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</si>
  <si>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</si>
  <si>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</si>
  <si>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</si>
  <si>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</si>
  <si>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</si>
  <si>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</si>
  <si>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social structure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</si>
  <si>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person or organization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</si>
  <si>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</si>
  <si>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</si>
  <si>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</si>
  <si>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</si>
  <si>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</si>
  <si>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</si>
  <si>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</si>
  <si>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</si>
  <si>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</si>
  <si>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</si>
  <si>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</si>
  <si>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</si>
  <si>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</si>
  <si>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</si>
  <si>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</si>
  <si>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</si>
  <si>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</si>
  <si>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</si>
  <si>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</si>
  <si>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</si>
  <si>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</si>
  <si>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</si>
  <si>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</si>
  <si>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</si>
  <si>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</si>
  <si>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</si>
  <si>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</si>
  <si>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</si>
  <si>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</si>
  <si>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</si>
  <si>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</si>
  <si>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</si>
  <si>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</si>
  <si>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</si>
  <si>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</si>
  <si>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</si>
  <si>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</si>
  <si>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</si>
  <si>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</si>
  <si>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</si>
  <si>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</si>
  <si>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</si>
  <si>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</si>
  <si>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</si>
  <si>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</si>
  <si>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</si>
  <si>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</si>
  <si>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</si>
  <si>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</si>
  <si>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</si>
  <si>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</si>
  <si>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</si>
  <si>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</si>
  <si>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</si>
  <si>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</si>
  <si>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</si>
  <si>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</si>
  <si>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</si>
  <si>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</si>
  <si>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</si>
  <si>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</si>
  <si>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</si>
  <si>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</si>
  <si>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</si>
  <si>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</si>
  <si>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</si>
  <si>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</si>
  <si>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</si>
  <si>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</si>
  <si>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</si>
  <si>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</si>
  <si>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</si>
  <si>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</si>
  <si>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</si>
  <si>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</si>
  <si>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</si>
  <si>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</si>
  <si>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</si>
  <si>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</si>
  <si>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</si>
  <si>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</si>
  <si>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</si>
  <si>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</si>
  <si>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</si>
  <si>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</si>
  <si>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</si>
  <si>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</si>
  <si>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</si>
  <si>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</si>
  <si>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</si>
  <si>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</si>
  <si>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</si>
  <si>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</si>
  <si>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</si>
  <si>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</si>
  <si>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</si>
  <si>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</si>
  <si>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</si>
  <si>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</si>
  <si>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</si>
  <si>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</si>
  <si>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</si>
  <si>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</si>
  <si>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</si>
  <si>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</si>
  <si>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</si>
  <si>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</si>
  <si>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</si>
  <si>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</si>
  <si>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</si>
  <si>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</si>
  <si>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</si>
  <si>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</si>
  <si>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</si>
  <si>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</si>
  <si>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</si>
  <si>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</si>
  <si>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</si>
  <si>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</si>
  <si>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</si>
  <si>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</si>
  <si>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</si>
  <si>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</si>
  <si>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</si>
  <si>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</si>
  <si>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</si>
  <si>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</si>
  <si>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</si>
  <si>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</si>
  <si>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</si>
  <si>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</si>
  <si>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</si>
  <si>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</si>
  <si>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</si>
  <si>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</si>
  <si>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</si>
  <si>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</si>
  <si>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</si>
  <si>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</si>
  <si>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</si>
  <si>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</si>
  <si>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</si>
  <si>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</si>
  <si>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</si>
  <si>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</si>
  <si>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</si>
  <si>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</si>
  <si>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</si>
  <si>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</si>
  <si>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</si>
  <si>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</si>
  <si>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</si>
  <si>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</si>
  <si>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</si>
  <si>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</si>
  <si>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</si>
  <si>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</si>
  <si>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</si>
  <si>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</si>
  <si>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</si>
  <si>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</si>
  <si>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</si>
  <si>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</si>
  <si>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</si>
  <si>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</si>
  <si>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</si>
  <si>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</si>
  <si>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</si>
  <si>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</si>
  <si>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</si>
  <si>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</si>
  <si>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</si>
  <si>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</si>
  <si>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</si>
  <si>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</si>
  <si>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</si>
  <si>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</si>
  <si>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</si>
  <si>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</si>
  <si>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</rPr>
      <t xml:space="preserve">Burnout </t>
    </r>
    <r>
      <rPr>
        <u/>
        <sz val="10"/>
        <color rgb="FF1155CC"/>
        <rFont val="Arial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</si>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</sst>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53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0" fontId="0" fillId="52" borderId="0" xfId="0" applyFill="1"/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0" fillId="38" borderId="0" xfId="0" applyFill="1" applyAlignment="1">
      <alignment horizontal="center" wrapText="1"/>
    </xf>
    <xf numFmtId="0" fontId="22" fillId="46" borderId="0" xfId="43" applyFont="1" applyFill="1"/>
    <xf numFmtId="0" fontId="19" fillId="0" borderId="0" xfId="43"/>
    <xf numFmtId="0" fontId="20" fillId="0" borderId="0" xfId="43" applyFon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8"/>
  <sheetViews>
    <sheetView workbookViewId="0">
      <selection activeCell="D8" sqref="D8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Sheet1!H1</f>
        <v>20</v>
      </c>
      <c r="D2" s="7">
        <f>Sheet1!H2</f>
        <v>95</v>
      </c>
      <c r="E2" s="7">
        <f>Sheet1!$H$3</f>
        <v>70</v>
      </c>
      <c r="F2" s="7">
        <f>Sheet1!H4</f>
        <v>25</v>
      </c>
      <c r="G2" s="7">
        <f>Sheet1!H5</f>
        <v>44</v>
      </c>
      <c r="H2" s="7">
        <f>Sheet1!H6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42</v>
      </c>
      <c r="F4" s="7">
        <f>Wikidata_upec_civil_20_part2!Z12</f>
        <v>6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0.875</v>
      </c>
      <c r="J4" s="8">
        <f t="shared" si="1"/>
        <v>0.125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364</v>
      </c>
      <c r="F8" s="25">
        <f t="shared" si="5"/>
        <v>116</v>
      </c>
      <c r="G8" s="25">
        <f t="shared" si="5"/>
        <v>263</v>
      </c>
      <c r="H8" s="25">
        <f t="shared" si="5"/>
        <v>38</v>
      </c>
      <c r="I8" s="26">
        <f t="shared" si="0"/>
        <v>0.72222222222222221</v>
      </c>
      <c r="J8" s="26">
        <f t="shared" si="1"/>
        <v>0.23015873015873015</v>
      </c>
      <c r="K8" s="26">
        <f>G8/$D8</f>
        <v>0.52182539682539686</v>
      </c>
      <c r="L8" s="26">
        <f>H8/$D8</f>
        <v>7.5396825396825393E-2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workbookViewId="0">
      <selection sqref="A1:XFD1048576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6439-635A-4FD6-8891-3558EE7A5DAB}">
  <dimension ref="A1:O104"/>
  <sheetViews>
    <sheetView tabSelected="1" topLeftCell="A50" workbookViewId="0">
      <selection activeCell="C69" sqref="C69"/>
    </sheetView>
  </sheetViews>
  <sheetFormatPr defaultRowHeight="14.4" x14ac:dyDescent="0.3"/>
  <cols>
    <col min="2" max="2" width="8.88671875" customWidth="1"/>
    <col min="3" max="3" width="22.8867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520</v>
      </c>
    </row>
    <row r="2" spans="1:15" x14ac:dyDescent="0.3">
      <c r="A2">
        <v>1006198</v>
      </c>
      <c r="B2" t="s">
        <v>14</v>
      </c>
      <c r="C2" t="s">
        <v>15</v>
      </c>
      <c r="G2" t="s">
        <v>16</v>
      </c>
      <c r="H2" t="s">
        <v>17</v>
      </c>
      <c r="I2">
        <v>0</v>
      </c>
      <c r="J2">
        <v>0</v>
      </c>
      <c r="M2" t="s">
        <v>521</v>
      </c>
    </row>
    <row r="3" spans="1:15" x14ac:dyDescent="0.3">
      <c r="A3">
        <v>1006198</v>
      </c>
      <c r="B3" t="s">
        <v>14</v>
      </c>
      <c r="C3" t="s">
        <v>18</v>
      </c>
      <c r="G3" t="s">
        <v>16</v>
      </c>
      <c r="H3" t="s">
        <v>17</v>
      </c>
      <c r="I3">
        <v>0</v>
      </c>
      <c r="J3">
        <v>0</v>
      </c>
      <c r="M3" t="s">
        <v>521</v>
      </c>
    </row>
    <row r="4" spans="1:15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22</v>
      </c>
      <c r="H4" t="s">
        <v>17</v>
      </c>
      <c r="I4">
        <v>100</v>
      </c>
      <c r="J4">
        <v>111</v>
      </c>
      <c r="M4" t="s">
        <v>521</v>
      </c>
    </row>
    <row r="5" spans="1:15" x14ac:dyDescent="0.3">
      <c r="A5">
        <v>1006198</v>
      </c>
      <c r="B5" t="s">
        <v>14</v>
      </c>
      <c r="C5" t="s">
        <v>28</v>
      </c>
      <c r="G5" t="s">
        <v>16</v>
      </c>
      <c r="H5" t="s">
        <v>17</v>
      </c>
      <c r="I5">
        <v>0</v>
      </c>
      <c r="J5">
        <v>0</v>
      </c>
      <c r="M5" t="s">
        <v>521</v>
      </c>
    </row>
    <row r="6" spans="1:15" x14ac:dyDescent="0.3">
      <c r="A6">
        <v>1006198</v>
      </c>
      <c r="B6" t="s">
        <v>14</v>
      </c>
      <c r="C6" t="s">
        <v>29</v>
      </c>
      <c r="G6" t="s">
        <v>16</v>
      </c>
      <c r="H6" t="s">
        <v>17</v>
      </c>
      <c r="I6">
        <v>0</v>
      </c>
      <c r="J6">
        <v>0</v>
      </c>
      <c r="M6" t="s">
        <v>521</v>
      </c>
    </row>
    <row r="7" spans="1:15" x14ac:dyDescent="0.3">
      <c r="A7">
        <v>1006198</v>
      </c>
      <c r="B7" t="s">
        <v>14</v>
      </c>
      <c r="C7" t="s">
        <v>30</v>
      </c>
      <c r="G7" t="s">
        <v>16</v>
      </c>
      <c r="H7" t="s">
        <v>17</v>
      </c>
      <c r="I7">
        <v>0</v>
      </c>
      <c r="J7">
        <v>0</v>
      </c>
      <c r="M7" t="s">
        <v>521</v>
      </c>
    </row>
    <row r="8" spans="1:15" x14ac:dyDescent="0.3">
      <c r="A8">
        <v>1006198</v>
      </c>
      <c r="B8" t="s">
        <v>14</v>
      </c>
      <c r="C8" t="s">
        <v>31</v>
      </c>
      <c r="G8" t="s">
        <v>16</v>
      </c>
      <c r="H8" t="s">
        <v>17</v>
      </c>
      <c r="I8">
        <v>0</v>
      </c>
      <c r="J8">
        <v>0</v>
      </c>
      <c r="M8" t="s">
        <v>521</v>
      </c>
    </row>
    <row r="9" spans="1:15" x14ac:dyDescent="0.3">
      <c r="A9">
        <v>1006198</v>
      </c>
      <c r="B9" t="s">
        <v>14</v>
      </c>
      <c r="C9" t="s">
        <v>32</v>
      </c>
      <c r="D9" t="s">
        <v>32</v>
      </c>
      <c r="E9" t="s">
        <v>33</v>
      </c>
      <c r="G9" t="s">
        <v>22</v>
      </c>
      <c r="H9" t="s">
        <v>17</v>
      </c>
      <c r="I9">
        <v>100</v>
      </c>
      <c r="J9">
        <v>113</v>
      </c>
      <c r="M9" t="s">
        <v>522</v>
      </c>
      <c r="N9" t="s">
        <v>523</v>
      </c>
      <c r="O9" t="s">
        <v>524</v>
      </c>
    </row>
    <row r="10" spans="1:15" x14ac:dyDescent="0.3">
      <c r="A10">
        <v>1025697</v>
      </c>
      <c r="B10" t="s">
        <v>34</v>
      </c>
      <c r="C10" t="s">
        <v>35</v>
      </c>
      <c r="D10" t="s">
        <v>35</v>
      </c>
      <c r="E10" t="s">
        <v>36</v>
      </c>
      <c r="G10" t="s">
        <v>22</v>
      </c>
      <c r="H10" t="s">
        <v>17</v>
      </c>
      <c r="I10">
        <v>100</v>
      </c>
      <c r="J10">
        <v>112</v>
      </c>
      <c r="K10" t="s">
        <v>37</v>
      </c>
      <c r="L10" t="s">
        <v>38</v>
      </c>
      <c r="M10" t="s">
        <v>522</v>
      </c>
      <c r="N10" t="s">
        <v>525</v>
      </c>
      <c r="O10" t="s">
        <v>526</v>
      </c>
    </row>
    <row r="11" spans="1:15" x14ac:dyDescent="0.3">
      <c r="A11">
        <v>1025697</v>
      </c>
      <c r="B11" t="s">
        <v>34</v>
      </c>
      <c r="C11" t="s">
        <v>39</v>
      </c>
      <c r="G11" t="s">
        <v>16</v>
      </c>
      <c r="H11" t="s">
        <v>17</v>
      </c>
      <c r="I11">
        <v>0</v>
      </c>
      <c r="J11">
        <v>0</v>
      </c>
      <c r="M11" t="s">
        <v>521</v>
      </c>
    </row>
    <row r="12" spans="1:15" x14ac:dyDescent="0.3">
      <c r="A12">
        <v>1025697</v>
      </c>
      <c r="B12" t="s">
        <v>34</v>
      </c>
      <c r="C12" t="s">
        <v>40</v>
      </c>
      <c r="G12" t="s">
        <v>16</v>
      </c>
      <c r="H12" t="s">
        <v>17</v>
      </c>
      <c r="I12">
        <v>0</v>
      </c>
      <c r="J12">
        <v>0</v>
      </c>
      <c r="M12" t="s">
        <v>521</v>
      </c>
    </row>
    <row r="13" spans="1:15" x14ac:dyDescent="0.3">
      <c r="A13">
        <v>1025697</v>
      </c>
      <c r="B13" t="s">
        <v>34</v>
      </c>
      <c r="C13" t="s">
        <v>41</v>
      </c>
      <c r="D13" t="s">
        <v>42</v>
      </c>
      <c r="E13" t="s">
        <v>43</v>
      </c>
      <c r="F13" t="s">
        <v>44</v>
      </c>
      <c r="G13" t="s">
        <v>46</v>
      </c>
      <c r="H13" t="s">
        <v>17</v>
      </c>
      <c r="I13">
        <v>100</v>
      </c>
      <c r="J13">
        <v>50</v>
      </c>
      <c r="K13" t="s">
        <v>47</v>
      </c>
      <c r="L13" t="s">
        <v>48</v>
      </c>
      <c r="M13" t="s">
        <v>522</v>
      </c>
      <c r="N13" t="s">
        <v>527</v>
      </c>
      <c r="O13" t="s">
        <v>528</v>
      </c>
    </row>
    <row r="14" spans="1:15" x14ac:dyDescent="0.3">
      <c r="A14">
        <v>1025697</v>
      </c>
      <c r="B14" t="s">
        <v>34</v>
      </c>
      <c r="C14" t="s">
        <v>50</v>
      </c>
      <c r="G14" t="s">
        <v>16</v>
      </c>
      <c r="H14" t="s">
        <v>17</v>
      </c>
      <c r="I14">
        <v>0</v>
      </c>
      <c r="J14">
        <v>0</v>
      </c>
      <c r="M14" t="s">
        <v>521</v>
      </c>
    </row>
    <row r="15" spans="1:15" x14ac:dyDescent="0.3">
      <c r="A15">
        <v>1060481</v>
      </c>
      <c r="B15" t="s">
        <v>51</v>
      </c>
      <c r="C15">
        <v>20902069</v>
      </c>
      <c r="G15" t="s">
        <v>16</v>
      </c>
      <c r="H15" t="s">
        <v>17</v>
      </c>
      <c r="I15">
        <v>0</v>
      </c>
      <c r="J15">
        <v>0</v>
      </c>
      <c r="M15" t="s">
        <v>521</v>
      </c>
    </row>
    <row r="16" spans="1:15" x14ac:dyDescent="0.3">
      <c r="A16">
        <v>1060481</v>
      </c>
      <c r="B16" t="s">
        <v>51</v>
      </c>
      <c r="C16" t="s">
        <v>52</v>
      </c>
      <c r="G16" t="s">
        <v>16</v>
      </c>
      <c r="H16" t="s">
        <v>53</v>
      </c>
      <c r="I16">
        <v>0</v>
      </c>
      <c r="J16">
        <v>0</v>
      </c>
      <c r="M16" t="s">
        <v>521</v>
      </c>
    </row>
    <row r="17" spans="1:13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G17" t="s">
        <v>46</v>
      </c>
      <c r="H17" t="s">
        <v>17</v>
      </c>
      <c r="I17">
        <v>100</v>
      </c>
      <c r="J17">
        <v>50</v>
      </c>
      <c r="K17" t="s">
        <v>57</v>
      </c>
      <c r="L17" t="s">
        <v>58</v>
      </c>
      <c r="M17" t="s">
        <v>521</v>
      </c>
    </row>
    <row r="18" spans="1:13" x14ac:dyDescent="0.3">
      <c r="A18">
        <v>1060481</v>
      </c>
      <c r="B18" t="s">
        <v>51</v>
      </c>
      <c r="C18">
        <v>21074094</v>
      </c>
      <c r="G18" t="s">
        <v>16</v>
      </c>
      <c r="H18" t="s">
        <v>17</v>
      </c>
      <c r="I18">
        <v>0</v>
      </c>
      <c r="J18">
        <v>0</v>
      </c>
      <c r="M18" t="s">
        <v>521</v>
      </c>
    </row>
    <row r="19" spans="1:13" x14ac:dyDescent="0.3">
      <c r="A19">
        <v>1060481</v>
      </c>
      <c r="B19" t="s">
        <v>51</v>
      </c>
      <c r="C19">
        <v>51173134</v>
      </c>
      <c r="G19" t="s">
        <v>16</v>
      </c>
      <c r="H19" t="s">
        <v>17</v>
      </c>
      <c r="I19">
        <v>0</v>
      </c>
      <c r="J19">
        <v>0</v>
      </c>
      <c r="M19" t="s">
        <v>521</v>
      </c>
    </row>
    <row r="20" spans="1:13" x14ac:dyDescent="0.3">
      <c r="A20">
        <v>1064801</v>
      </c>
      <c r="B20" t="s">
        <v>59</v>
      </c>
      <c r="C20" t="s">
        <v>60</v>
      </c>
      <c r="G20" t="s">
        <v>16</v>
      </c>
      <c r="H20" t="s">
        <v>17</v>
      </c>
      <c r="I20">
        <v>0</v>
      </c>
      <c r="J20">
        <v>0</v>
      </c>
      <c r="M20" t="s">
        <v>521</v>
      </c>
    </row>
    <row r="21" spans="1:13" x14ac:dyDescent="0.3">
      <c r="A21">
        <v>1064801</v>
      </c>
      <c r="B21" t="s">
        <v>59</v>
      </c>
      <c r="C21" t="s">
        <v>61</v>
      </c>
      <c r="G21" t="s">
        <v>16</v>
      </c>
      <c r="H21" t="s">
        <v>17</v>
      </c>
      <c r="I21">
        <v>0</v>
      </c>
      <c r="J21">
        <v>0</v>
      </c>
      <c r="M21" t="s">
        <v>521</v>
      </c>
    </row>
    <row r="22" spans="1:13" x14ac:dyDescent="0.3">
      <c r="A22">
        <v>1064801</v>
      </c>
      <c r="B22" t="s">
        <v>59</v>
      </c>
      <c r="C22" t="s">
        <v>62</v>
      </c>
      <c r="G22" t="s">
        <v>16</v>
      </c>
      <c r="H22" t="s">
        <v>17</v>
      </c>
      <c r="I22">
        <v>0</v>
      </c>
      <c r="J22">
        <v>0</v>
      </c>
      <c r="M22" t="s">
        <v>521</v>
      </c>
    </row>
    <row r="23" spans="1:13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G23" t="s">
        <v>46</v>
      </c>
      <c r="H23" t="s">
        <v>17</v>
      </c>
      <c r="I23">
        <v>100</v>
      </c>
      <c r="J23">
        <v>50</v>
      </c>
      <c r="K23" t="s">
        <v>67</v>
      </c>
      <c r="L23" t="s">
        <v>68</v>
      </c>
      <c r="M23" t="s">
        <v>521</v>
      </c>
    </row>
    <row r="24" spans="1:13" x14ac:dyDescent="0.3">
      <c r="A24">
        <v>1067996</v>
      </c>
      <c r="B24" t="s">
        <v>77</v>
      </c>
      <c r="C24" t="s">
        <v>78</v>
      </c>
      <c r="G24" t="s">
        <v>16</v>
      </c>
      <c r="H24" t="s">
        <v>17</v>
      </c>
      <c r="I24">
        <v>0</v>
      </c>
      <c r="J24">
        <v>0</v>
      </c>
      <c r="M24" t="s">
        <v>521</v>
      </c>
    </row>
    <row r="25" spans="1:13" x14ac:dyDescent="0.3">
      <c r="A25">
        <v>1067996</v>
      </c>
      <c r="B25" t="s">
        <v>77</v>
      </c>
      <c r="C25" t="s">
        <v>79</v>
      </c>
      <c r="D25" t="s">
        <v>79</v>
      </c>
      <c r="E25" t="s">
        <v>80</v>
      </c>
      <c r="G25" t="s">
        <v>22</v>
      </c>
      <c r="H25" t="s">
        <v>17</v>
      </c>
      <c r="I25">
        <v>100</v>
      </c>
      <c r="J25">
        <v>114</v>
      </c>
      <c r="K25" t="s">
        <v>81</v>
      </c>
      <c r="L25" t="s">
        <v>82</v>
      </c>
      <c r="M25" t="s">
        <v>522</v>
      </c>
    </row>
    <row r="26" spans="1:13" x14ac:dyDescent="0.3">
      <c r="A26">
        <v>1067996</v>
      </c>
      <c r="B26" t="s">
        <v>77</v>
      </c>
      <c r="C26" t="s">
        <v>83</v>
      </c>
      <c r="G26" t="s">
        <v>16</v>
      </c>
      <c r="H26" t="s">
        <v>17</v>
      </c>
      <c r="I26">
        <v>0</v>
      </c>
      <c r="J26">
        <v>0</v>
      </c>
      <c r="M26" t="s">
        <v>521</v>
      </c>
    </row>
    <row r="27" spans="1:13" x14ac:dyDescent="0.3">
      <c r="A27">
        <v>1067996</v>
      </c>
      <c r="B27" t="s">
        <v>77</v>
      </c>
      <c r="C27" t="s">
        <v>84</v>
      </c>
      <c r="G27" t="s">
        <v>16</v>
      </c>
      <c r="H27" t="s">
        <v>17</v>
      </c>
      <c r="I27">
        <v>0</v>
      </c>
      <c r="J27">
        <v>0</v>
      </c>
      <c r="M27" t="s">
        <v>521</v>
      </c>
    </row>
    <row r="28" spans="1:13" x14ac:dyDescent="0.3">
      <c r="A28">
        <v>1067996</v>
      </c>
      <c r="B28" t="s">
        <v>77</v>
      </c>
      <c r="C28" t="s">
        <v>85</v>
      </c>
      <c r="G28" t="s">
        <v>16</v>
      </c>
      <c r="H28" t="s">
        <v>17</v>
      </c>
      <c r="I28">
        <v>0</v>
      </c>
      <c r="J28">
        <v>0</v>
      </c>
      <c r="M28" t="s">
        <v>521</v>
      </c>
    </row>
    <row r="29" spans="1:13" x14ac:dyDescent="0.3">
      <c r="A29">
        <v>1078652</v>
      </c>
      <c r="B29" t="s">
        <v>86</v>
      </c>
      <c r="C29" t="s">
        <v>87</v>
      </c>
      <c r="G29" t="s">
        <v>16</v>
      </c>
      <c r="H29" t="s">
        <v>17</v>
      </c>
      <c r="I29">
        <v>0</v>
      </c>
      <c r="J29">
        <v>0</v>
      </c>
      <c r="M29" t="s">
        <v>521</v>
      </c>
    </row>
    <row r="30" spans="1:13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G30" t="s">
        <v>22</v>
      </c>
      <c r="H30" t="s">
        <v>17</v>
      </c>
      <c r="I30">
        <v>88.9</v>
      </c>
      <c r="J30">
        <v>106.3</v>
      </c>
      <c r="M30" t="s">
        <v>521</v>
      </c>
    </row>
    <row r="31" spans="1:13" x14ac:dyDescent="0.3">
      <c r="A31">
        <v>1078652</v>
      </c>
      <c r="B31" t="s">
        <v>86</v>
      </c>
      <c r="C31" t="s">
        <v>95</v>
      </c>
      <c r="G31" t="s">
        <v>16</v>
      </c>
      <c r="H31" t="s">
        <v>17</v>
      </c>
      <c r="I31">
        <v>0</v>
      </c>
      <c r="J31">
        <v>0</v>
      </c>
      <c r="M31" t="s">
        <v>521</v>
      </c>
    </row>
    <row r="32" spans="1:13" x14ac:dyDescent="0.3">
      <c r="A32">
        <v>1078652</v>
      </c>
      <c r="B32" t="s">
        <v>86</v>
      </c>
      <c r="C32" t="s">
        <v>96</v>
      </c>
      <c r="G32" t="s">
        <v>16</v>
      </c>
      <c r="H32" t="s">
        <v>17</v>
      </c>
      <c r="I32">
        <v>0</v>
      </c>
      <c r="J32">
        <v>0</v>
      </c>
      <c r="M32" t="s">
        <v>521</v>
      </c>
    </row>
    <row r="33" spans="1:15" x14ac:dyDescent="0.3">
      <c r="A33">
        <v>1078652</v>
      </c>
      <c r="B33" t="s">
        <v>86</v>
      </c>
      <c r="C33" t="s">
        <v>97</v>
      </c>
      <c r="G33" t="s">
        <v>16</v>
      </c>
      <c r="H33" t="s">
        <v>17</v>
      </c>
      <c r="I33">
        <v>0</v>
      </c>
      <c r="J33">
        <v>0</v>
      </c>
      <c r="M33" t="s">
        <v>521</v>
      </c>
    </row>
    <row r="34" spans="1:15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G34" t="s">
        <v>22</v>
      </c>
      <c r="H34" t="s">
        <v>17</v>
      </c>
      <c r="I34">
        <v>97.6</v>
      </c>
      <c r="J34">
        <v>109.5</v>
      </c>
      <c r="M34" t="s">
        <v>521</v>
      </c>
    </row>
    <row r="35" spans="1:15" x14ac:dyDescent="0.3">
      <c r="A35">
        <v>1078652</v>
      </c>
      <c r="B35" t="s">
        <v>86</v>
      </c>
      <c r="C35" t="s">
        <v>130</v>
      </c>
      <c r="D35" t="s">
        <v>131</v>
      </c>
      <c r="E35" t="s">
        <v>132</v>
      </c>
      <c r="G35" t="s">
        <v>22</v>
      </c>
      <c r="H35" t="s">
        <v>17</v>
      </c>
      <c r="I35">
        <v>83</v>
      </c>
      <c r="J35">
        <v>52.8</v>
      </c>
      <c r="K35" t="s">
        <v>133</v>
      </c>
      <c r="L35" t="s">
        <v>134</v>
      </c>
      <c r="M35" t="s">
        <v>522</v>
      </c>
      <c r="N35" t="s">
        <v>529</v>
      </c>
    </row>
    <row r="36" spans="1:15" x14ac:dyDescent="0.3">
      <c r="A36">
        <v>1078896</v>
      </c>
      <c r="B36" t="s">
        <v>135</v>
      </c>
      <c r="C36" t="s">
        <v>136</v>
      </c>
      <c r="G36" t="s">
        <v>16</v>
      </c>
      <c r="H36" t="s">
        <v>17</v>
      </c>
      <c r="I36">
        <v>0</v>
      </c>
      <c r="J36">
        <v>0</v>
      </c>
      <c r="M36" t="s">
        <v>521</v>
      </c>
    </row>
    <row r="37" spans="1:15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G37" t="s">
        <v>22</v>
      </c>
      <c r="H37" t="s">
        <v>17</v>
      </c>
      <c r="I37">
        <v>88.9</v>
      </c>
      <c r="J37">
        <v>110.3</v>
      </c>
      <c r="K37" t="s">
        <v>140</v>
      </c>
      <c r="L37" t="s">
        <v>141</v>
      </c>
      <c r="M37" t="s">
        <v>521</v>
      </c>
    </row>
    <row r="38" spans="1:15" x14ac:dyDescent="0.3">
      <c r="A38">
        <v>1078896</v>
      </c>
      <c r="B38" t="s">
        <v>135</v>
      </c>
      <c r="C38" t="s">
        <v>142</v>
      </c>
      <c r="G38" t="s">
        <v>16</v>
      </c>
      <c r="H38" t="s">
        <v>17</v>
      </c>
      <c r="I38">
        <v>0</v>
      </c>
      <c r="J38">
        <v>0</v>
      </c>
      <c r="M38" t="s">
        <v>521</v>
      </c>
    </row>
    <row r="39" spans="1:15" x14ac:dyDescent="0.3">
      <c r="A39">
        <v>1083001</v>
      </c>
      <c r="B39" t="s">
        <v>143</v>
      </c>
      <c r="C39" t="s">
        <v>144</v>
      </c>
      <c r="G39" t="s">
        <v>16</v>
      </c>
      <c r="H39" t="s">
        <v>17</v>
      </c>
      <c r="I39">
        <v>0</v>
      </c>
      <c r="J39">
        <v>0</v>
      </c>
      <c r="M39" t="s">
        <v>521</v>
      </c>
    </row>
    <row r="40" spans="1:15" x14ac:dyDescent="0.3">
      <c r="A40">
        <v>1083001</v>
      </c>
      <c r="B40" t="s">
        <v>143</v>
      </c>
      <c r="C40" t="s">
        <v>145</v>
      </c>
      <c r="G40" t="s">
        <v>16</v>
      </c>
      <c r="H40" t="s">
        <v>17</v>
      </c>
      <c r="I40">
        <v>0</v>
      </c>
      <c r="J40">
        <v>0</v>
      </c>
      <c r="M40" t="s">
        <v>521</v>
      </c>
    </row>
    <row r="41" spans="1:15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G41" t="s">
        <v>22</v>
      </c>
      <c r="H41" t="s">
        <v>17</v>
      </c>
      <c r="I41">
        <v>87.5</v>
      </c>
      <c r="J41">
        <v>106.5</v>
      </c>
      <c r="K41" t="s">
        <v>150</v>
      </c>
      <c r="L41" t="s">
        <v>151</v>
      </c>
      <c r="M41" t="s">
        <v>521</v>
      </c>
    </row>
    <row r="42" spans="1:15" x14ac:dyDescent="0.3">
      <c r="A42">
        <v>1083001</v>
      </c>
      <c r="B42" t="s">
        <v>143</v>
      </c>
      <c r="C42" t="s">
        <v>180</v>
      </c>
      <c r="D42" t="s">
        <v>180</v>
      </c>
      <c r="E42" t="s">
        <v>181</v>
      </c>
      <c r="G42" t="s">
        <v>22</v>
      </c>
      <c r="H42" t="s">
        <v>17</v>
      </c>
      <c r="I42">
        <v>100</v>
      </c>
      <c r="J42">
        <v>110</v>
      </c>
      <c r="K42" t="s">
        <v>182</v>
      </c>
      <c r="L42" t="s">
        <v>183</v>
      </c>
      <c r="M42" t="s">
        <v>522</v>
      </c>
      <c r="N42" t="s">
        <v>530</v>
      </c>
    </row>
    <row r="43" spans="1:15" x14ac:dyDescent="0.3">
      <c r="A43">
        <v>1083004</v>
      </c>
      <c r="B43" t="s">
        <v>184</v>
      </c>
      <c r="C43" t="s">
        <v>185</v>
      </c>
      <c r="G43" t="s">
        <v>16</v>
      </c>
      <c r="H43" t="s">
        <v>17</v>
      </c>
      <c r="I43">
        <v>0</v>
      </c>
      <c r="J43">
        <v>0</v>
      </c>
      <c r="M43" t="s">
        <v>521</v>
      </c>
    </row>
    <row r="44" spans="1:15" x14ac:dyDescent="0.3">
      <c r="A44">
        <v>1083004</v>
      </c>
      <c r="B44" t="s">
        <v>184</v>
      </c>
      <c r="C44" t="s">
        <v>186</v>
      </c>
      <c r="D44" t="s">
        <v>187</v>
      </c>
      <c r="E44" t="s">
        <v>188</v>
      </c>
      <c r="G44" t="s">
        <v>22</v>
      </c>
      <c r="H44" t="s">
        <v>17</v>
      </c>
      <c r="I44">
        <v>92.9</v>
      </c>
      <c r="J44">
        <v>109.7</v>
      </c>
      <c r="M44" t="s">
        <v>521</v>
      </c>
    </row>
    <row r="45" spans="1:15" x14ac:dyDescent="0.3">
      <c r="A45">
        <v>1083004</v>
      </c>
      <c r="B45" t="s">
        <v>184</v>
      </c>
      <c r="C45" t="s">
        <v>191</v>
      </c>
      <c r="D45" t="s">
        <v>191</v>
      </c>
      <c r="E45" t="s">
        <v>192</v>
      </c>
      <c r="G45" t="s">
        <v>22</v>
      </c>
      <c r="H45" t="s">
        <v>17</v>
      </c>
      <c r="I45">
        <v>100</v>
      </c>
      <c r="J45">
        <v>113</v>
      </c>
      <c r="K45" t="s">
        <v>37</v>
      </c>
      <c r="L45" t="s">
        <v>38</v>
      </c>
      <c r="M45" t="s">
        <v>522</v>
      </c>
      <c r="N45" t="s">
        <v>531</v>
      </c>
      <c r="O45" t="s">
        <v>532</v>
      </c>
    </row>
    <row r="46" spans="1:15" x14ac:dyDescent="0.3">
      <c r="A46">
        <v>1083007</v>
      </c>
      <c r="B46" t="s">
        <v>193</v>
      </c>
      <c r="C46" t="s">
        <v>185</v>
      </c>
      <c r="G46" t="s">
        <v>16</v>
      </c>
      <c r="H46" t="s">
        <v>17</v>
      </c>
      <c r="I46">
        <v>0</v>
      </c>
      <c r="J46">
        <v>0</v>
      </c>
      <c r="M46" t="s">
        <v>521</v>
      </c>
    </row>
    <row r="47" spans="1:15" x14ac:dyDescent="0.3">
      <c r="A47">
        <v>1083007</v>
      </c>
      <c r="B47" t="s">
        <v>193</v>
      </c>
      <c r="C47" t="s">
        <v>194</v>
      </c>
      <c r="D47" t="s">
        <v>194</v>
      </c>
      <c r="E47" t="s">
        <v>195</v>
      </c>
      <c r="G47" t="s">
        <v>22</v>
      </c>
      <c r="H47" t="s">
        <v>17</v>
      </c>
      <c r="I47">
        <v>100</v>
      </c>
      <c r="J47">
        <v>112</v>
      </c>
      <c r="K47" t="s">
        <v>196</v>
      </c>
      <c r="L47" t="s">
        <v>197</v>
      </c>
      <c r="M47" t="s">
        <v>522</v>
      </c>
      <c r="N47" t="s">
        <v>197</v>
      </c>
    </row>
    <row r="48" spans="1:15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G48" t="s">
        <v>22</v>
      </c>
      <c r="H48" t="s">
        <v>17</v>
      </c>
      <c r="I48">
        <v>85.7</v>
      </c>
      <c r="J48">
        <v>103.4</v>
      </c>
      <c r="K48" t="s">
        <v>202</v>
      </c>
      <c r="L48" t="s">
        <v>203</v>
      </c>
      <c r="M48" t="s">
        <v>521</v>
      </c>
    </row>
    <row r="49" spans="1:13" x14ac:dyDescent="0.3">
      <c r="A49">
        <v>1083007</v>
      </c>
      <c r="B49" t="s">
        <v>193</v>
      </c>
      <c r="C49" t="s">
        <v>209</v>
      </c>
      <c r="D49" t="s">
        <v>209</v>
      </c>
      <c r="E49" t="s">
        <v>210</v>
      </c>
      <c r="G49" t="s">
        <v>22</v>
      </c>
      <c r="H49" t="s">
        <v>17</v>
      </c>
      <c r="I49">
        <v>100</v>
      </c>
      <c r="J49">
        <v>111</v>
      </c>
      <c r="K49" t="s">
        <v>212</v>
      </c>
      <c r="L49" t="s">
        <v>213</v>
      </c>
      <c r="M49" t="s">
        <v>521</v>
      </c>
    </row>
    <row r="50" spans="1:13" x14ac:dyDescent="0.3">
      <c r="A50">
        <v>1083014</v>
      </c>
      <c r="B50" t="s">
        <v>233</v>
      </c>
      <c r="C50" t="s">
        <v>185</v>
      </c>
      <c r="G50" t="s">
        <v>16</v>
      </c>
      <c r="H50" t="s">
        <v>17</v>
      </c>
      <c r="I50">
        <v>0</v>
      </c>
      <c r="J50">
        <v>0</v>
      </c>
      <c r="M50" t="s">
        <v>521</v>
      </c>
    </row>
    <row r="51" spans="1:13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G51" t="s">
        <v>22</v>
      </c>
      <c r="H51" t="s">
        <v>17</v>
      </c>
      <c r="I51">
        <v>85.7</v>
      </c>
      <c r="J51">
        <v>104.4</v>
      </c>
      <c r="K51" t="s">
        <v>202</v>
      </c>
      <c r="L51" t="s">
        <v>203</v>
      </c>
      <c r="M51" t="s">
        <v>521</v>
      </c>
    </row>
    <row r="52" spans="1:13" x14ac:dyDescent="0.3">
      <c r="A52">
        <v>1083014</v>
      </c>
      <c r="B52" t="s">
        <v>233</v>
      </c>
      <c r="C52" t="s">
        <v>209</v>
      </c>
      <c r="D52" t="s">
        <v>209</v>
      </c>
      <c r="E52" t="s">
        <v>210</v>
      </c>
      <c r="G52" t="s">
        <v>22</v>
      </c>
      <c r="H52" t="s">
        <v>17</v>
      </c>
      <c r="I52">
        <v>100</v>
      </c>
      <c r="J52">
        <v>111</v>
      </c>
      <c r="K52" t="s">
        <v>212</v>
      </c>
      <c r="L52" t="s">
        <v>213</v>
      </c>
      <c r="M52" t="s">
        <v>521</v>
      </c>
    </row>
    <row r="53" spans="1:13" x14ac:dyDescent="0.3">
      <c r="A53">
        <v>1083157</v>
      </c>
      <c r="B53" t="s">
        <v>234</v>
      </c>
      <c r="C53" t="s">
        <v>235</v>
      </c>
      <c r="G53" t="s">
        <v>16</v>
      </c>
      <c r="H53" t="s">
        <v>17</v>
      </c>
      <c r="I53">
        <v>0</v>
      </c>
      <c r="J53">
        <v>0</v>
      </c>
      <c r="M53" t="s">
        <v>521</v>
      </c>
    </row>
    <row r="54" spans="1:13" x14ac:dyDescent="0.3">
      <c r="A54">
        <v>1083157</v>
      </c>
      <c r="B54" t="s">
        <v>234</v>
      </c>
      <c r="C54" t="s">
        <v>236</v>
      </c>
      <c r="G54" t="s">
        <v>16</v>
      </c>
      <c r="H54" t="s">
        <v>17</v>
      </c>
      <c r="I54">
        <v>0</v>
      </c>
      <c r="J54">
        <v>0</v>
      </c>
      <c r="M54" t="s">
        <v>521</v>
      </c>
    </row>
    <row r="55" spans="1:13" x14ac:dyDescent="0.3">
      <c r="A55">
        <v>1083160</v>
      </c>
      <c r="B55" t="s">
        <v>237</v>
      </c>
      <c r="C55" t="s">
        <v>61</v>
      </c>
      <c r="G55" t="s">
        <v>16</v>
      </c>
      <c r="H55" t="s">
        <v>17</v>
      </c>
      <c r="I55">
        <v>0</v>
      </c>
      <c r="J55">
        <v>0</v>
      </c>
      <c r="M55" t="s">
        <v>521</v>
      </c>
    </row>
    <row r="56" spans="1:13" x14ac:dyDescent="0.3">
      <c r="A56">
        <v>1083160</v>
      </c>
      <c r="B56" t="s">
        <v>237</v>
      </c>
      <c r="C56" t="s">
        <v>136</v>
      </c>
      <c r="G56" t="s">
        <v>16</v>
      </c>
      <c r="H56" t="s">
        <v>17</v>
      </c>
      <c r="I56">
        <v>0</v>
      </c>
      <c r="J56">
        <v>0</v>
      </c>
      <c r="M56" t="s">
        <v>521</v>
      </c>
    </row>
    <row r="57" spans="1:13" x14ac:dyDescent="0.3">
      <c r="A57">
        <v>1084520</v>
      </c>
      <c r="B57" t="s">
        <v>238</v>
      </c>
      <c r="C57" t="s">
        <v>239</v>
      </c>
      <c r="D57" t="s">
        <v>239</v>
      </c>
      <c r="E57" t="s">
        <v>240</v>
      </c>
      <c r="G57" t="s">
        <v>22</v>
      </c>
      <c r="H57" t="s">
        <v>17</v>
      </c>
      <c r="I57">
        <v>100</v>
      </c>
      <c r="J57">
        <v>112</v>
      </c>
      <c r="K57" t="s">
        <v>241</v>
      </c>
      <c r="L57" t="s">
        <v>242</v>
      </c>
      <c r="M57" t="s">
        <v>522</v>
      </c>
    </row>
    <row r="58" spans="1:13" x14ac:dyDescent="0.3">
      <c r="A58">
        <v>1084520</v>
      </c>
      <c r="B58" t="s">
        <v>238</v>
      </c>
      <c r="C58" t="s">
        <v>243</v>
      </c>
      <c r="D58" t="s">
        <v>243</v>
      </c>
      <c r="E58" t="s">
        <v>244</v>
      </c>
      <c r="G58" t="s">
        <v>22</v>
      </c>
      <c r="H58" t="s">
        <v>17</v>
      </c>
      <c r="I58">
        <v>100</v>
      </c>
      <c r="J58">
        <v>111</v>
      </c>
      <c r="K58" t="s">
        <v>245</v>
      </c>
      <c r="L58" t="s">
        <v>246</v>
      </c>
      <c r="M58" t="s">
        <v>522</v>
      </c>
    </row>
    <row r="59" spans="1:13" x14ac:dyDescent="0.3">
      <c r="A59">
        <v>1084520</v>
      </c>
      <c r="B59" t="s">
        <v>238</v>
      </c>
      <c r="C59" t="s">
        <v>247</v>
      </c>
      <c r="D59" t="s">
        <v>248</v>
      </c>
      <c r="E59" t="s">
        <v>249</v>
      </c>
      <c r="G59" t="s">
        <v>46</v>
      </c>
      <c r="H59" t="s">
        <v>17</v>
      </c>
      <c r="I59">
        <v>100</v>
      </c>
      <c r="J59">
        <v>50</v>
      </c>
      <c r="K59" t="s">
        <v>250</v>
      </c>
      <c r="L59" t="s">
        <v>251</v>
      </c>
      <c r="M59" t="s">
        <v>522</v>
      </c>
    </row>
    <row r="60" spans="1:13" x14ac:dyDescent="0.3">
      <c r="A60">
        <v>1084520</v>
      </c>
      <c r="B60" t="s">
        <v>238</v>
      </c>
      <c r="C60" t="s">
        <v>252</v>
      </c>
      <c r="D60" t="s">
        <v>252</v>
      </c>
      <c r="E60" t="s">
        <v>253</v>
      </c>
      <c r="G60" t="s">
        <v>22</v>
      </c>
      <c r="H60" t="s">
        <v>17</v>
      </c>
      <c r="I60">
        <v>100</v>
      </c>
      <c r="J60">
        <v>112</v>
      </c>
      <c r="K60" t="s">
        <v>254</v>
      </c>
      <c r="L60" t="s">
        <v>255</v>
      </c>
      <c r="M60" t="s">
        <v>522</v>
      </c>
    </row>
    <row r="61" spans="1:13" x14ac:dyDescent="0.3">
      <c r="A61">
        <v>1084520</v>
      </c>
      <c r="B61" t="s">
        <v>238</v>
      </c>
      <c r="C61" t="s">
        <v>256</v>
      </c>
      <c r="D61" t="s">
        <v>257</v>
      </c>
      <c r="E61" t="s">
        <v>258</v>
      </c>
      <c r="G61" t="s">
        <v>22</v>
      </c>
      <c r="H61" t="s">
        <v>17</v>
      </c>
      <c r="I61">
        <v>93.8</v>
      </c>
      <c r="J61">
        <v>108.2</v>
      </c>
      <c r="M61" t="s">
        <v>521</v>
      </c>
    </row>
    <row r="62" spans="1:13" x14ac:dyDescent="0.3">
      <c r="A62">
        <v>1084520</v>
      </c>
      <c r="B62" t="s">
        <v>238</v>
      </c>
      <c r="C62" t="s">
        <v>297</v>
      </c>
      <c r="D62" t="s">
        <v>298</v>
      </c>
      <c r="E62" t="s">
        <v>299</v>
      </c>
      <c r="G62" t="s">
        <v>46</v>
      </c>
      <c r="H62" t="s">
        <v>17</v>
      </c>
      <c r="I62">
        <v>100</v>
      </c>
      <c r="J62">
        <v>50</v>
      </c>
      <c r="M62" t="s">
        <v>521</v>
      </c>
    </row>
    <row r="63" spans="1:13" x14ac:dyDescent="0.3">
      <c r="A63">
        <v>1084657</v>
      </c>
      <c r="B63" t="s">
        <v>306</v>
      </c>
      <c r="C63" t="s">
        <v>307</v>
      </c>
      <c r="D63" t="s">
        <v>307</v>
      </c>
      <c r="E63" t="s">
        <v>308</v>
      </c>
      <c r="G63" t="s">
        <v>22</v>
      </c>
      <c r="H63" t="s">
        <v>17</v>
      </c>
      <c r="I63">
        <v>100</v>
      </c>
      <c r="J63">
        <v>112</v>
      </c>
      <c r="K63" t="s">
        <v>196</v>
      </c>
      <c r="L63" t="s">
        <v>197</v>
      </c>
      <c r="M63" t="s">
        <v>522</v>
      </c>
    </row>
    <row r="64" spans="1:13" x14ac:dyDescent="0.3">
      <c r="A64">
        <v>1084657</v>
      </c>
      <c r="B64" t="s">
        <v>306</v>
      </c>
      <c r="C64" t="s">
        <v>309</v>
      </c>
      <c r="D64" t="s">
        <v>309</v>
      </c>
      <c r="E64" t="s">
        <v>310</v>
      </c>
      <c r="G64" t="s">
        <v>22</v>
      </c>
      <c r="H64" t="s">
        <v>17</v>
      </c>
      <c r="I64">
        <v>100</v>
      </c>
      <c r="J64">
        <v>111</v>
      </c>
      <c r="K64" t="s">
        <v>311</v>
      </c>
      <c r="L64" t="s">
        <v>312</v>
      </c>
      <c r="M64" t="s">
        <v>522</v>
      </c>
    </row>
    <row r="65" spans="1:13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G65" t="s">
        <v>22</v>
      </c>
      <c r="H65" t="s">
        <v>17</v>
      </c>
      <c r="I65">
        <v>94.1</v>
      </c>
      <c r="J65">
        <v>108.5</v>
      </c>
      <c r="K65" t="s">
        <v>317</v>
      </c>
      <c r="L65" t="s">
        <v>318</v>
      </c>
      <c r="M65" t="s">
        <v>521</v>
      </c>
    </row>
    <row r="66" spans="1:13" x14ac:dyDescent="0.3">
      <c r="A66">
        <v>1084657</v>
      </c>
      <c r="B66" t="s">
        <v>306</v>
      </c>
      <c r="C66" t="s">
        <v>335</v>
      </c>
      <c r="G66" t="s">
        <v>16</v>
      </c>
      <c r="H66" t="s">
        <v>17</v>
      </c>
      <c r="I66">
        <v>0</v>
      </c>
      <c r="J66">
        <v>0</v>
      </c>
      <c r="M66" t="s">
        <v>521</v>
      </c>
    </row>
    <row r="67" spans="1:13" x14ac:dyDescent="0.3">
      <c r="A67">
        <v>1084657</v>
      </c>
      <c r="B67" t="s">
        <v>306</v>
      </c>
      <c r="C67" t="s">
        <v>336</v>
      </c>
      <c r="D67" t="s">
        <v>336</v>
      </c>
      <c r="E67" t="s">
        <v>337</v>
      </c>
      <c r="G67" t="s">
        <v>22</v>
      </c>
      <c r="H67" t="s">
        <v>17</v>
      </c>
      <c r="I67">
        <v>100</v>
      </c>
      <c r="J67">
        <v>112</v>
      </c>
      <c r="K67" t="s">
        <v>338</v>
      </c>
      <c r="L67" t="s">
        <v>339</v>
      </c>
      <c r="M67" t="s">
        <v>522</v>
      </c>
    </row>
    <row r="68" spans="1:13" x14ac:dyDescent="0.3">
      <c r="A68">
        <v>1084678</v>
      </c>
      <c r="B68" t="s">
        <v>340</v>
      </c>
      <c r="C68" t="s">
        <v>185</v>
      </c>
      <c r="G68" t="s">
        <v>16</v>
      </c>
      <c r="H68" t="s">
        <v>17</v>
      </c>
      <c r="I68">
        <v>0</v>
      </c>
      <c r="J68">
        <v>0</v>
      </c>
      <c r="M68" t="s">
        <v>521</v>
      </c>
    </row>
    <row r="69" spans="1:13" x14ac:dyDescent="0.3">
      <c r="A69">
        <v>1084678</v>
      </c>
      <c r="B69" t="s">
        <v>340</v>
      </c>
      <c r="C69" t="s">
        <v>191</v>
      </c>
      <c r="D69" t="s">
        <v>191</v>
      </c>
      <c r="E69" t="s">
        <v>192</v>
      </c>
      <c r="G69" t="s">
        <v>22</v>
      </c>
      <c r="H69" t="s">
        <v>17</v>
      </c>
      <c r="I69">
        <v>100</v>
      </c>
      <c r="J69">
        <v>113</v>
      </c>
      <c r="K69" t="s">
        <v>37</v>
      </c>
      <c r="L69" t="s">
        <v>38</v>
      </c>
      <c r="M69" t="s">
        <v>522</v>
      </c>
    </row>
    <row r="70" spans="1:13" x14ac:dyDescent="0.3">
      <c r="A70">
        <v>1084678</v>
      </c>
      <c r="B70" t="s">
        <v>340</v>
      </c>
      <c r="C70" t="s">
        <v>341</v>
      </c>
      <c r="G70" t="s">
        <v>16</v>
      </c>
      <c r="H70" t="s">
        <v>17</v>
      </c>
      <c r="I70">
        <v>0</v>
      </c>
      <c r="J70">
        <v>0</v>
      </c>
      <c r="M70" t="s">
        <v>521</v>
      </c>
    </row>
    <row r="71" spans="1:13" x14ac:dyDescent="0.3">
      <c r="A71">
        <v>1084678</v>
      </c>
      <c r="B71" t="s">
        <v>340</v>
      </c>
      <c r="C71" t="s">
        <v>342</v>
      </c>
      <c r="G71" t="s">
        <v>16</v>
      </c>
      <c r="H71" t="s">
        <v>17</v>
      </c>
      <c r="I71">
        <v>0</v>
      </c>
      <c r="J71">
        <v>0</v>
      </c>
      <c r="M71" t="s">
        <v>521</v>
      </c>
    </row>
    <row r="72" spans="1:13" x14ac:dyDescent="0.3">
      <c r="A72">
        <v>1084678</v>
      </c>
      <c r="B72" t="s">
        <v>340</v>
      </c>
      <c r="C72" t="s">
        <v>343</v>
      </c>
      <c r="D72" t="s">
        <v>344</v>
      </c>
      <c r="E72" t="s">
        <v>345</v>
      </c>
      <c r="G72" t="s">
        <v>46</v>
      </c>
      <c r="H72" t="s">
        <v>17</v>
      </c>
      <c r="I72">
        <v>100</v>
      </c>
      <c r="J72">
        <v>50</v>
      </c>
      <c r="K72" t="s">
        <v>346</v>
      </c>
      <c r="L72" t="s">
        <v>347</v>
      </c>
      <c r="M72" t="s">
        <v>522</v>
      </c>
    </row>
    <row r="73" spans="1:13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G73" t="s">
        <v>22</v>
      </c>
      <c r="H73" t="s">
        <v>17</v>
      </c>
      <c r="I73">
        <v>80</v>
      </c>
      <c r="J73">
        <v>102</v>
      </c>
      <c r="M73" t="s">
        <v>521</v>
      </c>
    </row>
    <row r="74" spans="1:13" x14ac:dyDescent="0.3">
      <c r="A74">
        <v>1086746</v>
      </c>
      <c r="B74" t="s">
        <v>359</v>
      </c>
      <c r="C74" t="s">
        <v>360</v>
      </c>
      <c r="G74" t="s">
        <v>16</v>
      </c>
      <c r="H74" t="s">
        <v>17</v>
      </c>
      <c r="I74">
        <v>0</v>
      </c>
      <c r="J74">
        <v>0</v>
      </c>
      <c r="M74" t="s">
        <v>521</v>
      </c>
    </row>
    <row r="75" spans="1:13" x14ac:dyDescent="0.3">
      <c r="A75">
        <v>1086746</v>
      </c>
      <c r="B75" t="s">
        <v>359</v>
      </c>
      <c r="C75" t="s">
        <v>361</v>
      </c>
      <c r="G75" t="s">
        <v>16</v>
      </c>
      <c r="H75" t="s">
        <v>17</v>
      </c>
      <c r="I75">
        <v>0</v>
      </c>
      <c r="J75">
        <v>0</v>
      </c>
      <c r="M75" t="s">
        <v>521</v>
      </c>
    </row>
    <row r="76" spans="1:13" x14ac:dyDescent="0.3">
      <c r="A76">
        <v>1086746</v>
      </c>
      <c r="B76" t="s">
        <v>359</v>
      </c>
      <c r="C76" t="s">
        <v>362</v>
      </c>
      <c r="G76" t="s">
        <v>16</v>
      </c>
      <c r="H76" t="s">
        <v>17</v>
      </c>
      <c r="I76">
        <v>0</v>
      </c>
      <c r="J76">
        <v>0</v>
      </c>
      <c r="M76" t="s">
        <v>521</v>
      </c>
    </row>
    <row r="77" spans="1:13" x14ac:dyDescent="0.3">
      <c r="A77">
        <v>1086746</v>
      </c>
      <c r="B77" t="s">
        <v>359</v>
      </c>
      <c r="C77" t="s">
        <v>363</v>
      </c>
      <c r="G77" t="s">
        <v>16</v>
      </c>
      <c r="H77" t="s">
        <v>17</v>
      </c>
      <c r="I77">
        <v>0</v>
      </c>
      <c r="J77">
        <v>0</v>
      </c>
      <c r="M77" t="s">
        <v>521</v>
      </c>
    </row>
    <row r="78" spans="1:13" x14ac:dyDescent="0.3">
      <c r="A78">
        <v>1086746</v>
      </c>
      <c r="B78" t="s">
        <v>359</v>
      </c>
      <c r="C78" t="s">
        <v>364</v>
      </c>
      <c r="G78" t="s">
        <v>16</v>
      </c>
      <c r="H78" t="s">
        <v>17</v>
      </c>
      <c r="I78">
        <v>0</v>
      </c>
      <c r="J78">
        <v>0</v>
      </c>
      <c r="M78" t="s">
        <v>521</v>
      </c>
    </row>
    <row r="79" spans="1:13" x14ac:dyDescent="0.3">
      <c r="A79">
        <v>1086746</v>
      </c>
      <c r="B79" t="s">
        <v>359</v>
      </c>
      <c r="C79" t="s">
        <v>365</v>
      </c>
      <c r="G79" t="s">
        <v>16</v>
      </c>
      <c r="H79" t="s">
        <v>17</v>
      </c>
      <c r="I79">
        <v>0</v>
      </c>
      <c r="J79">
        <v>0</v>
      </c>
      <c r="M79" t="s">
        <v>521</v>
      </c>
    </row>
    <row r="80" spans="1:13" x14ac:dyDescent="0.3">
      <c r="A80">
        <v>1086746</v>
      </c>
      <c r="B80" t="s">
        <v>359</v>
      </c>
      <c r="C80" t="s">
        <v>366</v>
      </c>
      <c r="D80" t="s">
        <v>367</v>
      </c>
      <c r="E80" t="s">
        <v>368</v>
      </c>
      <c r="G80" t="s">
        <v>22</v>
      </c>
      <c r="H80" t="s">
        <v>17</v>
      </c>
      <c r="I80">
        <v>87</v>
      </c>
      <c r="J80">
        <v>108.2</v>
      </c>
      <c r="K80" t="s">
        <v>369</v>
      </c>
      <c r="L80" t="s">
        <v>370</v>
      </c>
      <c r="M80" t="s">
        <v>522</v>
      </c>
    </row>
    <row r="81" spans="1:13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G81" t="s">
        <v>22</v>
      </c>
      <c r="H81" t="s">
        <v>17</v>
      </c>
      <c r="I81">
        <v>83.3</v>
      </c>
      <c r="J81">
        <v>103</v>
      </c>
      <c r="K81" t="s">
        <v>375</v>
      </c>
      <c r="L81" t="s">
        <v>376</v>
      </c>
      <c r="M81" t="s">
        <v>522</v>
      </c>
    </row>
    <row r="82" spans="1:13" x14ac:dyDescent="0.3">
      <c r="A82">
        <v>1086746</v>
      </c>
      <c r="B82" t="s">
        <v>359</v>
      </c>
      <c r="C82" t="s">
        <v>378</v>
      </c>
      <c r="D82" t="s">
        <v>378</v>
      </c>
      <c r="E82" t="s">
        <v>379</v>
      </c>
      <c r="G82" t="s">
        <v>22</v>
      </c>
      <c r="H82" t="s">
        <v>17</v>
      </c>
      <c r="I82">
        <v>100</v>
      </c>
      <c r="J82">
        <v>114</v>
      </c>
      <c r="K82" t="s">
        <v>380</v>
      </c>
      <c r="L82" t="s">
        <v>381</v>
      </c>
      <c r="M82" t="s">
        <v>522</v>
      </c>
    </row>
    <row r="83" spans="1:13" x14ac:dyDescent="0.3">
      <c r="A83">
        <v>1086746</v>
      </c>
      <c r="B83" t="s">
        <v>359</v>
      </c>
      <c r="C83" t="s">
        <v>382</v>
      </c>
      <c r="D83" t="s">
        <v>382</v>
      </c>
      <c r="E83" t="s">
        <v>383</v>
      </c>
      <c r="G83" t="s">
        <v>22</v>
      </c>
      <c r="H83" t="s">
        <v>17</v>
      </c>
      <c r="I83">
        <v>100</v>
      </c>
      <c r="J83">
        <v>115</v>
      </c>
      <c r="K83" t="s">
        <v>241</v>
      </c>
      <c r="L83" t="s">
        <v>242</v>
      </c>
      <c r="M83" t="s">
        <v>522</v>
      </c>
    </row>
    <row r="84" spans="1:13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G84" t="s">
        <v>22</v>
      </c>
      <c r="H84" t="s">
        <v>17</v>
      </c>
      <c r="I84">
        <v>100</v>
      </c>
      <c r="J84">
        <v>111</v>
      </c>
      <c r="K84" t="s">
        <v>386</v>
      </c>
      <c r="L84" t="s">
        <v>387</v>
      </c>
      <c r="M84" t="s">
        <v>522</v>
      </c>
    </row>
    <row r="85" spans="1:13" x14ac:dyDescent="0.3">
      <c r="A85">
        <v>1086752</v>
      </c>
      <c r="B85" t="s">
        <v>388</v>
      </c>
      <c r="C85" t="s">
        <v>389</v>
      </c>
      <c r="G85" t="s">
        <v>16</v>
      </c>
      <c r="H85" t="s">
        <v>17</v>
      </c>
      <c r="I85">
        <v>0</v>
      </c>
      <c r="J85">
        <v>0</v>
      </c>
      <c r="M85" t="s">
        <v>521</v>
      </c>
    </row>
    <row r="86" spans="1:13" x14ac:dyDescent="0.3">
      <c r="A86">
        <v>1086752</v>
      </c>
      <c r="B86" t="s">
        <v>388</v>
      </c>
      <c r="C86" t="s">
        <v>390</v>
      </c>
      <c r="D86" t="s">
        <v>391</v>
      </c>
      <c r="E86" t="s">
        <v>392</v>
      </c>
      <c r="G86" t="s">
        <v>46</v>
      </c>
      <c r="H86" t="s">
        <v>17</v>
      </c>
      <c r="I86">
        <v>100</v>
      </c>
      <c r="J86">
        <v>50</v>
      </c>
      <c r="M86" t="s">
        <v>521</v>
      </c>
    </row>
    <row r="87" spans="1:13" x14ac:dyDescent="0.3">
      <c r="A87">
        <v>1086752</v>
      </c>
      <c r="B87" t="s">
        <v>388</v>
      </c>
      <c r="C87" t="s">
        <v>393</v>
      </c>
      <c r="G87" t="s">
        <v>16</v>
      </c>
      <c r="H87" t="s">
        <v>17</v>
      </c>
      <c r="I87">
        <v>0</v>
      </c>
      <c r="J87">
        <v>0</v>
      </c>
      <c r="M87" t="s">
        <v>521</v>
      </c>
    </row>
    <row r="88" spans="1:13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G88" t="s">
        <v>46</v>
      </c>
      <c r="H88" t="s">
        <v>17</v>
      </c>
      <c r="I88">
        <v>100</v>
      </c>
      <c r="J88">
        <v>50</v>
      </c>
      <c r="M88" t="s">
        <v>521</v>
      </c>
    </row>
    <row r="89" spans="1:13" x14ac:dyDescent="0.3">
      <c r="A89">
        <v>1087358</v>
      </c>
      <c r="B89" t="s">
        <v>408</v>
      </c>
      <c r="C89" t="s">
        <v>409</v>
      </c>
      <c r="G89" t="s">
        <v>16</v>
      </c>
      <c r="H89" t="s">
        <v>17</v>
      </c>
      <c r="I89">
        <v>0</v>
      </c>
      <c r="J89">
        <v>0</v>
      </c>
      <c r="M89" t="s">
        <v>521</v>
      </c>
    </row>
    <row r="90" spans="1:13" x14ac:dyDescent="0.3">
      <c r="A90">
        <v>1087358</v>
      </c>
      <c r="B90" t="s">
        <v>408</v>
      </c>
      <c r="C90" t="s">
        <v>410</v>
      </c>
      <c r="G90" t="s">
        <v>16</v>
      </c>
      <c r="H90" t="s">
        <v>17</v>
      </c>
      <c r="I90">
        <v>0</v>
      </c>
      <c r="J90">
        <v>0</v>
      </c>
      <c r="M90" t="s">
        <v>521</v>
      </c>
    </row>
    <row r="91" spans="1:13" x14ac:dyDescent="0.3">
      <c r="A91">
        <v>1087358</v>
      </c>
      <c r="B91" t="s">
        <v>408</v>
      </c>
      <c r="C91" t="s">
        <v>411</v>
      </c>
      <c r="G91" t="s">
        <v>16</v>
      </c>
      <c r="H91" t="s">
        <v>17</v>
      </c>
      <c r="I91">
        <v>0</v>
      </c>
      <c r="J91">
        <v>0</v>
      </c>
      <c r="M91" t="s">
        <v>521</v>
      </c>
    </row>
    <row r="92" spans="1:13" x14ac:dyDescent="0.3">
      <c r="A92">
        <v>1087358</v>
      </c>
      <c r="B92" t="s">
        <v>408</v>
      </c>
      <c r="C92" t="s">
        <v>412</v>
      </c>
      <c r="G92" t="s">
        <v>16</v>
      </c>
      <c r="H92" t="s">
        <v>17</v>
      </c>
      <c r="I92">
        <v>0</v>
      </c>
      <c r="J92">
        <v>0</v>
      </c>
      <c r="M92" t="s">
        <v>521</v>
      </c>
    </row>
    <row r="93" spans="1:13" x14ac:dyDescent="0.3">
      <c r="A93">
        <v>1087358</v>
      </c>
      <c r="B93" t="s">
        <v>408</v>
      </c>
      <c r="C93" t="s">
        <v>413</v>
      </c>
      <c r="D93" t="s">
        <v>414</v>
      </c>
      <c r="E93" t="s">
        <v>415</v>
      </c>
      <c r="G93" t="s">
        <v>46</v>
      </c>
      <c r="H93" t="s">
        <v>17</v>
      </c>
      <c r="I93">
        <v>100</v>
      </c>
      <c r="J93">
        <v>50</v>
      </c>
      <c r="K93" t="s">
        <v>416</v>
      </c>
      <c r="L93" t="s">
        <v>417</v>
      </c>
      <c r="M93" t="s">
        <v>522</v>
      </c>
    </row>
    <row r="94" spans="1:13" x14ac:dyDescent="0.3">
      <c r="A94">
        <v>1087358</v>
      </c>
      <c r="B94" t="s">
        <v>408</v>
      </c>
      <c r="C94" t="s">
        <v>418</v>
      </c>
      <c r="G94" t="s">
        <v>16</v>
      </c>
      <c r="H94" t="s">
        <v>17</v>
      </c>
      <c r="I94">
        <v>0</v>
      </c>
      <c r="J94">
        <v>0</v>
      </c>
      <c r="M94" t="s">
        <v>521</v>
      </c>
    </row>
    <row r="95" spans="1:13" x14ac:dyDescent="0.3">
      <c r="A95">
        <v>1088019</v>
      </c>
      <c r="B95" t="s">
        <v>419</v>
      </c>
      <c r="C95" t="s">
        <v>420</v>
      </c>
      <c r="G95" t="s">
        <v>16</v>
      </c>
      <c r="H95" t="s">
        <v>17</v>
      </c>
      <c r="I95">
        <v>0</v>
      </c>
      <c r="J95">
        <v>0</v>
      </c>
      <c r="M95" t="s">
        <v>521</v>
      </c>
    </row>
    <row r="96" spans="1:13" x14ac:dyDescent="0.3">
      <c r="A96">
        <v>1088019</v>
      </c>
      <c r="B96" t="s">
        <v>419</v>
      </c>
      <c r="C96" t="s">
        <v>421</v>
      </c>
      <c r="G96" t="s">
        <v>16</v>
      </c>
      <c r="H96" t="s">
        <v>17</v>
      </c>
      <c r="I96">
        <v>0</v>
      </c>
      <c r="J96">
        <v>0</v>
      </c>
      <c r="M96" t="s">
        <v>521</v>
      </c>
    </row>
    <row r="97" spans="1:13" x14ac:dyDescent="0.3">
      <c r="A97">
        <v>1088019</v>
      </c>
      <c r="B97" t="s">
        <v>419</v>
      </c>
      <c r="C97" t="s">
        <v>422</v>
      </c>
      <c r="G97" t="s">
        <v>16</v>
      </c>
      <c r="H97" t="s">
        <v>17</v>
      </c>
      <c r="I97">
        <v>0</v>
      </c>
      <c r="J97">
        <v>0</v>
      </c>
      <c r="M97" t="s">
        <v>521</v>
      </c>
    </row>
    <row r="98" spans="1:13" x14ac:dyDescent="0.3">
      <c r="A98">
        <v>1088019</v>
      </c>
      <c r="B98" t="s">
        <v>419</v>
      </c>
      <c r="C98" t="s">
        <v>423</v>
      </c>
      <c r="G98" t="s">
        <v>16</v>
      </c>
      <c r="H98" t="s">
        <v>17</v>
      </c>
      <c r="I98">
        <v>0</v>
      </c>
      <c r="J98">
        <v>0</v>
      </c>
      <c r="M98" t="s">
        <v>521</v>
      </c>
    </row>
    <row r="99" spans="1:13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G99" t="s">
        <v>46</v>
      </c>
      <c r="H99" t="s">
        <v>17</v>
      </c>
      <c r="I99">
        <v>100</v>
      </c>
      <c r="J99">
        <v>50</v>
      </c>
      <c r="M99" t="s">
        <v>521</v>
      </c>
    </row>
    <row r="100" spans="1:13" x14ac:dyDescent="0.3">
      <c r="A100">
        <v>1088019</v>
      </c>
      <c r="B100" t="s">
        <v>419</v>
      </c>
      <c r="C100" t="s">
        <v>445</v>
      </c>
      <c r="D100" t="s">
        <v>446</v>
      </c>
      <c r="E100" t="s">
        <v>447</v>
      </c>
      <c r="G100" t="s">
        <v>46</v>
      </c>
      <c r="H100" t="s">
        <v>17</v>
      </c>
      <c r="I100">
        <v>100</v>
      </c>
      <c r="J100">
        <v>50</v>
      </c>
      <c r="K100" t="s">
        <v>448</v>
      </c>
      <c r="L100" t="s">
        <v>449</v>
      </c>
      <c r="M100" t="s">
        <v>522</v>
      </c>
    </row>
    <row r="101" spans="1:13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G101" t="s">
        <v>46</v>
      </c>
      <c r="H101" t="s">
        <v>17</v>
      </c>
      <c r="I101">
        <v>100</v>
      </c>
      <c r="J101">
        <v>50</v>
      </c>
      <c r="M101" t="s">
        <v>522</v>
      </c>
    </row>
    <row r="102" spans="1:13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G102" t="s">
        <v>46</v>
      </c>
      <c r="H102" t="s">
        <v>17</v>
      </c>
      <c r="I102">
        <v>100</v>
      </c>
      <c r="J102">
        <v>50</v>
      </c>
      <c r="M102" t="s">
        <v>522</v>
      </c>
    </row>
    <row r="103" spans="1:13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G103" t="s">
        <v>46</v>
      </c>
      <c r="H103" t="s">
        <v>17</v>
      </c>
      <c r="I103">
        <v>100</v>
      </c>
      <c r="J103">
        <v>50</v>
      </c>
      <c r="M103" t="s">
        <v>521</v>
      </c>
    </row>
    <row r="104" spans="1:13" x14ac:dyDescent="0.3">
      <c r="A104">
        <v>1088019</v>
      </c>
      <c r="B104" t="s">
        <v>419</v>
      </c>
      <c r="C104" t="s">
        <v>482</v>
      </c>
      <c r="D104" t="s">
        <v>483</v>
      </c>
      <c r="E104" t="s">
        <v>484</v>
      </c>
      <c r="F104">
        <v>119788740</v>
      </c>
      <c r="G104" t="s">
        <v>46</v>
      </c>
      <c r="H104" t="s">
        <v>17</v>
      </c>
      <c r="I104">
        <v>100</v>
      </c>
      <c r="J104">
        <v>50</v>
      </c>
      <c r="M104" t="s">
        <v>521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A278" workbookViewId="0">
      <selection activeCell="Y7" sqref="Y7:Z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M3" sqref="M3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45">
        <f>COUNTIF(O2:O39,"*YES*")/COUNTA(O2:O39)</f>
        <v>0.94736842105263153</v>
      </c>
      <c r="S2" s="45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45"/>
      <c r="S3" s="45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45"/>
      <c r="S4" s="45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45"/>
      <c r="S5" s="45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45"/>
      <c r="S6" s="45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45"/>
      <c r="S7" s="45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0.96335078534031415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45"/>
      <c r="S8" s="45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45"/>
      <c r="S9" s="45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45"/>
      <c r="S10" s="45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45"/>
      <c r="S11" s="45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45"/>
      <c r="S12" s="45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42</v>
      </c>
      <c r="Z12" s="9" cm="1">
        <f t="array" ref="Z12">COUNTA(_xlfn.UNIQUE(_xlfn._xlws.FILTER(C2:C192 &amp; E2:E192, O2:O192="NO")))</f>
        <v>6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0.875</v>
      </c>
      <c r="AD12" s="13">
        <f>Z12 / (Y12 + Z12)</f>
        <v>0.125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45"/>
      <c r="S13" s="45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45"/>
      <c r="S14" s="45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45"/>
      <c r="S15" s="45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45"/>
      <c r="S16" s="45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45"/>
      <c r="S17" s="45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45"/>
      <c r="S18" s="45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45"/>
      <c r="S19" s="45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45"/>
      <c r="S20" s="45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45"/>
      <c r="S21" s="45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45"/>
      <c r="S22" s="45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45"/>
      <c r="S23" s="45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45"/>
      <c r="S24" s="45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45"/>
      <c r="S25" s="45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45"/>
      <c r="S26" s="45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45"/>
      <c r="S27" s="45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45"/>
      <c r="S28" s="45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45"/>
      <c r="S29" s="45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45"/>
      <c r="S30" s="45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45"/>
      <c r="S31" s="45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45"/>
      <c r="S32" s="45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45"/>
      <c r="S33" s="45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45"/>
      <c r="S34" s="45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45"/>
      <c r="S35" s="45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45"/>
      <c r="S36" s="45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s="44" t="s">
        <v>1703</v>
      </c>
      <c r="P37" t="s">
        <v>1743</v>
      </c>
      <c r="Q37" s="19" t="s">
        <v>1793</v>
      </c>
      <c r="R37" s="45"/>
      <c r="S37" s="45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45"/>
      <c r="S38" s="45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45"/>
      <c r="S39" s="45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45"/>
      <c r="S40" s="45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45"/>
      <c r="S41" s="45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45"/>
      <c r="S42" s="45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45"/>
      <c r="S43" s="45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45"/>
      <c r="S44" s="45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45"/>
      <c r="S45" s="45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45"/>
      <c r="S46" s="45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45"/>
      <c r="S47" s="45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45"/>
      <c r="S48" s="45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45"/>
      <c r="S49" s="45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45"/>
      <c r="S50" s="45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45"/>
      <c r="S51" s="45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45"/>
      <c r="S52" s="45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45"/>
      <c r="S53" s="45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45"/>
      <c r="S54" s="45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45"/>
      <c r="S55" s="45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45"/>
      <c r="S56" s="45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45"/>
      <c r="S57" s="45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45"/>
      <c r="S58" s="45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45"/>
      <c r="S59" s="45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45"/>
      <c r="S60" s="45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45"/>
      <c r="S61" s="45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45"/>
      <c r="S62" s="45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45"/>
      <c r="S63" s="45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45"/>
      <c r="S64" s="45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45"/>
      <c r="S65" s="45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45"/>
      <c r="S66" s="45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45"/>
      <c r="S67" s="45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45"/>
      <c r="S68" s="45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45"/>
      <c r="S69" s="45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45"/>
      <c r="S70" s="45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45"/>
      <c r="S71" s="45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45">
        <f>COUNTIF(O72:O74,"*YES*")/COUNTA(O72:O74)</f>
        <v>1</v>
      </c>
      <c r="S72" s="45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45"/>
      <c r="S73" s="45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45"/>
      <c r="S74" s="45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45">
        <f>COUNTIF(O75:O129,"*YES*")/COUNTA(O75:O129)</f>
        <v>0.94545454545454544</v>
      </c>
      <c r="S75" s="45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45"/>
      <c r="S76" s="45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45"/>
      <c r="S77" s="45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45"/>
      <c r="S78" s="45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45"/>
      <c r="S79" s="45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45"/>
      <c r="S80" s="45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45"/>
      <c r="S81" s="45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45"/>
      <c r="S82" s="45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45"/>
      <c r="S83" s="45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45"/>
      <c r="S84" s="45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45"/>
      <c r="S85" s="45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45"/>
      <c r="S86" s="45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45"/>
      <c r="S87" s="45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45"/>
      <c r="S88" s="45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45"/>
      <c r="S89" s="45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45"/>
      <c r="S90" s="45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45"/>
      <c r="S91" s="45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45"/>
      <c r="S92" s="45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45"/>
      <c r="S93" s="45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45"/>
      <c r="S94" s="45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45"/>
      <c r="S95" s="45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45"/>
      <c r="S96" s="45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45"/>
      <c r="S97" s="45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45"/>
      <c r="S98" s="45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45"/>
      <c r="S99" s="45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45"/>
      <c r="S100" s="45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45"/>
      <c r="S101" s="45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45"/>
      <c r="S102" s="45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45"/>
      <c r="S103" s="45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45"/>
      <c r="S104" s="45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45"/>
      <c r="S105" s="45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45"/>
      <c r="S106" s="45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45"/>
      <c r="S107" s="45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45"/>
      <c r="S108" s="45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45"/>
      <c r="S109" s="45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45"/>
      <c r="S110" s="45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45"/>
      <c r="S111" s="45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45"/>
      <c r="S112" s="45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45"/>
      <c r="S113" s="45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45"/>
      <c r="S114" s="45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45"/>
      <c r="S115" s="45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45"/>
      <c r="S116" s="45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45"/>
      <c r="S117" s="45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45"/>
      <c r="S118" s="45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45"/>
      <c r="S119" s="45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45"/>
      <c r="S120" s="45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45"/>
      <c r="S121" s="45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45"/>
      <c r="S122" s="45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45"/>
      <c r="S123" s="45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45"/>
      <c r="S124" s="45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45"/>
      <c r="S125" s="45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45"/>
      <c r="S126" s="45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45"/>
      <c r="S127" s="45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45"/>
      <c r="S128" s="45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45"/>
      <c r="S129" s="45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45">
        <f>COUNTIF(O130:O150,"*YES*")/COUNTA(O130:O150)</f>
        <v>0.90476190476190477</v>
      </c>
      <c r="S130" s="45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45"/>
      <c r="S131" s="45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45"/>
      <c r="S132" s="45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45"/>
      <c r="S133" s="45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45"/>
      <c r="S134" s="45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45"/>
      <c r="S135" s="45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45"/>
      <c r="S136" s="45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45"/>
      <c r="S137" s="45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45"/>
      <c r="S138" s="45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45"/>
      <c r="S139" s="45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45"/>
      <c r="S140" s="45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45"/>
      <c r="S141" s="45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45"/>
      <c r="S142" s="45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45"/>
      <c r="S143" s="45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45"/>
      <c r="S144" s="45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45"/>
      <c r="S145" s="45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45"/>
      <c r="S146" s="45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45"/>
      <c r="S147" s="45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45"/>
      <c r="S148" s="45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45"/>
      <c r="S149" s="45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45"/>
      <c r="S150" s="45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45">
        <f>COUNTIF(O151:O162,"*YES*")/COUNTA(O151:O162)</f>
        <v>1</v>
      </c>
      <c r="S151" s="45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45"/>
      <c r="S152" s="45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45"/>
      <c r="S153" s="45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45"/>
      <c r="S154" s="45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45"/>
      <c r="S155" s="45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45"/>
      <c r="S156" s="45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45"/>
      <c r="S157" s="45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45"/>
      <c r="S158" s="45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45"/>
      <c r="S159" s="45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45"/>
      <c r="S160" s="45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45"/>
      <c r="S161" s="45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45"/>
      <c r="S162" s="45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45">
        <f>COUNTIF(O163:O181,"*YES*")/COUNTA(O163:O181)</f>
        <v>1</v>
      </c>
      <c r="S163" s="45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45"/>
      <c r="S164" s="45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45"/>
      <c r="S165" s="45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45"/>
      <c r="S166" s="45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45"/>
      <c r="S167" s="45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45"/>
      <c r="S168" s="45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45"/>
      <c r="S169" s="45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45"/>
      <c r="S170" s="45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45"/>
      <c r="S171" s="45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45"/>
      <c r="S172" s="45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45"/>
      <c r="S173" s="45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45"/>
      <c r="S174" s="45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45"/>
      <c r="S175" s="45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45"/>
      <c r="S176" s="45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45"/>
      <c r="S177" s="45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45"/>
      <c r="S178" s="45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45"/>
      <c r="S179" s="45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45"/>
      <c r="S180" s="45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45"/>
      <c r="S181" s="45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45">
        <f>COUNTIF(O182:O192,"*YES*")/COUNTA(O182:O192)</f>
        <v>1</v>
      </c>
      <c r="S182" s="45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45"/>
      <c r="S183" s="45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45"/>
      <c r="S184" s="45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45"/>
      <c r="S185" s="45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45"/>
      <c r="S186" s="45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45"/>
      <c r="S187" s="45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45"/>
      <c r="S188" s="45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45"/>
      <c r="S189" s="45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45"/>
      <c r="S190" s="45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45"/>
      <c r="S191" s="45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45"/>
      <c r="S192" s="45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2:R71"/>
    <mergeCell ref="S2:S71"/>
    <mergeCell ref="R72:R74"/>
    <mergeCell ref="S72:S74"/>
    <mergeCell ref="R75:R129"/>
    <mergeCell ref="S75:S129"/>
    <mergeCell ref="R182:R192"/>
    <mergeCell ref="S182:S192"/>
    <mergeCell ref="R130:R150"/>
    <mergeCell ref="S130:S150"/>
    <mergeCell ref="R151:R162"/>
    <mergeCell ref="S151:S162"/>
    <mergeCell ref="R163:R181"/>
    <mergeCell ref="S163:S18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workbookViewId="0">
      <selection activeCell="F1" sqref="F1:G6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B1" workbookViewId="0">
      <selection activeCell="D107" sqref="D107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45">
        <f>COUNTIF(O2:O329,"*YES*")/COUNTA(O2:O329)</f>
        <v>0.82317073170731703</v>
      </c>
      <c r="S2" s="45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45"/>
      <c r="S3" s="45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45"/>
      <c r="S4" s="45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46" t="s">
        <v>1831</v>
      </c>
      <c r="R5" s="45"/>
      <c r="S5" s="45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46"/>
      <c r="R6" s="45"/>
      <c r="S6" s="45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46"/>
      <c r="R7" s="45"/>
      <c r="S7" s="45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46"/>
      <c r="R8" s="45"/>
      <c r="S8" s="45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46"/>
      <c r="R9" s="45"/>
      <c r="S9" s="45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46"/>
      <c r="R10" s="45"/>
      <c r="S10" s="45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46"/>
      <c r="R11" s="45"/>
      <c r="S11" s="45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46"/>
      <c r="R12" s="45"/>
      <c r="S12" s="45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46"/>
      <c r="R13" s="45"/>
      <c r="S13" s="45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46"/>
      <c r="R14" s="45"/>
      <c r="S14" s="45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46"/>
      <c r="R15" s="45"/>
      <c r="S15" s="45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46"/>
      <c r="R16" s="45"/>
      <c r="S16" s="45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46"/>
      <c r="R17" s="45"/>
      <c r="S17" s="45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46"/>
      <c r="R18" s="45"/>
      <c r="S18" s="45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46"/>
      <c r="R19" s="45"/>
      <c r="S19" s="45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46"/>
      <c r="R20" s="45"/>
      <c r="S20" s="45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45"/>
      <c r="S21" s="45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45"/>
      <c r="S22" s="45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45"/>
      <c r="S23" s="45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45"/>
      <c r="S24" s="45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45"/>
      <c r="S25" s="45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45"/>
      <c r="S26" s="45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45"/>
      <c r="S27" s="45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45"/>
      <c r="S28" s="45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45"/>
      <c r="S29" s="45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45"/>
      <c r="S30" s="45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45"/>
      <c r="S31" s="45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46" t="s">
        <v>1887</v>
      </c>
      <c r="R32" s="45"/>
      <c r="S32" s="45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46"/>
      <c r="R33" s="45"/>
      <c r="S33" s="45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46"/>
      <c r="R34" s="45"/>
      <c r="S34" s="45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46"/>
      <c r="R35" s="45"/>
      <c r="S35" s="45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46"/>
      <c r="R36" s="45"/>
      <c r="S36" s="45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46"/>
      <c r="R37" s="45"/>
      <c r="S37" s="45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46"/>
      <c r="R38" s="45"/>
      <c r="S38" s="45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46"/>
      <c r="R39" s="45"/>
      <c r="S39" s="45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46"/>
      <c r="R40" s="45"/>
      <c r="S40" s="45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46"/>
      <c r="R41" s="45"/>
      <c r="S41" s="45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46"/>
      <c r="R42" s="45"/>
      <c r="S42" s="45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46"/>
      <c r="R43" s="45"/>
      <c r="S43" s="45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46"/>
      <c r="R44" s="45"/>
      <c r="S44" s="45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46"/>
      <c r="R45" s="45"/>
      <c r="S45" s="45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46"/>
      <c r="R46" s="45"/>
      <c r="S46" s="45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45"/>
      <c r="S47" s="45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45"/>
      <c r="S48" s="45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49" t="s">
        <v>1917</v>
      </c>
      <c r="R49" s="45"/>
      <c r="S49" s="45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49"/>
      <c r="R50" s="45"/>
      <c r="S50" s="45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49"/>
      <c r="R51" s="45"/>
      <c r="S51" s="45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49"/>
      <c r="R52" s="45"/>
      <c r="S52" s="45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49"/>
      <c r="R53" s="45"/>
      <c r="S53" s="45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49"/>
      <c r="R54" s="45"/>
      <c r="S54" s="45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49"/>
      <c r="R55" s="45"/>
      <c r="S55" s="45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49"/>
      <c r="R56" s="45"/>
      <c r="S56" s="45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49"/>
      <c r="R57" s="45"/>
      <c r="S57" s="45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49"/>
      <c r="R58" s="45"/>
      <c r="S58" s="45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49"/>
      <c r="R59" s="45"/>
      <c r="S59" s="45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49"/>
      <c r="R60" s="45"/>
      <c r="S60" s="45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49"/>
      <c r="R61" s="45"/>
      <c r="S61" s="45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49"/>
      <c r="R62" s="45"/>
      <c r="S62" s="45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49"/>
      <c r="R63" s="45"/>
      <c r="S63" s="45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49"/>
      <c r="R64" s="45"/>
      <c r="S64" s="45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49"/>
      <c r="R65" s="45"/>
      <c r="S65" s="45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49"/>
      <c r="R66" s="45"/>
      <c r="S66" s="45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49"/>
      <c r="R67" s="45"/>
      <c r="S67" s="45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49"/>
      <c r="R68" s="45"/>
      <c r="S68" s="45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49"/>
      <c r="R69" s="45"/>
      <c r="S69" s="45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49"/>
      <c r="R70" s="45"/>
      <c r="S70" s="45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49"/>
      <c r="R71" s="48"/>
      <c r="S71" s="45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49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49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49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49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49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49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49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49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49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47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47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46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46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46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46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46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46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47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47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47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47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47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47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47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47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47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47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47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47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47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47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47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47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47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47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47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47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47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47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47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47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47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S2:S71"/>
    <mergeCell ref="Q5:Q20"/>
    <mergeCell ref="Q32:Q46"/>
    <mergeCell ref="Q49:Q80"/>
    <mergeCell ref="Q87:Q88"/>
    <mergeCell ref="Q90:Q95"/>
    <mergeCell ref="Q114:Q116"/>
    <mergeCell ref="Q122:Q131"/>
    <mergeCell ref="Q300:Q311"/>
    <mergeCell ref="R2:R7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50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51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51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51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51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51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51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51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51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51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51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51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51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51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51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51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51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51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51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51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51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51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51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51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51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51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51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51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51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50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51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51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51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51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51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51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51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51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51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51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51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51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51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51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51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51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51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51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51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51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51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51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51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51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51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51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51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51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52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51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51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51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51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51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51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51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51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51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51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51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51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51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51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51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51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51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51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51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51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51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51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52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51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51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51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51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51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51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51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51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51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51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51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51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51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51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51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51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51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51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51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51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51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52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51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51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51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Wikidata_upec_chemical_20</vt:lpstr>
      <vt:lpstr>Sheet2</vt:lpstr>
      <vt:lpstr>Wikidata_upec_civil_20</vt:lpstr>
      <vt:lpstr>Wikidata_upec_civil_20_part2</vt:lpstr>
      <vt:lpstr>Sheet1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2025-11-06T20:30:22Z</dcterms:modified>
</cp:coreProperties>
</file>