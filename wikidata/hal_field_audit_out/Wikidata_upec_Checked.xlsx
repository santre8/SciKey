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theme/theme1.xml" ContentType="application/vnd.openxmlformats-officedocument.theme+xml"/>
  <Override PartName="/xl/connections.xml" ContentType="application/vnd.openxmlformats-officedocument.spreadsheetml.connections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tables/table1.xml" ContentType="application/vnd.openxmlformats-officedocument.spreadsheetml.table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328"/>
  <workbookPr defaultThemeVersion="202300"/>
  <mc:AlternateContent xmlns:mc="http://schemas.openxmlformats.org/markup-compatibility/2006">
    <mc:Choice Requires="x15">
      <x15ac:absPath xmlns:x15ac="http://schemas.microsoft.com/office/spreadsheetml/2010/11/ac" url="C:\Users\sanda\Documents\Langara_College\DANA-4850-001-Capstone_Project\hall-api-test-db-mysql\wikidata\hal_field_audit_out\"/>
    </mc:Choice>
  </mc:AlternateContent>
  <xr:revisionPtr revIDLastSave="0" documentId="13_ncr:1_{33F14BF9-AFEE-4BB9-B87F-0461317B188E}" xr6:coauthVersionLast="47" xr6:coauthVersionMax="47" xr10:uidLastSave="{00000000-0000-0000-0000-000000000000}"/>
  <bookViews>
    <workbookView xWindow="0" yWindow="0" windowWidth="11520" windowHeight="12240" firstSheet="1" activeTab="1" xr2:uid="{7CE82651-D189-4583-9CC8-EB750387BE3D}"/>
  </bookViews>
  <sheets>
    <sheet name="Summary" sheetId="3" r:id="rId1"/>
    <sheet name="Wikidata_upec_chemical_20" sheetId="1" r:id="rId2"/>
    <sheet name="Wikidata_upec_civil_20" sheetId="4" r:id="rId3"/>
    <sheet name="Wikidata_upec_civil_20_part2" sheetId="5" r:id="rId4"/>
    <sheet name="Sheet1" sheetId="2" state="hidden" r:id="rId5"/>
    <sheet name="Wikidata_upec_computer_20" sheetId="8" r:id="rId6"/>
    <sheet name="Wikidata_upec_computer_20_check" sheetId="7" r:id="rId7"/>
    <sheet name="Wikidata_upec_political_20" sheetId="6" r:id="rId8"/>
    <sheet name="Wikidata_upec_marketing_20.csv" sheetId="9" r:id="rId9"/>
  </sheets>
  <definedNames>
    <definedName name="_xlnm._FilterDatabase" localSheetId="0" hidden="1">Summary!$A$1:$L$1</definedName>
    <definedName name="_xlnm._FilterDatabase" localSheetId="1" hidden="1">Wikidata_upec_chemical_20!$A$1:$Q$371</definedName>
    <definedName name="_xlnm._FilterDatabase" localSheetId="2" hidden="1">Wikidata_upec_civil_20!$T$1:$T$389</definedName>
    <definedName name="_xlnm._FilterDatabase" localSheetId="3" hidden="1">Wikidata_upec_civil_20_part2!$A$1:$AF$764</definedName>
    <definedName name="_xlnm._FilterDatabase" localSheetId="8" hidden="1">Wikidata_upec_marketing_20.csv!$A$1:$O$493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I6" i="3" l="1"/>
  <c r="J6" i="3"/>
  <c r="K6" i="3"/>
  <c r="L6" i="3"/>
  <c r="L3" i="3"/>
  <c r="K3" i="3"/>
  <c r="J3" i="3"/>
  <c r="I3" i="3"/>
  <c r="L4" i="3"/>
  <c r="K4" i="3"/>
  <c r="J4" i="3"/>
  <c r="I4" i="3"/>
  <c r="L5" i="3"/>
  <c r="K5" i="3"/>
  <c r="J5" i="3"/>
  <c r="I5" i="3"/>
  <c r="L7" i="3"/>
  <c r="K7" i="3"/>
  <c r="J7" i="3"/>
  <c r="I7" i="3"/>
  <c r="S2" i="6"/>
  <c r="R2" i="6"/>
  <c r="AB12" i="5" a="1"/>
  <c r="AB12" i="5" s="1"/>
  <c r="H4" i="3" s="1"/>
  <c r="AA12" i="5" a="1"/>
  <c r="AA12" i="5" s="1"/>
  <c r="G4" i="3" s="1"/>
  <c r="Y12" i="5" a="1"/>
  <c r="Y12" i="5" s="1"/>
  <c r="E4" i="3" s="1"/>
  <c r="Z12" i="5" a="1"/>
  <c r="Z12" i="5" s="1"/>
  <c r="Y7" i="4" a="1"/>
  <c r="Y7" i="4" s="1"/>
  <c r="E3" i="3" s="1"/>
  <c r="W12" i="5" a="1"/>
  <c r="W12" i="5" s="1"/>
  <c r="C4" i="3" s="1"/>
  <c r="X12" i="5" a="1"/>
  <c r="X12" i="5" s="1"/>
  <c r="D4" i="3" s="1"/>
  <c r="Y2" i="5" a="1"/>
  <c r="Y2" i="5" s="1"/>
  <c r="R2" i="5"/>
  <c r="S2" i="5"/>
  <c r="U2" i="5" a="1"/>
  <c r="V10" i="5" s="1"/>
  <c r="Y3" i="5" a="1"/>
  <c r="Y3" i="5" s="1"/>
  <c r="Y4" i="5" a="1"/>
  <c r="Y4" i="5" s="1"/>
  <c r="Y5" i="5" a="1"/>
  <c r="Y5" i="5" s="1"/>
  <c r="Y6" i="5" a="1"/>
  <c r="Y6" i="5" s="1"/>
  <c r="Y7" i="5"/>
  <c r="Y8" i="5"/>
  <c r="R72" i="5"/>
  <c r="S72" i="5"/>
  <c r="R75" i="5"/>
  <c r="S75" i="5"/>
  <c r="R130" i="5"/>
  <c r="S130" i="5"/>
  <c r="R151" i="5"/>
  <c r="S151" i="5"/>
  <c r="R163" i="5"/>
  <c r="S163" i="5"/>
  <c r="R182" i="5"/>
  <c r="S182" i="5"/>
  <c r="AA7" i="4" a="1"/>
  <c r="AA7" i="4" s="1"/>
  <c r="D3" i="3"/>
  <c r="F3" i="3"/>
  <c r="H3" i="3"/>
  <c r="C3" i="3"/>
  <c r="S389" i="4"/>
  <c r="T389" i="4" s="1"/>
  <c r="S388" i="4"/>
  <c r="T388" i="4" s="1"/>
  <c r="S387" i="4"/>
  <c r="T387" i="4" s="1"/>
  <c r="S386" i="4"/>
  <c r="T386" i="4" s="1"/>
  <c r="S385" i="4"/>
  <c r="T385" i="4" s="1"/>
  <c r="S384" i="4"/>
  <c r="T384" i="4" s="1"/>
  <c r="T383" i="4"/>
  <c r="S383" i="4"/>
  <c r="T382" i="4"/>
  <c r="S382" i="4"/>
  <c r="T381" i="4"/>
  <c r="S381" i="4"/>
  <c r="T380" i="4"/>
  <c r="S380" i="4"/>
  <c r="T379" i="4"/>
  <c r="S379" i="4"/>
  <c r="T378" i="4"/>
  <c r="S378" i="4"/>
  <c r="T377" i="4"/>
  <c r="S377" i="4"/>
  <c r="T376" i="4"/>
  <c r="S376" i="4"/>
  <c r="T375" i="4"/>
  <c r="S375" i="4"/>
  <c r="T374" i="4"/>
  <c r="S374" i="4"/>
  <c r="T373" i="4"/>
  <c r="S373" i="4"/>
  <c r="T372" i="4"/>
  <c r="S372" i="4"/>
  <c r="T371" i="4"/>
  <c r="S371" i="4"/>
  <c r="T370" i="4"/>
  <c r="S370" i="4"/>
  <c r="T369" i="4"/>
  <c r="S369" i="4"/>
  <c r="T368" i="4"/>
  <c r="S368" i="4"/>
  <c r="T367" i="4"/>
  <c r="S367" i="4"/>
  <c r="T366" i="4"/>
  <c r="S366" i="4"/>
  <c r="T365" i="4"/>
  <c r="S365" i="4"/>
  <c r="T364" i="4"/>
  <c r="S364" i="4"/>
  <c r="T363" i="4"/>
  <c r="S363" i="4"/>
  <c r="T362" i="4"/>
  <c r="S362" i="4"/>
  <c r="T361" i="4"/>
  <c r="S361" i="4"/>
  <c r="T360" i="4"/>
  <c r="S360" i="4"/>
  <c r="T359" i="4"/>
  <c r="S359" i="4"/>
  <c r="T358" i="4"/>
  <c r="S358" i="4"/>
  <c r="T357" i="4"/>
  <c r="S357" i="4"/>
  <c r="T356" i="4"/>
  <c r="S356" i="4"/>
  <c r="T355" i="4"/>
  <c r="S355" i="4"/>
  <c r="T354" i="4"/>
  <c r="S354" i="4"/>
  <c r="T353" i="4"/>
  <c r="S353" i="4"/>
  <c r="T352" i="4"/>
  <c r="S352" i="4"/>
  <c r="T351" i="4"/>
  <c r="S351" i="4"/>
  <c r="T350" i="4"/>
  <c r="S350" i="4"/>
  <c r="T349" i="4"/>
  <c r="S349" i="4"/>
  <c r="T348" i="4"/>
  <c r="S348" i="4"/>
  <c r="T347" i="4"/>
  <c r="S347" i="4"/>
  <c r="T346" i="4"/>
  <c r="S346" i="4"/>
  <c r="T345" i="4"/>
  <c r="S345" i="4"/>
  <c r="T344" i="4"/>
  <c r="S344" i="4"/>
  <c r="T343" i="4"/>
  <c r="S343" i="4"/>
  <c r="T342" i="4"/>
  <c r="S342" i="4"/>
  <c r="T341" i="4"/>
  <c r="S341" i="4"/>
  <c r="T340" i="4"/>
  <c r="S340" i="4"/>
  <c r="T339" i="4"/>
  <c r="S339" i="4"/>
  <c r="T338" i="4"/>
  <c r="S338" i="4"/>
  <c r="T337" i="4"/>
  <c r="S337" i="4"/>
  <c r="T336" i="4"/>
  <c r="S336" i="4"/>
  <c r="T335" i="4"/>
  <c r="S335" i="4"/>
  <c r="T334" i="4"/>
  <c r="S334" i="4"/>
  <c r="T333" i="4"/>
  <c r="S333" i="4"/>
  <c r="T332" i="4"/>
  <c r="S332" i="4"/>
  <c r="T331" i="4"/>
  <c r="S331" i="4"/>
  <c r="T330" i="4"/>
  <c r="S330" i="4"/>
  <c r="T329" i="4"/>
  <c r="S329" i="4"/>
  <c r="T328" i="4"/>
  <c r="S328" i="4"/>
  <c r="T327" i="4"/>
  <c r="S327" i="4"/>
  <c r="T326" i="4"/>
  <c r="S326" i="4"/>
  <c r="T325" i="4"/>
  <c r="S325" i="4"/>
  <c r="T324" i="4"/>
  <c r="S324" i="4"/>
  <c r="T323" i="4"/>
  <c r="S323" i="4"/>
  <c r="T322" i="4"/>
  <c r="S322" i="4"/>
  <c r="T321" i="4"/>
  <c r="S321" i="4"/>
  <c r="T320" i="4"/>
  <c r="S320" i="4"/>
  <c r="T319" i="4"/>
  <c r="S319" i="4"/>
  <c r="T318" i="4"/>
  <c r="S318" i="4"/>
  <c r="T317" i="4"/>
  <c r="S317" i="4"/>
  <c r="T316" i="4"/>
  <c r="S316" i="4"/>
  <c r="T315" i="4"/>
  <c r="S315" i="4"/>
  <c r="T314" i="4"/>
  <c r="S314" i="4"/>
  <c r="T313" i="4"/>
  <c r="S313" i="4"/>
  <c r="T312" i="4"/>
  <c r="S312" i="4"/>
  <c r="T311" i="4"/>
  <c r="S311" i="4"/>
  <c r="T310" i="4"/>
  <c r="S310" i="4"/>
  <c r="T309" i="4"/>
  <c r="S309" i="4"/>
  <c r="T308" i="4"/>
  <c r="S308" i="4"/>
  <c r="T307" i="4"/>
  <c r="S307" i="4"/>
  <c r="T306" i="4"/>
  <c r="S306" i="4"/>
  <c r="T305" i="4"/>
  <c r="S305" i="4"/>
  <c r="T304" i="4"/>
  <c r="S304" i="4"/>
  <c r="T303" i="4"/>
  <c r="S303" i="4"/>
  <c r="T302" i="4"/>
  <c r="S302" i="4"/>
  <c r="T301" i="4"/>
  <c r="S301" i="4"/>
  <c r="T300" i="4"/>
  <c r="S300" i="4"/>
  <c r="T299" i="4"/>
  <c r="S299" i="4"/>
  <c r="T298" i="4"/>
  <c r="S298" i="4"/>
  <c r="T297" i="4"/>
  <c r="S297" i="4"/>
  <c r="T296" i="4"/>
  <c r="S296" i="4"/>
  <c r="T295" i="4"/>
  <c r="S295" i="4"/>
  <c r="T294" i="4"/>
  <c r="S294" i="4"/>
  <c r="T293" i="4"/>
  <c r="S293" i="4"/>
  <c r="T292" i="4"/>
  <c r="S292" i="4"/>
  <c r="T291" i="4"/>
  <c r="S291" i="4"/>
  <c r="T290" i="4"/>
  <c r="S290" i="4"/>
  <c r="T289" i="4"/>
  <c r="S289" i="4"/>
  <c r="T288" i="4"/>
  <c r="S288" i="4"/>
  <c r="T287" i="4"/>
  <c r="S287" i="4"/>
  <c r="T286" i="4"/>
  <c r="S286" i="4"/>
  <c r="T285" i="4"/>
  <c r="S285" i="4"/>
  <c r="T284" i="4"/>
  <c r="S284" i="4"/>
  <c r="T283" i="4"/>
  <c r="S283" i="4"/>
  <c r="T282" i="4"/>
  <c r="S282" i="4"/>
  <c r="T281" i="4"/>
  <c r="S281" i="4"/>
  <c r="T280" i="4"/>
  <c r="S280" i="4"/>
  <c r="T279" i="4"/>
  <c r="S279" i="4"/>
  <c r="T278" i="4"/>
  <c r="S278" i="4"/>
  <c r="T277" i="4"/>
  <c r="S277" i="4"/>
  <c r="T276" i="4"/>
  <c r="S276" i="4"/>
  <c r="T275" i="4"/>
  <c r="S275" i="4"/>
  <c r="T274" i="4"/>
  <c r="S274" i="4"/>
  <c r="T273" i="4"/>
  <c r="S273" i="4"/>
  <c r="T272" i="4"/>
  <c r="S272" i="4"/>
  <c r="T271" i="4"/>
  <c r="S271" i="4"/>
  <c r="T270" i="4"/>
  <c r="S270" i="4"/>
  <c r="T269" i="4"/>
  <c r="S269" i="4"/>
  <c r="T268" i="4"/>
  <c r="S268" i="4"/>
  <c r="T267" i="4"/>
  <c r="S267" i="4"/>
  <c r="T266" i="4"/>
  <c r="S266" i="4"/>
  <c r="T265" i="4"/>
  <c r="S265" i="4"/>
  <c r="T264" i="4"/>
  <c r="S264" i="4"/>
  <c r="T263" i="4"/>
  <c r="S263" i="4"/>
  <c r="T262" i="4"/>
  <c r="S262" i="4"/>
  <c r="T261" i="4"/>
  <c r="S261" i="4"/>
  <c r="T260" i="4"/>
  <c r="S260" i="4"/>
  <c r="T259" i="4"/>
  <c r="S259" i="4"/>
  <c r="T258" i="4"/>
  <c r="S258" i="4"/>
  <c r="T257" i="4"/>
  <c r="S257" i="4"/>
  <c r="T256" i="4"/>
  <c r="S256" i="4"/>
  <c r="T255" i="4"/>
  <c r="S255" i="4"/>
  <c r="T254" i="4"/>
  <c r="S254" i="4"/>
  <c r="T253" i="4"/>
  <c r="S253" i="4"/>
  <c r="T252" i="4"/>
  <c r="S252" i="4"/>
  <c r="T251" i="4"/>
  <c r="S251" i="4"/>
  <c r="T250" i="4"/>
  <c r="S250" i="4"/>
  <c r="T249" i="4"/>
  <c r="S249" i="4"/>
  <c r="T248" i="4"/>
  <c r="S248" i="4"/>
  <c r="T247" i="4"/>
  <c r="S247" i="4"/>
  <c r="T246" i="4"/>
  <c r="S246" i="4"/>
  <c r="T245" i="4"/>
  <c r="S245" i="4"/>
  <c r="T244" i="4"/>
  <c r="S244" i="4"/>
  <c r="T243" i="4"/>
  <c r="S243" i="4"/>
  <c r="T242" i="4"/>
  <c r="S242" i="4"/>
  <c r="T241" i="4"/>
  <c r="S241" i="4"/>
  <c r="T240" i="4"/>
  <c r="S240" i="4"/>
  <c r="T239" i="4"/>
  <c r="S239" i="4"/>
  <c r="T238" i="4"/>
  <c r="S238" i="4"/>
  <c r="T237" i="4"/>
  <c r="S237" i="4"/>
  <c r="T236" i="4"/>
  <c r="S236" i="4"/>
  <c r="T235" i="4"/>
  <c r="S235" i="4"/>
  <c r="T234" i="4"/>
  <c r="S234" i="4"/>
  <c r="T233" i="4"/>
  <c r="S233" i="4"/>
  <c r="T232" i="4"/>
  <c r="S232" i="4"/>
  <c r="T231" i="4"/>
  <c r="S231" i="4"/>
  <c r="T230" i="4"/>
  <c r="S230" i="4"/>
  <c r="T229" i="4"/>
  <c r="S229" i="4"/>
  <c r="T228" i="4"/>
  <c r="S228" i="4"/>
  <c r="T227" i="4"/>
  <c r="S227" i="4"/>
  <c r="T226" i="4"/>
  <c r="S226" i="4"/>
  <c r="T225" i="4"/>
  <c r="S225" i="4"/>
  <c r="T224" i="4"/>
  <c r="S224" i="4"/>
  <c r="T223" i="4"/>
  <c r="S223" i="4"/>
  <c r="T222" i="4"/>
  <c r="S222" i="4"/>
  <c r="T221" i="4"/>
  <c r="S221" i="4"/>
  <c r="T220" i="4"/>
  <c r="S220" i="4"/>
  <c r="T219" i="4"/>
  <c r="S219" i="4"/>
  <c r="T218" i="4"/>
  <c r="S218" i="4"/>
  <c r="T217" i="4"/>
  <c r="S217" i="4"/>
  <c r="T216" i="4"/>
  <c r="S216" i="4"/>
  <c r="T215" i="4"/>
  <c r="S215" i="4"/>
  <c r="T214" i="4"/>
  <c r="S214" i="4"/>
  <c r="T213" i="4"/>
  <c r="S213" i="4"/>
  <c r="T212" i="4"/>
  <c r="S212" i="4"/>
  <c r="T211" i="4"/>
  <c r="S211" i="4"/>
  <c r="T210" i="4"/>
  <c r="S210" i="4"/>
  <c r="T209" i="4"/>
  <c r="S209" i="4"/>
  <c r="T208" i="4"/>
  <c r="S208" i="4"/>
  <c r="T207" i="4"/>
  <c r="S207" i="4"/>
  <c r="T206" i="4"/>
  <c r="S206" i="4"/>
  <c r="T205" i="4"/>
  <c r="S205" i="4"/>
  <c r="T204" i="4"/>
  <c r="S204" i="4"/>
  <c r="T203" i="4"/>
  <c r="S203" i="4"/>
  <c r="T202" i="4"/>
  <c r="S202" i="4"/>
  <c r="T201" i="4"/>
  <c r="S201" i="4"/>
  <c r="T200" i="4"/>
  <c r="S200" i="4"/>
  <c r="T199" i="4"/>
  <c r="S199" i="4"/>
  <c r="T198" i="4"/>
  <c r="S198" i="4"/>
  <c r="T197" i="4"/>
  <c r="S197" i="4"/>
  <c r="T196" i="4"/>
  <c r="S196" i="4"/>
  <c r="T195" i="4"/>
  <c r="S195" i="4"/>
  <c r="T194" i="4"/>
  <c r="S194" i="4"/>
  <c r="T193" i="4"/>
  <c r="S193" i="4"/>
  <c r="T192" i="4"/>
  <c r="S192" i="4"/>
  <c r="T191" i="4"/>
  <c r="S191" i="4"/>
  <c r="T190" i="4"/>
  <c r="S190" i="4"/>
  <c r="T189" i="4"/>
  <c r="S189" i="4"/>
  <c r="T188" i="4"/>
  <c r="S188" i="4"/>
  <c r="T187" i="4"/>
  <c r="S187" i="4"/>
  <c r="T186" i="4"/>
  <c r="S186" i="4"/>
  <c r="T185" i="4"/>
  <c r="S185" i="4"/>
  <c r="T184" i="4"/>
  <c r="S184" i="4"/>
  <c r="T183" i="4"/>
  <c r="S183" i="4"/>
  <c r="T182" i="4"/>
  <c r="S182" i="4"/>
  <c r="T181" i="4"/>
  <c r="S181" i="4"/>
  <c r="T180" i="4"/>
  <c r="S180" i="4"/>
  <c r="T179" i="4"/>
  <c r="S179" i="4"/>
  <c r="T178" i="4"/>
  <c r="S178" i="4"/>
  <c r="T177" i="4"/>
  <c r="S177" i="4"/>
  <c r="T176" i="4"/>
  <c r="S176" i="4"/>
  <c r="T175" i="4"/>
  <c r="S175" i="4"/>
  <c r="T174" i="4"/>
  <c r="S174" i="4"/>
  <c r="T173" i="4"/>
  <c r="S173" i="4"/>
  <c r="T172" i="4"/>
  <c r="S172" i="4"/>
  <c r="T171" i="4"/>
  <c r="S171" i="4"/>
  <c r="T170" i="4"/>
  <c r="S170" i="4"/>
  <c r="T169" i="4"/>
  <c r="S169" i="4"/>
  <c r="T168" i="4"/>
  <c r="S168" i="4"/>
  <c r="T167" i="4"/>
  <c r="S167" i="4"/>
  <c r="T166" i="4"/>
  <c r="S166" i="4"/>
  <c r="T165" i="4"/>
  <c r="S165" i="4"/>
  <c r="T164" i="4"/>
  <c r="S164" i="4"/>
  <c r="T163" i="4"/>
  <c r="S163" i="4"/>
  <c r="T162" i="4"/>
  <c r="S162" i="4"/>
  <c r="T161" i="4"/>
  <c r="S161" i="4"/>
  <c r="T160" i="4"/>
  <c r="S160" i="4"/>
  <c r="T159" i="4"/>
  <c r="S159" i="4"/>
  <c r="T158" i="4"/>
  <c r="S158" i="4"/>
  <c r="T157" i="4"/>
  <c r="S157" i="4"/>
  <c r="T156" i="4"/>
  <c r="S156" i="4"/>
  <c r="T155" i="4"/>
  <c r="S155" i="4"/>
  <c r="T154" i="4"/>
  <c r="S154" i="4"/>
  <c r="T153" i="4"/>
  <c r="S153" i="4"/>
  <c r="T152" i="4"/>
  <c r="S152" i="4"/>
  <c r="T151" i="4"/>
  <c r="S151" i="4"/>
  <c r="T150" i="4"/>
  <c r="S150" i="4"/>
  <c r="T149" i="4"/>
  <c r="S149" i="4"/>
  <c r="T148" i="4"/>
  <c r="S148" i="4"/>
  <c r="T147" i="4"/>
  <c r="S147" i="4"/>
  <c r="T146" i="4"/>
  <c r="S146" i="4"/>
  <c r="T145" i="4"/>
  <c r="S145" i="4"/>
  <c r="T144" i="4"/>
  <c r="S144" i="4"/>
  <c r="T143" i="4"/>
  <c r="S143" i="4"/>
  <c r="T142" i="4"/>
  <c r="S142" i="4"/>
  <c r="T141" i="4"/>
  <c r="S141" i="4"/>
  <c r="T140" i="4"/>
  <c r="S140" i="4"/>
  <c r="T139" i="4"/>
  <c r="S139" i="4"/>
  <c r="T138" i="4"/>
  <c r="S138" i="4"/>
  <c r="T137" i="4"/>
  <c r="S137" i="4"/>
  <c r="T136" i="4"/>
  <c r="S136" i="4"/>
  <c r="T135" i="4"/>
  <c r="S135" i="4"/>
  <c r="T134" i="4"/>
  <c r="S134" i="4"/>
  <c r="T133" i="4"/>
  <c r="S133" i="4"/>
  <c r="T132" i="4"/>
  <c r="S132" i="4"/>
  <c r="T131" i="4"/>
  <c r="S131" i="4"/>
  <c r="T130" i="4"/>
  <c r="S130" i="4"/>
  <c r="T129" i="4"/>
  <c r="S129" i="4"/>
  <c r="T128" i="4"/>
  <c r="S128" i="4"/>
  <c r="T127" i="4"/>
  <c r="S127" i="4"/>
  <c r="T126" i="4"/>
  <c r="S126" i="4"/>
  <c r="T125" i="4"/>
  <c r="S125" i="4"/>
  <c r="T124" i="4"/>
  <c r="S124" i="4"/>
  <c r="T123" i="4"/>
  <c r="S123" i="4"/>
  <c r="T122" i="4"/>
  <c r="S122" i="4"/>
  <c r="T121" i="4"/>
  <c r="S121" i="4"/>
  <c r="T120" i="4"/>
  <c r="S120" i="4"/>
  <c r="T119" i="4"/>
  <c r="S119" i="4"/>
  <c r="T118" i="4"/>
  <c r="S118" i="4"/>
  <c r="T117" i="4"/>
  <c r="S117" i="4"/>
  <c r="T116" i="4"/>
  <c r="S116" i="4"/>
  <c r="T115" i="4"/>
  <c r="S115" i="4"/>
  <c r="T114" i="4"/>
  <c r="S114" i="4"/>
  <c r="T113" i="4"/>
  <c r="S113" i="4"/>
  <c r="T112" i="4"/>
  <c r="S112" i="4"/>
  <c r="T111" i="4"/>
  <c r="S111" i="4"/>
  <c r="T110" i="4"/>
  <c r="S110" i="4"/>
  <c r="T109" i="4"/>
  <c r="S109" i="4"/>
  <c r="T108" i="4"/>
  <c r="S108" i="4"/>
  <c r="T107" i="4"/>
  <c r="S107" i="4"/>
  <c r="T106" i="4"/>
  <c r="S106" i="4"/>
  <c r="T105" i="4"/>
  <c r="S105" i="4"/>
  <c r="T104" i="4"/>
  <c r="S104" i="4"/>
  <c r="T103" i="4"/>
  <c r="S103" i="4"/>
  <c r="T102" i="4"/>
  <c r="S102" i="4"/>
  <c r="T101" i="4"/>
  <c r="S101" i="4"/>
  <c r="T100" i="4"/>
  <c r="S100" i="4"/>
  <c r="T99" i="4"/>
  <c r="S99" i="4"/>
  <c r="T98" i="4"/>
  <c r="S98" i="4"/>
  <c r="T97" i="4"/>
  <c r="S97" i="4"/>
  <c r="T96" i="4"/>
  <c r="S96" i="4"/>
  <c r="T95" i="4"/>
  <c r="S95" i="4"/>
  <c r="T94" i="4"/>
  <c r="S94" i="4"/>
  <c r="T93" i="4"/>
  <c r="S93" i="4"/>
  <c r="T92" i="4"/>
  <c r="S92" i="4"/>
  <c r="T91" i="4"/>
  <c r="S91" i="4"/>
  <c r="T90" i="4"/>
  <c r="S90" i="4"/>
  <c r="T89" i="4"/>
  <c r="S89" i="4"/>
  <c r="T88" i="4"/>
  <c r="S88" i="4"/>
  <c r="T87" i="4"/>
  <c r="S87" i="4"/>
  <c r="T86" i="4"/>
  <c r="S86" i="4"/>
  <c r="T85" i="4"/>
  <c r="S85" i="4"/>
  <c r="T84" i="4"/>
  <c r="S84" i="4"/>
  <c r="T83" i="4"/>
  <c r="S83" i="4"/>
  <c r="T82" i="4"/>
  <c r="S82" i="4"/>
  <c r="T81" i="4"/>
  <c r="S81" i="4"/>
  <c r="T80" i="4"/>
  <c r="S80" i="4"/>
  <c r="T79" i="4"/>
  <c r="S79" i="4"/>
  <c r="T78" i="4"/>
  <c r="S78" i="4"/>
  <c r="T77" i="4"/>
  <c r="S77" i="4"/>
  <c r="T76" i="4"/>
  <c r="S76" i="4"/>
  <c r="T75" i="4"/>
  <c r="S75" i="4"/>
  <c r="T74" i="4"/>
  <c r="S74" i="4"/>
  <c r="T73" i="4"/>
  <c r="S73" i="4"/>
  <c r="T72" i="4"/>
  <c r="S72" i="4"/>
  <c r="T71" i="4"/>
  <c r="S71" i="4"/>
  <c r="T70" i="4"/>
  <c r="S70" i="4"/>
  <c r="T69" i="4"/>
  <c r="S69" i="4"/>
  <c r="T68" i="4"/>
  <c r="S68" i="4"/>
  <c r="T67" i="4"/>
  <c r="S67" i="4"/>
  <c r="T66" i="4"/>
  <c r="S66" i="4"/>
  <c r="T65" i="4"/>
  <c r="S65" i="4"/>
  <c r="T64" i="4"/>
  <c r="S64" i="4"/>
  <c r="T63" i="4"/>
  <c r="S63" i="4"/>
  <c r="T62" i="4"/>
  <c r="S62" i="4"/>
  <c r="T61" i="4"/>
  <c r="S61" i="4"/>
  <c r="T60" i="4"/>
  <c r="S60" i="4"/>
  <c r="T59" i="4"/>
  <c r="S59" i="4"/>
  <c r="T58" i="4"/>
  <c r="S58" i="4"/>
  <c r="T57" i="4"/>
  <c r="S57" i="4"/>
  <c r="T56" i="4"/>
  <c r="S56" i="4"/>
  <c r="T55" i="4"/>
  <c r="S55" i="4"/>
  <c r="T54" i="4"/>
  <c r="S54" i="4"/>
  <c r="T53" i="4"/>
  <c r="S53" i="4"/>
  <c r="T52" i="4"/>
  <c r="S52" i="4"/>
  <c r="T51" i="4"/>
  <c r="S51" i="4"/>
  <c r="T50" i="4"/>
  <c r="S50" i="4"/>
  <c r="T49" i="4"/>
  <c r="S49" i="4"/>
  <c r="T48" i="4"/>
  <c r="S48" i="4"/>
  <c r="T47" i="4"/>
  <c r="S47" i="4"/>
  <c r="T46" i="4"/>
  <c r="S46" i="4"/>
  <c r="T45" i="4"/>
  <c r="S45" i="4"/>
  <c r="T44" i="4"/>
  <c r="S44" i="4"/>
  <c r="T43" i="4"/>
  <c r="S43" i="4"/>
  <c r="T42" i="4"/>
  <c r="S42" i="4"/>
  <c r="T41" i="4"/>
  <c r="S41" i="4"/>
  <c r="T40" i="4"/>
  <c r="S40" i="4"/>
  <c r="T39" i="4"/>
  <c r="S39" i="4"/>
  <c r="T38" i="4"/>
  <c r="S38" i="4"/>
  <c r="T37" i="4"/>
  <c r="S37" i="4"/>
  <c r="T36" i="4"/>
  <c r="S36" i="4"/>
  <c r="T35" i="4"/>
  <c r="S35" i="4"/>
  <c r="T34" i="4"/>
  <c r="S34" i="4"/>
  <c r="T33" i="4"/>
  <c r="S33" i="4"/>
  <c r="T32" i="4"/>
  <c r="S32" i="4"/>
  <c r="T31" i="4"/>
  <c r="S31" i="4"/>
  <c r="T30" i="4"/>
  <c r="S30" i="4"/>
  <c r="T29" i="4"/>
  <c r="S29" i="4"/>
  <c r="T28" i="4"/>
  <c r="S28" i="4"/>
  <c r="T27" i="4"/>
  <c r="S27" i="4"/>
  <c r="T26" i="4"/>
  <c r="S26" i="4"/>
  <c r="T25" i="4"/>
  <c r="S25" i="4"/>
  <c r="T24" i="4"/>
  <c r="S24" i="4"/>
  <c r="T23" i="4"/>
  <c r="S23" i="4"/>
  <c r="T22" i="4"/>
  <c r="S22" i="4"/>
  <c r="T21" i="4"/>
  <c r="S21" i="4"/>
  <c r="T20" i="4"/>
  <c r="S20" i="4"/>
  <c r="T19" i="4"/>
  <c r="S19" i="4"/>
  <c r="T18" i="4"/>
  <c r="S18" i="4"/>
  <c r="T17" i="4"/>
  <c r="S17" i="4"/>
  <c r="T16" i="4"/>
  <c r="S16" i="4"/>
  <c r="T15" i="4"/>
  <c r="S15" i="4"/>
  <c r="T14" i="4"/>
  <c r="S14" i="4"/>
  <c r="T13" i="4"/>
  <c r="S13" i="4"/>
  <c r="T12" i="4"/>
  <c r="S12" i="4"/>
  <c r="T11" i="4"/>
  <c r="S11" i="4"/>
  <c r="T10" i="4"/>
  <c r="S10" i="4"/>
  <c r="T9" i="4"/>
  <c r="S9" i="4"/>
  <c r="T8" i="4"/>
  <c r="S8" i="4"/>
  <c r="AB7" i="4" a="1"/>
  <c r="AB7" i="4" s="1"/>
  <c r="AF7" i="4" s="1"/>
  <c r="X7" i="4" a="1"/>
  <c r="X7" i="4" s="1"/>
  <c r="T7" i="4"/>
  <c r="S7" i="4"/>
  <c r="S6" i="4"/>
  <c r="T6" i="4" s="1"/>
  <c r="S5" i="4"/>
  <c r="T5" i="4" s="1"/>
  <c r="S4" i="4"/>
  <c r="T4" i="4" s="1"/>
  <c r="S3" i="4"/>
  <c r="T3" i="4" s="1"/>
  <c r="S2" i="4"/>
  <c r="T2" i="4" s="1"/>
  <c r="B1" i="2" a="1"/>
  <c r="B1" i="2" s="1"/>
  <c r="A1" i="2" a="1"/>
  <c r="A1" i="2" s="1"/>
  <c r="AD12" i="5" l="1"/>
  <c r="AE12" i="5"/>
  <c r="AF12" i="5"/>
  <c r="F4" i="3"/>
  <c r="AC12" i="5"/>
  <c r="V45" i="5"/>
  <c r="V33" i="5"/>
  <c r="V21" i="5"/>
  <c r="V9" i="5"/>
  <c r="V4" i="5"/>
  <c r="V43" i="5"/>
  <c r="V31" i="5"/>
  <c r="V19" i="5"/>
  <c r="V8" i="5"/>
  <c r="V42" i="5"/>
  <c r="V30" i="5"/>
  <c r="V18" i="5"/>
  <c r="V41" i="5"/>
  <c r="V29" i="5"/>
  <c r="V17" i="5"/>
  <c r="V7" i="5"/>
  <c r="V3" i="5"/>
  <c r="V40" i="5"/>
  <c r="V28" i="5"/>
  <c r="V16" i="5"/>
  <c r="V38" i="5"/>
  <c r="V26" i="5"/>
  <c r="V14" i="5"/>
  <c r="V6" i="5"/>
  <c r="V44" i="5"/>
  <c r="V32" i="5"/>
  <c r="V20" i="5"/>
  <c r="V39" i="5"/>
  <c r="V27" i="5"/>
  <c r="V15" i="5"/>
  <c r="V49" i="5"/>
  <c r="V37" i="5"/>
  <c r="V25" i="5"/>
  <c r="V13" i="5"/>
  <c r="U2" i="5"/>
  <c r="V2" i="5" s="1"/>
  <c r="V48" i="5"/>
  <c r="V36" i="5"/>
  <c r="V24" i="5"/>
  <c r="V12" i="5"/>
  <c r="V47" i="5"/>
  <c r="V35" i="5"/>
  <c r="V11" i="5"/>
  <c r="V5" i="5"/>
  <c r="V23" i="5"/>
  <c r="V46" i="5"/>
  <c r="V34" i="5"/>
  <c r="V22" i="5"/>
  <c r="AE7" i="4"/>
  <c r="G3" i="3"/>
  <c r="Z7" i="4" a="1"/>
  <c r="Z7" i="4" s="1"/>
  <c r="AC7" i="4"/>
  <c r="H1" i="2"/>
  <c r="C2" i="3" s="1"/>
  <c r="C8" i="3" s="1"/>
  <c r="C87" i="2"/>
  <c r="C51" i="2"/>
  <c r="C34" i="2"/>
  <c r="D94" i="2"/>
  <c r="D75" i="2"/>
  <c r="D58" i="2"/>
  <c r="D36" i="2"/>
  <c r="D15" i="2"/>
  <c r="E93" i="2"/>
  <c r="E71" i="2"/>
  <c r="E49" i="2"/>
  <c r="E28" i="2"/>
  <c r="E10" i="2"/>
  <c r="C85" i="2"/>
  <c r="C69" i="2"/>
  <c r="C49" i="2"/>
  <c r="C33" i="2"/>
  <c r="C13" i="2"/>
  <c r="D93" i="2"/>
  <c r="D73" i="2"/>
  <c r="D57" i="2"/>
  <c r="D35" i="2"/>
  <c r="D13" i="2"/>
  <c r="E88" i="2"/>
  <c r="E70" i="2"/>
  <c r="E48" i="2"/>
  <c r="E27" i="2"/>
  <c r="E9" i="2"/>
  <c r="C70" i="2"/>
  <c r="C15" i="2"/>
  <c r="C84" i="2"/>
  <c r="C68" i="2"/>
  <c r="C48" i="2"/>
  <c r="C32" i="2"/>
  <c r="C12" i="2"/>
  <c r="D92" i="2"/>
  <c r="D72" i="2"/>
  <c r="D52" i="2"/>
  <c r="D34" i="2"/>
  <c r="D12" i="2"/>
  <c r="E87" i="2"/>
  <c r="E69" i="2"/>
  <c r="E47" i="2"/>
  <c r="E25" i="2"/>
  <c r="E4" i="2"/>
  <c r="E3" i="2"/>
  <c r="H2" i="2"/>
  <c r="D2" i="3" s="1"/>
  <c r="D8" i="3" s="1"/>
  <c r="C83" i="2"/>
  <c r="C64" i="2"/>
  <c r="C47" i="2"/>
  <c r="C28" i="2"/>
  <c r="C11" i="2"/>
  <c r="D88" i="2"/>
  <c r="D71" i="2"/>
  <c r="D51" i="2"/>
  <c r="D33" i="2"/>
  <c r="D11" i="2"/>
  <c r="E85" i="2"/>
  <c r="E64" i="2"/>
  <c r="E46" i="2"/>
  <c r="E24" i="2"/>
  <c r="C82" i="2"/>
  <c r="C46" i="2"/>
  <c r="C10" i="2"/>
  <c r="D28" i="2"/>
  <c r="E84" i="2"/>
  <c r="E23" i="2"/>
  <c r="C81" i="2"/>
  <c r="C45" i="2"/>
  <c r="C9" i="2"/>
  <c r="D69" i="2"/>
  <c r="D48" i="2"/>
  <c r="D9" i="2"/>
  <c r="E61" i="2"/>
  <c r="E40" i="2"/>
  <c r="C96" i="2"/>
  <c r="C60" i="2"/>
  <c r="C44" i="2"/>
  <c r="C24" i="2"/>
  <c r="D84" i="2"/>
  <c r="D47" i="2"/>
  <c r="D4" i="2"/>
  <c r="E60" i="2"/>
  <c r="E39" i="2"/>
  <c r="C95" i="2"/>
  <c r="C59" i="2"/>
  <c r="C4" i="2"/>
  <c r="D64" i="2"/>
  <c r="D3" i="2"/>
  <c r="E37" i="2"/>
  <c r="C94" i="2"/>
  <c r="C58" i="2"/>
  <c r="C39" i="2"/>
  <c r="C3" i="2"/>
  <c r="D63" i="2"/>
  <c r="D23" i="2"/>
  <c r="E97" i="2"/>
  <c r="E58" i="2"/>
  <c r="E15" i="2"/>
  <c r="C73" i="2"/>
  <c r="C57" i="2"/>
  <c r="C37" i="2"/>
  <c r="C21" i="2"/>
  <c r="D81" i="2"/>
  <c r="D61" i="2"/>
  <c r="D40" i="2"/>
  <c r="D22" i="2"/>
  <c r="E96" i="2"/>
  <c r="E75" i="2"/>
  <c r="E57" i="2"/>
  <c r="E35" i="2"/>
  <c r="E13" i="2"/>
  <c r="C92" i="2"/>
  <c r="C72" i="2"/>
  <c r="C56" i="2"/>
  <c r="C36" i="2"/>
  <c r="C20" i="2"/>
  <c r="D96" i="2"/>
  <c r="D80" i="2"/>
  <c r="D60" i="2"/>
  <c r="D39" i="2"/>
  <c r="D21" i="2"/>
  <c r="E95" i="2"/>
  <c r="E73" i="2"/>
  <c r="E52" i="2"/>
  <c r="E34" i="2"/>
  <c r="E12" i="2"/>
  <c r="C63" i="2"/>
  <c r="C27" i="2"/>
  <c r="D87" i="2"/>
  <c r="D70" i="2"/>
  <c r="D49" i="2"/>
  <c r="D10" i="2"/>
  <c r="E63" i="2"/>
  <c r="E45" i="2"/>
  <c r="C2" i="2"/>
  <c r="C61" i="2"/>
  <c r="C25" i="2"/>
  <c r="D85" i="2"/>
  <c r="D27" i="2"/>
  <c r="E83" i="2"/>
  <c r="E22" i="2"/>
  <c r="C80" i="2"/>
  <c r="C8" i="2"/>
  <c r="D68" i="2"/>
  <c r="D25" i="2"/>
  <c r="E82" i="2"/>
  <c r="E21" i="2"/>
  <c r="C76" i="2"/>
  <c r="C40" i="2"/>
  <c r="C23" i="2"/>
  <c r="D83" i="2"/>
  <c r="D46" i="2"/>
  <c r="D24" i="2"/>
  <c r="E81" i="2"/>
  <c r="E59" i="2"/>
  <c r="E16" i="2"/>
  <c r="C75" i="2"/>
  <c r="C22" i="2"/>
  <c r="D82" i="2"/>
  <c r="D45" i="2"/>
  <c r="E76" i="2"/>
  <c r="E36" i="2"/>
  <c r="C93" i="2"/>
  <c r="D97" i="2"/>
  <c r="C88" i="2"/>
  <c r="C71" i="2"/>
  <c r="C52" i="2"/>
  <c r="C35" i="2"/>
  <c r="C16" i="2"/>
  <c r="D95" i="2"/>
  <c r="D76" i="2"/>
  <c r="D59" i="2"/>
  <c r="D37" i="2"/>
  <c r="D16" i="2"/>
  <c r="E94" i="2"/>
  <c r="E72" i="2"/>
  <c r="E51" i="2"/>
  <c r="E33" i="2"/>
  <c r="E11" i="2"/>
  <c r="D56" i="2"/>
  <c r="D44" i="2"/>
  <c r="D32" i="2"/>
  <c r="D20" i="2"/>
  <c r="D8" i="2"/>
  <c r="E92" i="2"/>
  <c r="E80" i="2"/>
  <c r="E68" i="2"/>
  <c r="E56" i="2"/>
  <c r="E44" i="2"/>
  <c r="E32" i="2"/>
  <c r="E20" i="2"/>
  <c r="E8" i="2"/>
  <c r="C91" i="2"/>
  <c r="C79" i="2"/>
  <c r="C67" i="2"/>
  <c r="C55" i="2"/>
  <c r="C43" i="2"/>
  <c r="C31" i="2"/>
  <c r="C19" i="2"/>
  <c r="C7" i="2"/>
  <c r="D91" i="2"/>
  <c r="D79" i="2"/>
  <c r="D67" i="2"/>
  <c r="D55" i="2"/>
  <c r="D43" i="2"/>
  <c r="D31" i="2"/>
  <c r="D19" i="2"/>
  <c r="D7" i="2"/>
  <c r="E91" i="2"/>
  <c r="E79" i="2"/>
  <c r="E67" i="2"/>
  <c r="E55" i="2"/>
  <c r="E43" i="2"/>
  <c r="E31" i="2"/>
  <c r="E19" i="2"/>
  <c r="E7" i="2"/>
  <c r="C90" i="2"/>
  <c r="C78" i="2"/>
  <c r="C66" i="2"/>
  <c r="C54" i="2"/>
  <c r="C42" i="2"/>
  <c r="C30" i="2"/>
  <c r="C18" i="2"/>
  <c r="C6" i="2"/>
  <c r="D90" i="2"/>
  <c r="D78" i="2"/>
  <c r="D66" i="2"/>
  <c r="D54" i="2"/>
  <c r="D42" i="2"/>
  <c r="D30" i="2"/>
  <c r="D18" i="2"/>
  <c r="D6" i="2"/>
  <c r="E90" i="2"/>
  <c r="E78" i="2"/>
  <c r="E66" i="2"/>
  <c r="E54" i="2"/>
  <c r="E42" i="2"/>
  <c r="E30" i="2"/>
  <c r="E18" i="2"/>
  <c r="E6" i="2"/>
  <c r="C89" i="2"/>
  <c r="C77" i="2"/>
  <c r="C65" i="2"/>
  <c r="C53" i="2"/>
  <c r="C41" i="2"/>
  <c r="C29" i="2"/>
  <c r="C17" i="2"/>
  <c r="C5" i="2"/>
  <c r="D89" i="2"/>
  <c r="D77" i="2"/>
  <c r="D65" i="2"/>
  <c r="D53" i="2"/>
  <c r="D41" i="2"/>
  <c r="D29" i="2"/>
  <c r="D17" i="2"/>
  <c r="D5" i="2"/>
  <c r="E89" i="2"/>
  <c r="E77" i="2"/>
  <c r="E65" i="2"/>
  <c r="E53" i="2"/>
  <c r="E41" i="2"/>
  <c r="E29" i="2"/>
  <c r="E17" i="2"/>
  <c r="E5" i="2"/>
  <c r="C86" i="2"/>
  <c r="C74" i="2"/>
  <c r="C62" i="2"/>
  <c r="C50" i="2"/>
  <c r="C38" i="2"/>
  <c r="C26" i="2"/>
  <c r="C14" i="2"/>
  <c r="D2" i="2"/>
  <c r="D86" i="2"/>
  <c r="D74" i="2"/>
  <c r="D62" i="2"/>
  <c r="D50" i="2"/>
  <c r="D38" i="2"/>
  <c r="D26" i="2"/>
  <c r="D14" i="2"/>
  <c r="E2" i="2"/>
  <c r="E86" i="2"/>
  <c r="E74" i="2"/>
  <c r="E62" i="2"/>
  <c r="E50" i="2"/>
  <c r="E38" i="2"/>
  <c r="E26" i="2"/>
  <c r="E14" i="2"/>
  <c r="AD7" i="4" l="1"/>
  <c r="H4" i="2"/>
  <c r="F2" i="3" s="1"/>
  <c r="H3" i="2"/>
  <c r="E2" i="3" s="1"/>
  <c r="H5" i="2"/>
  <c r="H6" i="2"/>
  <c r="J2" i="3" l="1"/>
  <c r="F8" i="3"/>
  <c r="J8" i="3" s="1"/>
  <c r="I2" i="3"/>
  <c r="E8" i="3"/>
  <c r="I8" i="3" s="1"/>
  <c r="I6" i="2"/>
  <c r="H2" i="3"/>
  <c r="I5" i="2"/>
  <c r="G2" i="3"/>
  <c r="I3" i="2"/>
  <c r="I4" i="2" s="1"/>
  <c r="K2" i="3" l="1"/>
  <c r="G8" i="3"/>
  <c r="K8" i="3" s="1"/>
  <c r="L2" i="3"/>
  <c r="H8" i="3"/>
  <c r="L8" i="3" s="1"/>
</calcChain>
</file>

<file path=xl/connections.xml><?xml version="1.0" encoding="utf-8"?>
<connections xmlns="http://schemas.openxmlformats.org/spreadsheetml/2006/main" xmlns:mc="http://schemas.openxmlformats.org/markup-compatibility/2006" xmlns:xr16="http://schemas.microsoft.com/office/spreadsheetml/2017/revision16" mc:Ignorable="xr16">
  <connection id="1" xr16:uid="{76ABD556-132F-42C6-9D51-38A228009784}" keepAlive="1" name="Query - Wikidata_upec_political_20" description="Connection to the 'Wikidata_upec_political_20' query in the workbook." type="5" refreshedVersion="8" background="1" saveData="1">
    <dbPr connection="Provider=Microsoft.Mashup.OleDb.1;Data Source=$Workbook$;Location=Wikidata_upec_political_20;Extended Properties=&quot;&quot;" command="SELECT * FROM [Wikidata_upec_political_20]"/>
  </connection>
</connections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<sst xmlns="http://schemas.openxmlformats.org/spreadsheetml/2006/main" count="28088" uniqueCount="3450">
  <si>
    <t>docid</t>
  </si>
  <si>
    <t>title</t>
  </si>
  <si>
    <t>keyword</t>
  </si>
  <si>
    <t>wikidata_label</t>
  </si>
  <si>
    <t>wikidata_qid</t>
  </si>
  <si>
    <t>bnf_id</t>
  </si>
  <si>
    <t>p279_path</t>
  </si>
  <si>
    <t>retry_source</t>
  </si>
  <si>
    <t>match_stage</t>
  </si>
  <si>
    <t>is_disambiguation</t>
  </si>
  <si>
    <t>label_similarity</t>
  </si>
  <si>
    <t>match_score</t>
  </si>
  <si>
    <t>p31_types</t>
  </si>
  <si>
    <t>p31_label</t>
  </si>
  <si>
    <t>Harmonic mechanical excitations of steady convective instabilities: a means to get more uniform heat transfers in mixed convection flows?</t>
  </si>
  <si>
    <t>Mixed convection</t>
  </si>
  <si>
    <t>none</t>
  </si>
  <si>
    <t>no</t>
  </si>
  <si>
    <t>Poiseuille-Rayleigh-BÃ©nard flow</t>
  </si>
  <si>
    <t>Convective instability</t>
  </si>
  <si>
    <t>Q3268911</t>
  </si>
  <si>
    <t>instability &gt; risk source &gt; source &gt; entity</t>
  </si>
  <si>
    <t>context</t>
  </si>
  <si>
    <t>instability &gt; state &gt; phenomenon &gt; occurrent &gt; entity</t>
  </si>
  <si>
    <t>instability &gt; state &gt; phenomenon &gt; observable entity &gt; entity</t>
  </si>
  <si>
    <t>instability &gt; state &gt; property &gt; abstract entity &gt; entity</t>
  </si>
  <si>
    <t>instability &gt; risk source &gt; contributing factor &gt; condition &gt; state</t>
  </si>
  <si>
    <t>instability &gt; risk source &gt; contributing factor &gt; occurrent &gt; entity</t>
  </si>
  <si>
    <t>Rectangular channel</t>
  </si>
  <si>
    <t>Harmonic inlet excitation</t>
  </si>
  <si>
    <t>CVD</t>
  </si>
  <si>
    <t>3D numerical simulations</t>
  </si>
  <si>
    <t>Design of experiments</t>
  </si>
  <si>
    <t>Q18465858</t>
  </si>
  <si>
    <t>Identification of a new pseudo-binary hydroxide during calendar corrosion of (La, Mg)2Ni7-type hydrogen storage alloys for Nickel-Metal Hydride batteries</t>
  </si>
  <si>
    <t>Corrosion</t>
  </si>
  <si>
    <t>Q5173028</t>
  </si>
  <si>
    <t>Q169930</t>
  </si>
  <si>
    <t>extended play</t>
  </si>
  <si>
    <t>Ni-MH batteries</t>
  </si>
  <si>
    <t>Raman micro spectroscopy</t>
  </si>
  <si>
    <t>TEM</t>
  </si>
  <si>
    <t>Tem</t>
  </si>
  <si>
    <t>Q36531</t>
  </si>
  <si>
    <t>12167223r</t>
  </si>
  <si>
    <t>Gurunsi &gt; Gur &gt; Voltaâ€“Congo &gt; Atlanticâ€“Congo &gt; Nigerâ€“Congo</t>
  </si>
  <si>
    <t>exact_label</t>
  </si>
  <si>
    <t>Q1288568;Q34770</t>
  </si>
  <si>
    <t>modern language;language</t>
  </si>
  <si>
    <t>Gurunsi &gt; Gur &gt; Nigerâ€“Congo &gt; human language &gt; language</t>
  </si>
  <si>
    <t>Combination of techniques</t>
  </si>
  <si>
    <t>Ï€-Conjugated sulfonium-based photoacid generators: an integrated molecular approach for efficient one and two-photon polymerization</t>
  </si>
  <si>
    <t>Nsfc</t>
  </si>
  <si>
    <t>yes</t>
  </si>
  <si>
    <t>National natural science foundation of china</t>
  </si>
  <si>
    <t>National Natural Science Foundation of China</t>
  </si>
  <si>
    <t>Q4501917</t>
  </si>
  <si>
    <t>Q327333;Q45400320;Q5509032;Q98675100</t>
  </si>
  <si>
    <t>open-access publisher;government agency;funding body;vice-ministerial level institution</t>
  </si>
  <si>
    <t>Nucleophilic or Electrophilic Interactions of C2 with HX systems (X=F, Cl, Br)</t>
  </si>
  <si>
    <t>Potential curves</t>
  </si>
  <si>
    <t>Long range interactions</t>
  </si>
  <si>
    <t>Ab-initio calculations</t>
  </si>
  <si>
    <t>Hydrogen halides</t>
  </si>
  <si>
    <t>hydrogen halide</t>
  </si>
  <si>
    <t>Q1572088</t>
  </si>
  <si>
    <t>halide &gt; ionic compound &gt; chemical compound &gt; pure substance &gt; chemical substance</t>
  </si>
  <si>
    <t>Q47154513</t>
  </si>
  <si>
    <t>structural class of chemical entities</t>
  </si>
  <si>
    <t>halide &gt; halogen compound &gt; chemical compound &gt; pure substance &gt; chemical substance</t>
  </si>
  <si>
    <t>hydrogen compound &gt; chemical compound &gt; pure substance &gt; chemical substance &gt; chemical entity</t>
  </si>
  <si>
    <t>hydrogen compound &gt; chemical compound &gt; pure substance &gt; chemical substance &gt; substance</t>
  </si>
  <si>
    <t>mineral acid &gt; acid &gt; chemical compound &gt; pure substance &gt; chemical substance</t>
  </si>
  <si>
    <t>mineral acid &gt; inorganic compound &gt; chemical compound &gt; pure substance &gt; chemical substance</t>
  </si>
  <si>
    <t>mineral acid &gt; inorganic compound &gt; inorganic substance &gt; chemical substance &gt; chemical entity</t>
  </si>
  <si>
    <t>mineral acid &gt; inorganic compound &gt; inorganic substance &gt; chemical substance &gt; substance</t>
  </si>
  <si>
    <t>monoprotic acid &gt; acid &gt; chemical compound &gt; pure substance &gt; chemical substance</t>
  </si>
  <si>
    <t>In situ analysis of Titan's tholins by Laser 2 steps Desorption Ionisation</t>
  </si>
  <si>
    <t>5210 PLANETARY SCIENCES ASTROBIOLOGY Planetary atmospheres</t>
  </si>
  <si>
    <t>Clouds</t>
  </si>
  <si>
    <t>Q110548120</t>
  </si>
  <si>
    <t>Q11060274;Q18218093;Q838948</t>
  </si>
  <si>
    <t>print;etching print;work of art</t>
  </si>
  <si>
    <t>And hazes</t>
  </si>
  <si>
    <t>5405 PLANETARY SCIENCES SOLID SURFACE PLANETS Atmospheres</t>
  </si>
  <si>
    <t>0305 ATMOSPHERIC COMPOSITION AND STRUCTURE Aerosols and particles</t>
  </si>
  <si>
    <t>MCMC2 (version 1.1): A Monte Carlo code for multiply-charged clusters</t>
  </si>
  <si>
    <t>Parallel Charging</t>
  </si>
  <si>
    <t>Parallel Tempering</t>
  </si>
  <si>
    <t>parallel tempering</t>
  </si>
  <si>
    <t>Q7135015</t>
  </si>
  <si>
    <t>randomized algorithm &gt; algorithm &gt; procedure &gt; method &gt; means</t>
  </si>
  <si>
    <t>randomized algorithm &gt; algorithm &gt; work &gt; artificial object &gt; object</t>
  </si>
  <si>
    <t>randomized algorithm &gt; algorithm &gt; work &gt; cultural artifact &gt; artificial object</t>
  </si>
  <si>
    <t>randomized algorithm &gt; algorithm &gt; work &gt; cultural artifact &gt; cultural heritage</t>
  </si>
  <si>
    <t>Electrospray ionisation</t>
  </si>
  <si>
    <t>Charged droplets</t>
  </si>
  <si>
    <t>Charged clusters</t>
  </si>
  <si>
    <t>Coarse-grained models</t>
  </si>
  <si>
    <t>Coarse-grained model</t>
  </si>
  <si>
    <t>Q25305554</t>
  </si>
  <si>
    <t>mathematical model &gt; mathematical object &gt; abstract entity &gt; entity</t>
  </si>
  <si>
    <t>mathematical model &gt; conceptual model &gt; knowledge organization system &gt; conceptual system &gt; system</t>
  </si>
  <si>
    <t>mathematical model &gt; conceptual model &gt; knowledge organization system &gt; conceptual system &gt; artificial object</t>
  </si>
  <si>
    <t>mathematical model &gt; conceptual model &gt; knowledge organization system &gt; conceptual system &gt; abstract entity</t>
  </si>
  <si>
    <t>mathematical model &gt; conceptual model &gt; knowledge organization system &gt; conceptual system &gt; concept</t>
  </si>
  <si>
    <t>mathematical model &gt; conceptual model &gt; knowledge organization system &gt; model &gt; artificial object</t>
  </si>
  <si>
    <t>mathematical model &gt; conceptual model &gt; knowledge organization system &gt; model &gt; information</t>
  </si>
  <si>
    <t>mathematical model &gt; conceptual model &gt; knowledge organization system &gt; reference work &gt; tertiary source</t>
  </si>
  <si>
    <t>mathematical model &gt; conceptual model &gt; knowledge organization system &gt; reference work &gt; learning material</t>
  </si>
  <si>
    <t>mathematical model &gt; conceptual model &gt; knowledge organization system &gt; reference work &gt; creative work</t>
  </si>
  <si>
    <t>mathematical model &gt; conceptual model &gt; knowledge organization system &gt; reference work &gt; document</t>
  </si>
  <si>
    <t>mathematical model &gt; conceptual model &gt; knowledge organization system &gt; reference work &gt; written work</t>
  </si>
  <si>
    <t>mathematical model &gt; conceptual model &gt; knowledge organization system &gt; reference work &gt; publication</t>
  </si>
  <si>
    <t>mathematical model &gt; conceptual model &gt; knowledge organization system &gt; reference work &gt; project</t>
  </si>
  <si>
    <t>mathematical model &gt; intellectual work &gt; work &gt; artificial object &gt; object</t>
  </si>
  <si>
    <t>mathematical model &gt; intellectual work &gt; work &gt; cultural artifact &gt; artificial object</t>
  </si>
  <si>
    <t>mathematical model &gt; intellectual work &gt; work &gt; cultural artifact &gt; cultural heritage</t>
  </si>
  <si>
    <t>mathematical model &gt; intellectual work &gt; intellectual property &gt; property &gt; goods</t>
  </si>
  <si>
    <t>mathematical model &gt; intellectual work &gt; intellectual property &gt; intangible asset &gt; asset</t>
  </si>
  <si>
    <t>mathematical model &gt; intellectual work &gt; intellectual property &gt; intangible asset &gt; intangible property</t>
  </si>
  <si>
    <t>mathematical model &gt; intellectual work &gt; intellectual property &gt; exclusive right &gt; rights</t>
  </si>
  <si>
    <t>mathematical model &gt; intellectual work &gt; intellectual property &gt; erga omnes &gt; subjective right</t>
  </si>
  <si>
    <t>mathematical model &gt; model &gt; artificial object &gt; object &gt; entity</t>
  </si>
  <si>
    <t>mathematical model &gt; model &gt; information &gt; abstract entity &gt; entity</t>
  </si>
  <si>
    <t>mathematical model &gt; model &gt; information &gt; knowledge &gt; memory</t>
  </si>
  <si>
    <t>mathematical model &gt; scientific model &gt; conceptual model &gt; knowledge organization system &gt; conceptual system</t>
  </si>
  <si>
    <t>mathematical model &gt; scientific model &gt; conceptual model &gt; knowledge organization system &gt; model</t>
  </si>
  <si>
    <t>mathematical model &gt; scientific model &gt; conceptual model &gt; knowledge organization system &gt; reference work</t>
  </si>
  <si>
    <t>mathematical model &gt; mathematical object &gt; scientific object &gt; object &gt; entity</t>
  </si>
  <si>
    <t>Monte Carlo simulations</t>
  </si>
  <si>
    <t>Monte Carlo Simulation Studies</t>
  </si>
  <si>
    <t>Q57429452</t>
  </si>
  <si>
    <t>Q1980247</t>
  </si>
  <si>
    <t>chapter</t>
  </si>
  <si>
    <t>Are there Stable Excited Triplet States of NCS-/CNS- and NCO-/CNO-?</t>
  </si>
  <si>
    <t>Potential energy functions</t>
  </si>
  <si>
    <t>Excited states</t>
  </si>
  <si>
    <t>excited state</t>
  </si>
  <si>
    <t>Q215328</t>
  </si>
  <si>
    <t>Q669532</t>
  </si>
  <si>
    <t>energy level</t>
  </si>
  <si>
    <t>Molecular anions</t>
  </si>
  <si>
    <t>245 - A highly sensitive glucose electrode using glucose oxidase collagen film</t>
  </si>
  <si>
    <t>Glocose oxidase</t>
  </si>
  <si>
    <t>Amperometric biosensor</t>
  </si>
  <si>
    <t>Collagen</t>
  </si>
  <si>
    <t>collagen</t>
  </si>
  <si>
    <t>Q26868</t>
  </si>
  <si>
    <t>protein-containing complex &gt; cellular component &gt; component &gt; part &gt; entity</t>
  </si>
  <si>
    <t>Q5058355;Q78155096</t>
  </si>
  <si>
    <t>family of protein complexes;cellular component</t>
  </si>
  <si>
    <t>protein-containing complex &gt; cellular component &gt; component &gt; perceptible physical object &gt; physical object</t>
  </si>
  <si>
    <t>protein-containing complex &gt; cellular component &gt; component &gt; material entity &gt; independent continuant</t>
  </si>
  <si>
    <t>protein-containing complex &gt; cellular component &gt; cardinal cell part &gt; anatomical structure &gt; biological structure</t>
  </si>
  <si>
    <t>protein-containing complex &gt; cellular component &gt; cardinal cell part &gt; anatomical structure &gt; material anatomical entity</t>
  </si>
  <si>
    <t>protein-containing complex &gt; oligomer &gt; multimer &gt; chemical compound &gt; pure substance</t>
  </si>
  <si>
    <t>fibrous protein &gt; protein &gt; biopolymer &gt; polymer &gt; mixture</t>
  </si>
  <si>
    <t>fibrous protein &gt; protein &gt; biopolymer &gt; polymer &gt; material</t>
  </si>
  <si>
    <t>fibrous protein &gt; protein &gt; biopolymer &gt; biological macromolecule &gt; anatomical structure</t>
  </si>
  <si>
    <t>fibrous protein &gt; protein &gt; biopolymer &gt; biological macromolecule &gt; macromolecule</t>
  </si>
  <si>
    <t>fibrous protein &gt; protein &gt; biopolymer &gt; biological macromolecule &gt; biomolecule</t>
  </si>
  <si>
    <t>fibrous protein &gt; protein &gt; gene product &gt; organic compound &gt; carbon compound</t>
  </si>
  <si>
    <t>fibrous protein &gt; protein &gt; gene product &gt; molecule &gt; molecular entity</t>
  </si>
  <si>
    <t>fibrous protein &gt; protein &gt; polypeptide &gt; macromolecule &gt; molecule</t>
  </si>
  <si>
    <t>fibrous protein &gt; protein &gt; polypeptide &gt; peptide &gt; carboxamides</t>
  </si>
  <si>
    <t>fibrous protein &gt; protein &gt; polypeptide &gt; peptide &gt; organic compound</t>
  </si>
  <si>
    <t>fibrous protein &gt; protein &gt; biological macromolecule &gt; anatomical structure &gt; biological structure</t>
  </si>
  <si>
    <t>fibrous protein &gt; protein &gt; biological macromolecule &gt; anatomical structure &gt; material anatomical entity</t>
  </si>
  <si>
    <t>fibrous protein &gt; protein &gt; biological macromolecule &gt; macromolecule &gt; molecule</t>
  </si>
  <si>
    <t>fibrous protein &gt; protein &gt; biological macromolecule &gt; biomolecule &gt; chemical compound</t>
  </si>
  <si>
    <t>extracellular matrix proteins &gt; fibrous protein &gt; protein &gt; biopolymer &gt; polymer</t>
  </si>
  <si>
    <t>extracellular matrix proteins &gt; fibrous protein &gt; protein &gt; biopolymer &gt; biological macromolecule</t>
  </si>
  <si>
    <t>extracellular matrix proteins &gt; fibrous protein &gt; protein &gt; gene product &gt; organic compound</t>
  </si>
  <si>
    <t>extracellular matrix proteins &gt; fibrous protein &gt; protein &gt; gene product &gt; molecule</t>
  </si>
  <si>
    <t>extracellular matrix proteins &gt; fibrous protein &gt; protein &gt; polypeptide &gt; macromolecule</t>
  </si>
  <si>
    <t>extracellular matrix proteins &gt; fibrous protein &gt; protein &gt; polypeptide &gt; peptide</t>
  </si>
  <si>
    <t>extracellular matrix proteins &gt; fibrous protein &gt; protein &gt; biological macromolecule &gt; anatomical structure</t>
  </si>
  <si>
    <t>extracellular matrix proteins &gt; fibrous protein &gt; protein &gt; biological macromolecule &gt; macromolecule</t>
  </si>
  <si>
    <t>extracellular matrix proteins &gt; fibrous protein &gt; protein &gt; biological macromolecule &gt; biomolecule</t>
  </si>
  <si>
    <t>Biosensors</t>
  </si>
  <si>
    <t>Q27709294</t>
  </si>
  <si>
    <t>Q5633421</t>
  </si>
  <si>
    <t>scientific journal</t>
  </si>
  <si>
    <t>Electrochemical biosensors: Recommended definitions and classification (Technical Report)</t>
  </si>
  <si>
    <t>Electrochemical biosensor</t>
  </si>
  <si>
    <t>Classification</t>
  </si>
  <si>
    <t>classification</t>
  </si>
  <si>
    <t>Q5128386</t>
  </si>
  <si>
    <t>stylistic device &gt; rhetorical device &gt; technique &gt; method &gt; means</t>
  </si>
  <si>
    <t>stylistic device &gt; rhetorical device &gt; technique &gt; activity &gt; process</t>
  </si>
  <si>
    <t>Definition</t>
  </si>
  <si>
    <t>Q16247949</t>
  </si>
  <si>
    <t>Problems in Adapting a Glucose-Oxidase Electrochemical Sensor into an Implantable Glucose-Sensing Device</t>
  </si>
  <si>
    <t>Implantable sensor</t>
  </si>
  <si>
    <t>Q124665234</t>
  </si>
  <si>
    <t>Q43305660</t>
  </si>
  <si>
    <t>United States patent</t>
  </si>
  <si>
    <t>Glucose</t>
  </si>
  <si>
    <t>glucose</t>
  </si>
  <si>
    <t>Q37525</t>
  </si>
  <si>
    <t>aldohexose &gt; aldose &gt; monosaccharide &gt; carbohydrate &gt; polyol</t>
  </si>
  <si>
    <t>Q136192523;Q15711994</t>
  </si>
  <si>
    <t>group of isomeric entities;simple carbohydrates</t>
  </si>
  <si>
    <t>aldohexose &gt; aldose &gt; monosaccharide &gt; carbohydrate &gt; carbohydrate derivative</t>
  </si>
  <si>
    <t>aldohexose &gt; aldose &gt; aldehydes &gt; carbonyl compound &gt; organooxygen compound</t>
  </si>
  <si>
    <t>aldohexose &gt; aldose &gt; aldehydes &gt; carbonyl compound &gt; oxo compound</t>
  </si>
  <si>
    <t>aldohexose &gt; hexose &gt; monosaccharide &gt; carbohydrate &gt; polyol</t>
  </si>
  <si>
    <t>aldohexose &gt; hexose &gt; monosaccharide &gt; carbohydrate &gt; carbohydrate derivative</t>
  </si>
  <si>
    <t>Glucose oxidase</t>
  </si>
  <si>
    <t>Q61497978</t>
  </si>
  <si>
    <t>protein &gt; biopolymer &gt; polymer &gt; mixture &gt; chemical substance</t>
  </si>
  <si>
    <t>Q8054</t>
  </si>
  <si>
    <t>protein</t>
  </si>
  <si>
    <t>protein &gt; biopolymer &gt; polymer &gt; material &gt; substance</t>
  </si>
  <si>
    <t>protein &gt; biopolymer &gt; polymer &gt; material &gt; product</t>
  </si>
  <si>
    <t>protein &gt; biopolymer &gt; biological macromolecule &gt; anatomical structure &gt; biological structure</t>
  </si>
  <si>
    <t>protein &gt; biopolymer &gt; biological macromolecule &gt; anatomical structure &gt; material anatomical entity</t>
  </si>
  <si>
    <t>protein &gt; biopolymer &gt; biological macromolecule &gt; macromolecule &gt; molecule</t>
  </si>
  <si>
    <t>protein &gt; biopolymer &gt; biological macromolecule &gt; biomolecule &gt; chemical compound</t>
  </si>
  <si>
    <t>protein &gt; gene product &gt; organic compound &gt; carbon compound &gt; chemical compound</t>
  </si>
  <si>
    <t>protein &gt; gene product &gt; molecule &gt; molecular entity &gt; composite particle</t>
  </si>
  <si>
    <t>protein &gt; gene product &gt; molecule &gt; molecular entity &gt; chemical entity</t>
  </si>
  <si>
    <t>protein &gt; polypeptide &gt; macromolecule &gt; molecule &gt; molecular entity</t>
  </si>
  <si>
    <t>protein &gt; polypeptide &gt; peptide &gt; carboxamides &gt; amides</t>
  </si>
  <si>
    <t>protein &gt; polypeptide &gt; peptide &gt; carboxamides &gt; carbonyl compound</t>
  </si>
  <si>
    <t>protein &gt; polypeptide &gt; peptide &gt; organic compound &gt; carbon compound</t>
  </si>
  <si>
    <t>protein &gt; biological macromolecule &gt; anatomical structure &gt; biological structure &gt; structure</t>
  </si>
  <si>
    <t>protein &gt; biological macromolecule &gt; anatomical structure &gt; biological structure &gt; natural physical object</t>
  </si>
  <si>
    <t>protein &gt; biological macromolecule &gt; anatomical structure &gt; material anatomical entity &gt; material entity</t>
  </si>
  <si>
    <t>protein &gt; biological macromolecule &gt; anatomical structure &gt; material anatomical entity &gt; physical anatomical entity</t>
  </si>
  <si>
    <t>protein &gt; biological macromolecule &gt; macromolecule &gt; molecule &gt; molecular entity</t>
  </si>
  <si>
    <t>protein &gt; biological macromolecule &gt; biomolecule &gt; chemical compound &gt; pure substance</t>
  </si>
  <si>
    <t>A glucose electrode using high-stability glucose-oxidase collagen membranes</t>
  </si>
  <si>
    <t>From Alchemy to modern Chemistry: the concept of Chemical binding</t>
  </si>
  <si>
    <t>Chemistry history</t>
  </si>
  <si>
    <t>Chemical bond concepts</t>
  </si>
  <si>
    <t>Is C2 a nucleophilic or an electrophilic system?</t>
  </si>
  <si>
    <t>Relation between redox potential and oxygen levels in activated-sludge reactors</t>
  </si>
  <si>
    <t>Control</t>
  </si>
  <si>
    <t>Q3689255</t>
  </si>
  <si>
    <t>Q134556</t>
  </si>
  <si>
    <t>single</t>
  </si>
  <si>
    <t>Instrumentation</t>
  </si>
  <si>
    <t>Q28471383</t>
  </si>
  <si>
    <t>Q3305213</t>
  </si>
  <si>
    <t>painting</t>
  </si>
  <si>
    <t>Waste water treatment plant</t>
  </si>
  <si>
    <t>Waste Water Treatment Plant</t>
  </si>
  <si>
    <t>Q116719041</t>
  </si>
  <si>
    <t>Q1003207</t>
  </si>
  <si>
    <t>photovoltaic power station</t>
  </si>
  <si>
    <t>Oxygen</t>
  </si>
  <si>
    <t>Q15618</t>
  </si>
  <si>
    <t>Q11424</t>
  </si>
  <si>
    <t>film</t>
  </si>
  <si>
    <t>Activated sludge</t>
  </si>
  <si>
    <t>activated sludge</t>
  </si>
  <si>
    <t>Q815353</t>
  </si>
  <si>
    <t>processing sludge &gt; waste &gt; material &gt; substance &gt; ordinary matter</t>
  </si>
  <si>
    <t>processing sludge &gt; waste &gt; material &gt; product &gt; object</t>
  </si>
  <si>
    <t>processing sludge &gt; waste &gt; economic bad &gt; object &gt; entity</t>
  </si>
  <si>
    <t>processing sludge &gt; waste &gt; energy source &gt; source &gt; entity</t>
  </si>
  <si>
    <t>processing sludge &gt; waste &gt; energy source &gt; resource &gt; independent continuant</t>
  </si>
  <si>
    <t>processing sludge &gt; waste &gt; energy source &gt; resource &gt; source</t>
  </si>
  <si>
    <t>processing sludge &gt; waste &gt; energy source &gt; resource &gt; means</t>
  </si>
  <si>
    <t>processing sludge &gt; slurry &gt; fluid &gt; continuum &gt; physical substance</t>
  </si>
  <si>
    <t>processing sludge &gt; slurry &gt; fluid &gt; substance &gt; ordinary matter</t>
  </si>
  <si>
    <t>processing sludge &gt; slurry &gt; suspension &gt; dispersion &gt; state</t>
  </si>
  <si>
    <t>processing sludge &gt; slurry &gt; suspension &gt; dispersion &gt; heterogeneous mixture</t>
  </si>
  <si>
    <t>processing sludge &gt; dregs &gt; dirt &gt; matter &gt; physical substance</t>
  </si>
  <si>
    <t>processing sludge &gt; dregs &gt; waste &gt; material &gt; substance</t>
  </si>
  <si>
    <t>processing sludge &gt; dregs &gt; waste &gt; material &gt; product</t>
  </si>
  <si>
    <t>processing sludge &gt; dregs &gt; waste &gt; economic bad &gt; object</t>
  </si>
  <si>
    <t>processing sludge &gt; dregs &gt; waste &gt; energy source &gt; source</t>
  </si>
  <si>
    <t>processing sludge &gt; dregs &gt; waste &gt; energy source &gt; resource</t>
  </si>
  <si>
    <t>processing sludge &gt; dregs &gt; mud &gt; clastic sediment &gt; sediment</t>
  </si>
  <si>
    <t>processing sludge &gt; dregs &gt; mud &gt; clastic sediment &gt; clastic sedimentary material</t>
  </si>
  <si>
    <t>processing sludge &gt; dregs &gt; mud &gt; building material &gt; material</t>
  </si>
  <si>
    <t>processing sludge &gt; dregs &gt; mud &gt; building material &gt; hardware</t>
  </si>
  <si>
    <t>processing sludge &gt; dregs &gt; mud &gt; building material &gt; construction product</t>
  </si>
  <si>
    <t>processing sludge &gt; dregs &gt; mud &gt; mixture &gt; chemical substance</t>
  </si>
  <si>
    <t>processing sludge &gt; dregs &gt; sediment &gt; granular material &gt; material</t>
  </si>
  <si>
    <t>processing sludge &gt; dregs &gt; sediment &gt; granular material &gt; continuum</t>
  </si>
  <si>
    <t>mud &gt; clastic sediment &gt; sediment &gt; sedimentary material &gt; natural material</t>
  </si>
  <si>
    <t>mud &gt; clastic sediment &gt; sediment &gt; sediment &gt; granular material</t>
  </si>
  <si>
    <t>mud &gt; clastic sediment &gt; clastic sedimentary material &gt; sedimentary material &gt; natural material</t>
  </si>
  <si>
    <t>mud &gt; building material &gt; material &gt; substance &gt; ordinary matter</t>
  </si>
  <si>
    <t>mud &gt; building material &gt; material &gt; product &gt; object</t>
  </si>
  <si>
    <t>mud &gt; building material &gt; hardware &gt; component &gt; part</t>
  </si>
  <si>
    <t>mud &gt; building material &gt; hardware &gt; component &gt; perceptible physical object</t>
  </si>
  <si>
    <t>mud &gt; building material &gt; hardware &gt; component &gt; material entity</t>
  </si>
  <si>
    <t>mud &gt; building material &gt; hardware &gt; product &gt; object</t>
  </si>
  <si>
    <t>mud &gt; building material &gt; hardware &gt; hardware and hardware accessories &gt; product</t>
  </si>
  <si>
    <t>mud &gt; building material &gt; construction product &gt; product &gt; object</t>
  </si>
  <si>
    <t>mud &gt; mixture &gt; chemical substance &gt; chemical entity &gt; ordinary matter</t>
  </si>
  <si>
    <t>mud &gt; mixture &gt; chemical substance &gt; substance &gt; ordinary matter</t>
  </si>
  <si>
    <t>Redox potential</t>
  </si>
  <si>
    <t>redox potential</t>
  </si>
  <si>
    <t>Q1640043</t>
  </si>
  <si>
    <t>reduction potential &gt; bioelectric potential difference &gt; electric potential difference &gt; physical quantity &gt; physical property</t>
  </si>
  <si>
    <t>reduction potential &gt; bioelectric potential difference &gt; electric potential difference &gt; physical quantity &gt; individual quantity</t>
  </si>
  <si>
    <t>reduction potential &gt; bioelectric potential difference &gt; electric potential difference &gt; potential difference &gt; difference</t>
  </si>
  <si>
    <t>reduction potential &gt; bioelectric potential difference &gt; electric potential difference &gt; potential difference &gt; scalar quantity</t>
  </si>
  <si>
    <t>reduction potential &gt; bioelectric potential difference &gt; electric potential difference &gt; scalar quantity &gt; physical quantity</t>
  </si>
  <si>
    <t>reduction potential &gt; bioelectric potential difference &gt; electric potential difference &gt; scalar quantity &gt; scalar</t>
  </si>
  <si>
    <t>Influence of calcium on glucose biosensor response and on hydrogen peroxide detection</t>
  </si>
  <si>
    <t>Glucose sensor</t>
  </si>
  <si>
    <t>Q126364723</t>
  </si>
  <si>
    <t>Calcium</t>
  </si>
  <si>
    <t>Q3461363</t>
  </si>
  <si>
    <t>Q17343829;Q498162</t>
  </si>
  <si>
    <t>unincorporated community in the United States;census-designated place in the United States</t>
  </si>
  <si>
    <t>Hydrogen peroxide</t>
  </si>
  <si>
    <t>hydrogen peroxide</t>
  </si>
  <si>
    <t>Q171877</t>
  </si>
  <si>
    <t>biogenic acyclic peroxide &gt; fatty acyl &gt; biogenic lipid &gt; biological macromolecule &gt; anatomical structure</t>
  </si>
  <si>
    <t>Q113145171</t>
  </si>
  <si>
    <t>type of chemical entity</t>
  </si>
  <si>
    <t>biogenic acyclic peroxide &gt; fatty acyl &gt; biogenic lipid &gt; biological macromolecule &gt; macromolecule</t>
  </si>
  <si>
    <t>biogenic acyclic peroxide &gt; fatty acyl &gt; biogenic lipid &gt; biological macromolecule &gt; biomolecule</t>
  </si>
  <si>
    <t>biogenic acyclic peroxide &gt; fatty acyl &gt; biogenic lipid &gt; biomolecule &gt; chemical compound</t>
  </si>
  <si>
    <t>biogenic acyclic peroxide &gt; fatty acyl &gt; biogenic lipid &gt; lipid &gt; organic compound</t>
  </si>
  <si>
    <t>biogenic acyclic peroxide &gt; organic peroxide &gt; peroxide &gt; oxygen compound &gt; chemical compound</t>
  </si>
  <si>
    <t>biogenic acyclic peroxide &gt; organic peroxide &gt; peroxide &gt; oxygen compound &gt; oxygen molecular entity</t>
  </si>
  <si>
    <t>hydrogen chalcogenide &gt; chalcogenide &gt; chemical compound &gt; pure substance &gt; chemical substance</t>
  </si>
  <si>
    <t>hydrogen chalcogenide &gt; binary compound of hydrogen &gt; binary compound &gt; compound substance &gt; chemical substance</t>
  </si>
  <si>
    <t>hydrogen chalcogenide &gt; binary compound of hydrogen &gt; hydrogen compound &gt; chemical compound &gt; pure substance</t>
  </si>
  <si>
    <t>oxidizing agent &gt; electron acceptor &gt; substance &gt; ordinary matter &gt; baryonic matter</t>
  </si>
  <si>
    <t>oxidizing agent &gt; noxa &gt; substance &gt; ordinary matter &gt; baryonic matter</t>
  </si>
  <si>
    <t>oxidizing agent &gt; noxa &gt; disease causative agent &gt; risk source &gt; contributing factor</t>
  </si>
  <si>
    <t>oxidizing agent &gt; noxa &gt; disease causative agent &gt; risk source &gt; source</t>
  </si>
  <si>
    <t>oxidizing agent &gt; noxa &gt; disease causative agent &gt; agents (Medicine) &gt; etiology</t>
  </si>
  <si>
    <t>oxidizing agent &gt; comburent &gt; chemical substance &gt; chemical entity &gt; ordinary matter</t>
  </si>
  <si>
    <t>oxidizing agent &gt; comburent &gt; chemical substance &gt; substance &gt; ordinary matter</t>
  </si>
  <si>
    <t>Koutecky-Levich plots</t>
  </si>
  <si>
    <t>Platinum</t>
  </si>
  <si>
    <t>Q929074</t>
  </si>
  <si>
    <t>Q482994</t>
  </si>
  <si>
    <t>album</t>
  </si>
  <si>
    <t>Electrochemical biosensors: recommended definitions and classification</t>
  </si>
  <si>
    <t>Single use biosensor</t>
  </si>
  <si>
    <t>Calibration characteristics</t>
  </si>
  <si>
    <t>Performance criteria</t>
  </si>
  <si>
    <t>Performance Criteria</t>
  </si>
  <si>
    <t>Q134702323</t>
  </si>
  <si>
    <t>Q7725634</t>
  </si>
  <si>
    <t>literary work</t>
  </si>
  <si>
    <t>Analytes</t>
  </si>
  <si>
    <t>analyte</t>
  </si>
  <si>
    <t>Q2282401</t>
  </si>
  <si>
    <t>component &gt; part &gt; entity</t>
  </si>
  <si>
    <t>object of analysis &gt; object &gt; entity</t>
  </si>
  <si>
    <t>component &gt; perceptible physical object &gt; physical object &gt; material entity &gt; independent continuant</t>
  </si>
  <si>
    <t>component &gt; perceptible physical object &gt; physical object &gt; concrete object &gt; object</t>
  </si>
  <si>
    <t>component &gt; perceptible physical object &gt; physical object &gt; concrete object &gt; individual item</t>
  </si>
  <si>
    <t>component &gt; material entity &gt; independent continuant &gt; continuant &gt; entity</t>
  </si>
  <si>
    <t>chemical substance &gt; chemical entity &gt; ordinary matter &gt; baryonic matter &gt; common matter</t>
  </si>
  <si>
    <t>chemical substance &gt; substance &gt; ordinary matter &gt; baryonic matter &gt; common matter</t>
  </si>
  <si>
    <t>Critical budget of metal sources and pathways in the Seine River basin (1994â€“2003) for Cd, Cr, Cu, Hg, Ni, Pb and Zn</t>
  </si>
  <si>
    <t>Cr</t>
  </si>
  <si>
    <t>Cu</t>
  </si>
  <si>
    <t>Cd</t>
  </si>
  <si>
    <t>Zn</t>
  </si>
  <si>
    <t>Hg</t>
  </si>
  <si>
    <t>Pb</t>
  </si>
  <si>
    <t>Heavy metals</t>
  </si>
  <si>
    <t>Heavy Metal</t>
  </si>
  <si>
    <t>Q5695115</t>
  </si>
  <si>
    <t>Q15773317</t>
  </si>
  <si>
    <t>television character</t>
  </si>
  <si>
    <t>Budget</t>
  </si>
  <si>
    <t>budget</t>
  </si>
  <si>
    <t>Q41263</t>
  </si>
  <si>
    <t>financial plan &gt; plan &gt; plan &gt; sequence &gt; function</t>
  </si>
  <si>
    <t>Q1047113;Q2267705</t>
  </si>
  <si>
    <t>field of study;field of study</t>
  </si>
  <si>
    <t>financial plan &gt; plan &gt; plan &gt; sequence &gt; class</t>
  </si>
  <si>
    <t>Seine</t>
  </si>
  <si>
    <t>Q25344232</t>
  </si>
  <si>
    <t>Q132017</t>
  </si>
  <si>
    <t>river basin district</t>
  </si>
  <si>
    <t>River</t>
  </si>
  <si>
    <t>Q1189823</t>
  </si>
  <si>
    <t>Ni</t>
  </si>
  <si>
    <t>Q6854084</t>
  </si>
  <si>
    <t>Q101352;Q1093580</t>
  </si>
  <si>
    <t>Chinese family name;family name</t>
  </si>
  <si>
    <t>Trace metal determination in total atmospheric deposition in rural and urban areas</t>
  </si>
  <si>
    <t>Anthropogenic impacts</t>
  </si>
  <si>
    <t>Sampling procedures</t>
  </si>
  <si>
    <t>sampling procedure</t>
  </si>
  <si>
    <t>Q114658653</t>
  </si>
  <si>
    <t>Atmospheric fallout</t>
  </si>
  <si>
    <t>Trace elements</t>
  </si>
  <si>
    <t>trace element</t>
  </si>
  <si>
    <t>Q351792</t>
  </si>
  <si>
    <t>11975502k</t>
  </si>
  <si>
    <t>bioelement &gt; chemical element &gt; chemical substance &gt; chemical entity &gt; ordinary matter</t>
  </si>
  <si>
    <t>bioelement &gt; chemical element &gt; chemical substance &gt; substance &gt; ordinary matter</t>
  </si>
  <si>
    <t>micronutrient &gt; nutrient &gt; chemical substance &gt; chemical entity &gt; ordinary matter</t>
  </si>
  <si>
    <t>micronutrient &gt; nutrient &gt; chemical substance &gt; substance &gt; ordinary matter</t>
  </si>
  <si>
    <t>micronutrient &gt; growth substances &gt; physiological effect of drugs &gt; pharmacologic action &gt; chemical actions and uses</t>
  </si>
  <si>
    <t>micronutrient &gt; growth substances &gt; physiological effect of drugs &gt; pharmacologic action &gt; mode of action</t>
  </si>
  <si>
    <t>micronutrient &gt; growth substances &gt; mitogen &gt; chemical substance &gt; chemical entity</t>
  </si>
  <si>
    <t>micronutrient &gt; growth substances &gt; mitogen &gt; chemical substance &gt; substance</t>
  </si>
  <si>
    <t>chemical element &gt; chemical substance &gt; chemical entity &gt; ordinary matter &gt; baryonic matter</t>
  </si>
  <si>
    <t>chemical element &gt; chemical substance &gt; substance &gt; ordinary matter &gt; baryonic matter</t>
  </si>
  <si>
    <t>Ab initio investigations on the CaO&lt;sup&gt;2+&lt;/sup&gt; dication</t>
  </si>
  <si>
    <t>Vibronic states</t>
  </si>
  <si>
    <t>Spinâ€“orbit coupling</t>
  </si>
  <si>
    <t>MRCI+Q</t>
  </si>
  <si>
    <t>Stable dication</t>
  </si>
  <si>
    <t>CaO</t>
  </si>
  <si>
    <t>Cao</t>
  </si>
  <si>
    <t>Q710706</t>
  </si>
  <si>
    <t>Q101352;Q1093580;Q11420694</t>
  </si>
  <si>
    <t>royal surname;Chinese family name;family name</t>
  </si>
  <si>
    <t>Calcium monoxide</t>
  </si>
  <si>
    <t>Nanocomposites of Silica Reinforced Polypropylene: Correlation Between Morphology and Properties</t>
  </si>
  <si>
    <t>SILANE-GRAFTED POLYPROPYLENE</t>
  </si>
  <si>
    <t>GAS BARRIER PROPERTIES</t>
  </si>
  <si>
    <t>MECHANICAL-PROPERTIES</t>
  </si>
  <si>
    <t>CLAY NANOCOMPOSITES</t>
  </si>
  <si>
    <t>CARBON NANOTUBES</t>
  </si>
  <si>
    <t>carbon nanotube</t>
  </si>
  <si>
    <t>Q1778729</t>
  </si>
  <si>
    <t>nanotube &gt; nanoparticle &gt; nanomaterial &gt; material &gt; substance</t>
  </si>
  <si>
    <t>nanotube &gt; nanoparticle &gt; nanomaterial &gt; material &gt; product</t>
  </si>
  <si>
    <t>nanotube &gt; nanoparticle &gt; nanomaterial &gt; chemical substance &gt; chemical entity</t>
  </si>
  <si>
    <t>nanotube &gt; nanoparticle &gt; nanomaterial &gt; chemical substance &gt; substance</t>
  </si>
  <si>
    <t>nanotube &gt; nanoparticle &gt; particle &gt; physical object &gt; material entity</t>
  </si>
  <si>
    <t>nanotube &gt; nanoparticle &gt; particle &gt; physical object &gt; concrete object</t>
  </si>
  <si>
    <t>nanotube &gt; pipe &gt; tube &gt; physical object &gt; material entity</t>
  </si>
  <si>
    <t>nanotube &gt; pipe &gt; tube &gt; physical object &gt; concrete object</t>
  </si>
  <si>
    <t>nanotube &gt; pipe &gt; tube &gt; cylinder &gt; analytic manifold</t>
  </si>
  <si>
    <t>nanotube &gt; pipe &gt; tube &gt; cylinder &gt; cylinder</t>
  </si>
  <si>
    <t>nanotube &gt; pipe &gt; tube &gt; cylinder &gt; geometric primitive</t>
  </si>
  <si>
    <t>allotrope of carbon &gt; allotrope &gt; simple substance &gt; pure substance &gt; chemical substance</t>
  </si>
  <si>
    <t>allotrope of carbon &gt; carbon &gt; polyatomic nonmetal &gt; nonmetal &gt; chemical element</t>
  </si>
  <si>
    <t>allotrope of carbon &gt; carbon &gt; polyatomic nonmetal &gt; nonmetal &gt; main group</t>
  </si>
  <si>
    <t>allotrope of carbon &gt; carbon &gt; polyatomic nonmetal &gt; chemical element &gt; chemical substance</t>
  </si>
  <si>
    <t>allotrope of carbon &gt; carbon &gt; polyatomic nonmetal &gt; polyatomic compound &gt; chemical substance</t>
  </si>
  <si>
    <t>allotrope of carbon &gt; carbon &gt; nonmetal &gt; chemical element &gt; chemical substance</t>
  </si>
  <si>
    <t>allotrope of carbon &gt; carbon &gt; nonmetal &gt; main group &gt; chemical element</t>
  </si>
  <si>
    <t>POLYMER</t>
  </si>
  <si>
    <t>Polymer</t>
  </si>
  <si>
    <t>Q3395619</t>
  </si>
  <si>
    <t>Q41298;Q5633421</t>
  </si>
  <si>
    <t>magazine;scientific journal</t>
  </si>
  <si>
    <t>COMPOSITES</t>
  </si>
  <si>
    <t>composite</t>
  </si>
  <si>
    <t>Q66539734</t>
  </si>
  <si>
    <t>volume &gt; dimensional entity &gt; mathematical object &gt; abstract entity &gt; entity</t>
  </si>
  <si>
    <t>volume &gt; dimensional entity &gt; mathematical object &gt; scientific object &gt; object</t>
  </si>
  <si>
    <t>BLENDS</t>
  </si>
  <si>
    <t>blend</t>
  </si>
  <si>
    <t>Q12055133</t>
  </si>
  <si>
    <t>textile &gt; product &gt; object &gt; entity</t>
  </si>
  <si>
    <t>textile &gt; material &gt; substance &gt; ordinary matter &gt; baryonic matter</t>
  </si>
  <si>
    <t>textile &gt; material &gt; product &gt; object &gt; entity</t>
  </si>
  <si>
    <t>textile &gt; artificial physical object &gt; physical object &gt; material entity &gt; independent continuant</t>
  </si>
  <si>
    <t>textile &gt; artificial physical object &gt; physical object &gt; concrete object &gt; object</t>
  </si>
  <si>
    <t>textile &gt; artificial physical object &gt; physical object &gt; concrete object &gt; individual item</t>
  </si>
  <si>
    <t>textile &gt; artificial physical object &gt; artificial object &gt; object &gt; entity</t>
  </si>
  <si>
    <t>textile &gt; artificial physical object &gt; work &gt; artificial object &gt; object</t>
  </si>
  <si>
    <t>textile &gt; artificial physical object &gt; work &gt; cultural artifact &gt; artificial object</t>
  </si>
  <si>
    <t>textile &gt; artificial physical object &gt; work &gt; cultural artifact &gt; cultural heritage</t>
  </si>
  <si>
    <t>textile &gt; goods &gt; goods and services &gt; spatio-temporal entity &gt; object</t>
  </si>
  <si>
    <t>textile &gt; goods &gt; goods and services &gt; spatio-temporal entity &gt; entity</t>
  </si>
  <si>
    <t>textile &gt; goods &gt; goods and services &gt; product &gt; object</t>
  </si>
  <si>
    <t>NANOPARTICLES</t>
  </si>
  <si>
    <t>nanoparticle</t>
  </si>
  <si>
    <t>Q61231</t>
  </si>
  <si>
    <t>12293062x</t>
  </si>
  <si>
    <t>nanomaterial &gt; material &gt; substance &gt; ordinary matter &gt; baryonic matter</t>
  </si>
  <si>
    <t>nanomaterial &gt; material &gt; product &gt; object &gt; entity</t>
  </si>
  <si>
    <t>nanomaterial &gt; chemical substance &gt; chemical entity &gt; ordinary matter &gt; baryonic matter</t>
  </si>
  <si>
    <t>nanomaterial &gt; chemical substance &gt; substance &gt; ordinary matter &gt; baryonic matter</t>
  </si>
  <si>
    <t>particle &gt; physical object &gt; material entity &gt; independent continuant &gt; continuant</t>
  </si>
  <si>
    <t>particle &gt; physical object &gt; concrete object &gt; object &gt; entity</t>
  </si>
  <si>
    <t>particle &gt; physical object &gt; concrete object &gt; individual item &gt; entity</t>
  </si>
  <si>
    <t>CRYSTALLIZATION</t>
  </si>
  <si>
    <t>crystallization</t>
  </si>
  <si>
    <t>Q284256</t>
  </si>
  <si>
    <t>stochastic process &gt; mathematical object &gt; abstract entity &gt; entity</t>
  </si>
  <si>
    <t>self-assembly &gt; auto-organisation &gt; process &gt; occurrent &gt; entity</t>
  </si>
  <si>
    <t>self-assembly &gt; auto-organisation &gt; process &gt; sequence &gt; function</t>
  </si>
  <si>
    <t>self-assembly &gt; auto-organisation &gt; process &gt; sequence &gt; class</t>
  </si>
  <si>
    <t>self-assembly &gt; auto-organisation &gt; arranging &gt; activity &gt; process</t>
  </si>
  <si>
    <t>self-assembly &gt; auto-organisation &gt; complexity &gt; quality &gt; property</t>
  </si>
  <si>
    <t>thermodynamic process &gt; physical process &gt; physicochemical process &gt; process &gt; occurrent</t>
  </si>
  <si>
    <t>thermodynamic process &gt; physical process &gt; physicochemical process &gt; process &gt; sequence</t>
  </si>
  <si>
    <t>thermodynamic process &gt; physical process &gt; physical phenomenon &gt; phenomenon &gt; occurrent</t>
  </si>
  <si>
    <t>thermodynamic process &gt; physical process &gt; physical phenomenon &gt; phenomenon &gt; observable entity</t>
  </si>
  <si>
    <t>stochastic process &gt; mathematical object &gt; scientific object &gt; object &gt; entity</t>
  </si>
  <si>
    <t>stochastic process &gt; indexed family &gt; set &gt; class &gt; mathematical object</t>
  </si>
  <si>
    <t>stochastic process &gt; indexed family &gt; set &gt; class &gt; mathematical structure</t>
  </si>
  <si>
    <t>stochastic process &gt; indexed family &gt; set &gt; multiset &gt; mathematical object</t>
  </si>
  <si>
    <t>stochastic process &gt; indexed family &gt; set &gt; algebraic structure &gt; mathematical structure</t>
  </si>
  <si>
    <t>stochastic process &gt; indexed family &gt; set &gt; algebraic structure &gt; structure</t>
  </si>
  <si>
    <t>separation process &gt; method &gt; means &gt; contributing factor &gt; condition</t>
  </si>
  <si>
    <t>separation process &gt; method &gt; means &gt; contributing factor &gt; occurrent</t>
  </si>
  <si>
    <t>separation process &gt; material process &gt; planned process &gt; process &gt; occurrent</t>
  </si>
  <si>
    <t>separation process &gt; material process &gt; planned process &gt; process &gt; sequence</t>
  </si>
  <si>
    <t>separation process &gt; material process &gt; planned process &gt; intentional human activity &gt; human activity</t>
  </si>
  <si>
    <t>separation process &gt; divergence &gt; change &gt; occurrent &gt; entity</t>
  </si>
  <si>
    <t>separation process &gt; divergence &gt; increase &gt; change &gt; occurrent</t>
  </si>
  <si>
    <t>separation process &gt; divergence &gt; increase &gt; occurrence &gt; occurrent</t>
  </si>
  <si>
    <t>separation process &gt; divergence &gt; process &gt; occurrent &gt; entity</t>
  </si>
  <si>
    <t>separation process &gt; divergence &gt; process &gt; sequence &gt; function</t>
  </si>
  <si>
    <t>separation process &gt; divergence &gt; process &gt; sequence &gt; class</t>
  </si>
  <si>
    <t>separation process &gt; divergence &gt; auto-organisation &gt; process &gt; occurrent</t>
  </si>
  <si>
    <t>separation process &gt; divergence &gt; auto-organisation &gt; process &gt; sequence</t>
  </si>
  <si>
    <t>separation process &gt; divergence &gt; auto-organisation &gt; arranging &gt; activity</t>
  </si>
  <si>
    <t>separation process &gt; divergence &gt; auto-organisation &gt; complexity &gt; quality</t>
  </si>
  <si>
    <t>separation process &gt; divergence &gt; trend &gt; change &gt; occurrent</t>
  </si>
  <si>
    <t>separation process &gt; separation &gt; process &gt; occurrent &gt; entity</t>
  </si>
  <si>
    <t>separation process &gt; separation &gt; process &gt; sequence &gt; function</t>
  </si>
  <si>
    <t>separation process &gt; separation &gt; process &gt; sequence &gt; class</t>
  </si>
  <si>
    <t>Check</t>
  </si>
  <si>
    <t>ok</t>
  </si>
  <si>
    <t>Wrong</t>
  </si>
  <si>
    <t>No descrption defined</t>
  </si>
  <si>
    <t>Correct: Q2334061</t>
  </si>
  <si>
    <t>extended play by Front Line Assembly</t>
  </si>
  <si>
    <t>Correct: Q137056</t>
  </si>
  <si>
    <t>transmission electron microscopy</t>
  </si>
  <si>
    <t>Correct: Q110779037</t>
  </si>
  <si>
    <t>Chapter in a book</t>
  </si>
  <si>
    <t>journal</t>
  </si>
  <si>
    <t>2001 extended play by Jersey</t>
  </si>
  <si>
    <t>Correct: Q101072</t>
  </si>
  <si>
    <t>QID</t>
  </si>
  <si>
    <t>BNF_id</t>
  </si>
  <si>
    <t>Total</t>
  </si>
  <si>
    <t>BNF_ID</t>
  </si>
  <si>
    <t>Chemical Engineering</t>
  </si>
  <si>
    <t>Total articles</t>
  </si>
  <si>
    <t>Total keywords</t>
  </si>
  <si>
    <t>Correct Wikidata label</t>
  </si>
  <si>
    <t>% Correct Wikidata label</t>
  </si>
  <si>
    <t>Incorrect Wikidata label</t>
  </si>
  <si>
    <t>% Incorrect Wikidata label</t>
  </si>
  <si>
    <t># QID in Wikidata</t>
  </si>
  <si>
    <t># BNF_Id</t>
  </si>
  <si>
    <t>% # QID in Wikidata</t>
  </si>
  <si>
    <t>% # BNF_Id</t>
  </si>
  <si>
    <t>Civil Engineering</t>
  </si>
  <si>
    <t>Marketing</t>
  </si>
  <si>
    <t>Political Science</t>
  </si>
  <si>
    <t>Computer Science</t>
  </si>
  <si>
    <t>Civil Engineering 2 part</t>
  </si>
  <si>
    <t>Sallay</t>
  </si>
  <si>
    <t>Field</t>
  </si>
  <si>
    <t>1st round</t>
  </si>
  <si>
    <t xml:space="preserve">Check </t>
  </si>
  <si>
    <t xml:space="preserve">clean </t>
  </si>
  <si>
    <t>Sclean</t>
  </si>
  <si>
    <t>Urban stormwater source control policies: why and how?</t>
  </si>
  <si>
    <t>Stormwater management</t>
  </si>
  <si>
    <t xml:space="preserve">csv empty, no info on wikidata </t>
  </si>
  <si>
    <t>Urban areas</t>
  </si>
  <si>
    <t>urban area</t>
  </si>
  <si>
    <t>Q702492</t>
  </si>
  <si>
    <t>human settlement &gt; populated place &gt; region &gt; geographical feature &gt; geographic entity</t>
  </si>
  <si>
    <t>human settlement &gt; populated place &gt; region &gt; geographical feature &gt; concrete object</t>
  </si>
  <si>
    <t>human settlement &gt; populated place &gt; region &gt; geographical feature &gt; physical location</t>
  </si>
  <si>
    <t>human settlement &gt; populated place &gt; artificial geographic entity &gt; geographic entity &gt; geolocatable entity</t>
  </si>
  <si>
    <t>human settlement &gt; populated place &gt; artificial geographic entity &gt; geographic entity &gt; region of space</t>
  </si>
  <si>
    <t>human settlement &gt; populated place &gt; artificial geographic entity &gt; artificial object &gt; object</t>
  </si>
  <si>
    <t>human settlement &gt; group of structures or buildings &gt; group of artificial physical objects &gt; group of physical objects &gt; group or class of physical objects</t>
  </si>
  <si>
    <t>human settlement &gt; group of structures or buildings &gt; group of artificial physical objects &gt; group of physical objects &gt; group</t>
  </si>
  <si>
    <t>human settlement &gt; group of structures or buildings &gt; group of geographic locations &gt; group &gt; set</t>
  </si>
  <si>
    <t>human settlement &gt; group of structures or buildings &gt; group of works &gt; group &gt; set</t>
  </si>
  <si>
    <t>human settlement &gt; group of structures or buildings &gt; group of works &gt; work &gt; artificial object</t>
  </si>
  <si>
    <t>human settlement &gt; group of structures or buildings &gt; group of works &gt; work &gt; cultural artifact</t>
  </si>
  <si>
    <t>human settlement &gt; group of structures or buildings &gt; architectural structure &gt; artificial physical structure &gt; physical structure</t>
  </si>
  <si>
    <t>human settlement &gt; group of structures or buildings &gt; architectural structure &gt; artificial physical structure &gt; artificial physical object</t>
  </si>
  <si>
    <t>human settlement &gt; group of structures or buildings &gt; architectural structure &gt; artificial physical structure &gt; technical system</t>
  </si>
  <si>
    <t>human settlement &gt; group of structures or buildings &gt; architectural structure &gt; fixed construction &gt; geographical feature</t>
  </si>
  <si>
    <t>human settlement &gt; group of structures or buildings &gt; architectural structure &gt; fixed construction &gt; artificial physical object</t>
  </si>
  <si>
    <t>human settlement &gt; group of structures or buildings &gt; architectural structure &gt; work &gt; artificial object</t>
  </si>
  <si>
    <t>human settlement &gt; group of structures or buildings &gt; architectural structure &gt; work &gt; cultural artifact</t>
  </si>
  <si>
    <t>human settlement &gt; group of structures or buildings &gt; architectural structure &gt; E25 Human-Made Feature &gt; artificial physical object</t>
  </si>
  <si>
    <t>Source control</t>
  </si>
  <si>
    <t>Policy-making</t>
  </si>
  <si>
    <t>Clarification about component mode synthesis methods for substructures with physical flexible interfaces</t>
  </si>
  <si>
    <t>Component mode synthesis</t>
  </si>
  <si>
    <t>Dynamic substructuring</t>
  </si>
  <si>
    <t>dynamic substructuring</t>
  </si>
  <si>
    <t>Q25112238</t>
  </si>
  <si>
    <t xml:space="preserve">found but no description was defined </t>
  </si>
  <si>
    <t>wrong</t>
  </si>
  <si>
    <t>Flexible interface</t>
  </si>
  <si>
    <t>Computational mechanics</t>
  </si>
  <si>
    <t>computational mechanics</t>
  </si>
  <si>
    <t>Q919765</t>
  </si>
  <si>
    <t>mechanics &gt; physics &gt; natural science &gt; science &gt; knowledge system</t>
  </si>
  <si>
    <t>mechanics &gt; physics &gt; natural science &gt; science &gt; knowledge</t>
  </si>
  <si>
    <t>mechanics &gt; physics &gt; natural science &gt; science &gt; outline of academic disciplines</t>
  </si>
  <si>
    <t>mechanics &gt; physics &gt; natural science &gt; science &gt; epistemology</t>
  </si>
  <si>
    <t>mechanics &gt; physics &gt; natural science &gt; science &gt; research</t>
  </si>
  <si>
    <t>mechanics &gt; physics &gt; natural science &gt; science &gt; logic</t>
  </si>
  <si>
    <t>mechanics &gt; physics &gt; natural science &gt; science &gt; intellectual activity</t>
  </si>
  <si>
    <t>mechanics &gt; physics &gt; physical sciences &gt; natural science &gt; science</t>
  </si>
  <si>
    <t>computational physics &gt; computational science &gt; applied mathematics &gt; mathematics &gt; natural science</t>
  </si>
  <si>
    <t>computational physics &gt; computational science &gt; computer science &gt; formal science &gt; exact science</t>
  </si>
  <si>
    <t>computational physics &gt; physics &gt; natural science &gt; science &gt; knowledge system</t>
  </si>
  <si>
    <t>computational physics &gt; physics &gt; natural science &gt; science &gt; knowledge</t>
  </si>
  <si>
    <t>computational physics &gt; physics &gt; natural science &gt; science &gt; outline of academic disciplines</t>
  </si>
  <si>
    <t>computational physics &gt; physics &gt; natural science &gt; science &gt; epistemology</t>
  </si>
  <si>
    <t>computational physics &gt; physics &gt; natural science &gt; science &gt; research</t>
  </si>
  <si>
    <t>computational physics &gt; physics &gt; natural science &gt; science &gt; logic</t>
  </si>
  <si>
    <t>computational physics &gt; physics &gt; natural science &gt; science &gt; intellectual activity</t>
  </si>
  <si>
    <t>computational physics &gt; physics &gt; physical sciences &gt; natural science &gt; science</t>
  </si>
  <si>
    <t>Reduced-order model for the dynamical analysis of complex structures with a high modal density</t>
  </si>
  <si>
    <t>Reduced-order model</t>
  </si>
  <si>
    <t>Structural dynamics</t>
  </si>
  <si>
    <t>structural dynamics</t>
  </si>
  <si>
    <t>Q811197</t>
  </si>
  <si>
    <t>structural analysis &gt; analysis &gt; inquiry &gt; seeking &gt; activity</t>
  </si>
  <si>
    <t>Q11862829</t>
  </si>
  <si>
    <t>academic discipline</t>
  </si>
  <si>
    <t>structural analysis &gt; analysis &gt; inquiry &gt; planned process &gt; process</t>
  </si>
  <si>
    <t>structural analysis &gt; analysis &gt; inquiry &gt; planned process &gt; intentional human activity</t>
  </si>
  <si>
    <t>structural analysis &gt; analysis &gt; scholarly method &gt; method &gt; means</t>
  </si>
  <si>
    <t>High modal density</t>
  </si>
  <si>
    <t>ROM</t>
  </si>
  <si>
    <t>Rom</t>
  </si>
  <si>
    <t>Q3440554</t>
  </si>
  <si>
    <t>Q830038</t>
  </si>
  <si>
    <t>Ferengi</t>
  </si>
  <si>
    <t xml:space="preserve">wrong </t>
  </si>
  <si>
    <t>Modelling the time fluctuation of indoor air formaldehyde concentrations: variability structure identification and forecasting using non linear models</t>
  </si>
  <si>
    <t>Formaldehyde</t>
  </si>
  <si>
    <t>Q14922294</t>
  </si>
  <si>
    <t>Clustering</t>
  </si>
  <si>
    <t>clustering</t>
  </si>
  <si>
    <t>Q5136710</t>
  </si>
  <si>
    <t>seen not related. description not defined</t>
  </si>
  <si>
    <t>Forecasting</t>
  </si>
  <si>
    <t>Q49297242</t>
  </si>
  <si>
    <t xml:space="preserve">painting </t>
  </si>
  <si>
    <t>SOTA</t>
  </si>
  <si>
    <t>Q11243978</t>
  </si>
  <si>
    <t>Q5</t>
  </si>
  <si>
    <t>human</t>
  </si>
  <si>
    <t>SETAR</t>
  </si>
  <si>
    <t>Q7456351</t>
  </si>
  <si>
    <t>Q4830453;Q6881511</t>
  </si>
  <si>
    <t>business;enterprise</t>
  </si>
  <si>
    <t xml:space="preserve">seen not related </t>
  </si>
  <si>
    <t>Analysis of dissociated dislocations in a deformed bicrystal close to the rhombohedral twin orientation in -alumina</t>
  </si>
  <si>
    <t>Grain boundary</t>
  </si>
  <si>
    <t>Q1605670</t>
  </si>
  <si>
    <t xml:space="preserve">seen no description defined </t>
  </si>
  <si>
    <t>Alumina</t>
  </si>
  <si>
    <t>Aluminaut</t>
  </si>
  <si>
    <t>Q447411</t>
  </si>
  <si>
    <t>Q11446;Q130326199</t>
  </si>
  <si>
    <t>ship;preserved watercraft</t>
  </si>
  <si>
    <t xml:space="preserve">seen but not related </t>
  </si>
  <si>
    <t>Bicrystal</t>
  </si>
  <si>
    <t>Plasticity</t>
  </si>
  <si>
    <t>plasticity</t>
  </si>
  <si>
    <t>Q1230210</t>
  </si>
  <si>
    <t>possibility &gt; quality &gt; property &gt; abstract entity &gt; entity</t>
  </si>
  <si>
    <t>seen and might be but could not verify the levels</t>
  </si>
  <si>
    <t>possibility &gt; state &gt; phenomenon &gt; occurrent &gt; entity</t>
  </si>
  <si>
    <t>possibility &gt; state &gt; phenomenon &gt; observable entity &gt; entity</t>
  </si>
  <si>
    <t>possibility &gt; state &gt; property &gt; abstract entity &gt; entity</t>
  </si>
  <si>
    <t>Dislocations</t>
  </si>
  <si>
    <t>Q110893377</t>
  </si>
  <si>
    <t>Q1656682;Q667276</t>
  </si>
  <si>
    <t>event;art exhibition</t>
  </si>
  <si>
    <t>Dissociation</t>
  </si>
  <si>
    <t>Q27813879</t>
  </si>
  <si>
    <t>Transmission electron microscopy</t>
  </si>
  <si>
    <t>Q110779037</t>
  </si>
  <si>
    <t>electron microscopy &gt; microscopy &gt; technique &gt; method &gt; means</t>
  </si>
  <si>
    <t>electron microscopy &gt; microscopy &gt; technique &gt; activity &gt; process</t>
  </si>
  <si>
    <t>electron microscopy &gt; microscopy &gt; analysis &gt; inquiry &gt; seeking</t>
  </si>
  <si>
    <t>electron microscopy &gt; microscopy &gt; analysis &gt; inquiry &gt; planned process</t>
  </si>
  <si>
    <t>electron microscopy &gt; microscopy &gt; analysis &gt; scholarly method &gt; method</t>
  </si>
  <si>
    <t>electron microscopy &gt; microscopy &gt; scientific technique &gt; technique &gt; method</t>
  </si>
  <si>
    <t>electron microscopy &gt; microscopy &gt; scientific technique &gt; technique &gt; activity</t>
  </si>
  <si>
    <t>A history of basin inversion, scarp retreat and shallow denudation: The Araripe basin as a keystone for understanding long-term landscape evolution in NE Brazil</t>
  </si>
  <si>
    <t>Palaeolandforms</t>
  </si>
  <si>
    <t>Topographic inversion</t>
  </si>
  <si>
    <t>Denudation history</t>
  </si>
  <si>
    <t>Soil distribution</t>
  </si>
  <si>
    <t>Scarp retreat</t>
  </si>
  <si>
    <t>scarp retreat</t>
  </si>
  <si>
    <t>Q7430497</t>
  </si>
  <si>
    <t>Q10928429</t>
  </si>
  <si>
    <t>geological process</t>
  </si>
  <si>
    <t>Late Cenozoic and present-day hillslope erosion dynamics in a passive margin context: stability or instability? Case studies in Northeast Brazil</t>
  </si>
  <si>
    <t>Tropical geomorphology</t>
  </si>
  <si>
    <t>Backwearing</t>
  </si>
  <si>
    <t>Hillslope landforms and processes</t>
  </si>
  <si>
    <t>Brazil</t>
  </si>
  <si>
    <t>Q155</t>
  </si>
  <si>
    <t>11868637v</t>
  </si>
  <si>
    <t>Q3624078;Q512187;Q6256;Q859563</t>
  </si>
  <si>
    <t>secular state;sovereign state;federal republic;country</t>
  </si>
  <si>
    <t>Morphological resistance</t>
  </si>
  <si>
    <t>Downwearing</t>
  </si>
  <si>
    <t>Mass wasting</t>
  </si>
  <si>
    <t>mass wasting</t>
  </si>
  <si>
    <t>Q1567542</t>
  </si>
  <si>
    <t>motion &gt; physical process &gt; physicochemical process &gt; process &gt; occurrent</t>
  </si>
  <si>
    <t>motion &gt; physical process &gt; physicochemical process &gt; process &gt; sequence</t>
  </si>
  <si>
    <t>motion &gt; physical process &gt; physical phenomenon &gt; phenomenon &gt; occurrent</t>
  </si>
  <si>
    <t>motion &gt; physical process &gt; physical phenomenon &gt; phenomenon &gt; observable entity</t>
  </si>
  <si>
    <t>motion &gt; change &gt; occurrent &gt; entity &gt; entity</t>
  </si>
  <si>
    <t>Landforms and neotectonics in the equatorial passive margin of Brazil</t>
  </si>
  <si>
    <t>Fault scarp</t>
  </si>
  <si>
    <t>fault scarp</t>
  </si>
  <si>
    <t>Q475080</t>
  </si>
  <si>
    <t>landform &gt; geomorphological unit &gt; natural geographic object &gt; geographical feature &gt; geographic entity</t>
  </si>
  <si>
    <t>landform &gt; geomorphological unit &gt; natural geographic object &gt; geographical feature &gt; concrete object</t>
  </si>
  <si>
    <t>landform &gt; geomorphological unit &gt; natural geographic object &gt; geographical feature &gt; physical location</t>
  </si>
  <si>
    <t>landform &gt; geomorphological unit &gt; natural geographic object &gt; natural physical object &gt; physical object</t>
  </si>
  <si>
    <t>landform &gt; geomorphological unit &gt; natural geographic object &gt; natural physical object &gt; natural object</t>
  </si>
  <si>
    <t>landform &gt; geomorphological unit &gt; natural geographic object &gt; natural geographic entity &gt; geographic entity</t>
  </si>
  <si>
    <t>landform &gt; geomorphological unit &gt; natural geographic object &gt; astronomical body part &gt; fiat object part</t>
  </si>
  <si>
    <t>landform &gt; geomorphological unit &gt; natural geographic object &gt; astronomical body part &gt; part</t>
  </si>
  <si>
    <t>landform &gt; geographical feature &gt; geographic entity &gt; geolocatable entity &gt; material entity</t>
  </si>
  <si>
    <t>landform &gt; geographical feature &gt; geographic entity &gt; geolocatable entity &gt; concrete object</t>
  </si>
  <si>
    <t>landform &gt; geographical feature &gt; geographic entity &gt; geolocatable entity &gt; occurrence</t>
  </si>
  <si>
    <t>landform &gt; geographical feature &gt; geographic entity &gt; region of space &gt; spacetime region</t>
  </si>
  <si>
    <t>landform &gt; geographical feature &gt; geographic entity &gt; region of space &gt; spatial object</t>
  </si>
  <si>
    <t>landform &gt; geographical feature &gt; geographic entity &gt; region of space &gt; spatial region</t>
  </si>
  <si>
    <t>landform &gt; geographical feature &gt; concrete object &gt; object &gt; entity</t>
  </si>
  <si>
    <t>landform &gt; geographical feature &gt; concrete object &gt; individual item &gt; entity</t>
  </si>
  <si>
    <t>landform &gt; geographical feature &gt; physical location &gt; property &gt; abstract entity</t>
  </si>
  <si>
    <t>landform &gt; geographic location &gt; geographic entity &gt; geolocatable entity &gt; material entity</t>
  </si>
  <si>
    <t>landform &gt; geographic location &gt; geographic entity &gt; geolocatable entity &gt; concrete object</t>
  </si>
  <si>
    <t>landform &gt; geographic location &gt; geographic entity &gt; geolocatable entity &gt; occurrence</t>
  </si>
  <si>
    <t>landform &gt; geographic location &gt; geographic entity &gt; region of space &gt; spacetime region</t>
  </si>
  <si>
    <t>landform &gt; geographic location &gt; geographic entity &gt; region of space &gt; spatial object</t>
  </si>
  <si>
    <t>landform &gt; geographic location &gt; geographic entity &gt; region of space &gt; spatial region</t>
  </si>
  <si>
    <t>landform &gt; geographic location &gt; physical location &gt; property &gt; abstract entity</t>
  </si>
  <si>
    <t>geologic feature &gt; quality &gt; property &gt; abstract entity &gt; entity</t>
  </si>
  <si>
    <t>Neotectonics</t>
  </si>
  <si>
    <t>neotectonics</t>
  </si>
  <si>
    <t>Q2497922</t>
  </si>
  <si>
    <t>tectonics &gt; dynamic geology &gt; physical geology &gt; geology &gt; natural science</t>
  </si>
  <si>
    <t>Q87058424</t>
  </si>
  <si>
    <t>branch of geology</t>
  </si>
  <si>
    <t>geology</t>
  </si>
  <si>
    <t>tectonics &gt; dynamic geology &gt; physical geology &gt; geology &gt; Earth science</t>
  </si>
  <si>
    <t>tectonics &gt; dynamic geology &gt; geophysics &gt; physics &gt; natural science</t>
  </si>
  <si>
    <t>tectonics &gt; dynamic geology &gt; geophysics &gt; physics &gt; physical sciences</t>
  </si>
  <si>
    <t>tectonics &gt; dynamic geology &gt; geophysics &gt; planetary science &gt; space sciences</t>
  </si>
  <si>
    <t>Passive margin</t>
  </si>
  <si>
    <t>passive margin</t>
  </si>
  <si>
    <t>Q1918464</t>
  </si>
  <si>
    <t>zone &gt; part &gt; entity</t>
  </si>
  <si>
    <t>geology/geography</t>
  </si>
  <si>
    <t>zone &gt; geographic location &gt; geographic entity &gt; geolocatable entity &gt; material entity</t>
  </si>
  <si>
    <t>zone &gt; geographic location &gt; geographic entity &gt; geolocatable entity &gt; concrete object</t>
  </si>
  <si>
    <t>zone &gt; geographic location &gt; geographic entity &gt; geolocatable entity &gt; occurrence</t>
  </si>
  <si>
    <t>zone &gt; geographic location &gt; geographic entity &gt; region of space &gt; spacetime region</t>
  </si>
  <si>
    <t>zone &gt; geographic location &gt; geographic entity &gt; region of space &gt; spatial object</t>
  </si>
  <si>
    <t>zone &gt; geographic location &gt; geographic entity &gt; region of space &gt; spatial region</t>
  </si>
  <si>
    <t>zone &gt; geographic location &gt; physical location &gt; property &gt; abstract entity</t>
  </si>
  <si>
    <t>Seismicity</t>
  </si>
  <si>
    <t>seismicity</t>
  </si>
  <si>
    <t>Q382539</t>
  </si>
  <si>
    <t>physical property &gt; physico-chemical property &gt; property &gt; abstract entity &gt; entity</t>
  </si>
  <si>
    <t>Q1209971</t>
  </si>
  <si>
    <t>Alea</t>
  </si>
  <si>
    <t>Differential erosion</t>
  </si>
  <si>
    <t>Basin inversion, scarp retreat and soil distribution in the Araripe basin (northeast Brazil): implications for denudation history</t>
  </si>
  <si>
    <t>Relief inversion</t>
  </si>
  <si>
    <t>not seen</t>
  </si>
  <si>
    <t>repated keyword</t>
  </si>
  <si>
    <t>High- and low-frequency morphodynamic events and natural risks in mountain catchments of the semi-arid Brazilian â€œNordesteâ€: Crato (CearÃ¡)</t>
  </si>
  <si>
    <t>Northeast Brazil</t>
  </si>
  <si>
    <t>Natural hazards</t>
  </si>
  <si>
    <t>Natural Hazards</t>
  </si>
  <si>
    <t>Q15764487</t>
  </si>
  <si>
    <t>seen not related-journal</t>
  </si>
  <si>
    <t>Mass movements</t>
  </si>
  <si>
    <t>mass movement</t>
  </si>
  <si>
    <t>Q6784067</t>
  </si>
  <si>
    <t>organization &gt; corporate body &gt; object &gt; entity</t>
  </si>
  <si>
    <t>Q49773;Q7278</t>
  </si>
  <si>
    <t>political party;social movement</t>
  </si>
  <si>
    <t>seen not related-type of orgnaization</t>
  </si>
  <si>
    <t>organization &gt; person or organization &gt; being &gt; independent continuant &gt; continuant</t>
  </si>
  <si>
    <t>organization &gt; person or organization &gt; being &gt; subject &gt; independent continuant</t>
  </si>
  <si>
    <t>organization &gt; corporate body &gt; collective agent &gt; being &gt; independent continuant</t>
  </si>
  <si>
    <t>organization &gt; corporate body &gt; collective agent &gt; being &gt; subject</t>
  </si>
  <si>
    <t>organization &gt; corporate body &gt; being &gt; independent continuant &gt; continuant</t>
  </si>
  <si>
    <t>organization &gt; corporate body &gt; being &gt; subject &gt; independent continuant</t>
  </si>
  <si>
    <t>organization &gt; social system &gt; system &gt; collective entity &gt; entity</t>
  </si>
  <si>
    <t>organization &gt; social system &gt; system &gt; abstract entity &gt; entity</t>
  </si>
  <si>
    <t>organization &gt; social system &gt; system &gt; object &gt; entity</t>
  </si>
  <si>
    <t>organization &gt; complex system &gt; system &gt; collective entity &gt; entity</t>
  </si>
  <si>
    <t>organization &gt; complex system &gt; system &gt; abstract entity &gt; entity</t>
  </si>
  <si>
    <t>organization &gt; complex system &gt; system &gt; object &gt; entity</t>
  </si>
  <si>
    <t>organization &gt; group of humans &gt; group or class of humans &gt; group or class of people &gt; group or class of living things</t>
  </si>
  <si>
    <t>organization &gt; group of humans &gt; group or class of humans &gt; group or class of people &gt; group or class of beings</t>
  </si>
  <si>
    <t>organization &gt; group of humans &gt; group of persons &gt; group of living things &gt; group of physical objects</t>
  </si>
  <si>
    <t>organization &gt; group of humans &gt; group of persons &gt; group of living things &gt; group or class of living things</t>
  </si>
  <si>
    <t>organization &gt; group of humans &gt; group of persons &gt; group of beings &gt; group</t>
  </si>
  <si>
    <t>organization &gt; group of humans &gt; group of persons &gt; group of beings &gt; group or class of beings</t>
  </si>
  <si>
    <t>organization &gt; group of humans &gt; group of persons &gt; group or class of people &gt; group or class of living things</t>
  </si>
  <si>
    <t>organization &gt; group of humans &gt; group of persons &gt; group or class of people &gt; group or class of beings</t>
  </si>
  <si>
    <t>Floods</t>
  </si>
  <si>
    <t>Q14874597</t>
  </si>
  <si>
    <t>Q486972</t>
  </si>
  <si>
    <t>human settlement</t>
  </si>
  <si>
    <t>seen not related- human settlement</t>
  </si>
  <si>
    <t>Hillslope dynamics</t>
  </si>
  <si>
    <t>The Chapada do Araripe (Northeast Brazil): shallow basin inversion, implications for regional uplift and denudation history</t>
  </si>
  <si>
    <t>Tectonics</t>
  </si>
  <si>
    <t>tectonics</t>
  </si>
  <si>
    <t>Q193343</t>
  </si>
  <si>
    <t>geological process &gt; natural process &gt; process &gt; occurrent &gt; entity</t>
  </si>
  <si>
    <t xml:space="preserve">geology </t>
  </si>
  <si>
    <t>geological process &gt; natural process &gt; process &gt; sequence &gt; function</t>
  </si>
  <si>
    <t>geological process &gt; natural process &gt; process &gt; sequence &gt; class</t>
  </si>
  <si>
    <t>geological process &gt; natural process &gt; natural phenomenon &gt; phenomenon &gt; occurrent</t>
  </si>
  <si>
    <t>geological process &gt; natural process &gt; natural phenomenon &gt; phenomenon &gt; observable entity</t>
  </si>
  <si>
    <t>geological process &gt; natural process &gt; natural phenomenon &gt; occurrence &gt; occurrent</t>
  </si>
  <si>
    <t>geological process &gt; physical phenomenon &gt; phenomenon &gt; occurrent &gt; entity</t>
  </si>
  <si>
    <t>geological process &gt; physical phenomenon &gt; phenomenon &gt; observable entity &gt; entity</t>
  </si>
  <si>
    <t>geological process &gt; chemical process &gt; physicochemical process &gt; process &gt; occurrent</t>
  </si>
  <si>
    <t>geological process &gt; chemical process &gt; physicochemical process &gt; process &gt; sequence</t>
  </si>
  <si>
    <t>geological process &gt; chemical process &gt; physical process &gt; physicochemical process &gt; process</t>
  </si>
  <si>
    <t>geological process &gt; chemical process &gt; physical process &gt; physical phenomenon &gt; phenomenon</t>
  </si>
  <si>
    <t>Denudation depths</t>
  </si>
  <si>
    <t>Laterites</t>
  </si>
  <si>
    <t>laterite</t>
  </si>
  <si>
    <t>Q622845</t>
  </si>
  <si>
    <t>11952304k</t>
  </si>
  <si>
    <t>regolith &gt; rock &gt; natural material &gt; material &gt; substance</t>
  </si>
  <si>
    <t>regolith &gt; rock &gt; natural material &gt; material &gt; product</t>
  </si>
  <si>
    <t>regolith &gt; rock &gt; natural material &gt; natural physical object &gt; physical object</t>
  </si>
  <si>
    <t>regolith &gt; rock &gt; natural material &gt; natural physical object &gt; natural object</t>
  </si>
  <si>
    <t>Morphology of scarps and piedmonts on the equatorial passive margin of northeast Brazil: Neogene to present evolution and its factors</t>
  </si>
  <si>
    <t>Marginal scarp</t>
  </si>
  <si>
    <t>GIS and morphostructural mapping: a contribution to the morphotectonic study of the BaturitÃ© massif, Northeastern Brazil</t>
  </si>
  <si>
    <t>GIS</t>
  </si>
  <si>
    <t>gis</t>
  </si>
  <si>
    <t>SRTM DEM</t>
  </si>
  <si>
    <t>Structural geomorphology</t>
  </si>
  <si>
    <t>Morphotectonic studies</t>
  </si>
  <si>
    <t>Reconstructing the morphotectonic evolution of passive margins: a morphogenetic study of the northern Brazilian â€œNordesteâ€</t>
  </si>
  <si>
    <t>Denudation rates</t>
  </si>
  <si>
    <t>not found</t>
  </si>
  <si>
    <t>empty</t>
  </si>
  <si>
    <t>Morphostratigraphy</t>
  </si>
  <si>
    <t>Paleolandforms</t>
  </si>
  <si>
    <t>nf</t>
  </si>
  <si>
    <t>match</t>
  </si>
  <si>
    <t>Toxic metals in urban runoff: physico-chemical mobility assessment using speciation schemes</t>
  </si>
  <si>
    <t>Impact</t>
  </si>
  <si>
    <t>Q18251549</t>
  </si>
  <si>
    <t>protein-coding gene &gt; gene &gt; nucleic acid sequence &gt; primary structure &gt; biological sequence</t>
  </si>
  <si>
    <t>Q7187</t>
  </si>
  <si>
    <t>gene</t>
  </si>
  <si>
    <t>mistach</t>
  </si>
  <si>
    <t>protein-coding gene &gt; gene &gt; biological region &gt; zone &gt; part</t>
  </si>
  <si>
    <t>protein-coding gene &gt; gene &gt; biological region &gt; zone &gt; geographic location</t>
  </si>
  <si>
    <t>protein-coding gene &gt; gene &gt; biomolecular structure &gt; macromolecular conformation &gt; structure</t>
  </si>
  <si>
    <t>protein-coding gene &gt; gene &gt; biomolecular structure &gt; physical structure &gt; physical system</t>
  </si>
  <si>
    <t>protein-coding gene &gt; gene &gt; biomolecular structure &gt; physical structure &gt; structure</t>
  </si>
  <si>
    <t>protein-coding gene &gt; gene &gt; biomolecular structure &gt; biological structure &gt; structure</t>
  </si>
  <si>
    <t>protein-coding gene &gt; gene &gt; biomolecular structure &gt; biological structure &gt; natural physical object</t>
  </si>
  <si>
    <t>heavy metal</t>
  </si>
  <si>
    <t>Q38848</t>
  </si>
  <si>
    <t>metal music &gt; rock music &gt; popular music &gt; music &gt; sound</t>
  </si>
  <si>
    <t>Q14946528;Q188451</t>
  </si>
  <si>
    <t>conflation;music genre</t>
  </si>
  <si>
    <t xml:space="preserve">mistach </t>
  </si>
  <si>
    <t>metal music &gt; rock music &gt; popular music &gt; music &gt; type of work of art</t>
  </si>
  <si>
    <t>Pollution</t>
  </si>
  <si>
    <t>Q125500447</t>
  </si>
  <si>
    <t>Q21191270</t>
  </si>
  <si>
    <t>television series episode</t>
  </si>
  <si>
    <t>Storm sewer overflow</t>
  </si>
  <si>
    <t>Combined sewer overflow</t>
  </si>
  <si>
    <t>combined sewer overflow</t>
  </si>
  <si>
    <t>Q1938730</t>
  </si>
  <si>
    <t>architectural structure &gt; artificial physical structure &gt; physical structure &gt; physical system &gt; system</t>
  </si>
  <si>
    <t>architectural structure &gt; artificial physical structure &gt; physical structure &gt; physical system &gt; concrete object</t>
  </si>
  <si>
    <t>architectural structure &gt; artificial physical structure &gt; physical structure &gt; physical system &gt; scientific object</t>
  </si>
  <si>
    <t>architectural structure &gt; artificial physical structure &gt; physical structure &gt; structure &gt; collective entity</t>
  </si>
  <si>
    <t>architectural structure &gt; artificial physical structure &gt; physical structure &gt; structure &gt; order</t>
  </si>
  <si>
    <t>architectural structure &gt; artificial physical structure &gt; physical structure &gt; structure &gt; geographic entity</t>
  </si>
  <si>
    <t>architectural structure &gt; artificial physical structure &gt; artificial physical object &gt; physical object &gt; material entity</t>
  </si>
  <si>
    <t>architectural structure &gt; artificial physical structure &gt; artificial physical object &gt; physical object &gt; concrete object</t>
  </si>
  <si>
    <t>architectural structure &gt; artificial physical structure &gt; artificial physical object &gt; artificial object &gt; object</t>
  </si>
  <si>
    <t>architectural structure &gt; artificial physical structure &gt; artificial physical object &gt; work &gt; artificial object</t>
  </si>
  <si>
    <t>architectural structure &gt; artificial physical structure &gt; artificial physical object &gt; work &gt; cultural artifact</t>
  </si>
  <si>
    <t>architectural structure &gt; artificial physical structure &gt; technical system &gt; product &gt; object</t>
  </si>
  <si>
    <t>architectural structure &gt; artificial physical structure &gt; technical system &gt; system &gt; collective entity</t>
  </si>
  <si>
    <t>architectural structure &gt; artificial physical structure &gt; technical system &gt; system &gt; abstract entity</t>
  </si>
  <si>
    <t>architectural structure &gt; artificial physical structure &gt; technical system &gt; system &gt; object</t>
  </si>
  <si>
    <t>architectural structure &gt; artificial physical structure &gt; technical system &gt; artificial object &gt; object</t>
  </si>
  <si>
    <t>architectural structure &gt; fixed construction &gt; geographical feature &gt; geographic entity &gt; geolocatable entity</t>
  </si>
  <si>
    <t>architectural structure &gt; fixed construction &gt; geographical feature &gt; geographic entity &gt; region of space</t>
  </si>
  <si>
    <t>architectural structure &gt; fixed construction &gt; geographical feature &gt; concrete object &gt; object</t>
  </si>
  <si>
    <t>architectural structure &gt; fixed construction &gt; geographical feature &gt; concrete object &gt; individual item</t>
  </si>
  <si>
    <t>architectural structure &gt; fixed construction &gt; geographical feature &gt; physical location &gt; property</t>
  </si>
  <si>
    <t>architectural structure &gt; fixed construction &gt; artificial physical object &gt; physical object &gt; material entity</t>
  </si>
  <si>
    <t>architectural structure &gt; fixed construction &gt; artificial physical object &gt; physical object &gt; concrete object</t>
  </si>
  <si>
    <t>architectural structure &gt; fixed construction &gt; artificial physical object &gt; artificial object &gt; object</t>
  </si>
  <si>
    <t>architectural structure &gt; fixed construction &gt; artificial physical object &gt; work &gt; artificial object</t>
  </si>
  <si>
    <t>architectural structure &gt; fixed construction &gt; artificial physical object &gt; work &gt; cultural artifact</t>
  </si>
  <si>
    <t>architectural structure &gt; work &gt; artificial object &gt; object &gt; entity</t>
  </si>
  <si>
    <t>architectural structure &gt; work &gt; cultural artifact &gt; artificial object &gt; object</t>
  </si>
  <si>
    <t>architectural structure &gt; work &gt; cultural artifact &gt; cultural heritage &gt; heritage</t>
  </si>
  <si>
    <t>architectural structure &gt; E25 Human-Made Feature &gt; artificial physical object &gt; physical object &gt; material entity</t>
  </si>
  <si>
    <t>architectural structure &gt; E25 Human-Made Feature &gt; artificial physical object &gt; physical object &gt; concrete object</t>
  </si>
  <si>
    <t>architectural structure &gt; E25 Human-Made Feature &gt; artificial physical object &gt; artificial object &gt; object</t>
  </si>
  <si>
    <t>architectural structure &gt; E25 Human-Made Feature &gt; artificial physical object &gt; work &gt; artificial object</t>
  </si>
  <si>
    <t>architectural structure &gt; E25 Human-Made Feature &gt; artificial physical object &gt; work &gt; cultural artifact</t>
  </si>
  <si>
    <t>sewer overflow &gt; overflow &gt; occurrence &gt; occurrent &gt; entity</t>
  </si>
  <si>
    <t>Detention pond</t>
  </si>
  <si>
    <t>Sediment</t>
  </si>
  <si>
    <t>Q22250634</t>
  </si>
  <si>
    <t>Q838948;Q93184</t>
  </si>
  <si>
    <t>work of art;drawing</t>
  </si>
  <si>
    <t>Speciation</t>
  </si>
  <si>
    <t>speciation</t>
  </si>
  <si>
    <t>Q39350</t>
  </si>
  <si>
    <t>evolutionary process &gt; biological process &gt; biological phenomenon &gt; natural phenomenon &gt; phenomenon</t>
  </si>
  <si>
    <t>biology</t>
  </si>
  <si>
    <t>evolutionary process &gt; biological process &gt; biological phenomenon &gt; natural phenomenon &gt; occurrence</t>
  </si>
  <si>
    <t>evolutionary process &gt; biological process &gt; biological phenomenon &gt; physical phenomenon &gt; phenomenon</t>
  </si>
  <si>
    <t>evolutionary process &gt; biological process &gt; physical process &gt; physicochemical process &gt; process</t>
  </si>
  <si>
    <t>evolutionary process &gt; biological process &gt; physical process &gt; physical phenomenon &gt; phenomenon</t>
  </si>
  <si>
    <t>Cicero as User and Critic of Traditional Rhetorical Patterns: Structural Authority from De inuentione to De oratore</t>
  </si>
  <si>
    <t>Rhetoric</t>
  </si>
  <si>
    <t>rhetoric</t>
  </si>
  <si>
    <t>Q81009</t>
  </si>
  <si>
    <t>method &gt; means &gt; contributing factor &gt; condition &gt; state</t>
  </si>
  <si>
    <t>Q1047113;Q11862829;Q4671286</t>
  </si>
  <si>
    <t>field of study;academic discipline;academic major</t>
  </si>
  <si>
    <t>method &gt; means &gt; contributing factor &gt; occurrent &gt; entity</t>
  </si>
  <si>
    <t>Oratory</t>
  </si>
  <si>
    <t>oratory</t>
  </si>
  <si>
    <t>Q107268129</t>
  </si>
  <si>
    <t>11937328c</t>
  </si>
  <si>
    <t>rhetoric &gt; method &gt; means &gt; contributing factor &gt; condition</t>
  </si>
  <si>
    <t>Q1047113;Q11862829;Q2267705</t>
  </si>
  <si>
    <t>field of study;academic discipline;field of study</t>
  </si>
  <si>
    <t>rhetoric &gt; method &gt; means &gt; contributing factor &gt; occurrent</t>
  </si>
  <si>
    <t>oration &gt; creative work &gt; intellectual work &gt; work &gt; artificial object</t>
  </si>
  <si>
    <t>oration &gt; creative work &gt; intellectual work &gt; work &gt; cultural artifact</t>
  </si>
  <si>
    <t>oration &gt; creative work &gt; intellectual work &gt; intellectual property &gt; property</t>
  </si>
  <si>
    <t>oration &gt; creative work &gt; intellectual work &gt; intellectual property &gt; intangible asset</t>
  </si>
  <si>
    <t>oration &gt; creative work &gt; intellectual work &gt; intellectual property &gt; exclusive right</t>
  </si>
  <si>
    <t>oration &gt; creative work &gt; intellectual work &gt; intellectual property &gt; erga omnes</t>
  </si>
  <si>
    <t>oration &gt; creative work &gt; work &gt; artificial object &gt; object</t>
  </si>
  <si>
    <t>oration &gt; creative work &gt; work &gt; cultural artifact &gt; artificial object</t>
  </si>
  <si>
    <t>oration &gt; creative work &gt; work &gt; cultural artifact &gt; cultural heritage</t>
  </si>
  <si>
    <t>oration &gt; event &gt; occurrence &gt; occurrent &gt; entity</t>
  </si>
  <si>
    <t>oration &gt; event &gt; service &gt; goods and services &gt; spatio-temporal entity</t>
  </si>
  <si>
    <t>oration &gt; event &gt; service &gt; goods and services &gt; product</t>
  </si>
  <si>
    <t>oration &gt; event &gt; service &gt; product &gt; object</t>
  </si>
  <si>
    <t>oration &gt; event &gt; service &gt; economic activity &gt; intentional human activity</t>
  </si>
  <si>
    <t>oration &gt; event &gt; service &gt; economic activity &gt; transfer</t>
  </si>
  <si>
    <t>oration &gt; oral media &gt; communications media &gt; means &gt; contributing factor</t>
  </si>
  <si>
    <t>oration &gt; oral media &gt; communications media &gt; data carrier &gt; manifestation</t>
  </si>
  <si>
    <t>Correlation between the nanocrystalline Sm(Fe,Mo)12 and its out of equilibrium phase Sm(Fe,Mo)10</t>
  </si>
  <si>
    <t>A Rare-earth intermetallics</t>
  </si>
  <si>
    <t>B Magnetic property</t>
  </si>
  <si>
    <t>C Mechanical alloying and milling</t>
  </si>
  <si>
    <t>F Diffrac-tion</t>
  </si>
  <si>
    <t>Electron microscopy transmission</t>
  </si>
  <si>
    <t>G Magnetic application</t>
  </si>
  <si>
    <t>An incrementalâ€“iterative method for modeling damage evolution in voxel-based microstructure models</t>
  </si>
  <si>
    <t>Incrementalâ€“iterative scheme Â· Lippmannâ€“Schwinger equation Â· Tensile damage Â· Heterogeneous materials Â· Tomographic microstructures</t>
  </si>
  <si>
    <t>State dependence and labour market transitions in the European Union</t>
  </si>
  <si>
    <t>Labour market mobility</t>
  </si>
  <si>
    <t>State dependence</t>
  </si>
  <si>
    <t>Unobserved heterogeneity</t>
  </si>
  <si>
    <t>Unobserved heterogeneity in duration models</t>
  </si>
  <si>
    <t>Q25304402</t>
  </si>
  <si>
    <t>European Union</t>
  </si>
  <si>
    <t>Q458</t>
  </si>
  <si>
    <t>12350708p</t>
  </si>
  <si>
    <t>Q120121699;Q1335818;Q170156;Q4120211</t>
  </si>
  <si>
    <t>political economic union;regional organization;confederation;supranational union</t>
  </si>
  <si>
    <t>Inequalities</t>
  </si>
  <si>
    <t>Inequality</t>
  </si>
  <si>
    <t>Q119694413</t>
  </si>
  <si>
    <t>Institutions</t>
  </si>
  <si>
    <t>Q27711101</t>
  </si>
  <si>
    <t xml:space="preserve">jounal </t>
  </si>
  <si>
    <t>Age and dynamics of blockstreams in the eastern Velay highlands, Massif central, France: preliminary findings.</t>
  </si>
  <si>
    <t>French Massif central</t>
  </si>
  <si>
    <t>Eastern Velay</t>
  </si>
  <si>
    <t>Glacial and Late Glacial periods</t>
  </si>
  <si>
    <t>Periglacial geomorphology and process</t>
  </si>
  <si>
    <t>Rock glacier</t>
  </si>
  <si>
    <t>rock glacier</t>
  </si>
  <si>
    <t>Q884736</t>
  </si>
  <si>
    <t>13507719g</t>
  </si>
  <si>
    <t>glacier &gt; ice cover &gt; body of water &gt; region &gt; geographical feature</t>
  </si>
  <si>
    <t>glacier &gt; ice cover &gt; body of water &gt; physico-geographical object &gt; geographical feature</t>
  </si>
  <si>
    <t>glacier &gt; ice cover &gt; body of water &gt; physico-geographical object &gt; physical object</t>
  </si>
  <si>
    <t>glacier &gt; ice cover &gt; body of water &gt; habitat &gt; region</t>
  </si>
  <si>
    <t>glacier &gt; ice cover &gt; body of water &gt; habitat &gt; natural environment</t>
  </si>
  <si>
    <t>glacier &gt; ice cover &gt; glacial landform &gt; landform &gt; geomorphological unit</t>
  </si>
  <si>
    <t>glacier &gt; ice cover &gt; glacial landform &gt; landform &gt; geographical feature</t>
  </si>
  <si>
    <t>glacier &gt; ice cover &gt; glacial landform &gt; landform &gt; geographic location</t>
  </si>
  <si>
    <t>glacier &gt; perennial ice or snowâ€covered land &gt; landform &gt; geomorphological unit &gt; natural geographic object</t>
  </si>
  <si>
    <t>glacier &gt; perennial ice or snowâ€covered land &gt; landform &gt; geographical feature &gt; geographic entity</t>
  </si>
  <si>
    <t>glacier &gt; perennial ice or snowâ€covered land &gt; landform &gt; geographical feature &gt; concrete object</t>
  </si>
  <si>
    <t>glacier &gt; perennial ice or snowâ€covered land &gt; landform &gt; geographical feature &gt; physical location</t>
  </si>
  <si>
    <t>glacier &gt; perennial ice or snowâ€covered land &gt; landform &gt; geographic location &gt; geographic entity</t>
  </si>
  <si>
    <t>glacier &gt; perennial ice or snowâ€covered land &gt; landform &gt; geographic location &gt; physical location</t>
  </si>
  <si>
    <t>frozen ground &gt; soil &gt; granular material &gt; material &gt; substance</t>
  </si>
  <si>
    <t>frozen ground &gt; soil &gt; granular material &gt; material &gt; product</t>
  </si>
  <si>
    <t>frozen ground &gt; soil &gt; granular material &gt; continuum &gt; physical substance</t>
  </si>
  <si>
    <t>frozen ground &gt; soil &gt; heterogeneous mixture &gt; mixture &gt; chemical substance</t>
  </si>
  <si>
    <t>frozen ground &gt; soil &gt; natural system &gt; system &gt; collective entity</t>
  </si>
  <si>
    <t>frozen ground &gt; soil &gt; natural system &gt; system &gt; abstract entity</t>
  </si>
  <si>
    <t>frozen ground &gt; soil &gt; natural system &gt; system &gt; object</t>
  </si>
  <si>
    <t>frozen ground &gt; soil &gt; natural system &gt; natural object &gt; object</t>
  </si>
  <si>
    <t>frozen ground &gt; soil &gt; organic matter &gt; substance &gt; ordinary matter</t>
  </si>
  <si>
    <t>frozen ground &gt; soil &gt; building material &gt; material &gt; substance</t>
  </si>
  <si>
    <t>frozen ground &gt; soil &gt; building material &gt; material &gt; product</t>
  </si>
  <si>
    <t>frozen ground &gt; soil &gt; building material &gt; hardware &gt; component</t>
  </si>
  <si>
    <t>frozen ground &gt; soil &gt; building material &gt; hardware &gt; product</t>
  </si>
  <si>
    <t>frozen ground &gt; soil &gt; building material &gt; hardware &gt; hardware and hardware accessories</t>
  </si>
  <si>
    <t>frozen ground &gt; soil &gt; building material &gt; construction product &gt; product</t>
  </si>
  <si>
    <t>Blockstream</t>
  </si>
  <si>
    <t>Q24909896</t>
  </si>
  <si>
    <t>Q167037</t>
  </si>
  <si>
    <t>corporation</t>
  </si>
  <si>
    <t>technology</t>
  </si>
  <si>
    <t>Massif central franÃ§ais</t>
  </si>
  <si>
    <t>Velay oriental</t>
  </si>
  <si>
    <t>PlÃ©istocÃ¨ne supÃ©rieur et Tardiglaciaire</t>
  </si>
  <si>
    <t>GÃ©omorphologie et processus pÃ©riglaciaires</t>
  </si>
  <si>
    <t>Glacier rocheux</t>
  </si>
  <si>
    <t>RiviÃ¨re de pierres</t>
  </si>
  <si>
    <t>RiviÃ¨re de pierre</t>
  </si>
  <si>
    <t>Q113579337</t>
  </si>
  <si>
    <t>Q55488</t>
  </si>
  <si>
    <t>railway station</t>
  </si>
  <si>
    <t>Optimisation de forage</t>
  </si>
  <si>
    <t>Modeling and uncertainty quantification in the nonlinear stochastic dynamics of horizontal drillstrings</t>
  </si>
  <si>
    <t>Quantification des incertitudes</t>
  </si>
  <si>
    <t>ModÃ©lisation stochastique</t>
  </si>
  <si>
    <t>area of mathematics</t>
  </si>
  <si>
    <t>Q1936384</t>
  </si>
  <si>
    <t>dynamical system &gt; conceptual system &gt; concept &gt; aptitude &gt; quality</t>
  </si>
  <si>
    <t>Q1985198</t>
  </si>
  <si>
    <t>nonlinear dynamics</t>
  </si>
  <si>
    <t>Dynamique non linÃ©aire</t>
  </si>
  <si>
    <t>dynamical system &gt; conceptual system &gt; concept &gt; mental representation &gt; representation</t>
  </si>
  <si>
    <t>dynamical system &gt; conceptual system &gt; concept &gt; semantic unit &gt; constituent</t>
  </si>
  <si>
    <t>dynamical system &gt; conceptual system &gt; concept &gt; abstract entity &gt; entity</t>
  </si>
  <si>
    <t>dynamical system &gt; conceptual system &gt; artificial object &gt; object &gt; entity</t>
  </si>
  <si>
    <t>dynamical system &gt; conceptual system &gt; system &gt; object &gt; entity</t>
  </si>
  <si>
    <t>dynamical system &gt; conceptual system &gt; system &gt; abstract entity &gt; entity</t>
  </si>
  <si>
    <t>dynamical system &gt; conceptual system &gt; system &gt; collective entity &gt; entity</t>
  </si>
  <si>
    <t>dynamical system &gt; mathematical model &gt; mathematical object &gt; scientific object &gt; object</t>
  </si>
  <si>
    <t>dynamical system &gt; mathematical model &gt; mathematical object &gt; abstract entity &gt; entity</t>
  </si>
  <si>
    <t>dynamical system &gt; mathematical model &gt; scientific model &gt; conceptual model &gt; knowledge organization system</t>
  </si>
  <si>
    <t>dynamical system &gt; mathematical model &gt; model &gt; information &gt; knowledge</t>
  </si>
  <si>
    <t>dynamical system &gt; mathematical model &gt; model &gt; information &gt; abstract entity</t>
  </si>
  <si>
    <t>dynamical system &gt; mathematical model &gt; model &gt; artificial object &gt; object</t>
  </si>
  <si>
    <t>dynamical system &gt; mathematical model &gt; intellectual work &gt; intellectual property &gt; erga omnes</t>
  </si>
  <si>
    <t>dynamical system &gt; mathematical model &gt; intellectual work &gt; intellectual property &gt; exclusive right</t>
  </si>
  <si>
    <t>dynamical system &gt; mathematical model &gt; intellectual work &gt; intellectual property &gt; intangible asset</t>
  </si>
  <si>
    <t>dynamical system &gt; mathematical model &gt; intellectual work &gt; intellectual property &gt; property</t>
  </si>
  <si>
    <t>dynamical system &gt; mathematical model &gt; intellectual work &gt; work &gt; cultural artifact</t>
  </si>
  <si>
    <t>dynamical system &gt; mathematical model &gt; intellectual work &gt; work &gt; artificial object</t>
  </si>
  <si>
    <t>dynamical system &gt; mathematical model &gt; conceptual model &gt; knowledge organization system &gt; reference work</t>
  </si>
  <si>
    <t>dynamical system &gt; mathematical model &gt; conceptual model &gt; knowledge organization system &gt; model</t>
  </si>
  <si>
    <t>dynamical system &gt; mathematical model &gt; conceptual model &gt; knowledge organization system &gt; conceptual system</t>
  </si>
  <si>
    <t>dynamics &gt; mechanics &gt; physics &gt; physical sciences &gt; natural science</t>
  </si>
  <si>
    <t>dynamics &gt; mechanics &gt; physics &gt; natural science &gt; science</t>
  </si>
  <si>
    <t>dynamical system &gt; conceptual system &gt; abstract entity &gt; entity</t>
  </si>
  <si>
    <t>Dynamique des tubes de forage</t>
  </si>
  <si>
    <t>Drilling optimization</t>
  </si>
  <si>
    <t>uncertainty analysis &gt; risk analysis &gt; analysis &gt; scholarly method &gt; method</t>
  </si>
  <si>
    <t>Q7882499</t>
  </si>
  <si>
    <t>uncertainty quantification</t>
  </si>
  <si>
    <t>Uncertainty quantification</t>
  </si>
  <si>
    <t>uncertainty analysis &gt; risk analysis &gt; analysis &gt; inquiry &gt; planned process</t>
  </si>
  <si>
    <t>uncertainty analysis &gt; risk analysis &gt; analysis &gt; inquiry &gt; seeking</t>
  </si>
  <si>
    <t>uncertainty analysis &gt; risk analysis &gt; decision analysis &gt; analysis &gt; scholarly method</t>
  </si>
  <si>
    <t>uncertainty analysis &gt; risk analysis &gt; decision analysis &gt; analysis &gt; inquiry</t>
  </si>
  <si>
    <t>uncertainty analysis &gt; analysis &gt; scholarly method &gt; method &gt; means</t>
  </si>
  <si>
    <t>uncertainty analysis &gt; analysis &gt; inquiry &gt; planned process &gt; intentional human activity</t>
  </si>
  <si>
    <t>uncertainty analysis &gt; analysis &gt; inquiry &gt; planned process &gt; process</t>
  </si>
  <si>
    <t>uncertainty analysis &gt; analysis &gt; inquiry &gt; seeking &gt; activity</t>
  </si>
  <si>
    <t>Stochastic modeling</t>
  </si>
  <si>
    <t>Q7049459</t>
  </si>
  <si>
    <t>Nonlinear Dynamics</t>
  </si>
  <si>
    <t>Nonlinear dynamics</t>
  </si>
  <si>
    <t>Drillstring dynamics</t>
  </si>
  <si>
    <t>Teenage Mutant Ninja Turtles character;animated television character</t>
  </si>
  <si>
    <t>Q123126876;Q73502689</t>
  </si>
  <si>
    <t>Q80420024</t>
  </si>
  <si>
    <t>Tsunami</t>
  </si>
  <si>
    <t>The 1979 nice airport tsunami: mapping of the flood in Antibes</t>
  </si>
  <si>
    <t>Nice airport</t>
  </si>
  <si>
    <t>car carrier</t>
  </si>
  <si>
    <t>Q356847</t>
  </si>
  <si>
    <t>Q83650360</t>
  </si>
  <si>
    <t>Mediterranean Sea</t>
  </si>
  <si>
    <t>art exhibition;event</t>
  </si>
  <si>
    <t>Q110893486</t>
  </si>
  <si>
    <t>Mapping</t>
  </si>
  <si>
    <t>field of study;branch of geology;academic discipline;field of study</t>
  </si>
  <si>
    <t>Q1047113;Q11862829;Q2267705;Q87058424</t>
  </si>
  <si>
    <t>geology &gt; Earth science &gt; earth and planetary science &gt; physical sciences &gt; natural science</t>
  </si>
  <si>
    <t>11932063v</t>
  </si>
  <si>
    <t>Q179509</t>
  </si>
  <si>
    <t>hydrogeology</t>
  </si>
  <si>
    <t>Hydrogeology</t>
  </si>
  <si>
    <t>geology &gt; natural science &gt; science &gt; intellectual activity &gt; mental activity</t>
  </si>
  <si>
    <t>geology &gt; natural science &gt; science &gt; intellectual activity &gt; intentional human activity</t>
  </si>
  <si>
    <t>geology &gt; natural science &gt; science &gt; logic &gt; scientific study</t>
  </si>
  <si>
    <t>geology &gt; natural science &gt; science &gt; research &gt; education and research</t>
  </si>
  <si>
    <t>geology &gt; natural science &gt; science &gt; research &gt; process</t>
  </si>
  <si>
    <t>geology &gt; natural science &gt; science &gt; research &gt; activity</t>
  </si>
  <si>
    <t>geology &gt; natural science &gt; science &gt; research &gt; inquiry</t>
  </si>
  <si>
    <t>geology &gt; natural science &gt; science &gt; epistemology &gt; philosophy</t>
  </si>
  <si>
    <t>geology &gt; natural science &gt; science &gt; epistemology &gt; theoretical philosophy</t>
  </si>
  <si>
    <t>geology &gt; natural science &gt; science &gt; knowledge &gt; memory</t>
  </si>
  <si>
    <t>geology &gt; natural science &gt; science &gt; knowledge system &gt; conceptual system</t>
  </si>
  <si>
    <t>hydrology &gt; science &gt; intellectual activity &gt; mental activity &gt; human activity</t>
  </si>
  <si>
    <t>hydrology &gt; science &gt; intellectual activity &gt; intentional human activity &gt; human activity</t>
  </si>
  <si>
    <t>hydrology &gt; science &gt; logic &gt; scientific study &gt; science project</t>
  </si>
  <si>
    <t>hydrology &gt; science &gt; research &gt; education and research &gt; economic activity</t>
  </si>
  <si>
    <t>hydrology &gt; science &gt; research &gt; process &gt; sequence</t>
  </si>
  <si>
    <t>hydrology &gt; science &gt; research &gt; process &gt; occurrent</t>
  </si>
  <si>
    <t>hydrology &gt; science &gt; research &gt; activity &gt; process</t>
  </si>
  <si>
    <t>hydrology &gt; science &gt; research &gt; inquiry &gt; planned process</t>
  </si>
  <si>
    <t>hydrology &gt; science &gt; research &gt; inquiry &gt; seeking</t>
  </si>
  <si>
    <t>hydrology &gt; science &gt; epistemology &gt; philosophy &gt; knowledge system</t>
  </si>
  <si>
    <t>hydrology &gt; science &gt; epistemology &gt; theoretical philosophy &gt; philosophy</t>
  </si>
  <si>
    <t>hydrology &gt; science &gt; knowledge &gt; memory &gt; content</t>
  </si>
  <si>
    <t>hydrology &gt; science &gt; knowledge &gt; memory &gt; information</t>
  </si>
  <si>
    <t>hydrology &gt; science &gt; knowledge system &gt; conceptual system &gt; concept</t>
  </si>
  <si>
    <t>hydrology &gt; science &gt; knowledge system &gt; conceptual system &gt; abstract entity</t>
  </si>
  <si>
    <t>hydrology &gt; science &gt; knowledge system &gt; conceptual system &gt; artificial object</t>
  </si>
  <si>
    <t>hydrology &gt; science &gt; knowledge system &gt; conceptual system &gt; system</t>
  </si>
  <si>
    <t>geology &gt; natural science &gt; science &gt; outline of academic disciplines</t>
  </si>
  <si>
    <t>hydrology &gt; science &gt; outline of academic disciplines</t>
  </si>
  <si>
    <t>Q96328626</t>
  </si>
  <si>
    <t>Geotechnical Engineering</t>
  </si>
  <si>
    <t>Geophysics/Geodesy</t>
  </si>
  <si>
    <t>Geo-database</t>
  </si>
  <si>
    <t>management &gt; control &gt; control &gt; aptitude &gt; quality</t>
  </si>
  <si>
    <t>Q135424760</t>
  </si>
  <si>
    <t>environmental management</t>
  </si>
  <si>
    <t>Environmental Management</t>
  </si>
  <si>
    <t>management &gt; control &gt; control &gt; activity &gt; process</t>
  </si>
  <si>
    <t>management &gt; control &gt; aptitude &gt; quality &gt; property</t>
  </si>
  <si>
    <t>management &gt; control &gt; activity &gt; process &gt; sequence</t>
  </si>
  <si>
    <t>management &gt; control &gt; activity &gt; process &gt; occurrent</t>
  </si>
  <si>
    <t>management &gt; coordination &gt; activity &gt; process &gt; sequence</t>
  </si>
  <si>
    <t>management &gt; coordination &gt; activity &gt; process &gt; occurrent</t>
  </si>
  <si>
    <t>field of study;branch of engineering;field of work;academic discipline;academic major;field of study</t>
  </si>
  <si>
    <t>Q1047113;Q11862829;Q12015335;Q2267705;Q4671286;Q627436</t>
  </si>
  <si>
    <t>civil and environmental engineering &gt; engineering &gt; applied science &gt; science &gt; intellectual activity</t>
  </si>
  <si>
    <t>11936922q</t>
  </si>
  <si>
    <t>Q77590</t>
  </si>
  <si>
    <t>civil engineering</t>
  </si>
  <si>
    <t>civil and environmental engineering &gt; engineering &gt; applied science &gt; science &gt; logic</t>
  </si>
  <si>
    <t>civil and environmental engineering &gt; engineering &gt; applied science &gt; science &gt; research</t>
  </si>
  <si>
    <t>civil and environmental engineering &gt; engineering &gt; applied science &gt; science &gt; epistemology</t>
  </si>
  <si>
    <t>civil and environmental engineering &gt; engineering &gt; applied science &gt; science &gt; outline of academic disciplines</t>
  </si>
  <si>
    <t>civil and environmental engineering &gt; engineering &gt; applied science &gt; science &gt; knowledge</t>
  </si>
  <si>
    <t>civil and environmental engineering &gt; engineering &gt; applied science &gt; science &gt; knowledge system</t>
  </si>
  <si>
    <t>engineering &gt; applied science &gt; science &gt; intellectual activity &gt; mental activity</t>
  </si>
  <si>
    <t>engineering &gt; applied science &gt; science &gt; intellectual activity &gt; intentional human activity</t>
  </si>
  <si>
    <t>engineering &gt; applied science &gt; science &gt; logic &gt; scientific study</t>
  </si>
  <si>
    <t>engineering &gt; applied science &gt; science &gt; research &gt; education and research</t>
  </si>
  <si>
    <t>engineering &gt; applied science &gt; science &gt; research &gt; process</t>
  </si>
  <si>
    <t>engineering &gt; applied science &gt; science &gt; research &gt; activity</t>
  </si>
  <si>
    <t>engineering &gt; applied science &gt; science &gt; research &gt; inquiry</t>
  </si>
  <si>
    <t>engineering &gt; applied science &gt; science &gt; epistemology &gt; philosophy</t>
  </si>
  <si>
    <t>engineering &gt; applied science &gt; science &gt; epistemology &gt; theoretical philosophy</t>
  </si>
  <si>
    <t>engineering &gt; applied science &gt; science &gt; knowledge &gt; memory</t>
  </si>
  <si>
    <t>engineering &gt; applied science &gt; science &gt; knowledge system &gt; conceptual system</t>
  </si>
  <si>
    <t>engineering &gt; applied science &gt; science &gt; outline of academic disciplines</t>
  </si>
  <si>
    <t>commune of France;city</t>
  </si>
  <si>
    <t>Q484170;Q515</t>
  </si>
  <si>
    <t>11960811z</t>
  </si>
  <si>
    <t>Q126898</t>
  </si>
  <si>
    <t>Antibes</t>
  </si>
  <si>
    <t>Q2733678</t>
  </si>
  <si>
    <t>Winter maintenance</t>
  </si>
  <si>
    <t>Infrared thermography applied to surface temperature survey of enhanced pavement sample addressing self-de-icing functionality</t>
  </si>
  <si>
    <t>Phase change materials</t>
  </si>
  <si>
    <t>Porous asphalt concrete</t>
  </si>
  <si>
    <t>thermal analysis &gt; analysis &gt; scholarly method &gt; method &gt; means</t>
  </si>
  <si>
    <t>Q108054004</t>
  </si>
  <si>
    <t>infrared thermography</t>
  </si>
  <si>
    <t>Infrared Thermography</t>
  </si>
  <si>
    <t>thermal analysis &gt; analysis &gt; inquiry &gt; planned process &gt; intentional human activity</t>
  </si>
  <si>
    <t>thermal analysis &gt; analysis &gt; inquiry &gt; planned process &gt; process</t>
  </si>
  <si>
    <t>thermal analysis &gt; analysis &gt; inquiry &gt; seeking &gt; activity</t>
  </si>
  <si>
    <t>Numerical Homogenization</t>
  </si>
  <si>
    <t>Stochastic modeling of mesoscopic elasticity random field</t>
  </si>
  <si>
    <t>MaxEnt principle</t>
  </si>
  <si>
    <t>Probabilistic model</t>
  </si>
  <si>
    <t>Highly heterogenous materials</t>
  </si>
  <si>
    <t>A phase-field method for computational modeling of interfacial damage interacting with crack propagation in realistic microstructures obtained by microtomography</t>
  </si>
  <si>
    <t>Q1640482</t>
  </si>
  <si>
    <t>Phase field models</t>
  </si>
  <si>
    <t>Phase field</t>
  </si>
  <si>
    <t>creative work</t>
  </si>
  <si>
    <t>Q17537576</t>
  </si>
  <si>
    <t>Q106996383</t>
  </si>
  <si>
    <t>Cracks</t>
  </si>
  <si>
    <t>Interfacial damage</t>
  </si>
  <si>
    <t>Voxel-based models</t>
  </si>
  <si>
    <t>Microcracking</t>
  </si>
  <si>
    <t>version, edition or translation</t>
  </si>
  <si>
    <t>Q3331189</t>
  </si>
  <si>
    <t>Q122529709</t>
  </si>
  <si>
    <t>Functional analysis</t>
  </si>
  <si>
    <t>Genetic and functional analyses demonstrate a role for abnormal glycinergic signaling in autism</t>
  </si>
  <si>
    <t>Morris water maze</t>
  </si>
  <si>
    <t>Novel object recognition</t>
  </si>
  <si>
    <t>Q15765923</t>
  </si>
  <si>
    <t>Learning and Memory</t>
  </si>
  <si>
    <t>Learning and memory</t>
  </si>
  <si>
    <t>class of anatomical entity;brain region</t>
  </si>
  <si>
    <t>Q112826905;Q1620186</t>
  </si>
  <si>
    <t>particular anatomical entity &gt; anatomical structure &gt; material anatomical entity &gt; physical anatomical entity &gt; concrete object</t>
  </si>
  <si>
    <t>Q18680</t>
  </si>
  <si>
    <t>prefrontal cortex</t>
  </si>
  <si>
    <t>Prefrontal cortex</t>
  </si>
  <si>
    <t>particular anatomical entity &gt; anatomical structure &gt; material anatomical entity &gt; physical anatomical entity &gt; anatomical entity</t>
  </si>
  <si>
    <t>particular anatomical entity &gt; anatomical structure &gt; material anatomical entity &gt; material entity &gt; independent continuant</t>
  </si>
  <si>
    <t>particular anatomical entity &gt; anatomical structure &gt; biological structure &gt; natural physical object &gt; natural object</t>
  </si>
  <si>
    <t>particular anatomical entity &gt; anatomical structure &gt; biological structure &gt; natural physical object &gt; physical object</t>
  </si>
  <si>
    <t>particular anatomical entity &gt; anatomical structure &gt; biological structure &gt; structure &gt; geographic entity</t>
  </si>
  <si>
    <t>particular anatomical entity &gt; anatomical structure &gt; biological structure &gt; structure &gt; order</t>
  </si>
  <si>
    <t>particular anatomical entity &gt; anatomical structure &gt; biological structure &gt; structure &gt; collective entity</t>
  </si>
  <si>
    <t>region of cerebral cortex &gt; region of organ component &gt; organ part &gt; multicellular structure &gt; group of cells</t>
  </si>
  <si>
    <t>region of cerebral cortex &gt; region of organ component &gt; organ part &gt; multicellular structure &gt; anatomical structure</t>
  </si>
  <si>
    <t>region of cerebral cortex &gt; region of organ component &gt; organ part &gt; anatomical structure &gt; material anatomical entity</t>
  </si>
  <si>
    <t>region of cerebral cortex &gt; region of organ component &gt; organ part &gt; anatomical structure &gt; biological structure</t>
  </si>
  <si>
    <t>particular anatomical entity &gt; concrete object &gt; individual item &gt; entity</t>
  </si>
  <si>
    <t>particular anatomical entity &gt; concrete object &gt; object &gt; entity</t>
  </si>
  <si>
    <t>Î‘2 subunit</t>
  </si>
  <si>
    <t>group or class of transmembrane transport proteins</t>
  </si>
  <si>
    <t>Q67101749</t>
  </si>
  <si>
    <t>cysteine loop ligand-gated ion channel receptor &gt; neurotransmitter receptor &gt; biological macromolecule &gt; biomolecule &gt; chemical compound</t>
  </si>
  <si>
    <t>Q426887</t>
  </si>
  <si>
    <t>glycine receptor</t>
  </si>
  <si>
    <t>Glycine receptor</t>
  </si>
  <si>
    <t>cysteine loop ligand-gated ion channel receptor &gt; neurotransmitter receptor &gt; biological macromolecule &gt; macromolecule &gt; molecule</t>
  </si>
  <si>
    <t>cysteine loop ligand-gated ion channel receptor &gt; neurotransmitter receptor &gt; biological macromolecule &gt; anatomical structure &gt; material anatomical entity</t>
  </si>
  <si>
    <t>cysteine loop ligand-gated ion channel receptor &gt; neurotransmitter receptor &gt; biological macromolecule &gt; anatomical structure &gt; biological structure</t>
  </si>
  <si>
    <t>cysteine loop ligand-gated ion channel receptor &gt; neurotransmitter receptor &gt; signaling receptor &gt; protein &gt; biological macromolecule</t>
  </si>
  <si>
    <t>cysteine loop ligand-gated ion channel receptor &gt; neurotransmitter receptor &gt; signaling receptor &gt; protein &gt; polypeptide</t>
  </si>
  <si>
    <t>cysteine loop ligand-gated ion channel receptor &gt; neurotransmitter receptor &gt; signaling receptor &gt; protein &gt; gene product</t>
  </si>
  <si>
    <t>cysteine loop ligand-gated ion channel receptor &gt; neurotransmitter receptor &gt; signaling receptor &gt; protein &gt; biopolymer</t>
  </si>
  <si>
    <t>cysteine loop ligand-gated ion channel receptor &gt; neurotransmitter receptor &gt; cell surface receptor &gt; signaling receptor &gt; protein</t>
  </si>
  <si>
    <t>cysteine loop ligand-gated ion channel receptor &gt; neurotransmitter receptor &gt; cell surface receptor &gt; integral membrane protein &gt; membrane protein</t>
  </si>
  <si>
    <t>cysteine loop ligand-gated ion channel receptor &gt; alpha-type channel &gt; porin &gt; transmembrane transport proteins &gt; transport protein</t>
  </si>
  <si>
    <t>cysteine loop ligand-gated ion channel receptor &gt; alpha-type channel &gt; porin &gt; transmembrane transport proteins &gt; transmembrane protein</t>
  </si>
  <si>
    <t>cysteine loop ligand-gated ion channel receptor &gt; ligand-gated ion channel &gt; alpha-type channel &gt; porin &gt; transmembrane transport proteins</t>
  </si>
  <si>
    <t>cysteine loop ligand-gated ion channel receptor &gt; ligand-gated ion channel &gt; ion channel complex &gt; transmembrane transporter complex &gt; transmembrane transport proteins</t>
  </si>
  <si>
    <t>cysteine loop ligand-gated ion channel receptor &gt; ligand-gated ion channel &gt; ion channel complex &gt; transmembrane transporter complex &gt; membrane protein complex</t>
  </si>
  <si>
    <t>cysteine loop ligand-gated ion channel receptor &gt; ligand-gated ion channel &gt; ion channel complex &gt; transmembrane transporter complex &gt; transporter complex</t>
  </si>
  <si>
    <t>cysteine loop ligand-gated ion channel receptor &gt; ligand-gated ion channel &gt; ion channel complex &gt; ion transmembrane transporter &gt; transmembrane transport proteins</t>
  </si>
  <si>
    <t>cysteine loop ligand-gated ion channel receptor &gt; ligand-gated ion channel &gt; ion channel complex &gt; porin &gt; transmembrane transport proteins</t>
  </si>
  <si>
    <t>voltage-gated chloride channel, subgroup</t>
  </si>
  <si>
    <t>genetic operator &gt; software &gt; product &gt; object &gt; entity</t>
  </si>
  <si>
    <t>Q610425</t>
  </si>
  <si>
    <t>mutation</t>
  </si>
  <si>
    <t>Mutation</t>
  </si>
  <si>
    <t>genetic operator &gt; software &gt; means &gt; contributing factor &gt; occurrent</t>
  </si>
  <si>
    <t>genetic operator &gt; software &gt; means &gt; contributing factor &gt; condition</t>
  </si>
  <si>
    <t>genetic operator &gt; software &gt; written work &gt; work &gt; cultural artifact</t>
  </si>
  <si>
    <t>genetic operator &gt; software &gt; written work &gt; work &gt; artificial object</t>
  </si>
  <si>
    <t>genetic operator &gt; software &gt; written work &gt; intellectual work &gt; intellectual property</t>
  </si>
  <si>
    <t>genetic operator &gt; software &gt; written work &gt; intellectual work &gt; work</t>
  </si>
  <si>
    <t>genetic operator &gt; software &gt; creative work &gt; work &gt; cultural artifact</t>
  </si>
  <si>
    <t>genetic operator &gt; software &gt; creative work &gt; work &gt; artificial object</t>
  </si>
  <si>
    <t>genetic operator &gt; software &gt; creative work &gt; intellectual work &gt; intellectual property</t>
  </si>
  <si>
    <t>genetic operator &gt; software &gt; creative work &gt; intellectual work &gt; work</t>
  </si>
  <si>
    <t>house</t>
  </si>
  <si>
    <t>Q3947</t>
  </si>
  <si>
    <t>Q20828326</t>
  </si>
  <si>
    <t>De Novo</t>
  </si>
  <si>
    <t>De novo</t>
  </si>
  <si>
    <t>cellular component</t>
  </si>
  <si>
    <t>Q5058355</t>
  </si>
  <si>
    <t>sex chromosome &gt; heterosome &gt; homologous chromosome &gt; homology &gt; similarity</t>
  </si>
  <si>
    <t>Q61333</t>
  </si>
  <si>
    <t>X chromosome</t>
  </si>
  <si>
    <t>sex chromosome &gt; heterosome &gt; homologous chromosome &gt; homology &gt; property</t>
  </si>
  <si>
    <t>sex chromosome &gt; heterosome &gt; homologous chromosome &gt; chromosome &gt; intracellular non-membrane-bounded organelle</t>
  </si>
  <si>
    <t>sex chromosome &gt; chromosome &gt; intracellular non-membrane-bounded organelle &gt; non-membrane-bounded organelle &gt; organelle</t>
  </si>
  <si>
    <t>sex chromosome &gt; chromosome &gt; intracellular non-membrane-bounded organelle &gt; intracellular organelle &gt; organelle</t>
  </si>
  <si>
    <t>miniaturized device &gt; machine &gt; appliance &gt; physical tool &gt; tool</t>
  </si>
  <si>
    <t>Q1931516</t>
  </si>
  <si>
    <t>microarray</t>
  </si>
  <si>
    <t>Microarray</t>
  </si>
  <si>
    <t>miniaturized device &gt; machine &gt; appliance &gt; physical tool &gt; artificial physical object</t>
  </si>
  <si>
    <t>miniaturized device &gt; machine &gt; appliance &gt; physical tool &gt; equipment</t>
  </si>
  <si>
    <t>miniaturized device &gt; machine &gt; converter &gt; entity</t>
  </si>
  <si>
    <t>psychological experiment</t>
  </si>
  <si>
    <t>Q2116008</t>
  </si>
  <si>
    <t>Q7370237</t>
  </si>
  <si>
    <t>rotarod performance test</t>
  </si>
  <si>
    <t>Rotarod</t>
  </si>
  <si>
    <t>Locomotor activity</t>
  </si>
  <si>
    <t>type of interaction</t>
  </si>
  <si>
    <t>Q123345464</t>
  </si>
  <si>
    <t>social behavior &gt; biological process involved in intraspecies interaction between organisms &gt; biological process &gt; physical process &gt; physical phenomenon</t>
  </si>
  <si>
    <t>11937929c</t>
  </si>
  <si>
    <t>Q609298</t>
  </si>
  <si>
    <t>social interaction</t>
  </si>
  <si>
    <t>Social interaction</t>
  </si>
  <si>
    <t>social behavior &gt; biological process involved in intraspecies interaction between organisms &gt; biological process &gt; physical process &gt; physicochemical process</t>
  </si>
  <si>
    <t>social behavior &gt; biological process involved in intraspecies interaction between organisms &gt; biological process &gt; biological phenomenon &gt; physical phenomenon</t>
  </si>
  <si>
    <t>social behavior &gt; biological process involved in intraspecies interaction between organisms &gt; biological process &gt; biological phenomenon &gt; natural phenomenon</t>
  </si>
  <si>
    <t>social behavior &gt; biological process involved in intraspecies interaction between organisms &gt; multi-organism process &gt; biological process &gt; physical process</t>
  </si>
  <si>
    <t>social behavior &gt; biological process involved in intraspecies interaction between organisms &gt; multi-organism process &gt; biological process &gt; biological phenomenon</t>
  </si>
  <si>
    <t>social behavior &gt; animal behavior &gt; multicellular organismal process &gt; biological process &gt; physical process</t>
  </si>
  <si>
    <t>social behavior &gt; animal behavior &gt; multicellular organismal process &gt; biological process &gt; biological phenomenon</t>
  </si>
  <si>
    <t>social behavior &gt; animal behavior &gt; behavior &gt; pattern &gt; regularity</t>
  </si>
  <si>
    <t>interaction &gt; relation &gt; property &gt; abstract entity &gt; entity</t>
  </si>
  <si>
    <t>interaction &gt; effect &gt; action &gt; occurrence &gt; occurrent</t>
  </si>
  <si>
    <t>social phenomenon &gt; phenomenon &gt; occurrent &gt; entity &gt; entity</t>
  </si>
  <si>
    <t>social phenomenon &gt; phenomenon &gt; observable entity &gt; entity</t>
  </si>
  <si>
    <t>Repetitive behaviors</t>
  </si>
  <si>
    <t>neurodevelopmental disorder;disability</t>
  </si>
  <si>
    <t>Q12131;Q3450985</t>
  </si>
  <si>
    <t>neurodiversity &gt; intraspecific variation &gt; genetic diversity &gt; biodiversity &gt; diversity</t>
  </si>
  <si>
    <t>16627519x</t>
  </si>
  <si>
    <t>Q1436063</t>
  </si>
  <si>
    <t>autism spectrum disorder</t>
  </si>
  <si>
    <t>Autism spectrum disorder</t>
  </si>
  <si>
    <t>neurodiversity &gt; intraspecific variation &gt; genetic diversity &gt; biodiversity &gt; biology</t>
  </si>
  <si>
    <t>pervasive developmental disorder &gt; disease &gt; manner of death &gt; type &gt; class</t>
  </si>
  <si>
    <t>pervasive developmental disorder &gt; disease &gt; biological process &gt; physical process &gt; physical phenomenon</t>
  </si>
  <si>
    <t>pervasive developmental disorder &gt; disease &gt; biological process &gt; physical process &gt; physicochemical process</t>
  </si>
  <si>
    <t>pervasive developmental disorder &gt; disease &gt; biological process &gt; biological phenomenon &gt; physical phenomenon</t>
  </si>
  <si>
    <t>pervasive developmental disorder &gt; disease &gt; biological process &gt; biological phenomenon &gt; natural phenomenon</t>
  </si>
  <si>
    <t>pervasive developmental disorder &gt; disease &gt; health problem &gt; anomaly &gt; phenomenon</t>
  </si>
  <si>
    <t>pervasive developmental disorder &gt; disease &gt; health problem &gt; health risk &gt; hazard</t>
  </si>
  <si>
    <t>pervasive developmental disorder &gt; disease &gt; health problem &gt; health risk &gt; operational risk</t>
  </si>
  <si>
    <t>pervasive developmental disorder &gt; disease &gt; health problem &gt; health risk &gt; personal risk</t>
  </si>
  <si>
    <t>pervasive developmental disorder &gt; disease &gt; health problem &gt; medical finding &gt; finding</t>
  </si>
  <si>
    <t>pervasive developmental disorder &gt; disease &gt; health problem &gt; problem &gt; situation</t>
  </si>
  <si>
    <t>pervasive developmental disorder &gt; disease &gt; health problem &gt; physiological condition &gt; condition</t>
  </si>
  <si>
    <t>pervasive developmental disorder &gt; disease &gt; health problem &gt; physiological condition &gt; state</t>
  </si>
  <si>
    <t>pervasive developmental disorder &gt; developmental disorder &gt; disease &gt; manner of death &gt; type</t>
  </si>
  <si>
    <t>pervasive developmental disorder &gt; developmental disorder &gt; disease &gt; biological process &gt; physical process</t>
  </si>
  <si>
    <t>pervasive developmental disorder &gt; developmental disorder &gt; disease &gt; biological process &gt; biological phenomenon</t>
  </si>
  <si>
    <t>pervasive developmental disorder &gt; developmental disorder &gt; disease &gt; health problem &gt; anomaly</t>
  </si>
  <si>
    <t>pervasive developmental disorder &gt; developmental disorder &gt; disease &gt; health problem &gt; health risk</t>
  </si>
  <si>
    <t>pervasive developmental disorder &gt; developmental disorder &gt; disease &gt; health problem &gt; medical finding</t>
  </si>
  <si>
    <t>pervasive developmental disorder &gt; developmental disorder &gt; disease &gt; health problem &gt; problem</t>
  </si>
  <si>
    <t>pervasive developmental disorder &gt; developmental disorder &gt; disease &gt; health problem &gt; physiological condition</t>
  </si>
  <si>
    <t>pervasive developmental disorder &gt; developmental disorder &gt; developmental disability &gt; disability &gt; property</t>
  </si>
  <si>
    <t>pervasive developmental disorder &gt; developmental disorder &gt; developmental disability &gt; neurological disorder &gt; disease</t>
  </si>
  <si>
    <t>pervasive developmental disorder &gt; developmental disorder &gt; developmental disability &gt; neurological disorder &gt; disease of anatomical entity</t>
  </si>
  <si>
    <t>pervasive developmental disorder &gt; developmental disorder &gt; mental disorder &gt; disease &gt; manner of death</t>
  </si>
  <si>
    <t>pervasive developmental disorder &gt; developmental disorder &gt; mental disorder &gt; disease &gt; biological process</t>
  </si>
  <si>
    <t>pervasive developmental disorder &gt; developmental disorder &gt; mental disorder &gt; disease &gt; health problem</t>
  </si>
  <si>
    <t>Q18026157</t>
  </si>
  <si>
    <t>GLRA2</t>
  </si>
  <si>
    <t>Glycinergic signaling</t>
  </si>
  <si>
    <t>genetic variant &gt; taxon &gt; group or class of living things &gt; group or class of physical objects &gt; collective entity</t>
  </si>
  <si>
    <t>Q18393518</t>
  </si>
  <si>
    <t>rare variant</t>
  </si>
  <si>
    <t>Rare variants</t>
  </si>
  <si>
    <t>musical group</t>
  </si>
  <si>
    <t>Q215380</t>
  </si>
  <si>
    <t>Q10467859</t>
  </si>
  <si>
    <t>Deletion</t>
  </si>
  <si>
    <t>class of disease</t>
  </si>
  <si>
    <t>Q112193867</t>
  </si>
  <si>
    <t>disease &gt; manner of death &gt; type &gt; class &gt; class</t>
  </si>
  <si>
    <t>11977150t</t>
  </si>
  <si>
    <t>Q183560</t>
  </si>
  <si>
    <t>intellectual disability</t>
  </si>
  <si>
    <t>Intellectual disability</t>
  </si>
  <si>
    <t>disease &gt; biological process &gt; physical process &gt; physical phenomenon &gt; phenomenon</t>
  </si>
  <si>
    <t>disease &gt; biological process &gt; physical process &gt; physicochemical process &gt; process</t>
  </si>
  <si>
    <t>disease &gt; biological process &gt; biological phenomenon &gt; physical phenomenon &gt; phenomenon</t>
  </si>
  <si>
    <t>disease &gt; biological process &gt; biological phenomenon &gt; natural phenomenon &gt; occurrence</t>
  </si>
  <si>
    <t>disease &gt; biological process &gt; biological phenomenon &gt; natural phenomenon &gt; phenomenon</t>
  </si>
  <si>
    <t>disease &gt; health problem &gt; anomaly &gt; phenomenon &gt; observable entity</t>
  </si>
  <si>
    <t>disease &gt; health problem &gt; anomaly &gt; phenomenon &gt; occurrent</t>
  </si>
  <si>
    <t>disease &gt; health problem &gt; health risk &gt; hazard &gt; situation</t>
  </si>
  <si>
    <t>disease &gt; health problem &gt; health risk &gt; hazard &gt; risk source</t>
  </si>
  <si>
    <t>disease &gt; health problem &gt; health risk &gt; operational risk &gt; internal risk</t>
  </si>
  <si>
    <t>disease &gt; health problem &gt; health risk &gt; personal risk &gt; risk</t>
  </si>
  <si>
    <t>disease &gt; health problem &gt; medical finding &gt; finding &gt; intellectual work</t>
  </si>
  <si>
    <t>disease &gt; health problem &gt; medical finding &gt; finding &gt; information</t>
  </si>
  <si>
    <t>disease &gt; health problem &gt; medical finding &gt; finding &gt; result</t>
  </si>
  <si>
    <t>disease &gt; health problem &gt; problem &gt; situation &gt; condition</t>
  </si>
  <si>
    <t>disease &gt; health problem &gt; physiological condition &gt; condition &gt; state</t>
  </si>
  <si>
    <t>disease &gt; health problem &gt; physiological condition &gt; state &gt; property</t>
  </si>
  <si>
    <t>disease &gt; health problem &gt; physiological condition &gt; state &gt; phenomenon</t>
  </si>
  <si>
    <t>cognitive deficit &gt; cognitive disorder &gt; organic brain syndrome &gt; physical disorder &gt; disease</t>
  </si>
  <si>
    <t>cognitive deficit &gt; cognitive disorder &gt; organic brain syndrome &gt; organic or symptomatic mental disorder &gt; mental disorder</t>
  </si>
  <si>
    <t>cognitive deficit &gt; cognitive disorder &gt; organic brain syndrome &gt; somatic disease &gt; disease</t>
  </si>
  <si>
    <t>cognitive deficit &gt; cognitive disorder &gt; mental disorder &gt; disease &gt; manner of death</t>
  </si>
  <si>
    <t>cognitive deficit &gt; cognitive disorder &gt; mental disorder &gt; disease &gt; biological process</t>
  </si>
  <si>
    <t>cognitive deficit &gt; cognitive disorder &gt; mental disorder &gt; disease &gt; health problem</t>
  </si>
  <si>
    <t>specific developmental disorder &gt; disease &gt; manner of death &gt; type &gt; class</t>
  </si>
  <si>
    <t>specific developmental disorder &gt; disease &gt; biological process &gt; physical process &gt; physical phenomenon</t>
  </si>
  <si>
    <t>specific developmental disorder &gt; disease &gt; biological process &gt; physical process &gt; physicochemical process</t>
  </si>
  <si>
    <t>specific developmental disorder &gt; disease &gt; biological process &gt; biological phenomenon &gt; physical phenomenon</t>
  </si>
  <si>
    <t>specific developmental disorder &gt; disease &gt; biological process &gt; biological phenomenon &gt; natural phenomenon</t>
  </si>
  <si>
    <t>specific developmental disorder &gt; disease &gt; health problem &gt; anomaly &gt; phenomenon</t>
  </si>
  <si>
    <t>specific developmental disorder &gt; disease &gt; health problem &gt; health risk &gt; hazard</t>
  </si>
  <si>
    <t>specific developmental disorder &gt; disease &gt; health problem &gt; health risk &gt; operational risk</t>
  </si>
  <si>
    <t>specific developmental disorder &gt; disease &gt; health problem &gt; health risk &gt; personal risk</t>
  </si>
  <si>
    <t>specific developmental disorder &gt; disease &gt; health problem &gt; medical finding &gt; finding</t>
  </si>
  <si>
    <t>specific developmental disorder &gt; disease &gt; health problem &gt; problem &gt; situation</t>
  </si>
  <si>
    <t>specific developmental disorder &gt; disease &gt; health problem &gt; physiological condition &gt; condition</t>
  </si>
  <si>
    <t>specific developmental disorder &gt; disease &gt; health problem &gt; physiological condition &gt; state</t>
  </si>
  <si>
    <t>specific developmental disorder &gt; mental disorder &gt; disease &gt; manner of death &gt; type</t>
  </si>
  <si>
    <t>specific developmental disorder &gt; mental disorder &gt; disease &gt; biological process &gt; physical process</t>
  </si>
  <si>
    <t>specific developmental disorder &gt; mental disorder &gt; disease &gt; biological process &gt; biological phenomenon</t>
  </si>
  <si>
    <t>specific developmental disorder &gt; mental disorder &gt; disease &gt; health problem &gt; anomaly</t>
  </si>
  <si>
    <t>specific developmental disorder &gt; mental disorder &gt; disease &gt; health problem &gt; health risk</t>
  </si>
  <si>
    <t>specific developmental disorder &gt; mental disorder &gt; disease &gt; health problem &gt; medical finding</t>
  </si>
  <si>
    <t>specific developmental disorder &gt; mental disorder &gt; disease &gt; health problem &gt; problem</t>
  </si>
  <si>
    <t>specific developmental disorder &gt; mental disorder &gt; disease &gt; health problem &gt; physiological condition</t>
  </si>
  <si>
    <t>specific developmental disorder &gt; developmental disorder &gt; disease &gt; manner of death &gt; type</t>
  </si>
  <si>
    <t>specific developmental disorder &gt; developmental disorder &gt; disease &gt; biological process &gt; physical process</t>
  </si>
  <si>
    <t>specific developmental disorder &gt; developmental disorder &gt; disease &gt; biological process &gt; biological phenomenon</t>
  </si>
  <si>
    <t>specific developmental disorder &gt; developmental disorder &gt; disease &gt; health problem &gt; anomaly</t>
  </si>
  <si>
    <t>specific developmental disorder &gt; developmental disorder &gt; disease &gt; health problem &gt; health risk</t>
  </si>
  <si>
    <t>specific developmental disorder &gt; developmental disorder &gt; disease &gt; health problem &gt; medical finding</t>
  </si>
  <si>
    <t>specific developmental disorder &gt; developmental disorder &gt; disease &gt; health problem &gt; problem</t>
  </si>
  <si>
    <t>specific developmental disorder &gt; developmental disorder &gt; disease &gt; health problem &gt; physiological condition</t>
  </si>
  <si>
    <t>specific developmental disorder &gt; developmental disorder &gt; developmental disability &gt; disability &gt; property</t>
  </si>
  <si>
    <t>specific developmental disorder &gt; developmental disorder &gt; developmental disability &gt; neurological disorder &gt; disease</t>
  </si>
  <si>
    <t>specific developmental disorder &gt; developmental disorder &gt; developmental disability &gt; neurological disorder &gt; disease of anatomical entity</t>
  </si>
  <si>
    <t>specific developmental disorder &gt; developmental disorder &gt; mental disorder &gt; disease &gt; manner of death</t>
  </si>
  <si>
    <t>specific developmental disorder &gt; developmental disorder &gt; mental disorder &gt; disease &gt; biological process</t>
  </si>
  <si>
    <t>specific developmental disorder &gt; developmental disorder &gt; mental disorder &gt; disease &gt; health problem</t>
  </si>
  <si>
    <t>specific developmental disorder &gt; neurological disorder &gt; disease &gt; manner of death &gt; type</t>
  </si>
  <si>
    <t>specific developmental disorder &gt; neurological disorder &gt; disease &gt; biological process &gt; physical process</t>
  </si>
  <si>
    <t>specific developmental disorder &gt; neurological disorder &gt; disease &gt; biological process &gt; biological phenomenon</t>
  </si>
  <si>
    <t>specific developmental disorder &gt; neurological disorder &gt; disease &gt; health problem &gt; anomaly</t>
  </si>
  <si>
    <t>specific developmental disorder &gt; neurological disorder &gt; disease &gt; health problem &gt; health risk</t>
  </si>
  <si>
    <t>specific developmental disorder &gt; neurological disorder &gt; disease &gt; health problem &gt; medical finding</t>
  </si>
  <si>
    <t>specific developmental disorder &gt; neurological disorder &gt; disease &gt; health problem &gt; problem</t>
  </si>
  <si>
    <t>specific developmental disorder &gt; neurological disorder &gt; disease &gt; health problem &gt; physiological condition</t>
  </si>
  <si>
    <t>specific developmental disorder &gt; neurological disorder &gt; disease of anatomical entity &gt; disease &gt; manner of death</t>
  </si>
  <si>
    <t>specific developmental disorder &gt; neurological disorder &gt; disease of anatomical entity &gt; disease &gt; biological process</t>
  </si>
  <si>
    <t>specific developmental disorder &gt; neurological disorder &gt; disease of anatomical entity &gt; disease &gt; health problem</t>
  </si>
  <si>
    <t>disability &gt; property &gt; abstract entity &gt; entity</t>
  </si>
  <si>
    <t>cell type</t>
  </si>
  <si>
    <t>Q189118</t>
  </si>
  <si>
    <t>multipolar neuron &gt; neuron &gt; neural cell &gt; animal cell &gt; eukaryotic cell</t>
  </si>
  <si>
    <t>Q1500732</t>
  </si>
  <si>
    <t>interneuron</t>
  </si>
  <si>
    <t>Interneuron</t>
  </si>
  <si>
    <t>multipolar neuron &gt; neuron &gt; neural cell &gt; somatic cell &gt; diploid nucleated cell</t>
  </si>
  <si>
    <t>multipolar neuron &gt; neuron &gt; neural cell &gt; somatic cell &gt; diploid cell</t>
  </si>
  <si>
    <t>multipolar neuron &gt; neuron &gt; biological component &gt; natural physical object &gt; natural object</t>
  </si>
  <si>
    <t>multipolar neuron &gt; neuron &gt; biological component &gt; natural physical object &gt; physical object</t>
  </si>
  <si>
    <t>multipolar neuron &gt; neuron &gt; biological component &gt; component &gt; material entity</t>
  </si>
  <si>
    <t>multipolar neuron &gt; neuron &gt; biological component &gt; component &gt; perceptible physical object</t>
  </si>
  <si>
    <t>multipolar neuron &gt; neuron &gt; biological component &gt; component &gt; part</t>
  </si>
  <si>
    <t>neuron &gt; neural cell &gt; animal cell &gt; eukaryotic cell &gt; native cell</t>
  </si>
  <si>
    <t>neuron &gt; neural cell &gt; animal cell &gt; eukaryotic cell &gt; cell</t>
  </si>
  <si>
    <t>neuron &gt; neural cell &gt; somatic cell &gt; diploid nucleated cell &gt; nucleated cell</t>
  </si>
  <si>
    <t>neuron &gt; neural cell &gt; somatic cell &gt; diploid cell &gt; cell</t>
  </si>
  <si>
    <t>neuron &gt; biological component &gt; natural physical object &gt; natural object &gt; object</t>
  </si>
  <si>
    <t>neuron &gt; biological component &gt; natural physical object &gt; physical object &gt; concrete object</t>
  </si>
  <si>
    <t>neuron &gt; biological component &gt; natural physical object &gt; physical object &gt; material entity</t>
  </si>
  <si>
    <t>neuron &gt; biological component &gt; component &gt; material entity &gt; independent continuant</t>
  </si>
  <si>
    <t>neuron &gt; biological component &gt; component &gt; perceptible physical object &gt; physical object</t>
  </si>
  <si>
    <t>neuron &gt; biological component &gt; component &gt; part &gt; entity</t>
  </si>
  <si>
    <t>Excitatory-inhibitory imbalance</t>
  </si>
  <si>
    <t>developmental language disorder &gt; language disorder &gt; communication disorder &gt; specific developmental disorder &gt; disease</t>
  </si>
  <si>
    <t>Q997841</t>
  </si>
  <si>
    <t>language delay</t>
  </si>
  <si>
    <t>Language delay</t>
  </si>
  <si>
    <t>developmental language disorder &gt; language disorder &gt; communication disorder &gt; specific developmental disorder &gt; mental disorder</t>
  </si>
  <si>
    <t>developmental language disorder &gt; language disorder &gt; communication disorder &gt; specific developmental disorder &gt; developmental disorder</t>
  </si>
  <si>
    <t>developmental language disorder &gt; language disorder &gt; communication disorder &gt; specific developmental disorder &gt; neurological disorder</t>
  </si>
  <si>
    <t>delayed milestone &gt; lack of expected normal physiological development in childhood &gt; nutrition, metabolism, and development symptom &gt; symptom &gt; clinical finding</t>
  </si>
  <si>
    <t>delayed milestone &gt; lack of expected normal physiological development in childhood &gt; nutrition, metabolism, and development symptom &gt; symptom &gt; symptom or sign</t>
  </si>
  <si>
    <t>delayed milestone &gt; lack of expected normal physiological development in childhood &gt; nutrition, metabolism, and development symptom &gt; symptom &gt; physiological condition</t>
  </si>
  <si>
    <t>delayed milestone &gt; developmental disability &gt; disability &gt; property &gt; abstract entity</t>
  </si>
  <si>
    <t>delayed milestone &gt; developmental disability &gt; neurological disorder &gt; disease &gt; manner of death</t>
  </si>
  <si>
    <t>delayed milestone &gt; developmental disability &gt; neurological disorder &gt; disease &gt; biological process</t>
  </si>
  <si>
    <t>delayed milestone &gt; developmental disability &gt; neurological disorder &gt; disease &gt; health problem</t>
  </si>
  <si>
    <t>delayed milestone &gt; developmental disability &gt; neurological disorder &gt; disease of anatomical entity &gt; disease</t>
  </si>
  <si>
    <t>neuroplasticity &gt; biological process &gt; physical process &gt; physical phenomenon &gt; phenomenon</t>
  </si>
  <si>
    <t>Q1551556</t>
  </si>
  <si>
    <t>synaptic plasticity</t>
  </si>
  <si>
    <t>Synaptic plasticity</t>
  </si>
  <si>
    <t>neuroplasticity &gt; biological process &gt; physical process &gt; physicochemical process &gt; process</t>
  </si>
  <si>
    <t>neuroplasticity &gt; biological process &gt; biological phenomenon &gt; physical phenomenon &gt; phenomenon</t>
  </si>
  <si>
    <t>neuroplasticity &gt; biological process &gt; biological phenomenon &gt; natural phenomenon &gt; occurrence</t>
  </si>
  <si>
    <t>neuroplasticity &gt; biological process &gt; biological phenomenon &gt; natural phenomenon &gt; phenomenon</t>
  </si>
  <si>
    <t>biological pathway;chemical synaptic transmission</t>
  </si>
  <si>
    <t>Q14330653;Q4915012</t>
  </si>
  <si>
    <t>Q100235740</t>
  </si>
  <si>
    <t>Long-term potentiation</t>
  </si>
  <si>
    <t>Long term potentiation</t>
  </si>
  <si>
    <t>Mutation screening</t>
  </si>
  <si>
    <t>Q96730505</t>
  </si>
  <si>
    <t>Sequencing</t>
  </si>
  <si>
    <t>Knock-out mice</t>
  </si>
  <si>
    <t>Rescue analyses</t>
  </si>
  <si>
    <t>Axon branching</t>
  </si>
  <si>
    <t>Q8068299</t>
  </si>
  <si>
    <t>Zebrafish</t>
  </si>
  <si>
    <t>Loss of function</t>
  </si>
  <si>
    <t>metabolism &gt; biological process &gt; physical process &gt; physical phenomenon &gt; phenomenon</t>
  </si>
  <si>
    <t>Q864854</t>
  </si>
  <si>
    <t>biotinylation</t>
  </si>
  <si>
    <t>Biotinylation</t>
  </si>
  <si>
    <t>metabolism &gt; biological process &gt; physical process &gt; physicochemical process &gt; process</t>
  </si>
  <si>
    <t>metabolism &gt; biological process &gt; biological phenomenon &gt; physical phenomenon &gt; phenomenon</t>
  </si>
  <si>
    <t>metabolism &gt; biological process &gt; biological phenomenon &gt; natural phenomenon &gt; occurrence</t>
  </si>
  <si>
    <t>metabolism &gt; biological process &gt; biological phenomenon &gt; natural phenomenon &gt; phenomenon</t>
  </si>
  <si>
    <t>molecular probe techniques &gt; biomedical investigative technique &gt; biomedical analytical technique &gt; analytical chemical technique &gt; measurement</t>
  </si>
  <si>
    <t>molecular probe techniques &gt; biomedical investigative technique &gt; biomedical analytical technique &gt; analytical chemical technique &gt; publication</t>
  </si>
  <si>
    <t>molecular probe techniques &gt; biomedical investigative technique &gt; biomedical analytical technique &gt; analytical chemical technique &gt; lab technique</t>
  </si>
  <si>
    <t>molecular probe techniques &gt; biomedical investigative technique &gt; biomedical analytical technique &gt; analytical chemical technique &gt; measurement method</t>
  </si>
  <si>
    <t>molecular probe techniques &gt; biomedical investigative technique &gt; biomedical analytical technique &gt; biochemistry method &gt; method</t>
  </si>
  <si>
    <t>molecular probe techniques &gt; biomedical investigative technique &gt; biomedical analytical technique &gt; biochemistry method &gt; lab technique</t>
  </si>
  <si>
    <t>chemical reaction &gt; chemical process &gt; physical process &gt; physical phenomenon &gt; phenomenon</t>
  </si>
  <si>
    <t>chemical reaction &gt; chemical process &gt; physical process &gt; physicochemical process &gt; process</t>
  </si>
  <si>
    <t>chemical reaction &gt; chemical process &gt; physicochemical process &gt; process &gt; sequence</t>
  </si>
  <si>
    <t>chemical reaction &gt; chemical process &gt; physicochemical process &gt; process &gt; occurrent</t>
  </si>
  <si>
    <t>medical test type</t>
  </si>
  <si>
    <t>Q55215251</t>
  </si>
  <si>
    <t>biological sample staining method &gt; Q96797202 &gt; sample preparation &gt; lab technique &gt; process</t>
  </si>
  <si>
    <t>Q899285</t>
  </si>
  <si>
    <t>immunohistochemistry</t>
  </si>
  <si>
    <t>Immunohistochemistry</t>
  </si>
  <si>
    <t>biological sample staining method &gt; Q96797202 &gt; sample preparation &gt; lab technique &gt; scientific technique</t>
  </si>
  <si>
    <t>biological sample staining method &gt; Q96797202 &gt; sample preparation &gt; process &gt; activity</t>
  </si>
  <si>
    <t>biological sample staining method &gt; Q96797202 &gt; sample preparation &gt; process &gt; process</t>
  </si>
  <si>
    <t>biological sample staining method &gt; staining &gt; material process &gt; planned process &gt; intentional human activity</t>
  </si>
  <si>
    <t>biological sample staining method &gt; staining &gt; material process &gt; planned process &gt; process</t>
  </si>
  <si>
    <t>biological sample staining method &gt; staining &gt; histological assay &gt; histological procedure &gt; laboratory diagnostics</t>
  </si>
  <si>
    <t>biological sample staining method &gt; staining &gt; histological assay &gt; assay &gt; analytical chemical technique</t>
  </si>
  <si>
    <t>biological sample staining method &gt; staining &gt; lab technique &gt; process &gt; sequence</t>
  </si>
  <si>
    <t>biological sample staining method &gt; staining &gt; lab technique &gt; process &gt; occurrent</t>
  </si>
  <si>
    <t>biological sample staining method &gt; staining &gt; lab technique &gt; scientific technique &gt; technique</t>
  </si>
  <si>
    <t>lab technique &gt; process &gt; sequence &gt; class &gt; class</t>
  </si>
  <si>
    <t>lab technique &gt; process &gt; sequence &gt; function &gt; generalized function</t>
  </si>
  <si>
    <t>lab technique &gt; process &gt; sequence &gt; function &gt; multivalued function</t>
  </si>
  <si>
    <t>lab technique &gt; process &gt; sequence &gt; function &gt; partial function</t>
  </si>
  <si>
    <t>lab technique &gt; process &gt; sequence &gt; function &gt; binary relation</t>
  </si>
  <si>
    <t>lab technique &gt; process &gt; occurrent &gt; entity &gt; entity</t>
  </si>
  <si>
    <t>lab technique &gt; scientific technique &gt; technique &gt; activity &gt; process</t>
  </si>
  <si>
    <t>lab technique &gt; scientific technique &gt; technique &gt; method &gt; means</t>
  </si>
  <si>
    <t>staining &gt; material process &gt; planned process &gt; intentional human activity &gt; human activity</t>
  </si>
  <si>
    <t>staining &gt; material process &gt; planned process &gt; process &gt; sequence</t>
  </si>
  <si>
    <t>staining &gt; material process &gt; planned process &gt; process &gt; occurrent</t>
  </si>
  <si>
    <t>staining &gt; histological assay &gt; histological procedure &gt; laboratory diagnostics &gt; analysis</t>
  </si>
  <si>
    <t>staining &gt; histological assay &gt; histological procedure &gt; laboratory diagnostics &gt; medical test</t>
  </si>
  <si>
    <t>staining &gt; histological assay &gt; assay &gt; analytical chemical technique &gt; measurement</t>
  </si>
  <si>
    <t>staining &gt; histological assay &gt; assay &gt; analytical chemical technique &gt; publication</t>
  </si>
  <si>
    <t>staining &gt; histological assay &gt; assay &gt; analytical chemical technique &gt; lab technique</t>
  </si>
  <si>
    <t>staining &gt; histological assay &gt; assay &gt; analytical chemical technique &gt; measurement method</t>
  </si>
  <si>
    <t>staining &gt; lab technique &gt; process &gt; sequence &gt; class</t>
  </si>
  <si>
    <t>staining &gt; lab technique &gt; process &gt; sequence &gt; function</t>
  </si>
  <si>
    <t>staining &gt; lab technique &gt; process &gt; occurrent &gt; entity</t>
  </si>
  <si>
    <t>staining &gt; lab technique &gt; scientific technique &gt; technique &gt; activity</t>
  </si>
  <si>
    <t>staining &gt; lab technique &gt; scientific technique &gt; technique &gt; method</t>
  </si>
  <si>
    <t>branch of biology</t>
  </si>
  <si>
    <t>Q28598684</t>
  </si>
  <si>
    <t>physiology &gt; biology &gt; natural science &gt; science &gt; intellectual activity</t>
  </si>
  <si>
    <t>11937369z</t>
  </si>
  <si>
    <t>Q1154774</t>
  </si>
  <si>
    <t>electrophysiology</t>
  </si>
  <si>
    <t>Electrophysiology</t>
  </si>
  <si>
    <t>physiology &gt; biology &gt; natural science &gt; science &gt; logic</t>
  </si>
  <si>
    <t>physiology &gt; biology &gt; natural science &gt; science &gt; research</t>
  </si>
  <si>
    <t>physiology &gt; biology &gt; natural science &gt; science &gt; epistemology</t>
  </si>
  <si>
    <t>physiology &gt; biology &gt; natural science &gt; science &gt; outline of academic disciplines</t>
  </si>
  <si>
    <t>physiology &gt; biology &gt; natural science &gt; science &gt; knowledge</t>
  </si>
  <si>
    <t>physiology &gt; biology &gt; natural science &gt; science &gt; knowledge system</t>
  </si>
  <si>
    <t>targeted mutagenesis &gt; techniques of genetic engineering &gt; molecular biology technique &gt; scientific technique &gt; technique</t>
  </si>
  <si>
    <t>Q2642668</t>
  </si>
  <si>
    <t>site-directed mutagenesis</t>
  </si>
  <si>
    <t>Site-directed mutagenesis</t>
  </si>
  <si>
    <t>targeted mutagenesis &gt; molecular biology technique &gt; scientific technique &gt; technique &gt; activity</t>
  </si>
  <si>
    <t>targeted mutagenesis &gt; molecular biology technique &gt; scientific technique &gt; technique &gt; method</t>
  </si>
  <si>
    <t>Whole-cell recording</t>
  </si>
  <si>
    <t>mathematical optimization &gt; optimization &gt; computational problem &gt; mathematical problem &gt; research question</t>
  </si>
  <si>
    <t>Q2160088</t>
  </si>
  <si>
    <t>robust optimization</t>
  </si>
  <si>
    <t>Robust optimization</t>
  </si>
  <si>
    <t>Computational modeling of the nonlinear stochastic dynamics of horizontal drillstrings</t>
  </si>
  <si>
    <t>mathematical optimization &gt; optimization &gt; computational problem &gt; mathematical problem &gt; question</t>
  </si>
  <si>
    <t>mathematical optimization &gt; optimization &gt; computational problem &gt; mathematical problem &gt; problem</t>
  </si>
  <si>
    <t>mathematical optimization &gt; optimization &gt; computational problem &gt; mathematical problem &gt; mathematical concept</t>
  </si>
  <si>
    <t>mathematical optimization &gt; optimization &gt; activity &gt; process &gt; sequence</t>
  </si>
  <si>
    <t>mathematical optimization &gt; optimization &gt; activity &gt; process &gt; occurrent</t>
  </si>
  <si>
    <t>Parametric probabilistic approach</t>
  </si>
  <si>
    <t>Horizontal drill-string</t>
  </si>
  <si>
    <t>Stochastic dynamics</t>
  </si>
  <si>
    <t>Solution of a robust optimization problem to maximize the rate of penetration of horizontal drillstrings using a nonlinear stochastic dynamic model</t>
  </si>
  <si>
    <t>Medium-frequency range</t>
  </si>
  <si>
    <t>Multilevel reduced-order computational model in structural dynamics for the low-and medium-frequency ranges</t>
  </si>
  <si>
    <t>range &gt; part &gt; entity</t>
  </si>
  <si>
    <t>Q2800657</t>
  </si>
  <si>
    <t>frequency range</t>
  </si>
  <si>
    <t>Frequency range</t>
  </si>
  <si>
    <t>Q1122506</t>
  </si>
  <si>
    <t>computational model</t>
  </si>
  <si>
    <t>Computational model</t>
  </si>
  <si>
    <t>Multilevel ROM</t>
  </si>
  <si>
    <t>Multilevel reduced-order model</t>
  </si>
  <si>
    <t>TURBINE GAZ</t>
  </si>
  <si>
    <t>Potential of Directionally Solidified Eutectic Ceramics for High Temperature Applications</t>
  </si>
  <si>
    <t>organization</t>
  </si>
  <si>
    <t>Q43229</t>
  </si>
  <si>
    <t>Q112178763</t>
  </si>
  <si>
    <t>Nouvelle Generation</t>
  </si>
  <si>
    <t>NOUVELLE GENERATION</t>
  </si>
  <si>
    <t>FOUR BRIDGMAN</t>
  </si>
  <si>
    <t>CERAMIQUE DSE</t>
  </si>
  <si>
    <t>branch of physics;academic discipline;branch of chemistry</t>
  </si>
  <si>
    <t>Q11790203;Q11862829;Q4162444</t>
  </si>
  <si>
    <t>materials science &gt; natural science &gt; science &gt; intellectual activity &gt; mental activity</t>
  </si>
  <si>
    <t>11958726f</t>
  </si>
  <si>
    <t>Q160398</t>
  </si>
  <si>
    <t>crystallography</t>
  </si>
  <si>
    <t>CRISTALLOGRAPHIE</t>
  </si>
  <si>
    <t>materials science &gt; natural science &gt; science &gt; intellectual activity &gt; intentional human activity</t>
  </si>
  <si>
    <t>materials science &gt; natural science &gt; science &gt; logic &gt; scientific study</t>
  </si>
  <si>
    <t>materials science &gt; natural science &gt; science &gt; research &gt; education and research</t>
  </si>
  <si>
    <t>materials science &gt; natural science &gt; science &gt; research &gt; process</t>
  </si>
  <si>
    <t>materials science &gt; natural science &gt; science &gt; research &gt; activity</t>
  </si>
  <si>
    <t>materials science &gt; natural science &gt; science &gt; research &gt; inquiry</t>
  </si>
  <si>
    <t>materials science &gt; natural science &gt; science &gt; epistemology &gt; philosophy</t>
  </si>
  <si>
    <t>materials science &gt; natural science &gt; science &gt; epistemology &gt; theoretical philosophy</t>
  </si>
  <si>
    <t>materials science &gt; natural science &gt; science &gt; knowledge &gt; memory</t>
  </si>
  <si>
    <t>materials science &gt; natural science &gt; science &gt; knowledge system &gt; conceptual system</t>
  </si>
  <si>
    <t>materials science &gt; interdisciplinary science &gt; science &gt; intellectual activity &gt; mental activity</t>
  </si>
  <si>
    <t>materials science &gt; interdisciplinary science &gt; science &gt; intellectual activity &gt; intentional human activity</t>
  </si>
  <si>
    <t>materials science &gt; interdisciplinary science &gt; science &gt; logic &gt; scientific study</t>
  </si>
  <si>
    <t>materials science &gt; interdisciplinary science &gt; science &gt; research &gt; education and research</t>
  </si>
  <si>
    <t>materials science &gt; interdisciplinary science &gt; science &gt; research &gt; process</t>
  </si>
  <si>
    <t>materials science &gt; interdisciplinary science &gt; science &gt; research &gt; activity</t>
  </si>
  <si>
    <t>materials science &gt; interdisciplinary science &gt; science &gt; research &gt; inquiry</t>
  </si>
  <si>
    <t>materials science &gt; interdisciplinary science &gt; science &gt; epistemology &gt; philosophy</t>
  </si>
  <si>
    <t>materials science &gt; interdisciplinary science &gt; science &gt; epistemology &gt; theoretical philosophy</t>
  </si>
  <si>
    <t>materials science &gt; interdisciplinary science &gt; science &gt; knowledge &gt; memory</t>
  </si>
  <si>
    <t>materials science &gt; interdisciplinary science &gt; science &gt; knowledge system &gt; conceptual system</t>
  </si>
  <si>
    <t>mineralogy &gt; geology &gt; Earth science &gt; earth and planetary science &gt; physical sciences</t>
  </si>
  <si>
    <t>mineralogy &gt; geology &gt; natural science &gt; science &gt; intellectual activity</t>
  </si>
  <si>
    <t>mineralogy &gt; geology &gt; natural science &gt; science &gt; logic</t>
  </si>
  <si>
    <t>mineralogy &gt; geology &gt; natural science &gt; science &gt; research</t>
  </si>
  <si>
    <t>mineralogy &gt; geology &gt; natural science &gt; science &gt; epistemology</t>
  </si>
  <si>
    <t>mineralogy &gt; geology &gt; natural science &gt; science &gt; outline of academic disciplines</t>
  </si>
  <si>
    <t>mineralogy &gt; geology &gt; natural science &gt; science &gt; knowledge</t>
  </si>
  <si>
    <t>mineralogy &gt; geology &gt; natural science &gt; science &gt; knowledge system</t>
  </si>
  <si>
    <t>analytical chemistry &gt; chemistry &gt; physical sciences &gt; natural science &gt; science</t>
  </si>
  <si>
    <t>materials science &gt; natural science &gt; science &gt; outline of academic disciplines</t>
  </si>
  <si>
    <t>materials science &gt; interdisciplinary science &gt; science &gt; outline of academic disciplines</t>
  </si>
  <si>
    <t>type of structure</t>
  </si>
  <si>
    <t>Q111972893</t>
  </si>
  <si>
    <t>physical structure &gt; structure &gt; geographic entity &gt; region of space &gt; spatial region</t>
  </si>
  <si>
    <t>Q1498213</t>
  </si>
  <si>
    <t>microstructure</t>
  </si>
  <si>
    <t>MICROSTRUCTURE</t>
  </si>
  <si>
    <t>physical structure &gt; structure &gt; geographic entity &gt; region of space &gt; spatial object</t>
  </si>
  <si>
    <t>physical structure &gt; structure &gt; geographic entity &gt; region of space &gt; spacetime region</t>
  </si>
  <si>
    <t>physical structure &gt; structure &gt; geographic entity &gt; geolocatable entity &gt; occurrence</t>
  </si>
  <si>
    <t>physical structure &gt; structure &gt; geographic entity &gt; geolocatable entity &gt; concrete object</t>
  </si>
  <si>
    <t>physical structure &gt; structure &gt; geographic entity &gt; geolocatable entity &gt; material entity</t>
  </si>
  <si>
    <t>physical structure &gt; structure &gt; order &gt; collective entity &gt; entity</t>
  </si>
  <si>
    <t>physical structure &gt; structure &gt; order &gt; state &gt; property</t>
  </si>
  <si>
    <t>physical structure &gt; structure &gt; order &gt; state &gt; phenomenon</t>
  </si>
  <si>
    <t>physical structure &gt; physical system &gt; scientific object &gt; object &gt; entity</t>
  </si>
  <si>
    <t>physical structure &gt; physical system &gt; concrete object &gt; individual item &gt; entity</t>
  </si>
  <si>
    <t>physical structure &gt; physical system &gt; concrete object &gt; object &gt; entity</t>
  </si>
  <si>
    <t>physical structure &gt; physical system &gt; system &gt; object &gt; entity</t>
  </si>
  <si>
    <t>physical structure &gt; physical system &gt; system &gt; abstract entity &gt; entity</t>
  </si>
  <si>
    <t>physical structure &gt; physical system &gt; system &gt; collective entity &gt; entity</t>
  </si>
  <si>
    <t>physical structure &gt; structure &gt; collective entity &gt; entity</t>
  </si>
  <si>
    <t>MONOCRISTALLIN</t>
  </si>
  <si>
    <t>COMPOSITE OXYDE CERAMIQUE</t>
  </si>
  <si>
    <t>RESISTANCE FLUAGE</t>
  </si>
  <si>
    <t>POINT FUSION</t>
  </si>
  <si>
    <t>HAUTE TEMPERATURE</t>
  </si>
  <si>
    <t>Low-frequency range</t>
  </si>
  <si>
    <t>A global/local probabilistic approach for reduced-order modeling adapted to the low- and mid-frequency structural dynamics</t>
  </si>
  <si>
    <t>Mid-frequency range</t>
  </si>
  <si>
    <t>YES</t>
  </si>
  <si>
    <t>Uncertain position</t>
  </si>
  <si>
    <t>Model updating in structural dynamics - Uncertainties on the position and orientation of sensors and actuators</t>
  </si>
  <si>
    <t>statistical inference &gt; inference &gt; process &gt; sequence &gt; class</t>
  </si>
  <si>
    <t>Q812535</t>
  </si>
  <si>
    <t>Bayesian inference</t>
  </si>
  <si>
    <t>statistical inference &gt; inference &gt; process &gt; sequence &gt; function</t>
  </si>
  <si>
    <t>statistical inference &gt; inference &gt; process &gt; occurrent &gt; entity</t>
  </si>
  <si>
    <t>statistical method &gt; data analysis &gt; analysis &gt; scholarly method &gt; method</t>
  </si>
  <si>
    <t>statistical method &gt; data analysis &gt; analysis &gt; inquiry &gt; planned process</t>
  </si>
  <si>
    <t>statistical method &gt; data analysis &gt; analysis &gt; inquiry &gt; seeking</t>
  </si>
  <si>
    <t>statistical method &gt; method &gt; means &gt; contributing factor &gt; occurrent</t>
  </si>
  <si>
    <t>statistical method &gt; method &gt; means &gt; contributing factor &gt; condition</t>
  </si>
  <si>
    <t>Model updating</t>
  </si>
  <si>
    <t>Optimal sensor placement</t>
  </si>
  <si>
    <t>Robust optimization of horizontal drillstring rate of penetration through a nonlinear stochastic dynamic model</t>
  </si>
  <si>
    <t>Horizontal drillstring</t>
  </si>
  <si>
    <t>Nonlinear homogenization</t>
  </si>
  <si>
    <t>Computational homogenization of nonlinear elastic materials using neural networks</t>
  </si>
  <si>
    <t>Computational homogenization</t>
  </si>
  <si>
    <t>High-dimensional approximation</t>
  </si>
  <si>
    <t>network &gt; graph &gt; relational structure &gt; structure &gt; possibly infinitary structure</t>
  </si>
  <si>
    <t>Q12811862</t>
  </si>
  <si>
    <t>neural network</t>
  </si>
  <si>
    <t>Neural Networks</t>
  </si>
  <si>
    <t>network &gt; graph &gt; hypergraph &gt; possibly infinitary structure &gt; mathematical structure</t>
  </si>
  <si>
    <t>network &gt; graph &gt; hypergraph &gt; diagram &gt; structure</t>
  </si>
  <si>
    <t>network &gt; system &gt; object &gt; entity</t>
  </si>
  <si>
    <t>network &gt; system &gt; abstract entity &gt; entity</t>
  </si>
  <si>
    <t>network &gt; system &gt; collective entity &gt; entity</t>
  </si>
  <si>
    <t>Multiscale methods</t>
  </si>
  <si>
    <t>Geometrical nonlinearities</t>
  </si>
  <si>
    <t>Uncertainty quantification for an industrial mistuned bladed disk with geometrical nonlinearities</t>
  </si>
  <si>
    <t>Mistuned bladed disk</t>
  </si>
  <si>
    <t>Nonlinear structural dynamics</t>
  </si>
  <si>
    <t>Advanced Computational Vibroacoustics - Reduced-Order Models and Uncertainty Quantification</t>
  </si>
  <si>
    <t>Computational Vibroacoustics</t>
  </si>
  <si>
    <t>Uncertainty Quantification</t>
  </si>
  <si>
    <t xml:space="preserve">
</t>
  </si>
  <si>
    <t xml:space="preserve">mismatched (entity identified: Radiostation)
QID: vibration (Q3695508) </t>
  </si>
  <si>
    <t xml:space="preserve">NO </t>
  </si>
  <si>
    <t>radio station</t>
  </si>
  <si>
    <t>Q14350</t>
  </si>
  <si>
    <t>Q3556810</t>
  </si>
  <si>
    <t>Vibration</t>
  </si>
  <si>
    <t>disambiguation page (no description defined)</t>
  </si>
  <si>
    <t>Q7624999</t>
  </si>
  <si>
    <t>Structural acoustics</t>
  </si>
  <si>
    <t>Structural Acoustics</t>
  </si>
  <si>
    <t>acoustics &gt; physics &gt; physical sciences &gt; natural science &gt; science</t>
  </si>
  <si>
    <t>Q112618746</t>
  </si>
  <si>
    <t>vibroacoustics</t>
  </si>
  <si>
    <t>Vibroacoustic</t>
  </si>
  <si>
    <t>acoustics &gt; physics &gt; natural science &gt; science &gt; intellectual activity</t>
  </si>
  <si>
    <t>acoustics &gt; physics &gt; natural science &gt; science &gt; logic</t>
  </si>
  <si>
    <t>acoustics &gt; physics &gt; natural science &gt; science &gt; research</t>
  </si>
  <si>
    <t>acoustics &gt; physics &gt; natural science &gt; science &gt; epistemology</t>
  </si>
  <si>
    <t>acoustics &gt; physics &gt; natural science &gt; science &gt; outline of academic disciplines</t>
  </si>
  <si>
    <t>acoustics &gt; physics &gt; natural science &gt; science &gt; knowledge</t>
  </si>
  <si>
    <t>acoustics &gt; physics &gt; natural science &gt; science &gt; knowledge system</t>
  </si>
  <si>
    <t>Global reduced-order model adapted to the low- and medium-frequency analysis of complex dynamical structures</t>
  </si>
  <si>
    <t xml:space="preserve">YES </t>
  </si>
  <si>
    <t>Q25325283</t>
  </si>
  <si>
    <t>Global mode</t>
  </si>
  <si>
    <t>Global modes</t>
  </si>
  <si>
    <t>Experimental identification of a stochastic computational dynamical model using modal data measured for a family of built-up structures</t>
  </si>
  <si>
    <t>Experimental modal analysis</t>
  </si>
  <si>
    <t>Mode crossing</t>
  </si>
  <si>
    <t>Computational stochastic dynamics</t>
  </si>
  <si>
    <t>Model identification</t>
  </si>
  <si>
    <t>Generalized Bessel function</t>
  </si>
  <si>
    <t>Dunkl kernel associated with dihedral group</t>
  </si>
  <si>
    <t>Dihedral root systems</t>
  </si>
  <si>
    <t>Dunkl kernel</t>
  </si>
  <si>
    <t xml:space="preserve">same as row 35; translated in French? </t>
  </si>
  <si>
    <t>glacial period</t>
  </si>
  <si>
    <t>Q602963</t>
  </si>
  <si>
    <t>Q2741484</t>
  </si>
  <si>
    <t>Late Glacial Maximum</t>
  </si>
  <si>
    <t>Tardiglaciaire</t>
  </si>
  <si>
    <t>Les Â« riviÃ¨res de pierres Â» : une formation en marge des catÃ©gories classiques. Questions posÃ©es dans le cas du massif du MÃ©zenc (Velay oriental, Sud-Est du Massif central, France).</t>
  </si>
  <si>
    <t xml:space="preserve">same as row 37; translated in French? </t>
  </si>
  <si>
    <t xml:space="preserve">same as row 36; translated in French? </t>
  </si>
  <si>
    <t xml:space="preserve">same as row 4 to 32; translated in French? </t>
  </si>
  <si>
    <t>same as row 4 to 32</t>
  </si>
  <si>
    <t xml:space="preserve">same as row 4 to 32 </t>
  </si>
  <si>
    <t xml:space="preserve">mismatched on  the context </t>
  </si>
  <si>
    <t>NO</t>
  </si>
  <si>
    <t xml:space="preserve">Contains special character </t>
  </si>
  <si>
    <t>Morphologie et processus pÃ©riglaciaires</t>
  </si>
  <si>
    <t>keyword contains special character.
The QID identified has no label defined. 
Potential QIDs: massif du Mézenc (Q3297689), Mont Mézenc Sud (Q34878583), Mount Mézenc (Q1267547), and Mont Mézenc Nord (Q34878573)…
BnF IDs: massif du Mézenc (cb40616660p), Mont Mézenc and Nord(cb15199595z)</t>
  </si>
  <si>
    <t>Natura 2000 site</t>
  </si>
  <si>
    <t>Q15069452</t>
  </si>
  <si>
    <t>Q128548547</t>
  </si>
  <si>
    <t>Mezenc</t>
  </si>
  <si>
    <t>MÃ©zenc</t>
  </si>
  <si>
    <t>Late Glacial</t>
  </si>
  <si>
    <t>epoch;series</t>
  </si>
  <si>
    <t>Q312468;Q754897</t>
  </si>
  <si>
    <t>11945805t</t>
  </si>
  <si>
    <t>Q25546</t>
  </si>
  <si>
    <t>Pleistocene</t>
  </si>
  <si>
    <t>Periglacial morphology and process</t>
  </si>
  <si>
    <t xml:space="preserve">%BnF matched </t>
  </si>
  <si>
    <t>%QID matched</t>
  </si>
  <si>
    <t>%BnF ID (vs unique keywords)</t>
  </si>
  <si>
    <t>Unique BnF</t>
  </si>
  <si>
    <t>% QID (vs unique keywords)</t>
  </si>
  <si>
    <t>Unique QID</t>
  </si>
  <si>
    <t>Unique Keywords</t>
  </si>
  <si>
    <t># of KEYWORDS</t>
  </si>
  <si>
    <t xml:space="preserve">keywords </t>
  </si>
  <si>
    <t>% BnF matched</t>
  </si>
  <si>
    <t xml:space="preserve">% QID matched </t>
  </si>
  <si>
    <t xml:space="preserve">remarks </t>
  </si>
  <si>
    <t xml:space="preserve">bnf matched </t>
  </si>
  <si>
    <t xml:space="preserve">wikidata matched </t>
  </si>
  <si>
    <t>Symposium on Circulation of Security Models in Southern African Cities</t>
  </si>
  <si>
    <t>Security governance</t>
  </si>
  <si>
    <t/>
  </si>
  <si>
    <t>No BNF code</t>
  </si>
  <si>
    <t>Neoliberalization</t>
  </si>
  <si>
    <t>Circulation of models</t>
  </si>
  <si>
    <t>No matching in any case</t>
  </si>
  <si>
    <t>Road closures</t>
  </si>
  <si>
    <t>road closure</t>
  </si>
  <si>
    <t>Q110997968</t>
  </si>
  <si>
    <t>disruption &gt; occurrence &gt; occurrent &gt; entity &gt; entity</t>
  </si>
  <si>
    <t>Words were found on wikidata, but not the article. The bnf code wasn't found</t>
  </si>
  <si>
    <t>disruption &gt; activity &gt; process &gt; occurrent &gt; entity</t>
  </si>
  <si>
    <t>disruption &gt; activity &gt; process &gt; sequence &gt; function</t>
  </si>
  <si>
    <t>disruption &gt; activity &gt; process &gt; sequence &gt; class</t>
  </si>
  <si>
    <t>disruption &gt; stimulus &gt; change &gt; occurrent &gt; entity</t>
  </si>
  <si>
    <t>roadblock &gt; barricade &gt; appliance &gt; physical tool &gt; equipment</t>
  </si>
  <si>
    <t>roadblock &gt; barricade &gt; appliance &gt; physical tool &gt; artificial physical object</t>
  </si>
  <si>
    <t>roadblock &gt; barricade &gt; appliance &gt; physical tool &gt; tool</t>
  </si>
  <si>
    <t>roadblock &gt; barricade &gt; fixed construction &gt; geographical feature &gt; geographic entity</t>
  </si>
  <si>
    <t>roadblock &gt; barricade &gt; fixed construction &gt; geographical feature &gt; concrete object</t>
  </si>
  <si>
    <t>roadblock &gt; barricade &gt; fixed construction &gt; geographical feature &gt; physical location</t>
  </si>
  <si>
    <t>roadblock &gt; barricade &gt; fixed construction &gt; artificial physical object &gt; physical object</t>
  </si>
  <si>
    <t>roadblock &gt; barricade &gt; fixed construction &gt; artificial physical object &gt; artificial object</t>
  </si>
  <si>
    <t>roadblock &gt; barricade &gt; fixed construction &gt; artificial physical object &gt; work</t>
  </si>
  <si>
    <t>roadblock &gt; barricade &gt; obstacle &gt; physical object &gt; material entity</t>
  </si>
  <si>
    <t>roadblock &gt; barricade &gt; obstacle &gt; physical object &gt; concrete object</t>
  </si>
  <si>
    <t>Gated residential development</t>
  </si>
  <si>
    <t>Not found in any webpage</t>
  </si>
  <si>
    <t>City Improvement District</t>
  </si>
  <si>
    <t>Just 1 coincidence on Wikidata</t>
  </si>
  <si>
    <t>Southern Africa</t>
  </si>
  <si>
    <t>Q27394</t>
  </si>
  <si>
    <t>Q3502482;Q82794</t>
  </si>
  <si>
    <t>region;cultural region</t>
  </si>
  <si>
    <t>Found on wikidata but not on rameau, the path can be add</t>
  </si>
  <si>
    <t>Johannesburg</t>
  </si>
  <si>
    <t>Q14714490</t>
  </si>
  <si>
    <t>Q17343829</t>
  </si>
  <si>
    <t>unincorporated community in the United States</t>
  </si>
  <si>
    <t>Cape Town</t>
  </si>
  <si>
    <t>Q5465</t>
  </si>
  <si>
    <t>Q105742469;Q108178728;Q15042037;Q1549591;Q2264924</t>
  </si>
  <si>
    <t>legislative capital;port city;national capital;statistical territorial entity;big city</t>
  </si>
  <si>
    <t>Windhoek</t>
  </si>
  <si>
    <t>Q32042422</t>
  </si>
  <si>
    <t>Q2042028</t>
  </si>
  <si>
    <t>ravine</t>
  </si>
  <si>
    <t>Maputo</t>
  </si>
  <si>
    <t>Q3889</t>
  </si>
  <si>
    <t>Q1549591;Q2264924;Q515;Q56036687</t>
  </si>
  <si>
    <t>big city;municipality of Mozambique;port city;city</t>
  </si>
  <si>
    <t>Néoliberalisation</t>
  </si>
  <si>
    <t>Transfert de politiques</t>
  </si>
  <si>
    <t>Sécurité</t>
  </si>
  <si>
    <t>sécurité</t>
  </si>
  <si>
    <t>Q1470670</t>
  </si>
  <si>
    <t>Q2355426</t>
  </si>
  <si>
    <t>distress signal</t>
  </si>
  <si>
    <t>The path can be added</t>
  </si>
  <si>
    <t>Mobilité des politiques urbaines</t>
  </si>
  <si>
    <t>Renouvellement urbain</t>
  </si>
  <si>
    <t>urban renewal</t>
  </si>
  <si>
    <t>Q920600</t>
  </si>
  <si>
    <t>redevelopment &gt; construction &gt; economic activity &gt; intentional human activity &gt; human activity</t>
  </si>
  <si>
    <t>Q1441983</t>
  </si>
  <si>
    <t>redevelopment</t>
  </si>
  <si>
    <t>Found on wikidata but not on rameau, path seems fine</t>
  </si>
  <si>
    <t>131626960</t>
  </si>
  <si>
    <t>redevelopment &gt; construction &gt; economic activity &gt; transfer &gt; change</t>
  </si>
  <si>
    <t>redevelopment &gt; construction &gt; economic activity &gt; transfer &gt; interaction</t>
  </si>
  <si>
    <t>redevelopment &gt; construction &gt; construction &gt; economic production &gt; process</t>
  </si>
  <si>
    <t>redevelopment &gt; construction &gt; construction &gt; economic production &gt; economic activity</t>
  </si>
  <si>
    <t>redevelopment &gt; construction &gt; construction &gt; economic production &gt; creation</t>
  </si>
  <si>
    <t>redevelopment &gt; construction &gt; construction &gt; technical activity &gt; intentional human activity</t>
  </si>
  <si>
    <t>redevelopment &gt; construction &gt; construction &gt; creation &gt; planned process</t>
  </si>
  <si>
    <t>redevelopment &gt; urban planning &gt; spatial planning &gt; planning &gt; process</t>
  </si>
  <si>
    <t>redevelopment &gt; urban planning &gt; spatial planning &gt; planning &gt; activity</t>
  </si>
  <si>
    <t>government program &gt; initiative &gt; action &gt; occurrence &gt; occurrent</t>
  </si>
  <si>
    <t>government program &gt; initiative &gt; voluntary action &gt; intentional human activity &gt; human activity</t>
  </si>
  <si>
    <t>government program &gt; project &gt; planned process &gt; process &gt; occurrent</t>
  </si>
  <si>
    <t>government program &gt; project &gt; planned process &gt; process &gt; sequence</t>
  </si>
  <si>
    <t>government program &gt; project &gt; planned process &gt; intentional human activity &gt; human activity</t>
  </si>
  <si>
    <t>Business Improvement Districts</t>
  </si>
  <si>
    <t>Business improvement districts</t>
  </si>
  <si>
    <t>Q105547388</t>
  </si>
  <si>
    <t>Q105547310</t>
  </si>
  <si>
    <t>business support scheme</t>
  </si>
  <si>
    <t>Path can be add</t>
  </si>
  <si>
    <t>School evaluation and educating States : trends in four European countries</t>
  </si>
  <si>
    <t>School Evaluation</t>
  </si>
  <si>
    <t>Education Policies</t>
  </si>
  <si>
    <t>education policy</t>
  </si>
  <si>
    <t>Q452348</t>
  </si>
  <si>
    <t>education policy, sociology and philosophy &gt; education &gt; service &gt; goods and services &gt; spatio-temporal entity</t>
  </si>
  <si>
    <t>Q11862829;Q96251375</t>
  </si>
  <si>
    <t>type of policy;academic discipline</t>
  </si>
  <si>
    <t>Path seems fine</t>
  </si>
  <si>
    <t>education policy, sociology and philosophy &gt; education &gt; service &gt; goods and services &gt; product</t>
  </si>
  <si>
    <t>education policy, sociology and philosophy &gt; education &gt; service &gt; product &gt; object</t>
  </si>
  <si>
    <t>education policy, sociology and philosophy &gt; education &gt; service &gt; economic activity &gt; intentional human activity</t>
  </si>
  <si>
    <t>education policy, sociology and philosophy &gt; education &gt; service &gt; economic activity &gt; transfer</t>
  </si>
  <si>
    <t>education policy, sociology and philosophy &gt; education &gt; knowledge sharing &gt; information exchange &gt; transfer</t>
  </si>
  <si>
    <t>education policy, sociology and philosophy &gt; education &gt; knowledge sharing &gt; sharing &gt; activity</t>
  </si>
  <si>
    <t>education policy, sociology and philosophy &gt; education &gt; knowledge sharing &gt; sharing &gt; resource allocation</t>
  </si>
  <si>
    <t>education policy, sociology and philosophy &gt; education &gt; social process &gt; process &gt; occurrent</t>
  </si>
  <si>
    <t>education policy, sociology and philosophy &gt; education &gt; social process &gt; process &gt; sequence</t>
  </si>
  <si>
    <t>education policy, sociology and philosophy &gt; education &gt; social process &gt; phenomenon &gt; occurrent</t>
  </si>
  <si>
    <t>education policy, sociology and philosophy &gt; education &gt; social process &gt; phenomenon &gt; observable entity</t>
  </si>
  <si>
    <t>cultural policy &gt; social policy &gt; public policy &gt; policy &gt; work</t>
  </si>
  <si>
    <t>cultural policy &gt; social policy &gt; public policy &gt; policy &gt; rule</t>
  </si>
  <si>
    <t>cultural policy &gt; social policy &gt; social action &gt; action &gt; occurrence</t>
  </si>
  <si>
    <t>cultural policy &gt; social policy &gt; social action &gt; social process &gt; process</t>
  </si>
  <si>
    <t>cultural policy &gt; social policy &gt; social action &gt; social process &gt; phenomenon</t>
  </si>
  <si>
    <t>public policy &gt; policy &gt; work &gt; artificial object &gt; object</t>
  </si>
  <si>
    <t>public policy &gt; policy &gt; work &gt; cultural artifact &gt; artificial object</t>
  </si>
  <si>
    <t>public policy &gt; policy &gt; work &gt; cultural artifact &gt; cultural heritage</t>
  </si>
  <si>
    <t>public policy &gt; policy &gt; rule &gt; message &gt; information</t>
  </si>
  <si>
    <t>public policy &gt; policy &gt; rule &gt; message &gt; object</t>
  </si>
  <si>
    <t>public policy &gt; policy &gt; rule &gt; artificial object &gt; object</t>
  </si>
  <si>
    <t>social policy &gt; public policy &gt; policy &gt; work &gt; artificial object</t>
  </si>
  <si>
    <t>social policy &gt; public policy &gt; policy &gt; work &gt; cultural artifact</t>
  </si>
  <si>
    <t>social policy &gt; public policy &gt; policy &gt; rule &gt; message</t>
  </si>
  <si>
    <t>social policy &gt; public policy &gt; policy &gt; rule &gt; artificial object</t>
  </si>
  <si>
    <t>social policy &gt; social action &gt; action &gt; occurrence &gt; occurrent</t>
  </si>
  <si>
    <t>social policy &gt; social action &gt; social process &gt; process &gt; occurrent</t>
  </si>
  <si>
    <t>social policy &gt; social action &gt; social process &gt; process &gt; sequence</t>
  </si>
  <si>
    <t>social policy &gt; social action &gt; social process &gt; phenomenon &gt; occurrent</t>
  </si>
  <si>
    <t>social policy &gt; social action &gt; social process &gt; phenomenon &gt; observable entity</t>
  </si>
  <si>
    <t>France</t>
  </si>
  <si>
    <t>Q5478259</t>
  </si>
  <si>
    <t>Q2631496</t>
  </si>
  <si>
    <t>constituency of the European Parliament</t>
  </si>
  <si>
    <t>England</t>
  </si>
  <si>
    <t>Q21</t>
  </si>
  <si>
    <t>11930575r</t>
  </si>
  <si>
    <t>Q3336843;Q518261;Q6256;Q6266</t>
  </si>
  <si>
    <t>constituent country of the United Kingdom;nation;cultural area;country</t>
  </si>
  <si>
    <t>Scotland</t>
  </si>
  <si>
    <t>Q22</t>
  </si>
  <si>
    <t>Q3336843;Q6256;Q6266</t>
  </si>
  <si>
    <t>constituent country of the United Kingdom;nation;country</t>
  </si>
  <si>
    <t>Switzerland</t>
  </si>
  <si>
    <t>Q80282</t>
  </si>
  <si>
    <t>New Challenges of ESG Issues</t>
  </si>
  <si>
    <t>Financial regulatory framework</t>
  </si>
  <si>
    <t>Socially Responsible Investment</t>
  </si>
  <si>
    <t>Corporate Social Responsibility</t>
  </si>
  <si>
    <t>Corporate social responsibility</t>
  </si>
  <si>
    <t>Q218600</t>
  </si>
  <si>
    <t>corporate liability &gt; responsibility &gt; property &gt; abstract entity &gt; entity</t>
  </si>
  <si>
    <t>Q106132918</t>
  </si>
  <si>
    <t>business and human rights</t>
  </si>
  <si>
    <t>bnf code not found, path seems fine</t>
  </si>
  <si>
    <t>social responsibility &gt; responsibility &gt; property &gt; abstract entity &gt; entity</t>
  </si>
  <si>
    <t>And Governance Issues</t>
  </si>
  <si>
    <t>Social</t>
  </si>
  <si>
    <t>social</t>
  </si>
  <si>
    <t>Q345367</t>
  </si>
  <si>
    <t>sociality &gt; socialization &gt; habituation &gt; nonassociative learning &gt; learning</t>
  </si>
  <si>
    <t>Q1207505</t>
  </si>
  <si>
    <t>quality</t>
  </si>
  <si>
    <t>I couldn't find the same article, but it was some similarity with the topic</t>
  </si>
  <si>
    <t>sociality &gt; social behavior &gt; animal behavior &gt; behavior &gt; pattern</t>
  </si>
  <si>
    <t>sociality &gt; social behavior &gt; animal behavior &gt; multicellular organismal process &gt; biological process</t>
  </si>
  <si>
    <t>sociality &gt; social behavior &gt; biological process involved in intraspecies interaction between organisms &gt; multi-organism process &gt; biological process</t>
  </si>
  <si>
    <t>sociality &gt; social behavior &gt; biological process involved in intraspecies interaction between organisms &gt; biological process &gt; biological phenomenon</t>
  </si>
  <si>
    <t>sociality &gt; social behavior &gt; biological process involved in intraspecies interaction between organisms &gt; biological process &gt; physical process</t>
  </si>
  <si>
    <t>Environmental</t>
  </si>
  <si>
    <t>Q10485087</t>
  </si>
  <si>
    <t>New Insights on Corporate Social Responsibility and Country-level Institutions in Western Europe</t>
  </si>
  <si>
    <t>Stakeholders</t>
  </si>
  <si>
    <t>Q7027314</t>
  </si>
  <si>
    <t>However in wikidata its not article or information, almost like blank page</t>
  </si>
  <si>
    <t>Investor protection</t>
  </si>
  <si>
    <t>Q557860</t>
  </si>
  <si>
    <t>However in wikidata its not article or information, almost like blank page and no bnf code provided</t>
  </si>
  <si>
    <t>Firm value</t>
  </si>
  <si>
    <t>firm value</t>
  </si>
  <si>
    <t>Q1316306</t>
  </si>
  <si>
    <t>Social and governance ESG considerations</t>
  </si>
  <si>
    <t>Nothing found</t>
  </si>
  <si>
    <t>Corporate social responsibility CSR</t>
  </si>
  <si>
    <t>Same as row 86</t>
  </si>
  <si>
    <t>La crise centrafricaine : c'est une question de confiance !</t>
  </si>
  <si>
    <t>Construire une société de confiance</t>
  </si>
  <si>
    <t>Résolution de la crise centrafricaine</t>
  </si>
  <si>
    <t>Forum de Bangui</t>
  </si>
  <si>
    <t>Dialogue intercentrafricain</t>
  </si>
  <si>
    <t>To regulate or not to regulate? Early Evidence on the Means Used Around the World to Promote Gender Diversity in the Boardroom</t>
  </si>
  <si>
    <t>Board gender diversity</t>
  </si>
  <si>
    <t>Firm performance</t>
  </si>
  <si>
    <t>Optimal contract</t>
  </si>
  <si>
    <t>However the keyword doesn't relate with the findings</t>
  </si>
  <si>
    <t>Enabling approach</t>
  </si>
  <si>
    <t>Quotas</t>
  </si>
  <si>
    <t>Quota</t>
  </si>
  <si>
    <t>Q18485922</t>
  </si>
  <si>
    <t>Q1134686</t>
  </si>
  <si>
    <t>frazione</t>
  </si>
  <si>
    <t>Voluntary approach</t>
  </si>
  <si>
    <t>Do women on boards and on top management reduce earnings management? Evidence in France</t>
  </si>
  <si>
    <t>Gender diversity</t>
  </si>
  <si>
    <t>gender diversity</t>
  </si>
  <si>
    <t>Q1501335</t>
  </si>
  <si>
    <t>diversity &gt; quality &gt; property &gt; abstract entity &gt; entity</t>
  </si>
  <si>
    <t>Q151885</t>
  </si>
  <si>
    <t>concept</t>
  </si>
  <si>
    <t>diversity &gt; diversity &gt; property &gt; abstract entity &gt; entity</t>
  </si>
  <si>
    <t>diversity &gt; diversity &gt; type &gt; class &gt; class</t>
  </si>
  <si>
    <t>Earnings management</t>
  </si>
  <si>
    <t>earnings management</t>
  </si>
  <si>
    <t>Q15995636</t>
  </si>
  <si>
    <t>Q118130488</t>
  </si>
  <si>
    <t>unethical conduct</t>
  </si>
  <si>
    <t>Top management</t>
  </si>
  <si>
    <t>Top Management</t>
  </si>
  <si>
    <t>Q1591807</t>
  </si>
  <si>
    <t>Q7889</t>
  </si>
  <si>
    <t>video game</t>
  </si>
  <si>
    <t>Topic is different, about a 1990 videogame</t>
  </si>
  <si>
    <t>CFO</t>
  </si>
  <si>
    <t>Q5010756</t>
  </si>
  <si>
    <t>Q41298;Q685935;Q847906</t>
  </si>
  <si>
    <t>online magazine;magazine;trade magazine</t>
  </si>
  <si>
    <t>It was found related about a magazines</t>
  </si>
  <si>
    <t>CEO</t>
  </si>
  <si>
    <t>Ceo</t>
  </si>
  <si>
    <t>Q37533287</t>
  </si>
  <si>
    <t>Q101352</t>
  </si>
  <si>
    <t>family name</t>
  </si>
  <si>
    <t>It was found related about a family name</t>
  </si>
  <si>
    <t>Protecting biodiversity by developing bio-jobs : A multi branch analysis with an application on French data</t>
  </si>
  <si>
    <t>Employment</t>
  </si>
  <si>
    <t>Q1339409</t>
  </si>
  <si>
    <t>It was related about a music album</t>
  </si>
  <si>
    <t>Biodiversity conservation</t>
  </si>
  <si>
    <t>biodiversity conservation</t>
  </si>
  <si>
    <t>Q126019871</t>
  </si>
  <si>
    <t>nature conservation &gt; conservation &gt; environmental ethics</t>
  </si>
  <si>
    <t>bnf no found</t>
  </si>
  <si>
    <t>nature conservation &gt; conservation &gt; environmental protection &gt; protection &gt; state</t>
  </si>
  <si>
    <t>nature conservation &gt; conservation &gt; environmental protection &gt; protection &gt; reduction</t>
  </si>
  <si>
    <t>Public policy</t>
  </si>
  <si>
    <t>public policy</t>
  </si>
  <si>
    <t>Q546113</t>
  </si>
  <si>
    <t>policy &gt; work &gt; artificial object &gt; object &gt; entity</t>
  </si>
  <si>
    <t>Q11862829;Q151885;Q96251375</t>
  </si>
  <si>
    <t>academic discipline;type of policy;concept</t>
  </si>
  <si>
    <t>policy &gt; work &gt; cultural artifact &gt; artificial object &gt; object</t>
  </si>
  <si>
    <t>policy &gt; work &gt; cultural artifact &gt; cultural heritage &gt; heritage</t>
  </si>
  <si>
    <t>policy &gt; rule &gt; message &gt; information &gt; abstract entity</t>
  </si>
  <si>
    <t>policy &gt; rule &gt; message &gt; information &gt; knowledge</t>
  </si>
  <si>
    <t>policy &gt; rule &gt; message &gt; object &gt; entity</t>
  </si>
  <si>
    <t>policy &gt; rule &gt; artificial object &gt; object &gt; entity</t>
  </si>
  <si>
    <t>Deliberating Environmental Policy Issues: Comparing the learning potential of online and face-to-face discussions on climate change</t>
  </si>
  <si>
    <t>Civic participation</t>
  </si>
  <si>
    <t>Civic Participation Project</t>
  </si>
  <si>
    <t>Q117353593</t>
  </si>
  <si>
    <t>Q483242</t>
  </si>
  <si>
    <t>laboratory</t>
  </si>
  <si>
    <t>Comparison</t>
  </si>
  <si>
    <t>comparison</t>
  </si>
  <si>
    <t>Q1720648</t>
  </si>
  <si>
    <t>process &gt; occurrent &gt; entity &gt; entity</t>
  </si>
  <si>
    <t>Q1799072</t>
  </si>
  <si>
    <t>method</t>
  </si>
  <si>
    <t>process &gt; sequence &gt; function &gt; binary relation &gt; relation</t>
  </si>
  <si>
    <t>process &gt; sequence &gt; function &gt; partial function &gt; binary relation</t>
  </si>
  <si>
    <t>process &gt; sequence &gt; function &gt; partial function &gt; function</t>
  </si>
  <si>
    <t>process &gt; sequence &gt; function &gt; partial function &gt; mathematical object</t>
  </si>
  <si>
    <t>process &gt; sequence &gt; function &gt; multivalued function &gt; serial relation</t>
  </si>
  <si>
    <t>process &gt; sequence &gt; function &gt; multivalued function &gt; function</t>
  </si>
  <si>
    <t>process &gt; sequence &gt; function &gt; generalized function &gt; mathematical object</t>
  </si>
  <si>
    <t>process &gt; sequence &gt; class &gt; class &gt; abstract entity</t>
  </si>
  <si>
    <t>process &gt; sequence &gt; class &gt; class &gt; collective entity</t>
  </si>
  <si>
    <t>evaluation &gt; method &gt; means &gt; contributing factor &gt; condition</t>
  </si>
  <si>
    <t>evaluation &gt; method &gt; means &gt; contributing factor &gt; occurrent</t>
  </si>
  <si>
    <t>evaluation &gt; process &gt; occurrent &gt; entity &gt; entity</t>
  </si>
  <si>
    <t>evaluation &gt; process &gt; sequence &gt; function &gt; binary relation</t>
  </si>
  <si>
    <t>evaluation &gt; process &gt; sequence &gt; function &gt; partial function</t>
  </si>
  <si>
    <t>evaluation &gt; process &gt; sequence &gt; function &gt; multivalued function</t>
  </si>
  <si>
    <t>evaluation &gt; process &gt; sequence &gt; function &gt; generalized function</t>
  </si>
  <si>
    <t>evaluation &gt; process &gt; sequence &gt; class &gt; class</t>
  </si>
  <si>
    <t>evaluation &gt; assessment &gt; process &gt; occurrent &gt; entity</t>
  </si>
  <si>
    <t>evaluation &gt; assessment &gt; process &gt; sequence &gt; function</t>
  </si>
  <si>
    <t>evaluation &gt; assessment &gt; process &gt; sequence &gt; class</t>
  </si>
  <si>
    <t>Political discussion</t>
  </si>
  <si>
    <t>Political Discussion</t>
  </si>
  <si>
    <t>Q26637905</t>
  </si>
  <si>
    <t>It was found related about a painting</t>
  </si>
  <si>
    <t>Internet</t>
  </si>
  <si>
    <t>Q75</t>
  </si>
  <si>
    <t>12337059x</t>
  </si>
  <si>
    <t>telecommunications network &gt; communication network &gt; communications system &gt; technical system &gt; product</t>
  </si>
  <si>
    <t>Q11224256;Q1301371;Q14208553</t>
  </si>
  <si>
    <t>IP network;invention;computer network</t>
  </si>
  <si>
    <t>telecommunications network &gt; communication network &gt; communications system &gt; technical system &gt; system</t>
  </si>
  <si>
    <t>telecommunications network &gt; communication network &gt; communications system &gt; technical system &gt; artificial object</t>
  </si>
  <si>
    <t>telecommunications network &gt; communication network &gt; network &gt; system &gt; collective entity</t>
  </si>
  <si>
    <t>telecommunications network &gt; communication network &gt; network &gt; system &gt; abstract entity</t>
  </si>
  <si>
    <t>telecommunications network &gt; communication network &gt; network &gt; system &gt; object</t>
  </si>
  <si>
    <t>telecommunications network &gt; communication network &gt; network &gt; graph &gt; hypergraph</t>
  </si>
  <si>
    <t>telecommunications network &gt; communication network &gt; network &gt; graph &gt; relational structure</t>
  </si>
  <si>
    <t>telecommunications network &gt; telecommunications infrastructure &gt; infrastructure &gt; structure &gt; collective entity</t>
  </si>
  <si>
    <t>telecommunications network &gt; telecommunications infrastructure &gt; infrastructure &gt; structure &gt; order</t>
  </si>
  <si>
    <t>telecommunications network &gt; telecommunications infrastructure &gt; infrastructure &gt; structure &gt; geographic entity</t>
  </si>
  <si>
    <t>Technology and the quality of public deliberation: a comparison between on and offline participation</t>
  </si>
  <si>
    <t>E-governance</t>
  </si>
  <si>
    <t>E-Governance</t>
  </si>
  <si>
    <t>Q15118772</t>
  </si>
  <si>
    <t>governance &gt; regulation &gt; process &gt; occurrent &gt; entity</t>
  </si>
  <si>
    <t>governance &gt; regulation &gt; process &gt; sequence &gt; function</t>
  </si>
  <si>
    <t>governance &gt; regulation &gt; process &gt; sequence &gt; class</t>
  </si>
  <si>
    <t>Public debate</t>
  </si>
  <si>
    <t>public debate</t>
  </si>
  <si>
    <t>Q14850922</t>
  </si>
  <si>
    <t>debate &gt; discussion &gt; oral communication &gt; interpersonal communication &gt; human communication</t>
  </si>
  <si>
    <t>debate &gt; discussion &gt; oral communication &gt; verbal communication &gt; communication</t>
  </si>
  <si>
    <t>Waste treatment facility</t>
  </si>
  <si>
    <t>Online deliberation</t>
  </si>
  <si>
    <t>online deliberation</t>
  </si>
  <si>
    <t>Q4923938</t>
  </si>
  <si>
    <t>Q358652</t>
  </si>
  <si>
    <t>deliberation</t>
  </si>
  <si>
    <t>Face-to-face deliberation</t>
  </si>
  <si>
    <t>Technology</t>
  </si>
  <si>
    <t>Q11016</t>
  </si>
  <si>
    <t>applied science &gt; science &gt; outline of academic disciplines</t>
  </si>
  <si>
    <t>Q11862829;Q268592</t>
  </si>
  <si>
    <t>industry;academic discipline</t>
  </si>
  <si>
    <t>119338890</t>
  </si>
  <si>
    <t>applied science &gt; science &gt; knowledge system &gt; conceptual system &gt; system</t>
  </si>
  <si>
    <t>applied science &gt; science &gt; knowledge system &gt; conceptual system &gt; artificial object</t>
  </si>
  <si>
    <t>applied science &gt; science &gt; knowledge system &gt; conceptual system &gt; abstract entity</t>
  </si>
  <si>
    <t>applied science &gt; science &gt; knowledge system &gt; conceptual system &gt; concept</t>
  </si>
  <si>
    <t>applied science &gt; science &gt; knowledge &gt; memory &gt; information</t>
  </si>
  <si>
    <t>applied science &gt; science &gt; knowledge &gt; memory &gt; content</t>
  </si>
  <si>
    <t>applied science &gt; science &gt; epistemology &gt; theoretical philosophy &gt; philosophy</t>
  </si>
  <si>
    <t>applied science &gt; science &gt; epistemology &gt; philosophy &gt; knowledge system</t>
  </si>
  <si>
    <t>applied science &gt; science &gt; research &gt; inquiry &gt; seeking</t>
  </si>
  <si>
    <t>applied science &gt; science &gt; research &gt; inquiry &gt; planned process</t>
  </si>
  <si>
    <t>applied science &gt; science &gt; research &gt; activity &gt; process</t>
  </si>
  <si>
    <t>applied science &gt; science &gt; research &gt; process &gt; occurrent</t>
  </si>
  <si>
    <t>applied science &gt; science &gt; research &gt; process &gt; sequence</t>
  </si>
  <si>
    <t>applied science &gt; science &gt; research &gt; education and research &gt; economic activity</t>
  </si>
  <si>
    <t>applied science &gt; science &gt; logic &gt; scientific study &gt; science project</t>
  </si>
  <si>
    <t>applied science &gt; science &gt; intellectual activity &gt; intentional human activity &gt; human activity</t>
  </si>
  <si>
    <t>applied science &gt; science &gt; intellectual activity &gt; mental activity &gt; human activity</t>
  </si>
  <si>
    <t>science and technology &gt; relation &gt; property &gt; abstract entity &gt; entity</t>
  </si>
  <si>
    <t>Coding</t>
  </si>
  <si>
    <t>Q4226194</t>
  </si>
  <si>
    <t>Q31338769</t>
  </si>
  <si>
    <t>alternative medicine</t>
  </si>
  <si>
    <t>DQI</t>
  </si>
  <si>
    <t>Quality of deliberation</t>
  </si>
  <si>
    <t>Evaluation</t>
  </si>
  <si>
    <t>Q5415283</t>
  </si>
  <si>
    <t>European web-deliberation: Lessons from the European Citizens Consultation</t>
  </si>
  <si>
    <t>Web-deliberation  European Union</t>
  </si>
  <si>
    <t>Participatory democracy</t>
  </si>
  <si>
    <t>participatory democracy</t>
  </si>
  <si>
    <t>Q310988</t>
  </si>
  <si>
    <t>democracy &gt; political system &gt; social system &gt; system &gt; collective entity</t>
  </si>
  <si>
    <t>Q1307214</t>
  </si>
  <si>
    <t>form of government</t>
  </si>
  <si>
    <t>democracy &gt; political system &gt; social system &gt; system &gt; abstract entity</t>
  </si>
  <si>
    <t>democracy &gt; political system &gt; social system &gt; system &gt; object</t>
  </si>
  <si>
    <t>Open goverment and open data</t>
  </si>
  <si>
    <t>Electronic democracy</t>
  </si>
  <si>
    <t>Electronic Democracy</t>
  </si>
  <si>
    <t>Q136158027</t>
  </si>
  <si>
    <t>It was found related about a book</t>
  </si>
  <si>
    <t>Open government</t>
  </si>
  <si>
    <t>open government</t>
  </si>
  <si>
    <t>Q720829</t>
  </si>
  <si>
    <t>government &gt; organization &gt; person or organization &gt; being &gt; independent continuant</t>
  </si>
  <si>
    <t>Q117850</t>
  </si>
  <si>
    <t>doctrine</t>
  </si>
  <si>
    <t>government &gt; organization &gt; person or organization &gt; being &gt; subject</t>
  </si>
  <si>
    <t>government &gt; organization &gt; corporate body &gt; object &gt; entity</t>
  </si>
  <si>
    <t>government &gt; organization &gt; corporate body &gt; collective agent &gt; being</t>
  </si>
  <si>
    <t>government &gt; organization &gt; corporate body &gt; being &gt; independent continuant</t>
  </si>
  <si>
    <t>government &gt; organization &gt; corporate body &gt; being &gt; subject</t>
  </si>
  <si>
    <t>government &gt; organization &gt; social system &gt; system &gt; collective entity</t>
  </si>
  <si>
    <t>government &gt; organization &gt; social system &gt; system &gt; abstract entity</t>
  </si>
  <si>
    <t>government &gt; organization &gt; social system &gt; system &gt; object</t>
  </si>
  <si>
    <t>government &gt; organization &gt; complex system &gt; system &gt; collective entity</t>
  </si>
  <si>
    <t>government &gt; organization &gt; complex system &gt; system &gt; abstract entity</t>
  </si>
  <si>
    <t>government &gt; organization &gt; complex system &gt; system &gt; object</t>
  </si>
  <si>
    <t>government &gt; organization &gt; group of humans &gt; group or class of humans &gt; group or class of people</t>
  </si>
  <si>
    <t>government &gt; organization &gt; group of humans &gt; group of persons &gt; group of living things</t>
  </si>
  <si>
    <t>government &gt; organization &gt; group of humans &gt; group of persons &gt; group of beings</t>
  </si>
  <si>
    <t>government &gt; organization &gt; group of humans &gt; group of persons &gt; group or class of people</t>
  </si>
  <si>
    <t>government &gt; governing body &gt; person or organization &gt; being &gt; independent continuant</t>
  </si>
  <si>
    <t>government &gt; governing body &gt; person or organization &gt; being &gt; subject</t>
  </si>
  <si>
    <t>government &gt; governing body &gt; organization &gt; person or organization &gt; being</t>
  </si>
  <si>
    <t>government &gt; governing body &gt; organization &gt; corporate body &gt; object</t>
  </si>
  <si>
    <t>government &gt; governing body &gt; organization &gt; corporate body &gt; collective agent</t>
  </si>
  <si>
    <t>government &gt; governing body &gt; organization &gt; corporate body &gt; being</t>
  </si>
  <si>
    <t>government &gt; governing body &gt; organization &gt; social system &gt; system</t>
  </si>
  <si>
    <t>government &gt; governing body &gt; organization &gt; complex system &gt; system</t>
  </si>
  <si>
    <t>government &gt; governing body &gt; organization &gt; group of humans &gt; group or class of humans</t>
  </si>
  <si>
    <t>government &gt; governing body &gt; organization &gt; group of humans &gt; group of persons</t>
  </si>
  <si>
    <t>Open data</t>
  </si>
  <si>
    <t>open data</t>
  </si>
  <si>
    <t>Q309901</t>
  </si>
  <si>
    <t>16964333j</t>
  </si>
  <si>
    <t>data &gt; source of information &gt; source &gt; entity</t>
  </si>
  <si>
    <t>Q151885;Q268592;Q595523;Q627436</t>
  </si>
  <si>
    <t>industry;field of work;concept;notion</t>
  </si>
  <si>
    <t>data &gt; data &gt; information &gt; abstract entity &gt; entity</t>
  </si>
  <si>
    <t>data &gt; data &gt; information &gt; knowledge &gt; memory</t>
  </si>
  <si>
    <t>data &gt; manifestation &gt; artificial object &gt; object &gt; entity</t>
  </si>
  <si>
    <t>Citizenship</t>
  </si>
  <si>
    <t>Q113472587</t>
  </si>
  <si>
    <t>Law and Order &gt; Social Studies Curriculum for Basic 7 &gt; Social Studies Common Core programme Curriculum &gt; National Curriculum of Ghana for Basic School</t>
  </si>
  <si>
    <t>Q600134</t>
  </si>
  <si>
    <t>course</t>
  </si>
  <si>
    <t>Its to abroad</t>
  </si>
  <si>
    <t>Law and Order &gt; Social Studies Curriculum for Basic 7 &gt; Social Studies Common Core programme Curriculum &gt; Ghana Common Core Programme Curriculum &gt; National Curriculum of Ghana</t>
  </si>
  <si>
    <t>Law and Order &gt; Social Studies Curriculum for Basic 7 &gt; 0300 Social sciences, journalism and information not further defined &gt; 030 Social sciences, journalism and information not further defined &gt; 03 Social sciences, journalism and information</t>
  </si>
  <si>
    <t>The French Research on online participation: theoretical approaches and field experiments</t>
  </si>
  <si>
    <t>Political participation</t>
  </si>
  <si>
    <t>political participation</t>
  </si>
  <si>
    <t>Q2101513</t>
  </si>
  <si>
    <t>social engagement &gt; social phenomenon &gt; phenomenon &gt; occurrent &gt; entity</t>
  </si>
  <si>
    <t>social engagement &gt; social phenomenon &gt; phenomenon &gt; observable entity &gt; entity</t>
  </si>
  <si>
    <t>social engagement &gt; participation (in decisions) &gt; activity &gt; process &gt; occurrent</t>
  </si>
  <si>
    <t>social engagement &gt; participation (in decisions) &gt; activity &gt; process &gt; sequence</t>
  </si>
  <si>
    <t>social engagement &gt; participation (in decisions) &gt; human behavior &gt; behavior &gt; pattern</t>
  </si>
  <si>
    <t>social engagement &gt; participation (in decisions) &gt; participation &gt; action &gt; occurrence</t>
  </si>
  <si>
    <t>civil and political rights &gt; rights &gt; agreement &gt; agreement &gt; consensus</t>
  </si>
  <si>
    <t>civil and political rights &gt; rights &gt; agreement &gt; agreement &gt; rule</t>
  </si>
  <si>
    <t>civil and political rights &gt; human rights &gt; rights &gt; agreement &gt; agreement</t>
  </si>
  <si>
    <t>civil and political rights &gt; human rights &gt; convention &gt; class &gt; class</t>
  </si>
  <si>
    <t>participation (in decisions) &gt; activity &gt; process &gt; occurrent &gt; entity</t>
  </si>
  <si>
    <t>O</t>
  </si>
  <si>
    <t>participation (in decisions) &gt; activity &gt; process &gt; sequence &gt; class</t>
  </si>
  <si>
    <t>participation (in decisions) &gt; human behavior &gt; behavior &gt; pattern &gt; regularity</t>
  </si>
  <si>
    <t>participation (in decisions) &gt; participation &gt; action &gt; occurrence &gt; occurrent</t>
  </si>
  <si>
    <t>It was found about a book of 2012</t>
  </si>
  <si>
    <t>Political science</t>
  </si>
  <si>
    <t>political science</t>
  </si>
  <si>
    <t>Q36442</t>
  </si>
  <si>
    <t>13319064q</t>
  </si>
  <si>
    <t>political studies &gt; social science &gt; social sciences and humanities &gt; science &gt; knowledge system</t>
  </si>
  <si>
    <t>Q11862829;Q4671286</t>
  </si>
  <si>
    <t>academic major;academic discipline</t>
  </si>
  <si>
    <t>political studies &gt; social science &gt; social sciences and humanities &gt; science &gt; knowledge</t>
  </si>
  <si>
    <t>political studies &gt; social science &gt; social sciences and humanities &gt; science &gt; outline of academic disciplines</t>
  </si>
  <si>
    <t>political studies &gt; social science &gt; social sciences and humanities &gt; science &gt; epistemology</t>
  </si>
  <si>
    <t>political studies &gt; social science &gt; social sciences and humanities &gt; science &gt; research</t>
  </si>
  <si>
    <t>political studies &gt; social science &gt; social sciences and humanities &gt; science &gt; logic</t>
  </si>
  <si>
    <t>political studies &gt; social science &gt; social sciences and humanities &gt; science &gt; intellectual activity</t>
  </si>
  <si>
    <t>political studies &gt; social science &gt; humanities, arts and social sciences &gt; academic major &gt; academic discipline</t>
  </si>
  <si>
    <t>Is online political expression political participation?</t>
  </si>
  <si>
    <t>participation (in decisions) &gt; activity &gt; process &gt; sequence &gt; function</t>
  </si>
  <si>
    <t>The sources of shareholder wealth gains from going private transactions: The role of controlling shareholders</t>
  </si>
  <si>
    <t>Going private</t>
  </si>
  <si>
    <t>Going Private</t>
  </si>
  <si>
    <t>Q1725540</t>
  </si>
  <si>
    <t>It was found about a film</t>
  </si>
  <si>
    <t>Wealth gains</t>
  </si>
  <si>
    <t>Corporate governance</t>
  </si>
  <si>
    <t>corporate governance</t>
  </si>
  <si>
    <t>Q380767</t>
  </si>
  <si>
    <t>124886518</t>
  </si>
  <si>
    <t>Private benefits of control</t>
  </si>
  <si>
    <t>Q7246184</t>
  </si>
  <si>
    <t>It was blank</t>
  </si>
  <si>
    <t>Large Controlling Shareholders and Stock Price Synchronicity</t>
  </si>
  <si>
    <t>Ownership structure</t>
  </si>
  <si>
    <t>ownership structure</t>
  </si>
  <si>
    <t>Q114829385</t>
  </si>
  <si>
    <t>Q29028649</t>
  </si>
  <si>
    <t>economic concept</t>
  </si>
  <si>
    <t>Excess control</t>
  </si>
  <si>
    <t>Stock price synchronicity</t>
  </si>
  <si>
    <t>Crash risk</t>
  </si>
  <si>
    <t>crash risk</t>
  </si>
  <si>
    <t>Q110352601</t>
  </si>
  <si>
    <t>risk &gt; possibility &gt; quality &gt; property &gt; abstract entity</t>
  </si>
  <si>
    <t>risk &gt; possibility &gt; state &gt; phenomenon &gt; occurrent</t>
  </si>
  <si>
    <t>risk &gt; possibility &gt; state &gt; phenomenon &gt; observable entity</t>
  </si>
  <si>
    <t>risk &gt; possibility &gt; state &gt; property &gt; abstract entity</t>
  </si>
  <si>
    <t>Excess Control, Agency Costs and the Probability of Going Private in France</t>
  </si>
  <si>
    <t>Large shareholders</t>
  </si>
  <si>
    <t>large shareholders</t>
  </si>
  <si>
    <t>Q117049163</t>
  </si>
  <si>
    <t>shareholder &gt; proprietor &gt; legal person &gt; person or organization &gt; being</t>
  </si>
  <si>
    <t>Not subclass found</t>
  </si>
  <si>
    <t>shareholder &gt; stakeholder &gt; being &gt; independent continuant &gt; continuant</t>
  </si>
  <si>
    <t>shareholder &gt; stakeholder &gt; being &gt; subject &gt; independent continuant</t>
  </si>
  <si>
    <t>shareholder &gt; stakeholder &gt; advocacy group &gt; non-governmental organization &gt; nonprofit organization</t>
  </si>
  <si>
    <t>shareholder &gt; stakeholder &gt; advocacy group &gt; social group &gt; social system</t>
  </si>
  <si>
    <t>shareholder &gt; stakeholder &gt; advocacy group &gt; social group &gt; group of humans</t>
  </si>
  <si>
    <t>shareholder &gt; stakeholder &gt; advocacy group &gt; special interest group &gt; social group</t>
  </si>
  <si>
    <t>shareholder &gt; stakeholder &gt; advocacy group &gt; organization &gt; person or organization</t>
  </si>
  <si>
    <t>shareholder &gt; stakeholder &gt; advocacy group &gt; organization &gt; corporate body</t>
  </si>
  <si>
    <t>shareholder &gt; stakeholder &gt; advocacy group &gt; organization &gt; social system</t>
  </si>
  <si>
    <t>shareholder &gt; stakeholder &gt; advocacy group &gt; organization &gt; complex system</t>
  </si>
  <si>
    <t>shareholder &gt; stakeholder &gt; advocacy group &gt; organization &gt; group of humans</t>
  </si>
  <si>
    <t>On the Relationship between Ownership-Control Structure and Debt Financing: New Evidence from France</t>
  </si>
  <si>
    <t>Ownership-Control Discrepancy and Firm Value: Evidence from France</t>
  </si>
  <si>
    <t>Minority expropriation</t>
  </si>
  <si>
    <t>Ownership Structure, Corporate Governance and Analyst Following: A Study of French Listed Firms</t>
  </si>
  <si>
    <t>Private beneﬁts of control</t>
  </si>
  <si>
    <t>Pyramids</t>
  </si>
  <si>
    <t>Q75119451</t>
  </si>
  <si>
    <t>Q11060274</t>
  </si>
  <si>
    <t>print</t>
  </si>
  <si>
    <t>Analyst following</t>
  </si>
  <si>
    <t>remarks</t>
  </si>
  <si>
    <t>qid</t>
  </si>
  <si>
    <t>bnfid</t>
  </si>
  <si>
    <t>Tactile interface</t>
  </si>
  <si>
    <t>Computer game</t>
  </si>
  <si>
    <t>mismatched</t>
  </si>
  <si>
    <t>Game authoring tool</t>
  </si>
  <si>
    <t>Blind</t>
  </si>
  <si>
    <t>Visually disabled</t>
  </si>
  <si>
    <t>THEORIE DES PROBABILITES</t>
  </si>
  <si>
    <t>TELECOMMUNICATION</t>
  </si>
  <si>
    <t>RESEAU DE TELECOMMUNICATIONS</t>
  </si>
  <si>
    <t>INCERTITUDE</t>
  </si>
  <si>
    <t>Pharmacokinetic</t>
  </si>
  <si>
    <t>Mathematical modeling</t>
  </si>
  <si>
    <t>Ribavirin</t>
  </si>
  <si>
    <t>Pegylated-interferon</t>
  </si>
  <si>
    <t>Protease inhibitor</t>
  </si>
  <si>
    <t>Hepatitis C virus</t>
  </si>
  <si>
    <t>Non-linear mixed effect models</t>
  </si>
  <si>
    <t>Early viral kinetics</t>
  </si>
  <si>
    <t>Minimal subshift</t>
  </si>
  <si>
    <t>Spectra</t>
  </si>
  <si>
    <t>Cone</t>
  </si>
  <si>
    <t>Subshift</t>
  </si>
  <si>
    <t>Turing degree</t>
  </si>
  <si>
    <t>Friction</t>
  </si>
  <si>
    <t>Uncertainty</t>
  </si>
  <si>
    <t>Microslip</t>
  </si>
  <si>
    <t>Stochastic process</t>
  </si>
  <si>
    <t>Maximum entropy</t>
  </si>
  <si>
    <t>Simulation</t>
  </si>
  <si>
    <t>Adaptive MCMC algorithms</t>
  </si>
  <si>
    <t>Bayesian model</t>
  </si>
  <si>
    <t>Entropy</t>
  </si>
  <si>
    <t>Kullback divergence</t>
  </si>
  <si>
    <t>Metropolis-Hastings algorithm</t>
  </si>
  <si>
    <t>Nearest neighbor estimation</t>
  </si>
  <si>
    <t>Nonparametric statistic</t>
  </si>
  <si>
    <t>Accelerograms</t>
  </si>
  <si>
    <t>Earthquake</t>
  </si>
  <si>
    <t>Information theory</t>
  </si>
  <si>
    <t>Maximum Entropy</t>
  </si>
  <si>
    <t>Generation of Accelerograms</t>
  </si>
  <si>
    <t>Solar particle receiver</t>
  </si>
  <si>
    <t>Receiver efficiency</t>
  </si>
  <si>
    <t>High temperature</t>
  </si>
  <si>
    <t>Mathematical morphology</t>
  </si>
  <si>
    <t>Segmentation</t>
  </si>
  <si>
    <t>Antiextensive filtering</t>
  </si>
  <si>
    <t>Hierarchical image representation</t>
  </si>
  <si>
    <t>Connected operators</t>
  </si>
  <si>
    <t>Speedup factor</t>
  </si>
  <si>
    <t>Global EDF scheduling</t>
  </si>
  <si>
    <t>Directed Acyclic Graphs</t>
  </si>
  <si>
    <t>Parallel tasks</t>
  </si>
  <si>
    <t>Real-time scheduling</t>
  </si>
  <si>
    <t>Digital geometry</t>
  </si>
  <si>
    <t>Integrable theory</t>
  </si>
  <si>
    <t>Laplace-Beltrami operator</t>
  </si>
  <si>
    <t>Optimal transport</t>
  </si>
  <si>
    <t>Geometry</t>
  </si>
  <si>
    <t>Discrete calculus</t>
  </si>
  <si>
    <t>Discrete curvature</t>
  </si>
  <si>
    <t>Dislocation Dynamics Simulations</t>
  </si>
  <si>
    <t>Fast Multipole Method</t>
  </si>
  <si>
    <t>Fast Fourier Transform</t>
  </si>
  <si>
    <t>Spherical harmonics</t>
  </si>
  <si>
    <t>Stroh formalism</t>
  </si>
  <si>
    <t>Anisotropic elasticity</t>
  </si>
  <si>
    <t>Random field</t>
  </si>
  <si>
    <t>ItÃ´ stochastic differential equation</t>
  </si>
  <si>
    <t>Adaptive algorithm</t>
  </si>
  <si>
    <t>Random vector</t>
  </si>
  <si>
    <t>High dimension</t>
  </si>
  <si>
    <t>Polynomial chaos</t>
  </si>
  <si>
    <t>Multimodal probability distribution</t>
  </si>
  <si>
    <t>Semi-partitioned scheduling</t>
  </si>
  <si>
    <t>Multiprocessor</t>
  </si>
  <si>
    <t>Real-time</t>
  </si>
  <si>
    <t>Portioned scheduling</t>
  </si>
  <si>
    <t>EDF</t>
  </si>
  <si>
    <t>Performance evaluation</t>
  </si>
  <si>
    <t>Deadline assignment</t>
  </si>
  <si>
    <t>Semantic interoperability</t>
  </si>
  <si>
    <t>Health information systems</t>
  </si>
  <si>
    <t>Information model</t>
  </si>
  <si>
    <t>Reference terminology</t>
  </si>
  <si>
    <t>Semantic web</t>
  </si>
  <si>
    <t>Interface terminology</t>
  </si>
  <si>
    <t>Wavelet Leaders</t>
  </si>
  <si>
    <t>Image Processing</t>
  </si>
  <si>
    <t>Texture Classification</t>
  </si>
  <si>
    <t>Regularity</t>
  </si>
  <si>
    <t>Multifractal Analysis</t>
  </si>
  <si>
    <t>Period Dating</t>
  </si>
  <si>
    <t>Forgery Detection</t>
  </si>
  <si>
    <t>Van Gogh</t>
  </si>
  <si>
    <t>Paintings</t>
  </si>
  <si>
    <t>Cohort</t>
  </si>
  <si>
    <t>Longitudinal</t>
  </si>
  <si>
    <t>Mortality</t>
  </si>
  <si>
    <t>Cohorte</t>
  </si>
  <si>
    <t>Longitudinale</t>
  </si>
  <si>
    <t>MortalitÃ©</t>
  </si>
  <si>
    <t>A simple game generator for creating audio/tactile games</t>
  </si>
  <si>
    <t>Computer Gamer</t>
  </si>
  <si>
    <t>Q868626</t>
  </si>
  <si>
    <t>Q41298</t>
  </si>
  <si>
    <t>magazine</t>
  </si>
  <si>
    <t>Q60328</t>
  </si>
  <si>
    <t>Belief functions in telecommunications and network technologies: an overview</t>
  </si>
  <si>
    <t>Telecommunication</t>
  </si>
  <si>
    <t>Q7695840</t>
  </si>
  <si>
    <t>Incertitude</t>
  </si>
  <si>
    <t>Q106179101</t>
  </si>
  <si>
    <t>Belief functions and uncertainty management in networks and telecommunication</t>
  </si>
  <si>
    <t>Using Pharmacokinetic and Viral Kinetic Modeling To Estimate the Antiviral Effectiveness of Telaprevir, Boceprevir, and Pegylated Interferon during Triple Therapy in Treatment-Experienced Hepatitis C Virus-Infected Cirrhotic Patients.</t>
  </si>
  <si>
    <t>pharmacokinetics</t>
  </si>
  <si>
    <t>Q323936</t>
  </si>
  <si>
    <t>pharmaceutical sciences &gt; natural science &gt; science &gt; outline of academic disciplines</t>
  </si>
  <si>
    <t>Q1047113</t>
  </si>
  <si>
    <t>field of study</t>
  </si>
  <si>
    <t>pharmacology &gt; drug discovery &gt; pharmacology &gt; drug discovery &gt; pharmacology</t>
  </si>
  <si>
    <t>pharmacology &gt; drug discovery &gt; pharmacology &gt; drug discovery &gt; biochemistry</t>
  </si>
  <si>
    <t>pharmacology &gt; drug discovery &gt; pharmacology &gt; drug discovery &gt; drug development</t>
  </si>
  <si>
    <t>pharmacology &gt; drug discovery &gt; pharmacology &gt; health sciences &gt; applied science</t>
  </si>
  <si>
    <t>pharmacology &gt; drug discovery &gt; pharmacology &gt; health sciences &gt; life sciences</t>
  </si>
  <si>
    <t>pharmacology &gt; drug discovery &gt; pharmacology &gt; pharmaceutical sciences &gt; natural science</t>
  </si>
  <si>
    <t>pharmacology &gt; drug discovery &gt; pharmacology &gt; biology &gt; natural science</t>
  </si>
  <si>
    <t>pharmacology &gt; drug discovery &gt; biochemistry &gt; biology &gt; natural science</t>
  </si>
  <si>
    <t>pharmacology &gt; drug discovery &gt; biochemistry &gt; organic chemistry &gt; chemistry</t>
  </si>
  <si>
    <t>pharmacology &gt; drug discovery &gt; drug development &gt; pharmacy &gt; chemistry</t>
  </si>
  <si>
    <t>pharmacology &gt; drug discovery &gt; drug development &gt; new product development &gt; process</t>
  </si>
  <si>
    <t>pharmacology &gt; drug discovery &gt; drug development &gt; new product development &gt; activity</t>
  </si>
  <si>
    <t>pharmacology &gt; health sciences &gt; applied science &gt; science &gt; knowledge system</t>
  </si>
  <si>
    <t>pharmacology &gt; health sciences &gt; applied science &gt; science &gt; knowledge</t>
  </si>
  <si>
    <t>pharmacology &gt; health sciences &gt; applied science &gt; science &gt; outline of academic disciplines</t>
  </si>
  <si>
    <t>pharmacology &gt; health sciences &gt; applied science &gt; science &gt; epistemology</t>
  </si>
  <si>
    <t>pharmacology &gt; health sciences &gt; applied science &gt; science &gt; research</t>
  </si>
  <si>
    <t>pharmacology &gt; health sciences &gt; applied science &gt; science &gt; logic</t>
  </si>
  <si>
    <t>pharmacology &gt; health sciences &gt; applied science &gt; science &gt; intellectual activity</t>
  </si>
  <si>
    <t>pharmacology &gt; health sciences &gt; life sciences &gt; natural science &gt; science</t>
  </si>
  <si>
    <t>pharmacology &gt; pharmaceutical sciences &gt; natural science &gt; science &gt; knowledge system</t>
  </si>
  <si>
    <t>pharmacology &gt; pharmaceutical sciences &gt; natural science &gt; science &gt; knowledge</t>
  </si>
  <si>
    <t>pharmacology &gt; pharmaceutical sciences &gt; natural science &gt; science &gt; outline of academic disciplines</t>
  </si>
  <si>
    <t>pharmacology &gt; pharmaceutical sciences &gt; natural science &gt; science &gt; epistemology</t>
  </si>
  <si>
    <t>pharmacology &gt; pharmaceutical sciences &gt; natural science &gt; science &gt; research</t>
  </si>
  <si>
    <t>pharmacology &gt; pharmaceutical sciences &gt; natural science &gt; science &gt; logic</t>
  </si>
  <si>
    <t>pharmacology &gt; pharmaceutical sciences &gt; natural science &gt; science &gt; intellectual activity</t>
  </si>
  <si>
    <t>pharmacology &gt; biology &gt; natural science &gt; science &gt; knowledge system</t>
  </si>
  <si>
    <t>pharmacology &gt; biology &gt; natural science &gt; science &gt; knowledge</t>
  </si>
  <si>
    <t>pharmacology &gt; biology &gt; natural science &gt; science &gt; outline of academic disciplines</t>
  </si>
  <si>
    <t>pharmacology &gt; biology &gt; natural science &gt; science &gt; epistemology</t>
  </si>
  <si>
    <t>pharmacology &gt; biology &gt; natural science &gt; science &gt; research</t>
  </si>
  <si>
    <t>pharmacology &gt; biology &gt; natural science &gt; science &gt; logic</t>
  </si>
  <si>
    <t>pharmacology &gt; biology &gt; natural science &gt; science &gt; intellectual activity</t>
  </si>
  <si>
    <t>chemical kinetics &gt; physical chemistry &gt; chemistry &gt; physical sciences &gt; natural science</t>
  </si>
  <si>
    <t>pharmaceutical sciences &gt; natural science &gt; science &gt; knowledge system &gt; conceptual system</t>
  </si>
  <si>
    <t>pharmaceutical sciences &gt; natural science &gt; science &gt; knowledge &gt; memory</t>
  </si>
  <si>
    <t>pharmaceutical sciences &gt; natural science &gt; science &gt; epistemology &gt; theoretical philosophy</t>
  </si>
  <si>
    <t>pharmaceutical sciences &gt; natural science &gt; science &gt; epistemology &gt; philosophy</t>
  </si>
  <si>
    <t>pharmaceutical sciences &gt; natural science &gt; science &gt; research &gt; inquiry</t>
  </si>
  <si>
    <t>pharmaceutical sciences &gt; natural science &gt; science &gt; research &gt; activity</t>
  </si>
  <si>
    <t>pharmaceutical sciences &gt; natural science &gt; science &gt; research &gt; process</t>
  </si>
  <si>
    <t>pharmaceutical sciences &gt; natural science &gt; science &gt; research &gt; education and research</t>
  </si>
  <si>
    <t>pharmaceutical sciences &gt; natural science &gt; science &gt; logic &gt; scientific study</t>
  </si>
  <si>
    <t>pharmaceutical sciences &gt; natural science &gt; science &gt; intellectual activity &gt; intentional human activity</t>
  </si>
  <si>
    <t>pharmaceutical sciences &gt; natural science &gt; science &gt; intellectual activity &gt; mental activity</t>
  </si>
  <si>
    <t>pharmacy &gt; chemistry &gt; physical sciences &gt; natural science &gt; science</t>
  </si>
  <si>
    <t>Mathematical modeling ontology</t>
  </si>
  <si>
    <t>Q113014441</t>
  </si>
  <si>
    <t>Q324254</t>
  </si>
  <si>
    <t>ontology</t>
  </si>
  <si>
    <t>ribavirin</t>
  </si>
  <si>
    <t>Q421862</t>
  </si>
  <si>
    <t>nucleoside analogue &gt; structural analog &gt; molecular entity &gt; composite particle &gt; bound state</t>
  </si>
  <si>
    <t>nucleoside analogue &gt; structural analog &gt; molecular entity &gt; composite particle &gt; massive quantum particle</t>
  </si>
  <si>
    <t>nucleoside analogue &gt; structural analog &gt; molecular entity &gt; chemical entity &gt; ordinary matter</t>
  </si>
  <si>
    <t>protease inhibitor</t>
  </si>
  <si>
    <t>Q166774</t>
  </si>
  <si>
    <t>enzyme inhibitor &gt; reaction inhibitor &gt; chemical substance &gt; chemical entity &gt; ordinary matter</t>
  </si>
  <si>
    <t>Q17339814</t>
  </si>
  <si>
    <t>group or class of chemical substances</t>
  </si>
  <si>
    <t>enzyme inhibitor &gt; reaction inhibitor &gt; chemical substance &gt; substance &gt; ordinary matter</t>
  </si>
  <si>
    <t>Q708693</t>
  </si>
  <si>
    <t>Q16521</t>
  </si>
  <si>
    <t>taxon</t>
  </si>
  <si>
    <t>Turing degree spectra of minimal subshifts</t>
  </si>
  <si>
    <t>Q20873111</t>
  </si>
  <si>
    <t>Q85753795</t>
  </si>
  <si>
    <t>Q55818</t>
  </si>
  <si>
    <t>impact crater</t>
  </si>
  <si>
    <t>SUBSHIFT</t>
  </si>
  <si>
    <t>Q106637555</t>
  </si>
  <si>
    <t>Q1527413</t>
  </si>
  <si>
    <t>Q24034552</t>
  </si>
  <si>
    <t>mathematical concept</t>
  </si>
  <si>
    <t>Maximum entropy modeling of discrete uncertain properties with application to friction</t>
  </si>
  <si>
    <t>Q5503413</t>
  </si>
  <si>
    <t>uncertainty</t>
  </si>
  <si>
    <t>Q13649246</t>
  </si>
  <si>
    <t>risk source &gt; source &gt; entity</t>
  </si>
  <si>
    <t>Q1047113;Q11862829;Q130459448;Q2267705</t>
  </si>
  <si>
    <t>academic discipline;field of study;condition type;field of study</t>
  </si>
  <si>
    <t>risk source &gt; contributing factor &gt; condition &gt; state &gt; phenomenon</t>
  </si>
  <si>
    <t>risk source &gt; contributing factor &gt; condition &gt; state &gt; property</t>
  </si>
  <si>
    <t>risk source &gt; contributing factor &gt; occurrent &gt; entity &gt; entity</t>
  </si>
  <si>
    <t>mental state &gt; occurrence &gt; occurrent &gt; entity &gt; entity</t>
  </si>
  <si>
    <t>mental state &gt; state &gt; phenomenon &gt; occurrent &gt; entity</t>
  </si>
  <si>
    <t>mental state &gt; state &gt; phenomenon &gt; observable entity &gt; entity</t>
  </si>
  <si>
    <t>mental state &gt; state &gt; property &gt; abstract entity &gt; entity</t>
  </si>
  <si>
    <t>mental state &gt; condition &gt; state &gt; phenomenon &gt; occurrent</t>
  </si>
  <si>
    <t>mental state &gt; condition &gt; state &gt; phenomenon &gt; observable entity</t>
  </si>
  <si>
    <t>mental state &gt; condition &gt; state &gt; property &gt; abstract entity</t>
  </si>
  <si>
    <t>mental state &gt; psychological phenomenon &gt; phenomenon &gt; occurrent &gt; entity</t>
  </si>
  <si>
    <t>mental state &gt; psychological phenomenon &gt; phenomenon &gt; observable entity &gt; entity</t>
  </si>
  <si>
    <t>mental state &gt; psychological phenomenon &gt; occurrence &gt; occurrent &gt; entity</t>
  </si>
  <si>
    <t>stochastic process</t>
  </si>
  <si>
    <t>Q176737</t>
  </si>
  <si>
    <t>mathematical object &gt; abstract entity &gt; entity</t>
  </si>
  <si>
    <t>Q116505632;Q24034552</t>
  </si>
  <si>
    <t>mathematical concept;type of process</t>
  </si>
  <si>
    <t>mathematical object &gt; scientific object &gt; object &gt; entity</t>
  </si>
  <si>
    <t>indexed family &gt; set &gt; class &gt; mathematical object &gt; abstract entity</t>
  </si>
  <si>
    <t>indexed family &gt; set &gt; class &gt; mathematical object &gt; scientific object</t>
  </si>
  <si>
    <t>indexed family &gt; set &gt; class &gt; mathematical structure &gt; mathematical object</t>
  </si>
  <si>
    <t>indexed family &gt; set &gt; class &gt; mathematical structure &gt; abstract structure</t>
  </si>
  <si>
    <t>indexed family &gt; set &gt; multiset &gt; mathematical object &gt; abstract entity</t>
  </si>
  <si>
    <t>indexed family &gt; set &gt; multiset &gt; mathematical object &gt; scientific object</t>
  </si>
  <si>
    <t>indexed family &gt; set &gt; algebraic structure &gt; mathematical structure &gt; mathematical object</t>
  </si>
  <si>
    <t>indexed family &gt; set &gt; algebraic structure &gt; mathematical structure &gt; abstract structure</t>
  </si>
  <si>
    <t>indexed family &gt; set &gt; algebraic structure &gt; structure &gt; possibly infinitary structure</t>
  </si>
  <si>
    <t>maximum entropy</t>
  </si>
  <si>
    <t>Q106416338</t>
  </si>
  <si>
    <t>information entropy &gt; information content &gt; information &gt; abstract entity &gt; entity</t>
  </si>
  <si>
    <t>information entropy &gt; information content &gt; information &gt; knowledge &gt; memory</t>
  </si>
  <si>
    <t>information entropy &gt; information content &gt; physical quantity &gt; physical property &gt; physico-chemical property</t>
  </si>
  <si>
    <t>information entropy &gt; information content &gt; physical quantity &gt; individual quantity &gt; quantity</t>
  </si>
  <si>
    <t>information entropy &gt; information content &gt; logarithmic quantity &gt; individual quantity &gt; quantity</t>
  </si>
  <si>
    <t>information entropy &gt; information content &gt; logarithmic quantity &gt; dimensionless quantity &gt; individual quantity</t>
  </si>
  <si>
    <t>information entropy &gt; physical quantity &gt; physical property &gt; physico-chemical property &gt; property</t>
  </si>
  <si>
    <t>information entropy &gt; physical quantity &gt; individual quantity &gt; quantity &gt; property</t>
  </si>
  <si>
    <t>information entropy &gt; physical quantity &gt; individual quantity &gt; quantity &gt; value</t>
  </si>
  <si>
    <t>simulation</t>
  </si>
  <si>
    <t>Q45045</t>
  </si>
  <si>
    <t>simulacrum &gt; object &gt; entity</t>
  </si>
  <si>
    <t>experiment &gt; test &gt; method &gt; means &gt; contributing factor</t>
  </si>
  <si>
    <t>experiment &gt; test &gt; occurrence &gt; occurrent &gt; entity</t>
  </si>
  <si>
    <t>experiment &gt; research work &gt; human activity &gt; activity &gt; process</t>
  </si>
  <si>
    <t>simulacrum &gt; representation &gt; sign &gt; object &gt; entity</t>
  </si>
  <si>
    <t>simulacrum &gt; representation &gt; sign &gt; work &gt; artificial object</t>
  </si>
  <si>
    <t>simulacrum &gt; representation &gt; sign &gt; work &gt; cultural artifact</t>
  </si>
  <si>
    <t>The Nearest Neighbor entropy estimate: an adequate tool for adaptive MCMC evaluation</t>
  </si>
  <si>
    <t>Bayesian model reduction</t>
  </si>
  <si>
    <t>Q55605061</t>
  </si>
  <si>
    <t>Q4117933</t>
  </si>
  <si>
    <t>On the use of information theory for the generation of accelerograms compatible with specifications</t>
  </si>
  <si>
    <t>Q3604069</t>
  </si>
  <si>
    <t>Q114544389</t>
  </si>
  <si>
    <t>information theory</t>
  </si>
  <si>
    <t>Q131222</t>
  </si>
  <si>
    <t>mathematical theory &gt; theory &gt; idea &gt; mental representation &gt; representation</t>
  </si>
  <si>
    <t>Q11862829;Q2465832</t>
  </si>
  <si>
    <t>branch of science;academic discipline</t>
  </si>
  <si>
    <t>Optimization of the optical particle properties for a high temperature solar particle receiver,</t>
  </si>
  <si>
    <t>High Temperature</t>
  </si>
  <si>
    <t>Q15751150</t>
  </si>
  <si>
    <t>Directed connected operators: Asymmetric hierarchies for image filtering and segmentation</t>
  </si>
  <si>
    <t>mathematical morphology</t>
  </si>
  <si>
    <t>Q530242</t>
  </si>
  <si>
    <t>digital geometry &gt; discrete geometry &gt; combinatorics</t>
  </si>
  <si>
    <t>digital geometry &gt; discrete geometry &gt; geometry &gt; mathematics &gt; natural science</t>
  </si>
  <si>
    <t>piston ring</t>
  </si>
  <si>
    <t>Q1127214</t>
  </si>
  <si>
    <t>manufactured good &gt; product &gt; object &gt; entity</t>
  </si>
  <si>
    <t>physical component &gt; component &gt; part &gt; entity</t>
  </si>
  <si>
    <t>manufactured good &gt; artificial physical object &gt; physical object &gt; material entity &gt; independent continuant</t>
  </si>
  <si>
    <t>manufactured good &gt; artificial physical object &gt; physical object &gt; concrete object &gt; object</t>
  </si>
  <si>
    <t>manufactured good &gt; artificial physical object &gt; physical object &gt; concrete object &gt; individual item</t>
  </si>
  <si>
    <t>manufactured good &gt; artificial physical object &gt; artificial object &gt; object &gt; entity</t>
  </si>
  <si>
    <t>manufactured good &gt; artificial physical object &gt; work &gt; artificial object &gt; object</t>
  </si>
  <si>
    <t>manufactured good &gt; artificial physical object &gt; work &gt; cultural artifact &gt; artificial object</t>
  </si>
  <si>
    <t>manufactured good &gt; artificial physical object &gt; work &gt; cultural artifact &gt; cultural heritage</t>
  </si>
  <si>
    <t>manufactured good &gt; tangible good &gt; goods &gt; goods and services &gt; spatio-temporal entity</t>
  </si>
  <si>
    <t>manufactured good &gt; tangible good &gt; goods &gt; goods and services &gt; product</t>
  </si>
  <si>
    <t>manufactured good &gt; tangible good &gt; perceptible physical object &gt; physical object &gt; material entity</t>
  </si>
  <si>
    <t>manufactured good &gt; tangible good &gt; perceptible physical object &gt; physical object &gt; concrete object</t>
  </si>
  <si>
    <t>physical component &gt; physical object &gt; material entity &gt; independent continuant &gt; continuant</t>
  </si>
  <si>
    <t>physical component &gt; physical object &gt; concrete object &gt; object &gt; entity</t>
  </si>
  <si>
    <t>physical component &gt; physical object &gt; concrete object &gt; individual item &gt; entity</t>
  </si>
  <si>
    <t>physical component &gt; component &gt; perceptible physical object &gt; physical object &gt; material entity</t>
  </si>
  <si>
    <t>physical component &gt; component &gt; perceptible physical object &gt; physical object &gt; concrete object</t>
  </si>
  <si>
    <t>physical component &gt; component &gt; material entity &gt; independent continuant &gt; continuant</t>
  </si>
  <si>
    <t>A Stretching Algorithm for Parallel Real-time DAG Tasks on Multiprocessor Systems</t>
  </si>
  <si>
    <t>directed acyclic graph</t>
  </si>
  <si>
    <t>Q1195339</t>
  </si>
  <si>
    <t>directed graph &gt; mixed graph &gt; mathematical object &gt; abstract entity &gt; entity</t>
  </si>
  <si>
    <t>directed graph &gt; mixed graph &gt; mathematical object &gt; scientific object &gt; object</t>
  </si>
  <si>
    <t>directed graph &gt; mixed graph &gt; graph &gt; hypergraph &gt; diagram</t>
  </si>
  <si>
    <t>directed graph &gt; mixed graph &gt; graph &gt; hypergraph &gt; possibly infinitary structure</t>
  </si>
  <si>
    <t>directed graph &gt; mixed graph &gt; graph &gt; relational structure &gt; structure</t>
  </si>
  <si>
    <t>simple graph &gt; simple pseudograph &gt; pseudograph &gt; hypergraph &gt; diagram</t>
  </si>
  <si>
    <t>simple graph &gt; simple pseudograph &gt; pseudograph &gt; hypergraph &gt; possibly infinitary structure</t>
  </si>
  <si>
    <t>simple graph &gt; loopless multigraph &gt; graph &gt; hypergraph &gt; diagram</t>
  </si>
  <si>
    <t>simple graph &gt; loopless multigraph &gt; graph &gt; hypergraph &gt; possibly infinitary structure</t>
  </si>
  <si>
    <t>simple graph &gt; loopless multigraph &gt; graph &gt; relational structure &gt; structure</t>
  </si>
  <si>
    <t>simple graph &gt; loopless multigraph &gt; pseudograph &gt; hypergraph &gt; diagram</t>
  </si>
  <si>
    <t>simple graph &gt; loopless multigraph &gt; pseudograph &gt; hypergraph &gt; possibly infinitary structure</t>
  </si>
  <si>
    <t>oriented graph &gt; directed graph &gt; mixed graph &gt; mathematical object &gt; abstract entity</t>
  </si>
  <si>
    <t>oriented graph &gt; directed graph &gt; mixed graph &gt; mathematical object &gt; scientific object</t>
  </si>
  <si>
    <t>oriented graph &gt; directed graph &gt; mixed graph &gt; graph &gt; hypergraph</t>
  </si>
  <si>
    <t>oriented graph &gt; directed graph &gt; mixed graph &gt; graph &gt; relational structure</t>
  </si>
  <si>
    <t>Discrete curvature: theory and applications</t>
  </si>
  <si>
    <t>digital geometry</t>
  </si>
  <si>
    <t>Q1789829</t>
  </si>
  <si>
    <t>discrete geometry &gt; combinatorics</t>
  </si>
  <si>
    <t>discrete geometry &gt; geometry &gt; mathematics &gt; natural science &gt; science</t>
  </si>
  <si>
    <t>optimal transport</t>
  </si>
  <si>
    <t>Q1280998</t>
  </si>
  <si>
    <t>Q111226038</t>
  </si>
  <si>
    <t>abstract class &gt; class &gt; abstract entity &gt; entity</t>
  </si>
  <si>
    <t>abstract class &gt; class &gt; data type &gt; type &gt; class</t>
  </si>
  <si>
    <t>abstract class &gt; abstract type &gt; data type &gt; type &gt; class</t>
  </si>
  <si>
    <t>OptiDis: A parallel Fast Multipole Dislocation Dynamics code</t>
  </si>
  <si>
    <t>Fast multipole method</t>
  </si>
  <si>
    <t>Q5437040</t>
  </si>
  <si>
    <t>fast Fourier transform</t>
  </si>
  <si>
    <t>Q623950</t>
  </si>
  <si>
    <t>algorithm &gt; procedure &gt; method &gt; means &gt; contributing factor</t>
  </si>
  <si>
    <t>algorithm &gt; work &gt; artificial object &gt; object &gt; entity</t>
  </si>
  <si>
    <t>algorithm &gt; work &gt; cultural artifact &gt; artificial object &gt; object</t>
  </si>
  <si>
    <t>algorithm &gt; work &gt; cultural artifact &gt; cultural heritage &gt; heritage</t>
  </si>
  <si>
    <t>discrete Fourier transform &gt; Fourier transform &gt; integral transform &gt; linear map &gt; function</t>
  </si>
  <si>
    <t>discrete Fourier transform &gt; Fourier transform &gt; integral transform &gt; linear map &gt; additive map</t>
  </si>
  <si>
    <t>discrete Fourier transform &gt; Fourier transform &gt; integral transform &gt; linear map &gt; homogeneous function</t>
  </si>
  <si>
    <t>discrete Fourier transform &gt; Fourier transform &gt; integral transform &gt; transformation &gt; function</t>
  </si>
  <si>
    <t>discrete Fourier transform &gt; Fourier transform &gt; integral transform &gt; transformation &gt; mapping</t>
  </si>
  <si>
    <t>discrete Fourier transform &gt; Fourier transform &gt; integral transform &gt; transformation &gt; mathematical concept</t>
  </si>
  <si>
    <t>discrete Fourier transform &gt; discrete transform &gt; transformation &gt; function &gt; binary relation</t>
  </si>
  <si>
    <t>discrete Fourier transform &gt; discrete transform &gt; transformation &gt; function &gt; partial function</t>
  </si>
  <si>
    <t>discrete Fourier transform &gt; discrete transform &gt; transformation &gt; function &gt; multivalued function</t>
  </si>
  <si>
    <t>discrete Fourier transform &gt; discrete transform &gt; transformation &gt; function &gt; generalized function</t>
  </si>
  <si>
    <t>discrete Fourier transform &gt; discrete transform &gt; transformation &gt; mapping &gt; function</t>
  </si>
  <si>
    <t>discrete Fourier transform &gt; discrete transform &gt; transformation &gt; mapping &gt; assignment</t>
  </si>
  <si>
    <t>discrete Fourier transform &gt; discrete transform &gt; transformation &gt; mathematical concept &gt; concept</t>
  </si>
  <si>
    <t>OptiDis: Toward fast anisotropic dislocation dynamics based on Stroh formalism</t>
  </si>
  <si>
    <t>spherical harmonic</t>
  </si>
  <si>
    <t>Q877100</t>
  </si>
  <si>
    <t>Q867707</t>
  </si>
  <si>
    <t>special function</t>
  </si>
  <si>
    <t>ItÃ´ SDE-based generator for a class of non-Gaussian vector-valued random fields in uncertainty quantification</t>
  </si>
  <si>
    <t>random field</t>
  </si>
  <si>
    <t>Q5361768</t>
  </si>
  <si>
    <t>random function &gt; function &gt; binary relation &gt; relation &gt; set</t>
  </si>
  <si>
    <t>random function &gt; function &gt; binary relation &gt; relation &gt; relation</t>
  </si>
  <si>
    <t>random function &gt; function &gt; binary relation &gt; relation &gt; relation (mathematics)</t>
  </si>
  <si>
    <t>random function &gt; function &gt; partial function &gt; binary relation &gt; relation</t>
  </si>
  <si>
    <t>random function &gt; function &gt; partial function &gt; function &gt; binary relation</t>
  </si>
  <si>
    <t>random function &gt; function &gt; partial function &gt; function &gt; partial function</t>
  </si>
  <si>
    <t>random function &gt; function &gt; partial function &gt; function &gt; multivalued function</t>
  </si>
  <si>
    <t>random function &gt; function &gt; partial function &gt; function &gt; generalized function</t>
  </si>
  <si>
    <t>random function &gt; function &gt; partial function &gt; mathematical object &gt; abstract entity</t>
  </si>
  <si>
    <t>random function &gt; function &gt; partial function &gt; mathematical object &gt; scientific object</t>
  </si>
  <si>
    <t>random function &gt; function &gt; multivalued function &gt; serial relation &gt; binary relation</t>
  </si>
  <si>
    <t>random function &gt; function &gt; multivalued function &gt; function &gt; binary relation</t>
  </si>
  <si>
    <t>random function &gt; function &gt; multivalued function &gt; function &gt; partial function</t>
  </si>
  <si>
    <t>random function &gt; function &gt; multivalued function &gt; function &gt; multivalued function</t>
  </si>
  <si>
    <t>random function &gt; function &gt; multivalued function &gt; function &gt; generalized function</t>
  </si>
  <si>
    <t>random function &gt; function &gt; generalized function &gt; mathematical object &gt; abstract entity</t>
  </si>
  <si>
    <t>random function &gt; function &gt; generalized function &gt; mathematical object &gt; scientific object</t>
  </si>
  <si>
    <t>random function &gt; random element &gt; variable &gt; operand &gt; value</t>
  </si>
  <si>
    <t>random function &gt; random element &gt; variable &gt; term &gt; mathematical object</t>
  </si>
  <si>
    <t>random function &gt; random element &gt; variable &gt; term &gt; mathematical expression</t>
  </si>
  <si>
    <t>random function &gt; random element &gt; function &gt; binary relation &gt; relation</t>
  </si>
  <si>
    <t>random function &gt; random element &gt; function &gt; partial function &gt; binary relation</t>
  </si>
  <si>
    <t>random function &gt; random element &gt; function &gt; partial function &gt; function</t>
  </si>
  <si>
    <t>random function &gt; random element &gt; function &gt; partial function &gt; mathematical object</t>
  </si>
  <si>
    <t>random function &gt; random element &gt; function &gt; multivalued function &gt; serial relation</t>
  </si>
  <si>
    <t>random function &gt; random element &gt; function &gt; multivalued function &gt; function</t>
  </si>
  <si>
    <t>random function &gt; random element &gt; function &gt; generalized function &gt; mathematical object</t>
  </si>
  <si>
    <t>adaptive algorithm</t>
  </si>
  <si>
    <t>Q1988072</t>
  </si>
  <si>
    <t>computer simulation &gt; simulation &gt; mathematical model &gt; conceptual model &gt; knowledge organization system</t>
  </si>
  <si>
    <t>computer simulation &gt; simulation &gt; mathematical model &gt; intellectual work &gt; work</t>
  </si>
  <si>
    <t>computer simulation &gt; simulation &gt; mathematical model &gt; intellectual work &gt; intellectual property</t>
  </si>
  <si>
    <t>computer simulation &gt; simulation &gt; mathematical model &gt; model &gt; artificial object</t>
  </si>
  <si>
    <t>computer simulation &gt; simulation &gt; mathematical model &gt; model &gt; information</t>
  </si>
  <si>
    <t>computer simulation &gt; simulation &gt; mathematical model &gt; scientific model &gt; conceptual model</t>
  </si>
  <si>
    <t>computer simulation &gt; simulation &gt; mathematical model &gt; mathematical object &gt; abstract entity</t>
  </si>
  <si>
    <t>computer simulation &gt; simulation &gt; mathematical model &gt; mathematical object &gt; scientific object</t>
  </si>
  <si>
    <t>computer simulation &gt; simulation &gt; experiment &gt; test &gt; method</t>
  </si>
  <si>
    <t>computer simulation &gt; simulation &gt; experiment &gt; test &gt; occurrence</t>
  </si>
  <si>
    <t>computer simulation &gt; simulation &gt; experiment &gt; research work &gt; human activity</t>
  </si>
  <si>
    <t>computer simulation &gt; simulation &gt; simulacrum &gt; representation &gt; sign</t>
  </si>
  <si>
    <t>computer simulation &gt; simulation &gt; simulacrum &gt; object &gt; entity</t>
  </si>
  <si>
    <t>Polynomial chaos expansion of a multimodal random vector</t>
  </si>
  <si>
    <t>High Dimension</t>
  </si>
  <si>
    <t>Q135022631</t>
  </si>
  <si>
    <t>polynomial chaos</t>
  </si>
  <si>
    <t>Q17147719</t>
  </si>
  <si>
    <t>Job vs. portioned partitioning for the earliest deadline ï¬rst semi-partitioned scheduling</t>
  </si>
  <si>
    <t>MC#</t>
  </si>
  <si>
    <t>Q4043398</t>
  </si>
  <si>
    <t>Q28919943</t>
  </si>
  <si>
    <t>concurrent programming language</t>
  </si>
  <si>
    <t>real-time</t>
  </si>
  <si>
    <t>Q347066</t>
  </si>
  <si>
    <t>chronology &gt; science &gt; outline of academic disciplines</t>
  </si>
  <si>
    <t>chronology &gt; science &gt; knowledge system &gt; conceptual system &gt; system</t>
  </si>
  <si>
    <t>chronology &gt; science &gt; knowledge system &gt; conceptual system &gt; artificial object</t>
  </si>
  <si>
    <t>chronology &gt; science &gt; knowledge system &gt; conceptual system &gt; abstract entity</t>
  </si>
  <si>
    <t>chronology &gt; science &gt; knowledge system &gt; conceptual system &gt; concept</t>
  </si>
  <si>
    <t>chronology &gt; science &gt; knowledge &gt; memory &gt; information</t>
  </si>
  <si>
    <t>chronology &gt; science &gt; knowledge &gt; memory &gt; content</t>
  </si>
  <si>
    <t>chronology &gt; science &gt; epistemology &gt; theoretical philosophy &gt; philosophy</t>
  </si>
  <si>
    <t>chronology &gt; science &gt; epistemology &gt; philosophy &gt; knowledge system</t>
  </si>
  <si>
    <t>chronology &gt; science &gt; research &gt; inquiry &gt; seeking</t>
  </si>
  <si>
    <t>chronology &gt; science &gt; research &gt; inquiry &gt; planned process</t>
  </si>
  <si>
    <t>chronology &gt; science &gt; research &gt; activity &gt; process</t>
  </si>
  <si>
    <t>chronology &gt; science &gt; research &gt; process &gt; occurrent</t>
  </si>
  <si>
    <t>chronology &gt; science &gt; research &gt; process &gt; sequence</t>
  </si>
  <si>
    <t>chronology &gt; science &gt; research &gt; education and research &gt; economic activity</t>
  </si>
  <si>
    <t>chronology &gt; science &gt; logic &gt; scientific study &gt; science project</t>
  </si>
  <si>
    <t>chronology &gt; science &gt; intellectual activity &gt; intentional human activity &gt; human activity</t>
  </si>
  <si>
    <t>chronology &gt; science &gt; intellectual activity &gt; mental activity &gt; human activity</t>
  </si>
  <si>
    <t>chronology &gt; time &gt; sequence &gt; function &gt; binary relation</t>
  </si>
  <si>
    <t>chronology &gt; time &gt; sequence &gt; function &gt; partial function</t>
  </si>
  <si>
    <t>chronology &gt; time &gt; sequence &gt; function &gt; multivalued function</t>
  </si>
  <si>
    <t>chronology &gt; time &gt; sequence &gt; function &gt; generalized function</t>
  </si>
  <si>
    <t>chronology &gt; time &gt; sequence &gt; class &gt; class</t>
  </si>
  <si>
    <t>chronology &gt; time &gt; measurable set &gt; set &gt; class</t>
  </si>
  <si>
    <t>chronology &gt; time &gt; measurable set &gt; set &gt; multiset</t>
  </si>
  <si>
    <t>chronology &gt; time &gt; measurable set &gt; set &gt; algebraic structure</t>
  </si>
  <si>
    <t>time &gt; sequence &gt; function &gt; binary relation &gt; relation</t>
  </si>
  <si>
    <t>time &gt; sequence &gt; function &gt; partial function &gt; binary relation</t>
  </si>
  <si>
    <t>time &gt; sequence &gt; function &gt; partial function &gt; function</t>
  </si>
  <si>
    <t>time &gt; sequence &gt; function &gt; partial function &gt; mathematical object</t>
  </si>
  <si>
    <t>time &gt; sequence &gt; function &gt; multivalued function &gt; serial relation</t>
  </si>
  <si>
    <t>time &gt; sequence &gt; function &gt; multivalued function &gt; function</t>
  </si>
  <si>
    <t>time &gt; sequence &gt; function &gt; generalized function &gt; mathematical object</t>
  </si>
  <si>
    <t>time &gt; sequence &gt; class &gt; class &gt; abstract entity</t>
  </si>
  <si>
    <t>time &gt; sequence &gt; class &gt; class &gt; collective entity</t>
  </si>
  <si>
    <t>time &gt; measurable set &gt; set &gt; class &gt; mathematical object</t>
  </si>
  <si>
    <t>time &gt; measurable set &gt; set &gt; class &gt; mathematical structure</t>
  </si>
  <si>
    <t>time &gt; measurable set &gt; set &gt; multiset &gt; mathematical object</t>
  </si>
  <si>
    <t>time &gt; measurable set &gt; set &gt; algebraic structure &gt; mathematical structure</t>
  </si>
  <si>
    <t>time &gt; measurable set &gt; set &gt; algebraic structure &gt; structure</t>
  </si>
  <si>
    <t>EDF1</t>
  </si>
  <si>
    <t>Q18033241</t>
  </si>
  <si>
    <t>Performance Evaluation</t>
  </si>
  <si>
    <t>Q7168203</t>
  </si>
  <si>
    <t>Semantic interoperability platform for Healthcare Information Exchange</t>
  </si>
  <si>
    <t>semantic interoperability</t>
  </si>
  <si>
    <t>Q5258530</t>
  </si>
  <si>
    <t>interoperability &gt; property &gt; abstract entity &gt; entity</t>
  </si>
  <si>
    <t>health information system</t>
  </si>
  <si>
    <t>Q70323677</t>
  </si>
  <si>
    <t>information model</t>
  </si>
  <si>
    <t>Q1662581</t>
  </si>
  <si>
    <t>data model &gt; conceptual model &gt; knowledge organization system &gt; conceptual system &gt; system</t>
  </si>
  <si>
    <t>data model &gt; conceptual model &gt; knowledge organization system &gt; conceptual system &gt; artificial object</t>
  </si>
  <si>
    <t>data model &gt; conceptual model &gt; knowledge organization system &gt; conceptual system &gt; abstract entity</t>
  </si>
  <si>
    <t>data model &gt; conceptual model &gt; knowledge organization system &gt; conceptual system &gt; concept</t>
  </si>
  <si>
    <t>data model &gt; conceptual model &gt; knowledge organization system &gt; model &gt; artificial object</t>
  </si>
  <si>
    <t>data model &gt; conceptual model &gt; knowledge organization system &gt; model &gt; information</t>
  </si>
  <si>
    <t>data model &gt; conceptual model &gt; knowledge organization system &gt; reference work &gt; tertiary source</t>
  </si>
  <si>
    <t>data model &gt; conceptual model &gt; knowledge organization system &gt; reference work &gt; learning material</t>
  </si>
  <si>
    <t>data model &gt; conceptual model &gt; knowledge organization system &gt; reference work &gt; creative work</t>
  </si>
  <si>
    <t>data model &gt; conceptual model &gt; knowledge organization system &gt; reference work &gt; document</t>
  </si>
  <si>
    <t>data model &gt; conceptual model &gt; knowledge organization system &gt; reference work &gt; written work</t>
  </si>
  <si>
    <t>data model &gt; conceptual model &gt; knowledge organization system &gt; reference work &gt; publication</t>
  </si>
  <si>
    <t>data model &gt; conceptual model &gt; knowledge organization system &gt; reference work &gt; project</t>
  </si>
  <si>
    <t>Semantic Web</t>
  </si>
  <si>
    <t>Q54837</t>
  </si>
  <si>
    <t>14521343b</t>
  </si>
  <si>
    <t>World Wide Web &gt; service on Internet &gt; e-service &gt; service &gt; goods and services</t>
  </si>
  <si>
    <t>Q1047113;Q11862829;Q121182;Q2267705;Q271680</t>
  </si>
  <si>
    <t>software framework;field of study;field of study;academic discipline;information system</t>
  </si>
  <si>
    <t>World Wide Web &gt; service on Internet &gt; e-service &gt; service &gt; product</t>
  </si>
  <si>
    <t>World Wide Web &gt; service on Internet &gt; e-service &gt; service &gt; economic activity</t>
  </si>
  <si>
    <t>World Wide Web &gt; service on Internet &gt; network service &gt; middleware of distributed system &gt; middleware</t>
  </si>
  <si>
    <t>World Wide Web &gt; service on Internet &gt; network service &gt; service &gt; goods and services</t>
  </si>
  <si>
    <t>World Wide Web &gt; service on Internet &gt; network service &gt; service &gt; product</t>
  </si>
  <si>
    <t>World Wide Web &gt; service on Internet &gt; network service &gt; service &gt; economic activity</t>
  </si>
  <si>
    <t>World Wide Web &gt; service on Internet &gt; communications media &gt; means &gt; contributing factor</t>
  </si>
  <si>
    <t>World Wide Web &gt; service on Internet &gt; communications media &gt; data carrier &gt; manifestation</t>
  </si>
  <si>
    <t>World Wide Web &gt; digital media &gt; electronic media &gt; communications media &gt; means</t>
  </si>
  <si>
    <t>World Wide Web &gt; digital media &gt; electronic media &gt; communications media &gt; data carrier</t>
  </si>
  <si>
    <t>semantic network &gt; knowledge graph &gt; labeled directed graph &gt; labeled mixed graph &gt; mixed graph</t>
  </si>
  <si>
    <t>semantic network &gt; knowledge graph &gt; labeled directed graph &gt; directed graph &gt; mixed graph</t>
  </si>
  <si>
    <t>semantic network &gt; knowledge graph &gt; knowledge base &gt; database &gt; data set</t>
  </si>
  <si>
    <t>semantic network &gt; knowledge graph &gt; knowledge base &gt; database &gt; work</t>
  </si>
  <si>
    <t>semantic network &gt; knowledge graph &gt; knowledge base &gt; database &gt; digital object</t>
  </si>
  <si>
    <t>semantic network &gt; knowledge graph &gt; knowledge base &gt; database &gt; data</t>
  </si>
  <si>
    <t>semantic network &gt; knowledge graph &gt; knowledge base &gt; conceptual model &gt; knowledge organization system</t>
  </si>
  <si>
    <t>semantic network &gt; knowledge graph &gt; knowledge base &gt; tertiary source &gt; source text</t>
  </si>
  <si>
    <t>semantic network &gt; knowledge graph &gt; knowledge base &gt; documentation &gt; depicting object</t>
  </si>
  <si>
    <t>semantic network &gt; knowledge graph &gt; knowledge base &gt; documentation &gt; information</t>
  </si>
  <si>
    <t>semantic network &gt; knowledge graph &gt; data &gt; information &gt; abstract entity</t>
  </si>
  <si>
    <t>semantic network &gt; knowledge graph &gt; data &gt; information &gt; knowledge</t>
  </si>
  <si>
    <t>semantic network &gt; graph data structure &gt; data structure &gt; data &gt; data</t>
  </si>
  <si>
    <t>semantic network &gt; graph data structure &gt; data structure &gt; data &gt; manifestation</t>
  </si>
  <si>
    <t>semantic network &gt; graph data structure &gt; data structure &gt; data &gt; source of information</t>
  </si>
  <si>
    <t>semantic network &gt; graph data structure &gt; data structure &gt; structure &gt; collective entity</t>
  </si>
  <si>
    <t>semantic network &gt; graph data structure &gt; data structure &gt; structure &gt; order</t>
  </si>
  <si>
    <t>semantic network &gt; graph data structure &gt; data structure &gt; structure &gt; geographic entity</t>
  </si>
  <si>
    <t>semantic network &gt; graph data structure &gt; data structure &gt; software component &gt; immaterial component</t>
  </si>
  <si>
    <t>semantic network &gt; graph data structure &gt; data structure &gt; software component &gt; software resource</t>
  </si>
  <si>
    <t>Semantic integration &gt; Integrated software &gt; software &gt; creative work &gt; intellectual work</t>
  </si>
  <si>
    <t>Semantic integration &gt; Integrated software &gt; software &gt; creative work &gt; work</t>
  </si>
  <si>
    <t>Semantic integration &gt; Integrated software &gt; software &gt; written work &gt; intellectual work</t>
  </si>
  <si>
    <t>Semantic integration &gt; Integrated software &gt; software &gt; written work &gt; work</t>
  </si>
  <si>
    <t>Semantic integration &gt; Integrated software &gt; software &gt; means &gt; contributing factor</t>
  </si>
  <si>
    <t>Semantic integration &gt; Integrated software &gt; software &gt; product &gt; object</t>
  </si>
  <si>
    <t>Semantic integration &gt; semantic computing &gt; calculation &gt; planned process &gt; process</t>
  </si>
  <si>
    <t>Semantic integration &gt; semantic computing &gt; calculation &gt; planned process &gt; intentional human activity</t>
  </si>
  <si>
    <t>When Van Gogh meets Mandelbrot: Multifractal classification of painting's texture</t>
  </si>
  <si>
    <t>image processing</t>
  </si>
  <si>
    <t>Q327008</t>
  </si>
  <si>
    <t>signal processing &gt; technology &gt; applied science &gt; science &gt; knowledge system</t>
  </si>
  <si>
    <t>signal processing &gt; technology &gt; applied science &gt; science &gt; knowledge</t>
  </si>
  <si>
    <t>signal processing &gt; technology &gt; applied science &gt; science &gt; outline of academic disciplines</t>
  </si>
  <si>
    <t>signal processing &gt; technology &gt; applied science &gt; science &gt; epistemology</t>
  </si>
  <si>
    <t>signal processing &gt; technology &gt; applied science &gt; science &gt; research</t>
  </si>
  <si>
    <t>signal processing &gt; technology &gt; applied science &gt; science &gt; logic</t>
  </si>
  <si>
    <t>signal processing &gt; technology &gt; applied science &gt; science &gt; intellectual activity</t>
  </si>
  <si>
    <t>signal processing &gt; technology &gt; science and technology &gt; relation &gt; property</t>
  </si>
  <si>
    <t>signal processing &gt; process &gt; occurrent &gt; entity &gt; entity</t>
  </si>
  <si>
    <t>signal processing &gt; process &gt; sequence &gt; function &gt; binary relation</t>
  </si>
  <si>
    <t>signal processing &gt; process &gt; sequence &gt; function &gt; partial function</t>
  </si>
  <si>
    <t>signal processing &gt; process &gt; sequence &gt; function &gt; multivalued function</t>
  </si>
  <si>
    <t>signal processing &gt; process &gt; sequence &gt; function &gt; generalized function</t>
  </si>
  <si>
    <t>signal processing &gt; process &gt; sequence &gt; class &gt; class</t>
  </si>
  <si>
    <t>data processing &gt; information processing &gt; process &gt; occurrent &gt; entity</t>
  </si>
  <si>
    <t>data processing &gt; information processing &gt; process &gt; sequence &gt; function</t>
  </si>
  <si>
    <t>data processing &gt; information processing &gt; process &gt; sequence &gt; class</t>
  </si>
  <si>
    <t>data processing &gt; field of work &gt; field of study &gt; knowledge system &gt; conceptual system</t>
  </si>
  <si>
    <t>data processing &gt; field of work &gt; field of study &gt; knowledge type &gt; type</t>
  </si>
  <si>
    <t>data processing &gt; field of work &gt; field of study &gt; knowledge &gt; memory</t>
  </si>
  <si>
    <t>data processing &gt; field of work &gt; field of study &gt; topic &gt; information</t>
  </si>
  <si>
    <t>data processing &gt; field of work &gt; field of study &gt; topic &gt; content</t>
  </si>
  <si>
    <t>data processing &gt; field of work &gt; intentional human activity &gt; human activity &gt; activity</t>
  </si>
  <si>
    <t>regularity</t>
  </si>
  <si>
    <t>Q4184950</t>
  </si>
  <si>
    <t>abstract entity &gt; entity</t>
  </si>
  <si>
    <t>Q17029510</t>
  </si>
  <si>
    <t>Q28553095</t>
  </si>
  <si>
    <t>Socioprofessional trajectories and mortality in France, 1976?2002: a longitudinal follow-up of administrative data</t>
  </si>
  <si>
    <t>Q29867328</t>
  </si>
  <si>
    <t>longitudinal</t>
  </si>
  <si>
    <t>Q66571840</t>
  </si>
  <si>
    <t>anatomical coordinate &gt; anatomical location &gt; spatial association relation &gt; structural anatomical relation &gt; anatomical relation</t>
  </si>
  <si>
    <t>Q56852608</t>
  </si>
  <si>
    <t>Q1580166</t>
  </si>
  <si>
    <t>dictionary entry</t>
  </si>
  <si>
    <t>Cohortedreef</t>
  </si>
  <si>
    <t>Q18981613</t>
  </si>
  <si>
    <t>Q79007</t>
  </si>
  <si>
    <t>street</t>
  </si>
  <si>
    <t>mortality</t>
  </si>
  <si>
    <t>Q1239812</t>
  </si>
  <si>
    <t>finiteness &gt; quality &gt; property &gt; abstract entity &gt; entity</t>
  </si>
  <si>
    <t>finiteness &gt; philosophical concept &gt; concept &gt; abstract entity &gt; entity</t>
  </si>
  <si>
    <t>finiteness &gt; philosophical concept &gt; concept &gt; semantic unit &gt; constituent</t>
  </si>
  <si>
    <t>finiteness &gt; philosophical concept &gt; concept &gt; mental representation &gt; representation</t>
  </si>
  <si>
    <t>finiteness &gt; philosophical concept &gt; concept &gt; aptitude &gt; quality</t>
  </si>
  <si>
    <t>finiteness &gt; philosophical concept &gt; term &gt; word or phrase &gt; form</t>
  </si>
  <si>
    <t>finiteness &gt; philosophical concept &gt; term &gt; sign &gt; object</t>
  </si>
  <si>
    <t>finiteness &gt; philosophical concept &gt; term &gt; sign &gt; work</t>
  </si>
  <si>
    <t>Remarks</t>
  </si>
  <si>
    <t>The impact of recent reforms on the institutional governance of French universities</t>
  </si>
  <si>
    <t>Q142</t>
  </si>
  <si>
    <t>Q20181813;Q3624078;Q51576574;Q6256;Q7270</t>
  </si>
  <si>
    <t>republic;country;Mediterranean country;sovereign state;colonial power</t>
  </si>
  <si>
    <t>path is empty, wikidata is empty</t>
  </si>
  <si>
    <t>University</t>
  </si>
  <si>
    <t>university</t>
  </si>
  <si>
    <t>Q3918</t>
  </si>
  <si>
    <t>11933731d</t>
  </si>
  <si>
    <t>geolocatable entity &gt; concrete object &gt; object &gt; entity</t>
  </si>
  <si>
    <t>Q112872396</t>
  </si>
  <si>
    <t>type of educational institution</t>
  </si>
  <si>
    <t>geolocatable entity &gt; concrete object &gt; individual item &gt; entity</t>
  </si>
  <si>
    <t>higher education institution &gt; educational institution &gt; service provider &gt; organization &gt; person or organization</t>
  </si>
  <si>
    <t>higher education institution &gt; educational institution &gt; service provider &gt; organization &gt; corporate body</t>
  </si>
  <si>
    <t>higher education institution &gt; educational institution &gt; service provider &gt; organization &gt; social system</t>
  </si>
  <si>
    <t>higher education institution &gt; educational institution &gt; service provider &gt; organization &gt; complex system</t>
  </si>
  <si>
    <t>higher education institution &gt; educational institution &gt; service provider &gt; organization &gt; group of humans</t>
  </si>
  <si>
    <t>higher education institution &gt; educational institution &gt; service provider &gt; provider &gt; economic agent</t>
  </si>
  <si>
    <t>higher education institution &gt; educational institution &gt; educational organization &gt; organization &gt; person or organization</t>
  </si>
  <si>
    <t>higher education institution &gt; educational institution &gt; educational organization &gt; organization &gt; corporate body</t>
  </si>
  <si>
    <t>higher education institution &gt; educational institution &gt; educational organization &gt; organization &gt; social system</t>
  </si>
  <si>
    <t>higher education institution &gt; educational institution &gt; educational organization &gt; organization &gt; complex system</t>
  </si>
  <si>
    <t>higher education institution &gt; educational institution &gt; educational organization &gt; organization &gt; group of humans</t>
  </si>
  <si>
    <r>
      <rPr>
        <sz val="10"/>
        <color rgb="FF000000"/>
        <rFont val="Arial"/>
      </rPr>
      <t xml:space="preserve">higher education institution &gt; educational institution &gt; educational institution </t>
    </r>
    <r>
      <rPr>
        <sz val="10"/>
        <color rgb="FF000000"/>
        <rFont val="Arial"/>
      </rPr>
      <t>&gt; institution &gt; social structure</t>
    </r>
  </si>
  <si>
    <r>
      <rPr>
        <sz val="10"/>
        <color rgb="FF000000"/>
        <rFont val="Arial"/>
      </rPr>
      <t xml:space="preserve">higher education institution &gt; educational institution &gt; educational institution &gt; </t>
    </r>
    <r>
      <rPr>
        <sz val="10"/>
        <color rgb="FF000000"/>
        <rFont val="Arial"/>
      </rPr>
      <t>institution &gt; person or organization</t>
    </r>
  </si>
  <si>
    <r>
      <rPr>
        <sz val="10"/>
        <color rgb="FF000000"/>
        <rFont val="Arial"/>
      </rPr>
      <t>higher education institution &gt; educational institution &gt; educational institution &gt;</t>
    </r>
    <r>
      <rPr>
        <sz val="10"/>
        <color rgb="FF000000"/>
        <rFont val="Arial"/>
      </rPr>
      <t xml:space="preserve"> institution &gt; organization</t>
    </r>
  </si>
  <si>
    <t>academic institution &gt; educational institution &gt; service provider &gt; organization &gt; person or organization</t>
  </si>
  <si>
    <t>academic institution &gt; educational institution &gt; service provider &gt; organization &gt; corporate body</t>
  </si>
  <si>
    <t>academic institution &gt; educational institution &gt; service provider &gt; organization &gt; social system</t>
  </si>
  <si>
    <t>academic institution &gt; educational institution &gt; service provider &gt; organization &gt; complex system</t>
  </si>
  <si>
    <t>academic institution &gt; educational institution &gt; service provider &gt; organization &gt; group of humans</t>
  </si>
  <si>
    <t>academic institution &gt; educational institution &gt; service provider &gt; provider &gt; economic agent</t>
  </si>
  <si>
    <t>academic institution &gt; educational institution &gt; educational organization &gt; organization &gt; person or organization</t>
  </si>
  <si>
    <t>academic institution &gt; educational institution &gt; educational organization &gt; organization &gt; corporate body</t>
  </si>
  <si>
    <t>academic institution &gt; educational institution &gt; educational organization &gt; organization &gt; social system</t>
  </si>
  <si>
    <t>academic institution &gt; educational institution &gt; educational organization &gt; organization &gt; complex system</t>
  </si>
  <si>
    <t>academic institution &gt; educational institution &gt; educational organization &gt; organization &gt; group of humans</t>
  </si>
  <si>
    <r>
      <rPr>
        <sz val="10"/>
        <color rgb="FF000000"/>
        <rFont val="Arial"/>
      </rPr>
      <t xml:space="preserve">academic institution &gt; educational institution &gt; </t>
    </r>
    <r>
      <rPr>
        <sz val="10"/>
        <color rgb="FF000000"/>
        <rFont val="Arial"/>
      </rPr>
      <t>educational institution &gt; institution &gt; social structure</t>
    </r>
  </si>
  <si>
    <r>
      <rPr>
        <sz val="10"/>
        <color rgb="FF000000"/>
        <rFont val="Arial"/>
      </rPr>
      <t xml:space="preserve">academic institution &gt; educational institution &gt; </t>
    </r>
    <r>
      <rPr>
        <sz val="10"/>
        <color rgb="FF000000"/>
        <rFont val="Arial"/>
      </rPr>
      <t>educational institution &gt; institution &gt; person or organization</t>
    </r>
  </si>
  <si>
    <r>
      <rPr>
        <sz val="10"/>
        <color rgb="FF000000"/>
        <rFont val="Arial"/>
      </rPr>
      <t xml:space="preserve">academic institution &gt; educational institution &gt; </t>
    </r>
    <r>
      <rPr>
        <sz val="10"/>
        <color rgb="FF000000"/>
        <rFont val="Arial"/>
      </rPr>
      <t>educational institution &gt; institution &gt; organization</t>
    </r>
  </si>
  <si>
    <t>academic institution &gt; research institute &gt; research organization &gt; organization &gt; person or organization</t>
  </si>
  <si>
    <t>academic institution &gt; research institute &gt; research organization &gt; organization &gt; corporate body</t>
  </si>
  <si>
    <t>academic institution &gt; research institute &gt; research organization &gt; organization &gt; social system</t>
  </si>
  <si>
    <t>academic institution &gt; research institute &gt; research organization &gt; organization &gt; complex system</t>
  </si>
  <si>
    <t>academic institution &gt; research institute &gt; research organization &gt; organization &gt; group of humans</t>
  </si>
  <si>
    <t>academic institution &gt; research institute &gt; institute &gt; educational organization &gt; organization</t>
  </si>
  <si>
    <t>academic institution &gt; academic organisation &gt; organization &gt; person or organization &gt; being</t>
  </si>
  <si>
    <t>academic institution &gt; academic organisation &gt; organization &gt; corporate body &gt; object</t>
  </si>
  <si>
    <t>academic institution &gt; academic organisation &gt; organization &gt; corporate body &gt; collective agent</t>
  </si>
  <si>
    <t>academic institution &gt; academic organisation &gt; organization &gt; corporate body &gt; being</t>
  </si>
  <si>
    <t>academic institution &gt; academic organisation &gt; organization &gt; social system &gt; system</t>
  </si>
  <si>
    <t>academic institution &gt; academic organisation &gt; organization &gt; complex system &gt; system</t>
  </si>
  <si>
    <t>academic institution &gt; academic organisation &gt; organization &gt; group of humans &gt; group or class of humans</t>
  </si>
  <si>
    <t>academic institution &gt; academic organisation &gt; organization &gt; group of humans &gt; group of persons</t>
  </si>
  <si>
    <t>geolocatable entity &gt; material entity &gt; independent continuant &gt; continuant &gt; entity</t>
  </si>
  <si>
    <t>geolocatable entity &gt; occurrence &gt; occurrent &gt; entity &gt; entity</t>
  </si>
  <si>
    <t>Governance</t>
  </si>
  <si>
    <t>governance</t>
  </si>
  <si>
    <t>Q1553864</t>
  </si>
  <si>
    <t>regulation &gt; process &gt; occurrent &gt; entity &gt; entity</t>
  </si>
  <si>
    <t>Q11862829;Q1914636;Q96758092</t>
  </si>
  <si>
    <t>type of regulation and control;activity;academic discipline</t>
  </si>
  <si>
    <t>regulation &gt; process &gt; sequence &gt; function &gt; binary relation</t>
  </si>
  <si>
    <t>regulation &gt; process &gt; sequence &gt; function &gt; partial function</t>
  </si>
  <si>
    <t>regulation &gt; process &gt; sequence &gt; function &gt; multivalued function</t>
  </si>
  <si>
    <t>regulation &gt; process &gt; sequence &gt; function &gt; generalized function</t>
  </si>
  <si>
    <t>regulation &gt; process &gt; sequence &gt; class &gt; class</t>
  </si>
  <si>
    <t>Change and stability interaction processes in SMEs: a comparative case study</t>
  </si>
  <si>
    <t>Stability</t>
  </si>
  <si>
    <t>Q7595719</t>
  </si>
  <si>
    <t>Small firms</t>
  </si>
  <si>
    <t>Mexico</t>
  </si>
  <si>
    <t>Q3710682</t>
  </si>
  <si>
    <t>Q15127012;Q486972</t>
  </si>
  <si>
    <t>human settlement;town in the United States</t>
  </si>
  <si>
    <t>ISO 9000 series</t>
  </si>
  <si>
    <t>Q206008</t>
  </si>
  <si>
    <t>Q15087423</t>
  </si>
  <si>
    <t>ISO standard</t>
  </si>
  <si>
    <t>Change management</t>
  </si>
  <si>
    <t>change management</t>
  </si>
  <si>
    <t>Q255144</t>
  </si>
  <si>
    <t>industrial engineering and management &gt; engineering &gt; applied science &gt; science &gt; knowledge system</t>
  </si>
  <si>
    <t>industrial engineering and management &gt; engineering &gt; applied science &gt; science &gt; knowledge</t>
  </si>
  <si>
    <t>industrial engineering and management &gt; engineering &gt; applied science &gt; science &gt; outline of academic disciplines</t>
  </si>
  <si>
    <t>industrial engineering and management &gt; engineering &gt; applied science &gt; science &gt; epistemology</t>
  </si>
  <si>
    <t>industrial engineering and management &gt; engineering &gt; applied science &gt; science &gt; research</t>
  </si>
  <si>
    <t>industrial engineering and management &gt; engineering &gt; applied science &gt; science &gt; logic</t>
  </si>
  <si>
    <t>industrial engineering and management &gt; engineering &gt; applied science &gt; science &gt; intellectual activity</t>
  </si>
  <si>
    <t>industrial engineering and management &gt; management &gt; coordination &gt; activity &gt; process</t>
  </si>
  <si>
    <t>industrial engineering and management &gt; management &gt; control &gt; activity &gt; process</t>
  </si>
  <si>
    <t>industrial engineering and management &gt; management &gt; control &gt; aptitude &gt; quality</t>
  </si>
  <si>
    <t>industrial engineering and management &gt; management &gt; control &gt; control &gt; activity</t>
  </si>
  <si>
    <t>industrial engineering and management &gt; management &gt; control &gt; control &gt; aptitude</t>
  </si>
  <si>
    <t>Change</t>
  </si>
  <si>
    <t>Q1173443</t>
  </si>
  <si>
    <t>15273058p</t>
  </si>
  <si>
    <t>Q484170</t>
  </si>
  <si>
    <t>commune of France</t>
  </si>
  <si>
    <t>Case studies</t>
  </si>
  <si>
    <t>Q135402362</t>
  </si>
  <si>
    <t>Consumer responses to elimination of overpackaging on private label products</t>
  </si>
  <si>
    <t>Overpackaging</t>
  </si>
  <si>
    <t>Q109973948</t>
  </si>
  <si>
    <t>Packaging</t>
  </si>
  <si>
    <t>Q104710367</t>
  </si>
  <si>
    <t>Q92707903</t>
  </si>
  <si>
    <t>PM20 subject category</t>
  </si>
  <si>
    <t>Private label</t>
  </si>
  <si>
    <t>Q10354059</t>
  </si>
  <si>
    <t>No label defined</t>
  </si>
  <si>
    <t>Product image</t>
  </si>
  <si>
    <t>product image</t>
  </si>
  <si>
    <t>Q3796664</t>
  </si>
  <si>
    <t>Consumer behaviour</t>
  </si>
  <si>
    <t>Academics’ values in French universities. Is commitment to performance compatible with commitment to university ‘publicness’?</t>
  </si>
  <si>
    <t>higher education institution &gt; educational institution &gt; educational institution &gt; institution &gt; social structure</t>
  </si>
  <si>
    <t>higher education institution &gt; educational institution &gt; educational institution &gt; institution &gt; person or organization</t>
  </si>
  <si>
    <t>higher education institution &gt; educational institution &gt; educational institution &gt; institution &gt; organization</t>
  </si>
  <si>
    <t>academic institution &gt; educational institution &gt; educational institution &gt; institution &gt; social structure</t>
  </si>
  <si>
    <t>academic institution &gt; educational institution &gt; educational institution &gt; institution &gt; person or organization</t>
  </si>
  <si>
    <t>academic institution &gt; educational institution &gt; educational institution &gt; institution &gt; organization</t>
  </si>
  <si>
    <t>Academics' values</t>
  </si>
  <si>
    <t>Performance</t>
  </si>
  <si>
    <t>Q733968</t>
  </si>
  <si>
    <t>Publicness</t>
  </si>
  <si>
    <t>Higher education</t>
  </si>
  <si>
    <t>higher education</t>
  </si>
  <si>
    <t>Q136822</t>
  </si>
  <si>
    <t>tertiary education &gt; education &gt; service &gt; goods and services &gt; spatio-temporal entity</t>
  </si>
  <si>
    <t>Q18189;Q268592</t>
  </si>
  <si>
    <t>industry;educational stage</t>
  </si>
  <si>
    <t>tertiary education &gt; education &gt; service &gt; goods and services &gt; product</t>
  </si>
  <si>
    <t>tertiary education &gt; education &gt; service &gt; product &gt; object</t>
  </si>
  <si>
    <t>tertiary education &gt; education &gt; service &gt; economic activity &gt; intentional human activity</t>
  </si>
  <si>
    <t>tertiary education &gt; education &gt; service &gt; economic activity &gt; transfer</t>
  </si>
  <si>
    <t>tertiary education &gt; education &gt; knowledge sharing &gt; information exchange &gt; transfer</t>
  </si>
  <si>
    <t>tertiary education &gt; education &gt; knowledge sharing &gt; sharing &gt; activity</t>
  </si>
  <si>
    <t>tertiary education &gt; education &gt; knowledge sharing &gt; sharing &gt; resource allocation</t>
  </si>
  <si>
    <t>tertiary education &gt; education &gt; social process &gt; process &gt; occurrent</t>
  </si>
  <si>
    <t>tertiary education &gt; education &gt; social process &gt; process &gt; sequence</t>
  </si>
  <si>
    <t>tertiary education &gt; education &gt; social process &gt; phenomenon &gt; occurrent</t>
  </si>
  <si>
    <t>tertiary education &gt; education &gt; social process &gt; phenomenon &gt; observable entity</t>
  </si>
  <si>
    <t>education and research &gt; economic activity &gt; intentional human activity &gt; human activity &gt; activity</t>
  </si>
  <si>
    <t>education and research &gt; economic activity &gt; transfer &gt; change &gt; occurrent</t>
  </si>
  <si>
    <t>education and research &gt; economic activity &gt; transfer &gt; interaction &gt; effect</t>
  </si>
  <si>
    <t>education and research &gt; economic activity &gt; transfer &gt; interaction &gt; relation</t>
  </si>
  <si>
    <t>What drives personnel out of public organizations?</t>
  </si>
  <si>
    <t>Perceived superior support</t>
  </si>
  <si>
    <t>Organizational commitment</t>
  </si>
  <si>
    <t>organizational commitment</t>
  </si>
  <si>
    <t>Q267236</t>
  </si>
  <si>
    <t>Public service motivation</t>
  </si>
  <si>
    <t>Public Service Motivation</t>
  </si>
  <si>
    <t>Q7257614</t>
  </si>
  <si>
    <t>Intention to quit</t>
  </si>
  <si>
    <t>All motivated by public service? The links between hierarchical position and public service motivation</t>
  </si>
  <si>
    <t>Operatives</t>
  </si>
  <si>
    <t>Operative</t>
  </si>
  <si>
    <t>Q12797946</t>
  </si>
  <si>
    <t>military personnel &gt; warrior &gt; combatant &gt; person &gt; individual</t>
  </si>
  <si>
    <t>Q12812139</t>
  </si>
  <si>
    <t>technical term</t>
  </si>
  <si>
    <t>military personnel &gt; warrior &gt; combatant &gt; person &gt; legal person</t>
  </si>
  <si>
    <t>military personnel &gt; employee &gt; worker &gt; person with an activity &gt; person</t>
  </si>
  <si>
    <t>military personnel &gt; employee &gt; worker &gt; proto-agent &gt; thematic relation</t>
  </si>
  <si>
    <t>military personnel &gt; employee &gt; stakeholder &gt; being &gt; independent continuant</t>
  </si>
  <si>
    <t>military personnel &gt; employee &gt; stakeholder &gt; being &gt; subject</t>
  </si>
  <si>
    <t>military personnel &gt; employee &gt; stakeholder &gt; advocacy group &gt; non-governmental organization</t>
  </si>
  <si>
    <t>military personnel &gt; employee &gt; stakeholder &gt; advocacy group &gt; social group</t>
  </si>
  <si>
    <t>military personnel &gt; employee &gt; stakeholder &gt; advocacy group &gt; special interest group</t>
  </si>
  <si>
    <t>military personnel &gt; employee &gt; stakeholder &gt; advocacy group &gt; organization</t>
  </si>
  <si>
    <t>Human resources management</t>
  </si>
  <si>
    <t>human resource management (Q1056396)?</t>
  </si>
  <si>
    <t>Measurement scale of public service motivation</t>
  </si>
  <si>
    <t>Managers</t>
  </si>
  <si>
    <t>Q114513068</t>
  </si>
  <si>
    <t>Engagement</t>
  </si>
  <si>
    <t>Identité</t>
  </si>
  <si>
    <t>Q54754579</t>
  </si>
  <si>
    <t>Implication</t>
  </si>
  <si>
    <t>implication</t>
  </si>
  <si>
    <t>Q12767426</t>
  </si>
  <si>
    <t>Q111352</t>
  </si>
  <si>
    <t>lexeme</t>
  </si>
  <si>
    <t>Motivation</t>
  </si>
  <si>
    <t>Q1134755</t>
  </si>
  <si>
    <t>Q134556;Q7366</t>
  </si>
  <si>
    <t>song;single</t>
  </si>
  <si>
    <t>Workaholism</t>
  </si>
  <si>
    <t>workaholism</t>
  </si>
  <si>
    <t>Q19269381</t>
  </si>
  <si>
    <t>behavioral addiction &gt; addiction &gt; behavior &gt; pattern &gt; regularity</t>
  </si>
  <si>
    <t>behavioral addiction &gt; addiction &gt; health problem &gt; physiological condition &gt; state</t>
  </si>
  <si>
    <t>behavioral addiction &gt; addiction &gt; health problem &gt; physiological condition &gt; condition</t>
  </si>
  <si>
    <t>behavioral addiction &gt; addiction &gt; health problem &gt; problem &gt; situation</t>
  </si>
  <si>
    <t>behavioral addiction &gt; addiction &gt; health problem &gt; medical finding &gt; finding</t>
  </si>
  <si>
    <t>behavioral addiction &gt; addiction &gt; health problem &gt; health risk &gt; personal risk</t>
  </si>
  <si>
    <t>behavioral addiction &gt; addiction &gt; health problem &gt; health risk &gt; operational risk</t>
  </si>
  <si>
    <t>behavioral addiction &gt; addiction &gt; health problem &gt; health risk &gt; hazard</t>
  </si>
  <si>
    <t>behavioral addiction &gt; addiction &gt; health problem &gt; anomaly &gt; phenomenon</t>
  </si>
  <si>
    <t>behavioral addiction &gt; addiction &gt; habit &gt; pattern of behavior &gt; pattern</t>
  </si>
  <si>
    <t>behavioral addiction &gt; addiction &gt; habit &gt; pattern of behavior &gt; human behavior</t>
  </si>
  <si>
    <t>behavioral addiction &gt; addiction &gt; habit &gt; habit &gt; animal behavior</t>
  </si>
  <si>
    <t>behavioral addiction &gt; addiction &gt; habit &gt; habit &gt; tendency</t>
  </si>
  <si>
    <t>behavioral addiction &gt; impulse control disorder &gt; mental disorder &gt; disease &gt; health problem</t>
  </si>
  <si>
    <t>behavioral addiction &gt; impulse control disorder &gt; mental disorder &gt; disease &gt; biological process</t>
  </si>
  <si>
    <t>behavioral addiction &gt; impulse control disorder &gt; mental disorder &gt; disease &gt; manner of death</t>
  </si>
  <si>
    <t>behavioral addiction &gt; impulse control disorder &gt; disease &gt; health problem &gt; physiological condition</t>
  </si>
  <si>
    <t>behavioral addiction &gt; impulse control disorder &gt; disease &gt; health problem &gt; problem</t>
  </si>
  <si>
    <t>behavioral addiction &gt; impulse control disorder &gt; disease &gt; health problem &gt; medical finding</t>
  </si>
  <si>
    <t>behavioral addiction &gt; impulse control disorder &gt; disease &gt; health problem &gt; health risk</t>
  </si>
  <si>
    <t>behavioral addiction &gt; impulse control disorder &gt; disease &gt; health problem &gt; anomaly</t>
  </si>
  <si>
    <t>behavioral addiction &gt; impulse control disorder &gt; disease &gt; biological process &gt; biological phenomenon</t>
  </si>
  <si>
    <t>behavioral addiction &gt; impulse control disorder &gt; disease &gt; biological process &gt; physical process</t>
  </si>
  <si>
    <t>behavioral addiction &gt; impulse control disorder &gt; disease &gt; manner of death &gt; type</t>
  </si>
  <si>
    <t>Fatigue émotionnelle</t>
  </si>
  <si>
    <t>Epuisement professionnel</t>
  </si>
  <si>
    <r>
      <rPr>
        <sz val="10"/>
        <color rgb="FF000000"/>
        <rFont val="Arial"/>
      </rPr>
      <t xml:space="preserve">Burnout </t>
    </r>
    <r>
      <rPr>
        <u/>
        <sz val="10"/>
        <color rgb="FF1155CC"/>
        <rFont val="Arial"/>
      </rPr>
      <t>https://catalogue.bnf.fr/ark:/12148/cb133192241</t>
    </r>
  </si>
  <si>
    <t>From Industry to Luxury: French Perfume in the Nineteenth Century</t>
  </si>
  <si>
    <t>Perfume</t>
  </si>
  <si>
    <t>Q3008476</t>
  </si>
  <si>
    <t>Perfumery</t>
  </si>
  <si>
    <t>perfumery</t>
  </si>
  <si>
    <t>Q1979901</t>
  </si>
  <si>
    <t>craft &gt; field of work &gt; field of study &gt; knowledge system &gt; conceptual system</t>
  </si>
  <si>
    <t>Q268592</t>
  </si>
  <si>
    <t>industry</t>
  </si>
  <si>
    <t>craft &gt; field of work &gt; field of study &gt; knowledge type &gt; type</t>
  </si>
  <si>
    <t>craft &gt; field of work &gt; field of study &gt; knowledge &gt; memory</t>
  </si>
  <si>
    <t>craft &gt; field of work &gt; field of study &gt; topic &gt; information</t>
  </si>
  <si>
    <t>craft &gt; field of work &gt; field of study &gt; topic &gt; content</t>
  </si>
  <si>
    <t>craft &gt; field of work &gt; intentional human activity &gt; human activity &gt; activity</t>
  </si>
  <si>
    <t>Parfum</t>
  </si>
  <si>
    <t>Q23862351</t>
  </si>
  <si>
    <t>Q13433827</t>
  </si>
  <si>
    <t>encyclopedia article</t>
  </si>
  <si>
    <r>
      <t xml:space="preserve">No label defined Q23862351
bnf - </t>
    </r>
    <r>
      <rPr>
        <u/>
        <sz val="10"/>
        <color rgb="FF1155CC"/>
        <rFont val="Arial"/>
      </rPr>
      <t>https://catalogue.bnf.fr/ark:/12148/cb11937402z</t>
    </r>
  </si>
  <si>
    <t>Parfumerie</t>
  </si>
  <si>
    <t>Q27762482</t>
  </si>
  <si>
    <t>Le patrimoine des industries du luxe : Bernardaud et Baccarat à l’heure de la valorisation</t>
  </si>
  <si>
    <t>Luxury</t>
  </si>
  <si>
    <t>Q6706449</t>
  </si>
  <si>
    <t>Industrial heritage</t>
  </si>
  <si>
    <t>Industrial Heritage</t>
  </si>
  <si>
    <t>Q71248244</t>
  </si>
  <si>
    <t>Classification of Built Heritage in Portugal &gt; cultural property &gt; cultural heritage &gt; heritage &gt; object</t>
  </si>
  <si>
    <t>Q1569871;Q30634609</t>
  </si>
  <si>
    <t>heritage designation;industrial heritage site</t>
  </si>
  <si>
    <t>Patrimoine industriel</t>
  </si>
  <si>
    <t>Patrimoine industriel de l'Orne</t>
  </si>
  <si>
    <t>Q21027408</t>
  </si>
  <si>
    <t>industrial heritage site &gt; historic site &gt; heritage site &gt; cultural property &gt; cultural heritage</t>
  </si>
  <si>
    <t>industrial heritage site &gt; historic site &gt; heritage site &gt; human-geographic territorial entity &gt; territory</t>
  </si>
  <si>
    <t>industrial heritage site &gt; historic site &gt; heritage site &gt; human-geographic territorial entity &gt; artificial geographic entity</t>
  </si>
  <si>
    <t>industrial heritage site &gt; historic site &gt; heritage site &gt; human-geographic territorial entity &gt; region</t>
  </si>
  <si>
    <t>industrial heritage site &gt; historic site &gt; heritage site &gt; cultural heritage &gt; heritage</t>
  </si>
  <si>
    <t>industrial heritage site &gt; historic site &gt; territory &gt; region &gt; geographical feature</t>
  </si>
  <si>
    <t>industrial heritage site &gt; historic site &gt; cultural heritage &gt; heritage &gt; object</t>
  </si>
  <si>
    <t>industrial heritage site &gt; historic site &gt; geographic location &gt; geographic entity &gt; geolocatable entity</t>
  </si>
  <si>
    <t>industrial heritage site &gt; historic site &gt; geographic location &gt; geographic entity &gt; region of space</t>
  </si>
  <si>
    <t>industrial heritage site &gt; historic site &gt; geographic location &gt; physical location &gt; property</t>
  </si>
  <si>
    <t>industrial heritage site &gt; historic site &gt; memorial &gt; memory space &gt; geographic location</t>
  </si>
  <si>
    <t>industrial heritage site &gt; historic site &gt; memorial &gt; memory space &gt; memorial</t>
  </si>
  <si>
    <t>industrial heritage site &gt; historic site &gt; memorial &gt; monument &gt; architectural structure</t>
  </si>
  <si>
    <t>industrial heritage site &gt; historic site &gt; memorial &gt; monument &gt; work of art</t>
  </si>
  <si>
    <t>industrial heritage site &gt; historic site &gt; memorial &gt; monument &gt; statue</t>
  </si>
  <si>
    <t>industrial heritage site &gt; historic site &gt; place &gt; geographical feature &gt; geographic entity</t>
  </si>
  <si>
    <t>industrial heritage site &gt; historic site &gt; place &gt; geographical feature &gt; concrete object</t>
  </si>
  <si>
    <t>industrial heritage site &gt; historic site &gt; place &gt; geographical feature &gt; physical location</t>
  </si>
  <si>
    <t>industrial heritage site &gt; historic site &gt; place &gt; geographic entity &gt; geolocatable entity</t>
  </si>
  <si>
    <t>industrial heritage site &gt; historic site &gt; place &gt; geographic entity &gt; region of space</t>
  </si>
  <si>
    <t>industrial heritage site &gt; cultural environment &gt; artificial geographic entity &gt; geographic entity &gt; geolocatable entity</t>
  </si>
  <si>
    <t>industrial heritage site &gt; cultural environment &gt; artificial geographic entity &gt; geographic entity &gt; region of space</t>
  </si>
  <si>
    <t>industrial heritage site &gt; cultural environment &gt; artificial geographic entity &gt; artificial object &gt; object</t>
  </si>
  <si>
    <t>Luxe</t>
  </si>
  <si>
    <t>Q3268047</t>
  </si>
  <si>
    <t>La mode : naissance et développement d’un objet d’étude en sociologie</t>
  </si>
  <si>
    <t>History of ideas</t>
  </si>
  <si>
    <t>history of ideas</t>
  </si>
  <si>
    <t>Q570018</t>
  </si>
  <si>
    <t>11963618j</t>
  </si>
  <si>
    <t>cultural history &gt; study of history &gt; humanities &gt; social sciences and humanities &gt; science</t>
  </si>
  <si>
    <t>Q11862829;Q17524420;Q4671286</t>
  </si>
  <si>
    <t>academic major;academic discipline;aspect of history</t>
  </si>
  <si>
    <r>
      <t xml:space="preserve">Intellectual life -- History - </t>
    </r>
    <r>
      <rPr>
        <u/>
        <sz val="10"/>
        <color rgb="FF1155CC"/>
        <rFont val="Arial"/>
      </rPr>
      <t>https://catalogue.bnf.fr/ark:/12148/cb11963618j</t>
    </r>
  </si>
  <si>
    <t>cultural history &gt; study of history &gt; humanities &gt; academic discipline &gt; field of study</t>
  </si>
  <si>
    <t>cultural history &gt; cultural studies &gt; area, ethnic, cultural, gender, and group studies &gt; social science &gt; social sciences and humanities</t>
  </si>
  <si>
    <t>cultural history &gt; cultural studies &gt; area, ethnic, cultural, gender, and group studies &gt; social science &gt; humanities, arts and social sciences</t>
  </si>
  <si>
    <t>cultural history &gt; cultural studies &gt; humanities &gt; social sciences and humanities &gt; science</t>
  </si>
  <si>
    <t>cultural history &gt; cultural studies &gt; humanities &gt; academic discipline &gt; field of study</t>
  </si>
  <si>
    <t>cultural history &gt; cultural studies &gt; anthropology &gt; social science &gt; social sciences and humanities</t>
  </si>
  <si>
    <t>cultural history &gt; cultural studies &gt; anthropology &gt; social science &gt; humanities, arts and social sciences</t>
  </si>
  <si>
    <t>cultural history &gt; history &gt; object of study &gt; topic &gt; information</t>
  </si>
  <si>
    <t>cultural history &gt; history &gt; object of study &gt; topic &gt; content</t>
  </si>
  <si>
    <t>cultural history &gt; history &gt; object of study &gt; object of analysis &gt; object</t>
  </si>
  <si>
    <t>cultural history &gt; history &gt; chain of events &gt; temporal entity &gt; spatio-temporal entity</t>
  </si>
  <si>
    <t>cultural history &gt; history &gt; chain of events &gt; sequence &gt; function</t>
  </si>
  <si>
    <t>cultural history &gt; history &gt; chain of events &gt; sequence &gt; class</t>
  </si>
  <si>
    <t>cultural history &gt; history &gt; chain of events &gt; occurrence &gt; occurrent</t>
  </si>
  <si>
    <t>cultural history &gt; history &gt; occurrence &gt; occurrent &gt; entity</t>
  </si>
  <si>
    <t>history &gt; object of study &gt; topic &gt; information &gt; abstract entity</t>
  </si>
  <si>
    <t>history &gt; object of study &gt; topic &gt; information &gt; knowledge</t>
  </si>
  <si>
    <t>history &gt; object of study &gt; topic &gt; content &gt; abstract entity</t>
  </si>
  <si>
    <t>history &gt; object of study &gt; object of analysis &gt; object &gt; entity</t>
  </si>
  <si>
    <t>history &gt; chain of events &gt; temporal entity &gt; spatio-temporal entity &gt; object</t>
  </si>
  <si>
    <t>history &gt; chain of events &gt; temporal entity &gt; spatio-temporal entity &gt; entity</t>
  </si>
  <si>
    <t>history &gt; chain of events &gt; sequence &gt; function &gt; binary relation</t>
  </si>
  <si>
    <t>history &gt; chain of events &gt; sequence &gt; function &gt; partial function</t>
  </si>
  <si>
    <t>history &gt; chain of events &gt; sequence &gt; function &gt; multivalued function</t>
  </si>
  <si>
    <t>history &gt; chain of events &gt; sequence &gt; function &gt; generalized function</t>
  </si>
  <si>
    <t>history &gt; chain of events &gt; sequence &gt; class &gt; class</t>
  </si>
  <si>
    <t>history &gt; chain of events &gt; occurrence &gt; occurrent &gt; entity</t>
  </si>
  <si>
    <t>history &gt; occurrence &gt; occurrent &gt; entity &gt; entity</t>
  </si>
  <si>
    <t>Fashion</t>
  </si>
  <si>
    <t>Q2665454</t>
  </si>
  <si>
    <t>Mode</t>
  </si>
  <si>
    <t>mode</t>
  </si>
  <si>
    <t>Q188224</t>
  </si>
  <si>
    <t>type &gt; class &gt; class &gt; abstract entity &gt; entity</t>
  </si>
  <si>
    <t>Q65169764;Q734219;Q85900945</t>
  </si>
  <si>
    <t>indicateur de position;local mode;central tendency</t>
  </si>
  <si>
    <t>type &gt; class &gt; class &gt; collective entity &gt; entity</t>
  </si>
  <si>
    <t>Histoire des idées</t>
  </si>
  <si>
    <t>Fashion sprayed and displayed : the parisian market of perfumery at the turn of the XXth century</t>
  </si>
  <si>
    <t>Uses of Heritage by French Luxury Houses : between Tourism Development and Brand Communication</t>
  </si>
  <si>
    <t>no label defined Q21027408</t>
  </si>
  <si>
    <t>Compte-rendu de lecture de Morag Martin, Selling Beauty: Cosmetics, Commerce, and French Society, 1750-1830, Baltimore, John Hopkins University Press, 2009</t>
  </si>
  <si>
    <t>History of marketing</t>
  </si>
  <si>
    <t>history of marketing</t>
  </si>
  <si>
    <t>Q3566673</t>
  </si>
  <si>
    <t>business history &gt; history &gt; object of study &gt; topic &gt; information</t>
  </si>
  <si>
    <t>Q17524420</t>
  </si>
  <si>
    <t>aspect of history</t>
  </si>
  <si>
    <t>business history &gt; history &gt; object of study &gt; topic &gt; content</t>
  </si>
  <si>
    <t>business history &gt; history &gt; object of study &gt; object of analysis &gt; object</t>
  </si>
  <si>
    <t>business history &gt; history &gt; chain of events &gt; temporal entity &gt; spatio-temporal entity</t>
  </si>
  <si>
    <t>business history &gt; history &gt; chain of events &gt; sequence &gt; function</t>
  </si>
  <si>
    <t>business history &gt; history &gt; chain of events &gt; sequence &gt; class</t>
  </si>
  <si>
    <t>business history &gt; history &gt; chain of events &gt; occurrence &gt; occurrent</t>
  </si>
  <si>
    <t>business history &gt; history &gt; occurrence &gt; occurrent &gt; entity</t>
  </si>
  <si>
    <t>business history &gt; economic history &gt; history of the social sciences &gt; history of science &gt; study of history</t>
  </si>
  <si>
    <t>business history &gt; economic history &gt; history of the social sciences &gt; history of science &gt; history</t>
  </si>
  <si>
    <t>Histoire du marketing</t>
  </si>
  <si>
    <t>Histoire du marketing du champagne</t>
  </si>
  <si>
    <t>Q132167558</t>
  </si>
  <si>
    <t>Compte-rendu de lecture de Luc Marco, Histoire managériale du Bazar Bonne-Nouvelle : Galeries marchandes à Paris, 1835-1863</t>
  </si>
  <si>
    <t>Knowledge management in a French research community: a case study of GeCSO congress</t>
  </si>
  <si>
    <t>Situated learning</t>
  </si>
  <si>
    <t>Q2290699</t>
  </si>
  <si>
    <t>15044742h</t>
  </si>
  <si>
    <t>active learning &gt; learning &gt; learning or memory &gt; cognition &gt; cognitive process</t>
  </si>
  <si>
    <t>Q210588</t>
  </si>
  <si>
    <t>umbrella term</t>
  </si>
  <si>
    <t xml:space="preserve">Contextualized learning was shown, BNF not matched
</t>
  </si>
  <si>
    <t>active learning &gt; learning &gt; learning or memory &gt; cognition &gt; nervous system process</t>
  </si>
  <si>
    <t>active learning &gt; learning &gt; learning or memory &gt; animal behavior &gt; behavior</t>
  </si>
  <si>
    <t>active learning &gt; learning &gt; learning or memory &gt; animal behavior &gt; multicellular organismal process</t>
  </si>
  <si>
    <t>active learning &gt; didactic method &gt; teaching method &gt; method &gt; means</t>
  </si>
  <si>
    <t>active learning &gt; action-oriented approach &gt; learning &gt; learning or memory &gt; cognition</t>
  </si>
  <si>
    <t>active learning &gt; action-oriented approach &gt; learning &gt; learning or memory &gt; animal behavior</t>
  </si>
  <si>
    <t>active learning &gt; pedagogy &gt; Geisteswissenschaften &gt; human science &gt; social sciences and humanities</t>
  </si>
  <si>
    <t>active learning &gt; pedagogy &gt; Geisteswissenschaften &gt; science &gt; knowledge system</t>
  </si>
  <si>
    <t>active learning &gt; pedagogy &gt; Geisteswissenschaften &gt; science &gt; knowledge</t>
  </si>
  <si>
    <t>active learning &gt; pedagogy &gt; Geisteswissenschaften &gt; science &gt; outline of academic disciplines</t>
  </si>
  <si>
    <t>active learning &gt; pedagogy &gt; Geisteswissenschaften &gt; science &gt; epistemology</t>
  </si>
  <si>
    <t>active learning &gt; pedagogy &gt; Geisteswissenschaften &gt; science &gt; research</t>
  </si>
  <si>
    <t>active learning &gt; pedagogy &gt; Geisteswissenschaften &gt; science &gt; logic</t>
  </si>
  <si>
    <t>active learning &gt; pedagogy &gt; Geisteswissenschaften &gt; science &gt; intellectual activity</t>
  </si>
  <si>
    <t>active learning &gt; pedagogy &gt; education &gt; service &gt; goods and services</t>
  </si>
  <si>
    <t>active learning &gt; pedagogy &gt; education &gt; service &gt; product</t>
  </si>
  <si>
    <t>active learning &gt; pedagogy &gt; education &gt; service &gt; economic activity</t>
  </si>
  <si>
    <t>active learning &gt; pedagogy &gt; education &gt; knowledge sharing &gt; information exchange</t>
  </si>
  <si>
    <t>active learning &gt; pedagogy &gt; education &gt; knowledge sharing &gt; sharing</t>
  </si>
  <si>
    <t>active learning &gt; pedagogy &gt; education &gt; social process &gt; process</t>
  </si>
  <si>
    <t>active learning &gt; pedagogy &gt; education &gt; social process &gt; phenomenon</t>
  </si>
  <si>
    <t>Knowledge engineering Paper type Conceptual paper</t>
  </si>
  <si>
    <t>Activity theory-based approach</t>
  </si>
  <si>
    <t>Knowing in action</t>
  </si>
  <si>
    <t>Knowledge modelling</t>
  </si>
  <si>
    <t>Knowing communities</t>
  </si>
  <si>
    <t>Tacit knowledge</t>
  </si>
  <si>
    <t>tacit knowledge</t>
  </si>
  <si>
    <t>Q743861</t>
  </si>
  <si>
    <t>knowledge &gt; memory &gt; information &gt; abstract entity &gt; entity</t>
  </si>
  <si>
    <t>Q110403031</t>
  </si>
  <si>
    <t>knowledge type</t>
  </si>
  <si>
    <t>knowledge &gt; memory &gt; information &gt; knowledge &gt; memory</t>
  </si>
  <si>
    <t>knowledge &gt; memory &gt; content &gt; abstract entity &gt; entity</t>
  </si>
  <si>
    <t>Business modelling</t>
  </si>
  <si>
    <t>business modelling</t>
  </si>
  <si>
    <t>Q121433935</t>
  </si>
  <si>
    <t>modeling and simulation &gt; use &gt; activity &gt; process &gt; occurrent</t>
  </si>
  <si>
    <t>modeling and simulation &gt; use &gt; activity &gt; process &gt; sequence</t>
  </si>
  <si>
    <t>Knowledge management</t>
  </si>
  <si>
    <t>knowledge management</t>
  </si>
  <si>
    <t>Q192060</t>
  </si>
  <si>
    <t>13183229d</t>
  </si>
  <si>
    <t>strategic management &gt; management &gt; coordination &gt; activity &gt; process</t>
  </si>
  <si>
    <t>Q96247293</t>
  </si>
  <si>
    <t>type of management</t>
  </si>
  <si>
    <t>strategic management &gt; management &gt; control &gt; activity &gt; process</t>
  </si>
  <si>
    <t>strategic management &gt; management &gt; control &gt; aptitude &gt; quality</t>
  </si>
  <si>
    <t>strategic management &gt; management &gt; control &gt; control &gt; activity</t>
  </si>
  <si>
    <t>strategic management &gt; management &gt; control &gt; control &gt; aptitude</t>
  </si>
  <si>
    <t>strategic management &gt; academic discipline &gt; field of study &gt; knowledge system &gt; conceptual system</t>
  </si>
  <si>
    <t>strategic management &gt; academic discipline &gt; field of study &gt; knowledge type &gt; type</t>
  </si>
  <si>
    <t>strategic management &gt; academic discipline &gt; field of study &gt; knowledge &gt; memory</t>
  </si>
  <si>
    <t>strategic management &gt; academic discipline &gt; field of study &gt; topic &gt; information</t>
  </si>
  <si>
    <t>strategic management &gt; academic discipline &gt; field of study &gt; topic &gt; content</t>
  </si>
  <si>
    <t>Knowledge transfer</t>
  </si>
  <si>
    <t>knowledge transfer</t>
  </si>
  <si>
    <t>Q2586354</t>
  </si>
  <si>
    <t>knowledge sharing &gt; information exchange &gt; transfer &gt; change &gt; occurrent</t>
  </si>
  <si>
    <t>knowledge sharing &gt; information exchange &gt; transfer &gt; interaction &gt; effect</t>
  </si>
  <si>
    <t>knowledge sharing &gt; information exchange &gt; transfer &gt; interaction &gt; relation</t>
  </si>
  <si>
    <t>knowledge sharing &gt; sharing &gt; activity &gt; process &gt; occurrent</t>
  </si>
  <si>
    <t>knowledge sharing &gt; sharing &gt; activity &gt; process &gt; sequence</t>
  </si>
  <si>
    <t>knowledge sharing &gt; sharing &gt; resource allocation &gt; planning &gt; process</t>
  </si>
  <si>
    <t>knowledge sharing &gt; sharing &gt; resource allocation &gt; planning &gt; activity</t>
  </si>
  <si>
    <t>knowledge sharing &gt; sharing &gt; resource allocation &gt; optimization problem &gt; task</t>
  </si>
  <si>
    <t>knowledge sharing &gt; sharing &gt; resource allocation &gt; optimization problem &gt; computational problem</t>
  </si>
  <si>
    <t>Great expectations. What efficiency can be reasonably anticipated in global teams?</t>
  </si>
  <si>
    <t>Cross-cultural teams</t>
  </si>
  <si>
    <t>Global teams</t>
  </si>
  <si>
    <t>Global Team +</t>
  </si>
  <si>
    <t>Q132011441</t>
  </si>
  <si>
    <t>no label defined</t>
  </si>
  <si>
    <t>Collaboration</t>
  </si>
  <si>
    <t>Q5145794</t>
  </si>
  <si>
    <t>Organizational learning</t>
  </si>
  <si>
    <t>organizational learning</t>
  </si>
  <si>
    <t>Q1430172</t>
  </si>
  <si>
    <t>12472533d</t>
  </si>
  <si>
    <t>learning &gt; learning or memory &gt; cognition &gt; cognitive process &gt; mental process</t>
  </si>
  <si>
    <t>Q130609847</t>
  </si>
  <si>
    <t>learning approach</t>
  </si>
  <si>
    <t>learning &gt; learning or memory &gt; cognition &gt; cognitive process &gt; biological process</t>
  </si>
  <si>
    <t>learning &gt; learning or memory &gt; cognition &gt; cognitive process &gt; psychological phenomenon</t>
  </si>
  <si>
    <t>learning &gt; learning or memory &gt; cognition &gt; nervous system process &gt; system process</t>
  </si>
  <si>
    <t>learning &gt; learning or memory &gt; animal behavior &gt; behavior &gt; pattern</t>
  </si>
  <si>
    <t>learning &gt; learning or memory &gt; animal behavior &gt; multicellular organismal process &gt; biological process</t>
  </si>
  <si>
    <t>Distance</t>
  </si>
  <si>
    <t>Q18160196</t>
  </si>
  <si>
    <t>Languages</t>
  </si>
  <si>
    <t>Language</t>
  </si>
  <si>
    <t>Q75488338</t>
  </si>
  <si>
    <t>Q1469824;Q16889133;Q8513</t>
  </si>
  <si>
    <t>class;controlled vocabulary;database</t>
  </si>
  <si>
    <t>Multicultural Teams: From variables to configurations.</t>
  </si>
  <si>
    <t>Configurations</t>
  </si>
  <si>
    <t>Q5160117</t>
  </si>
  <si>
    <t>Cross-cultural management</t>
  </si>
  <si>
    <t>cross cultural management</t>
  </si>
  <si>
    <t>Q1666167</t>
  </si>
  <si>
    <t>Typology</t>
  </si>
  <si>
    <t>typology</t>
  </si>
  <si>
    <t>Q1480072</t>
  </si>
  <si>
    <t>exegesis &gt; text interpretation &gt; interpretation &gt; interpretation &gt; assignment</t>
  </si>
  <si>
    <t>Theological typology</t>
  </si>
  <si>
    <t>exegesis &gt; textual criticism &gt; criticism &gt; critique &gt; commentary</t>
  </si>
  <si>
    <t>exegesis &gt; textual criticism &gt; textual scholarship &gt; philology &gt; linguistics</t>
  </si>
  <si>
    <t>exegesis &gt; textual criticism &gt; textual scholarship &gt; philology &gt; Geisteswissenschaften</t>
  </si>
  <si>
    <t>Multicultural teams</t>
  </si>
  <si>
    <t>Co-production models and organizational control of deviant customer behavior : the example of peer-to-peer car-sharing</t>
  </si>
  <si>
    <t>Peer-to-peer car-sharing</t>
  </si>
  <si>
    <t>peer-to-peer carsharing (Q323120)</t>
  </si>
  <si>
    <t>Organizational control</t>
  </si>
  <si>
    <t>Deviant customer behavior</t>
  </si>
  <si>
    <t>Co-production</t>
  </si>
  <si>
    <t>co-production</t>
  </si>
  <si>
    <t>Q2920538</t>
  </si>
  <si>
    <t>audiovisual production &gt; process &gt; occurrent &gt; entity &gt; entity</t>
  </si>
  <si>
    <t>audiovisual production &gt; process &gt; sequence &gt; function &gt; binary relation</t>
  </si>
  <si>
    <t>audiovisual production &gt; process &gt; sequence &gt; function &gt; partial function</t>
  </si>
  <si>
    <t>audiovisual production &gt; process &gt; sequence &gt; function &gt; multivalued function</t>
  </si>
  <si>
    <t>audiovisual production &gt; process &gt; sequence &gt; function &gt; generalized function</t>
  </si>
  <si>
    <t>audiovisual production &gt; process &gt; sequence &gt; class &gt; class</t>
  </si>
  <si>
    <t>audiovisual production &gt; economic production &gt; process &gt; occurrent &gt; entity</t>
  </si>
  <si>
    <t>audiovisual production &gt; economic production &gt; process &gt; sequence &gt; function</t>
  </si>
  <si>
    <t>audiovisual production &gt; economic production &gt; process &gt; sequence &gt; class</t>
  </si>
  <si>
    <t>audiovisual production &gt; economic production &gt; economic activity &gt; intentional human activity &gt; human activity</t>
  </si>
  <si>
    <t>audiovisual production &gt; economic production &gt; economic activity &gt; transfer &gt; change</t>
  </si>
  <si>
    <t>audiovisual production &gt; economic production &gt; economic activity &gt; transfer &gt; interaction</t>
  </si>
  <si>
    <t>audiovisual production &gt; economic production &gt; creation &gt; planned process &gt; process</t>
  </si>
  <si>
    <t>audiovisual production &gt; economic production &gt; creation &gt; planned process &gt; intentional human activity</t>
  </si>
  <si>
    <t>Identification of Tensions and Paradoxes in the Governance of SCICs</t>
  </si>
  <si>
    <t>Tensions</t>
  </si>
  <si>
    <t>Q109045666</t>
  </si>
  <si>
    <t>Q105543609</t>
  </si>
  <si>
    <t>musical work/composition</t>
  </si>
  <si>
    <t>Cooperative</t>
  </si>
  <si>
    <t>cooperative</t>
  </si>
  <si>
    <t>Q4539</t>
  </si>
  <si>
    <t>Q1269299;Q133895667;Q2135465</t>
  </si>
  <si>
    <t>sustainable business model;type of business entity;legal concept</t>
  </si>
  <si>
    <t>company &gt; legal person &gt; person or organization &gt; being &gt; independent continuant</t>
  </si>
  <si>
    <t>company &gt; legal person &gt; person or organization &gt; being &gt; subject</t>
  </si>
  <si>
    <t>company &gt; commercial organization &gt; organization &gt; person or organization &gt; being</t>
  </si>
  <si>
    <t>company &gt; commercial organization &gt; organization &gt; corporate body &gt; object</t>
  </si>
  <si>
    <t>company &gt; commercial organization &gt; organization &gt; corporate body &gt; collective agent</t>
  </si>
  <si>
    <t>company &gt; commercial organization &gt; organization &gt; corporate body &gt; being</t>
  </si>
  <si>
    <t>company &gt; commercial organization &gt; organization &gt; social system &gt; system</t>
  </si>
  <si>
    <t>company &gt; commercial organization &gt; organization &gt; complex system &gt; system</t>
  </si>
  <si>
    <t>company &gt; commercial organization &gt; organization &gt; group of humans &gt; group or class of humans</t>
  </si>
  <si>
    <t>company &gt; commercial organization &gt; organization &gt; group of humans &gt; group of persons</t>
  </si>
  <si>
    <t>company &gt; organization &gt; person or organization &gt; being &gt; independent continuant</t>
  </si>
  <si>
    <t>company &gt; organization &gt; person or organization &gt; being &gt; subject</t>
  </si>
  <si>
    <t>company &gt; organization &gt; corporate body &gt; object &gt; entity</t>
  </si>
  <si>
    <t>company &gt; organization &gt; corporate body &gt; collective agent &gt; being</t>
  </si>
  <si>
    <t>company &gt; organization &gt; corporate body &gt; being &gt; independent continuant</t>
  </si>
  <si>
    <t>company &gt; organization &gt; corporate body &gt; being &gt; subject</t>
  </si>
  <si>
    <t>company &gt; organization &gt; social system &gt; system &gt; collective entity</t>
  </si>
  <si>
    <t>company &gt; organization &gt; social system &gt; system &gt; abstract entity</t>
  </si>
  <si>
    <t>company &gt; organization &gt; social system &gt; system &gt; object</t>
  </si>
  <si>
    <t>company &gt; organization &gt; complex system &gt; system &gt; collective entity</t>
  </si>
  <si>
    <t>company &gt; organization &gt; complex system &gt; system &gt; abstract entity</t>
  </si>
  <si>
    <t>company &gt; organization &gt; complex system &gt; system &gt; object</t>
  </si>
  <si>
    <t>company &gt; organization &gt; group of humans &gt; group or class of humans &gt; group or class of people</t>
  </si>
  <si>
    <t>company &gt; organization &gt; group of humans &gt; group of persons &gt; group of living things</t>
  </si>
  <si>
    <t>company &gt; organization &gt; group of humans &gt; group of persons &gt; group of beings</t>
  </si>
  <si>
    <t>company &gt; organization &gt; group of humans &gt; group of persons &gt; group or class of people</t>
  </si>
  <si>
    <t>sustainable business model &gt; business model &gt; model &gt; artificial object &gt; object</t>
  </si>
  <si>
    <t>sustainable business model &gt; business model &gt; model &gt; information &gt; abstract entity</t>
  </si>
  <si>
    <t>sustainable business model &gt; business model &gt; model &gt; information &gt; knowledge</t>
  </si>
  <si>
    <t>The cyborgization of organizations: Entanglement between objects, bodies and discourses in identity regulation processes</t>
  </si>
  <si>
    <t>Materiality</t>
  </si>
  <si>
    <t>Q102290885</t>
  </si>
  <si>
    <t>Q726</t>
  </si>
  <si>
    <t>horse</t>
  </si>
  <si>
    <t>Identity regulation</t>
  </si>
  <si>
    <t>Body</t>
  </si>
  <si>
    <t>infant bodysuit</t>
  </si>
  <si>
    <t>Q2069823</t>
  </si>
  <si>
    <t>bodysuit &gt; one-piece suit &gt; clothing &gt; work &gt; artificial object</t>
  </si>
  <si>
    <t>bodysuit &gt; one-piece suit &gt; clothing &gt; work &gt; cultural artifact</t>
  </si>
  <si>
    <t>bodysuit &gt; one-piece suit &gt; clothing &gt; product &gt; object</t>
  </si>
  <si>
    <t>bodysuit &gt; one-piece suit &gt; clothing &gt; artificial physical object &gt; physical object</t>
  </si>
  <si>
    <t>bodysuit &gt; one-piece suit &gt; clothing &gt; artificial physical object &gt; artificial object</t>
  </si>
  <si>
    <t>bodysuit &gt; one-piece suit &gt; clothing &gt; artificial physical object &gt; work</t>
  </si>
  <si>
    <t>bodysuit &gt; one-piece suit &gt; clothing &gt; flat object &gt; physical object</t>
  </si>
  <si>
    <t>bodysuit &gt; one-piece suit &gt; clothing &gt; flat object &gt; two-dimensional object</t>
  </si>
  <si>
    <t>bodysuit &gt; one-piece suit &gt; clothing &gt; fashion product &gt; product</t>
  </si>
  <si>
    <t>Cyborg</t>
  </si>
  <si>
    <t>Q55405540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</si>
</sst>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4" x14ac:knownFonts="1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18"/>
      <color theme="3"/>
      <name val="Aptos Display"/>
      <family val="2"/>
      <scheme val="major"/>
    </font>
    <font>
      <b/>
      <sz val="15"/>
      <color theme="3"/>
      <name val="Aptos Narrow"/>
      <family val="2"/>
      <scheme val="minor"/>
    </font>
    <font>
      <b/>
      <sz val="13"/>
      <color theme="3"/>
      <name val="Aptos Narrow"/>
      <family val="2"/>
      <scheme val="minor"/>
    </font>
    <font>
      <b/>
      <sz val="11"/>
      <color theme="3"/>
      <name val="Aptos Narrow"/>
      <family val="2"/>
      <scheme val="minor"/>
    </font>
    <font>
      <sz val="11"/>
      <color rgb="FF006100"/>
      <name val="Aptos Narrow"/>
      <family val="2"/>
      <scheme val="minor"/>
    </font>
    <font>
      <sz val="11"/>
      <color rgb="FF9C0006"/>
      <name val="Aptos Narrow"/>
      <family val="2"/>
      <scheme val="minor"/>
    </font>
    <font>
      <sz val="11"/>
      <color rgb="FF9C5700"/>
      <name val="Aptos Narrow"/>
      <family val="2"/>
      <scheme val="minor"/>
    </font>
    <font>
      <sz val="11"/>
      <color rgb="FF3F3F76"/>
      <name val="Aptos Narrow"/>
      <family val="2"/>
      <scheme val="minor"/>
    </font>
    <font>
      <b/>
      <sz val="11"/>
      <color rgb="FF3F3F3F"/>
      <name val="Aptos Narrow"/>
      <family val="2"/>
      <scheme val="minor"/>
    </font>
    <font>
      <b/>
      <sz val="11"/>
      <color rgb="FFFA7D00"/>
      <name val="Aptos Narrow"/>
      <family val="2"/>
      <scheme val="minor"/>
    </font>
    <font>
      <sz val="11"/>
      <color rgb="FFFA7D00"/>
      <name val="Aptos Narrow"/>
      <family val="2"/>
      <scheme val="minor"/>
    </font>
    <font>
      <b/>
      <sz val="11"/>
      <color theme="0"/>
      <name val="Aptos Narrow"/>
      <family val="2"/>
      <scheme val="minor"/>
    </font>
    <font>
      <sz val="11"/>
      <color rgb="FFFF0000"/>
      <name val="Aptos Narrow"/>
      <family val="2"/>
      <scheme val="minor"/>
    </font>
    <font>
      <i/>
      <sz val="11"/>
      <color rgb="FF7F7F7F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sz val="11"/>
      <color theme="0"/>
      <name val="Aptos Narrow"/>
      <family val="2"/>
      <scheme val="minor"/>
    </font>
    <font>
      <sz val="10"/>
      <color rgb="FF202122"/>
      <name val="Arial"/>
      <family val="2"/>
    </font>
    <font>
      <sz val="10"/>
      <color rgb="FF000000"/>
      <name val="Aptos Narrow"/>
      <scheme val="minor"/>
    </font>
    <font>
      <sz val="10"/>
      <color theme="1"/>
      <name val="Aptos Narrow"/>
      <scheme val="minor"/>
    </font>
    <font>
      <sz val="10"/>
      <color rgb="FF000000"/>
      <name val="Arial"/>
    </font>
    <font>
      <u/>
      <sz val="10"/>
      <color rgb="FF0000FF"/>
      <name val="Arial"/>
    </font>
    <font>
      <u/>
      <sz val="10"/>
      <color rgb="FF1155CC"/>
      <name val="Arial"/>
    </font>
  </fonts>
  <fills count="52">
    <fill>
      <patternFill patternType="none"/>
    </fill>
    <fill>
      <patternFill patternType="gray125"/>
    </fill>
    <fill>
      <patternFill patternType="solid">
        <fgColor rgb="FFC6EFCE"/>
      </patternFill>
    </fill>
    <fill>
      <patternFill patternType="solid">
        <fgColor rgb="FFFFC7CE"/>
      </patternFill>
    </fill>
    <fill>
      <patternFill patternType="solid">
        <fgColor rgb="FFFFEB9C"/>
      </patternFill>
    </fill>
    <fill>
      <patternFill patternType="solid">
        <fgColor rgb="FFFFCC99"/>
      </patternFill>
    </fill>
    <fill>
      <patternFill patternType="solid">
        <fgColor rgb="FFF2F2F2"/>
      </patternFill>
    </fill>
    <fill>
      <patternFill patternType="solid">
        <fgColor rgb="FFA5A5A5"/>
      </patternFill>
    </fill>
    <fill>
      <patternFill patternType="solid">
        <fgColor rgb="FFFFFFCC"/>
      </patternFill>
    </fill>
    <fill>
      <patternFill patternType="solid">
        <fgColor theme="4"/>
      </patternFill>
    </fill>
    <fill>
      <patternFill patternType="solid">
        <fgColor theme="4" tint="0.79998168889431442"/>
        <bgColor indexed="65"/>
      </patternFill>
    </fill>
    <fill>
      <patternFill patternType="solid">
        <fgColor theme="4" tint="0.59999389629810485"/>
        <bgColor indexed="65"/>
      </patternFill>
    </fill>
    <fill>
      <patternFill patternType="solid">
        <fgColor theme="4" tint="0.39997558519241921"/>
        <bgColor indexed="65"/>
      </patternFill>
    </fill>
    <fill>
      <patternFill patternType="solid">
        <fgColor theme="5"/>
      </patternFill>
    </fill>
    <fill>
      <patternFill patternType="solid">
        <fgColor theme="5" tint="0.79998168889431442"/>
        <bgColor indexed="65"/>
      </patternFill>
    </fill>
    <fill>
      <patternFill patternType="solid">
        <fgColor theme="5" tint="0.59999389629810485"/>
        <bgColor indexed="65"/>
      </patternFill>
    </fill>
    <fill>
      <patternFill patternType="solid">
        <fgColor theme="5" tint="0.39997558519241921"/>
        <bgColor indexed="65"/>
      </patternFill>
    </fill>
    <fill>
      <patternFill patternType="solid">
        <fgColor theme="6"/>
      </patternFill>
    </fill>
    <fill>
      <patternFill patternType="solid">
        <fgColor theme="6" tint="0.79998168889431442"/>
        <bgColor indexed="65"/>
      </patternFill>
    </fill>
    <fill>
      <patternFill patternType="solid">
        <fgColor theme="6" tint="0.59999389629810485"/>
        <bgColor indexed="65"/>
      </patternFill>
    </fill>
    <fill>
      <patternFill patternType="solid">
        <fgColor theme="6" tint="0.39997558519241921"/>
        <bgColor indexed="65"/>
      </patternFill>
    </fill>
    <fill>
      <patternFill patternType="solid">
        <fgColor theme="7"/>
      </patternFill>
    </fill>
    <fill>
      <patternFill patternType="solid">
        <fgColor theme="7" tint="0.79998168889431442"/>
        <bgColor indexed="65"/>
      </patternFill>
    </fill>
    <fill>
      <patternFill patternType="solid">
        <fgColor theme="7" tint="0.59999389629810485"/>
        <bgColor indexed="65"/>
      </patternFill>
    </fill>
    <fill>
      <patternFill patternType="solid">
        <fgColor theme="7" tint="0.39997558519241921"/>
        <bgColor indexed="65"/>
      </patternFill>
    </fill>
    <fill>
      <patternFill patternType="solid">
        <fgColor theme="8"/>
      </patternFill>
    </fill>
    <fill>
      <patternFill patternType="solid">
        <fgColor theme="8" tint="0.79998168889431442"/>
        <bgColor indexed="65"/>
      </patternFill>
    </fill>
    <fill>
      <patternFill patternType="solid">
        <fgColor theme="8" tint="0.59999389629810485"/>
        <bgColor indexed="65"/>
      </patternFill>
    </fill>
    <fill>
      <patternFill patternType="solid">
        <fgColor theme="8" tint="0.39997558519241921"/>
        <bgColor indexed="65"/>
      </patternFill>
    </fill>
    <fill>
      <patternFill patternType="solid">
        <fgColor theme="9"/>
      </patternFill>
    </fill>
    <fill>
      <patternFill patternType="solid">
        <fgColor theme="9" tint="0.79998168889431442"/>
        <bgColor indexed="65"/>
      </patternFill>
    </fill>
    <fill>
      <patternFill patternType="solid">
        <fgColor theme="9" tint="0.59999389629810485"/>
        <bgColor indexed="65"/>
      </patternFill>
    </fill>
    <fill>
      <patternFill patternType="solid">
        <fgColor theme="9" tint="0.39997558519241921"/>
        <bgColor indexed="65"/>
      </patternFill>
    </fill>
    <fill>
      <patternFill patternType="solid">
        <fgColor rgb="FF00B050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rgb="FFFF7C80"/>
        <bgColor indexed="64"/>
      </patternFill>
    </fill>
    <fill>
      <patternFill patternType="solid">
        <fgColor theme="7" tint="0.79998168889431442"/>
        <bgColor indexed="64"/>
      </patternFill>
    </fill>
    <fill>
      <patternFill patternType="solid">
        <fgColor theme="6" tint="0.39997558519241921"/>
        <bgColor indexed="64"/>
      </patternFill>
    </fill>
    <fill>
      <patternFill patternType="solid">
        <fgColor rgb="FFFFFFFF"/>
        <bgColor rgb="FFFFFFFF"/>
      </patternFill>
    </fill>
    <fill>
      <patternFill patternType="solid">
        <fgColor rgb="FFFFFF00"/>
        <bgColor rgb="FFFFFF00"/>
      </patternFill>
    </fill>
    <fill>
      <patternFill patternType="solid">
        <fgColor rgb="FF00FF00"/>
        <bgColor rgb="FF00FF00"/>
      </patternFill>
    </fill>
    <fill>
      <patternFill patternType="solid">
        <fgColor rgb="FFD0E0E3"/>
        <bgColor rgb="FFD0E0E3"/>
      </patternFill>
    </fill>
    <fill>
      <patternFill patternType="solid">
        <fgColor rgb="FFD9D2E9"/>
        <bgColor rgb="FFD9D2E9"/>
      </patternFill>
    </fill>
    <fill>
      <patternFill patternType="solid">
        <fgColor rgb="FFFF0000"/>
        <bgColor rgb="FFFF0000"/>
      </patternFill>
    </fill>
    <fill>
      <patternFill patternType="solid">
        <fgColor rgb="FFD9EAD3"/>
        <bgColor rgb="FFD9EAD3"/>
      </patternFill>
    </fill>
    <fill>
      <patternFill patternType="solid">
        <fgColor rgb="FFFCE5CD"/>
        <bgColor rgb="FFFCE5CD"/>
      </patternFill>
    </fill>
    <fill>
      <patternFill patternType="solid">
        <fgColor rgb="FFFF9900"/>
        <bgColor rgb="FFFF9900"/>
      </patternFill>
    </fill>
    <fill>
      <patternFill patternType="solid">
        <fgColor rgb="FFEA9999"/>
        <bgColor rgb="FFEA9999"/>
      </patternFill>
    </fill>
    <fill>
      <patternFill patternType="solid">
        <fgColor rgb="FFC9DAF8"/>
        <bgColor rgb="FFC9DAF8"/>
      </patternFill>
    </fill>
  </fills>
  <borders count="12">
    <border>
      <left/>
      <right/>
      <top/>
      <bottom/>
      <diagonal/>
    </border>
    <border>
      <left/>
      <right/>
      <top/>
      <bottom style="thick">
        <color theme="4"/>
      </bottom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21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/>
      <right/>
      <top/>
      <bottom style="double">
        <color rgb="FFFF8001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 style="thin">
        <color theme="4"/>
      </top>
      <bottom style="double">
        <color theme="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/>
      <bottom style="thin">
        <color rgb="FF000000"/>
      </bottom>
      <diagonal/>
    </border>
  </borders>
  <cellStyleXfs count="44">
    <xf numFmtId="0" fontId="0" fillId="0" borderId="0"/>
    <xf numFmtId="9" fontId="1" fillId="0" borderId="0" applyFont="0" applyFill="0" applyBorder="0" applyAlignment="0" applyProtection="0"/>
    <xf numFmtId="0" fontId="2" fillId="0" borderId="0" applyNumberFormat="0" applyFill="0" applyBorder="0" applyAlignment="0" applyProtection="0"/>
    <xf numFmtId="0" fontId="3" fillId="0" borderId="1" applyNumberFormat="0" applyFill="0" applyAlignment="0" applyProtection="0"/>
    <xf numFmtId="0" fontId="4" fillId="0" borderId="2" applyNumberFormat="0" applyFill="0" applyAlignment="0" applyProtection="0"/>
    <xf numFmtId="0" fontId="5" fillId="0" borderId="3" applyNumberFormat="0" applyFill="0" applyAlignment="0" applyProtection="0"/>
    <xf numFmtId="0" fontId="5" fillId="0" borderId="0" applyNumberFormat="0" applyFill="0" applyBorder="0" applyAlignment="0" applyProtection="0"/>
    <xf numFmtId="0" fontId="6" fillId="2" borderId="0" applyNumberFormat="0" applyBorder="0" applyAlignment="0" applyProtection="0"/>
    <xf numFmtId="0" fontId="7" fillId="3" borderId="0" applyNumberFormat="0" applyBorder="0" applyAlignment="0" applyProtection="0"/>
    <xf numFmtId="0" fontId="8" fillId="4" borderId="0" applyNumberFormat="0" applyBorder="0" applyAlignment="0" applyProtection="0"/>
    <xf numFmtId="0" fontId="9" fillId="5" borderId="4" applyNumberFormat="0" applyAlignment="0" applyProtection="0"/>
    <xf numFmtId="0" fontId="10" fillId="6" borderId="5" applyNumberFormat="0" applyAlignment="0" applyProtection="0"/>
    <xf numFmtId="0" fontId="11" fillId="6" borderId="4" applyNumberFormat="0" applyAlignment="0" applyProtection="0"/>
    <xf numFmtId="0" fontId="12" fillId="0" borderId="6" applyNumberFormat="0" applyFill="0" applyAlignment="0" applyProtection="0"/>
    <xf numFmtId="0" fontId="13" fillId="7" borderId="7" applyNumberFormat="0" applyAlignment="0" applyProtection="0"/>
    <xf numFmtId="0" fontId="14" fillId="0" borderId="0" applyNumberFormat="0" applyFill="0" applyBorder="0" applyAlignment="0" applyProtection="0"/>
    <xf numFmtId="0" fontId="1" fillId="8" borderId="8" applyNumberFormat="0" applyFont="0" applyAlignment="0" applyProtection="0"/>
    <xf numFmtId="0" fontId="15" fillId="0" borderId="0" applyNumberFormat="0" applyFill="0" applyBorder="0" applyAlignment="0" applyProtection="0"/>
    <xf numFmtId="0" fontId="16" fillId="0" borderId="9" applyNumberFormat="0" applyFill="0" applyAlignment="0" applyProtection="0"/>
    <xf numFmtId="0" fontId="17" fillId="9" borderId="0" applyNumberFormat="0" applyBorder="0" applyAlignment="0" applyProtection="0"/>
    <xf numFmtId="0" fontId="1" fillId="10" borderId="0" applyNumberFormat="0" applyBorder="0" applyAlignment="0" applyProtection="0"/>
    <xf numFmtId="0" fontId="1" fillId="11" borderId="0" applyNumberFormat="0" applyBorder="0" applyAlignment="0" applyProtection="0"/>
    <xf numFmtId="0" fontId="1" fillId="12" borderId="0" applyNumberFormat="0" applyBorder="0" applyAlignment="0" applyProtection="0"/>
    <xf numFmtId="0" fontId="17" fillId="13" borderId="0" applyNumberFormat="0" applyBorder="0" applyAlignment="0" applyProtection="0"/>
    <xf numFmtId="0" fontId="1" fillId="14" borderId="0" applyNumberFormat="0" applyBorder="0" applyAlignment="0" applyProtection="0"/>
    <xf numFmtId="0" fontId="1" fillId="15" borderId="0" applyNumberFormat="0" applyBorder="0" applyAlignment="0" applyProtection="0"/>
    <xf numFmtId="0" fontId="1" fillId="16" borderId="0" applyNumberFormat="0" applyBorder="0" applyAlignment="0" applyProtection="0"/>
    <xf numFmtId="0" fontId="17" fillId="17" borderId="0" applyNumberFormat="0" applyBorder="0" applyAlignment="0" applyProtection="0"/>
    <xf numFmtId="0" fontId="1" fillId="18" borderId="0" applyNumberFormat="0" applyBorder="0" applyAlignment="0" applyProtection="0"/>
    <xf numFmtId="0" fontId="1" fillId="19" borderId="0" applyNumberFormat="0" applyBorder="0" applyAlignment="0" applyProtection="0"/>
    <xf numFmtId="0" fontId="1" fillId="20" borderId="0" applyNumberFormat="0" applyBorder="0" applyAlignment="0" applyProtection="0"/>
    <xf numFmtId="0" fontId="17" fillId="21" borderId="0" applyNumberFormat="0" applyBorder="0" applyAlignment="0" applyProtection="0"/>
    <xf numFmtId="0" fontId="1" fillId="22" borderId="0" applyNumberFormat="0" applyBorder="0" applyAlignment="0" applyProtection="0"/>
    <xf numFmtId="0" fontId="1" fillId="23" borderId="0" applyNumberFormat="0" applyBorder="0" applyAlignment="0" applyProtection="0"/>
    <xf numFmtId="0" fontId="1" fillId="24" borderId="0" applyNumberFormat="0" applyBorder="0" applyAlignment="0" applyProtection="0"/>
    <xf numFmtId="0" fontId="17" fillId="25" borderId="0" applyNumberFormat="0" applyBorder="0" applyAlignment="0" applyProtection="0"/>
    <xf numFmtId="0" fontId="1" fillId="26" borderId="0" applyNumberFormat="0" applyBorder="0" applyAlignment="0" applyProtection="0"/>
    <xf numFmtId="0" fontId="1" fillId="27" borderId="0" applyNumberFormat="0" applyBorder="0" applyAlignment="0" applyProtection="0"/>
    <xf numFmtId="0" fontId="1" fillId="28" borderId="0" applyNumberFormat="0" applyBorder="0" applyAlignment="0" applyProtection="0"/>
    <xf numFmtId="0" fontId="17" fillId="29" borderId="0" applyNumberFormat="0" applyBorder="0" applyAlignment="0" applyProtection="0"/>
    <xf numFmtId="0" fontId="1" fillId="30" borderId="0" applyNumberFormat="0" applyBorder="0" applyAlignment="0" applyProtection="0"/>
    <xf numFmtId="0" fontId="1" fillId="31" borderId="0" applyNumberFormat="0" applyBorder="0" applyAlignment="0" applyProtection="0"/>
    <xf numFmtId="0" fontId="1" fillId="32" borderId="0" applyNumberFormat="0" applyBorder="0" applyAlignment="0" applyProtection="0"/>
    <xf numFmtId="0" fontId="19" fillId="0" borderId="0"/>
  </cellStyleXfs>
  <cellXfs count="51">
    <xf numFmtId="0" fontId="0" fillId="0" borderId="0" xfId="0"/>
    <xf numFmtId="0" fontId="18" fillId="0" borderId="0" xfId="0" applyFont="1"/>
    <xf numFmtId="9" fontId="0" fillId="0" borderId="0" xfId="1" applyFont="1"/>
    <xf numFmtId="9" fontId="0" fillId="0" borderId="0" xfId="0" applyNumberFormat="1"/>
    <xf numFmtId="0" fontId="0" fillId="0" borderId="0" xfId="0" applyAlignment="1">
      <alignment wrapText="1"/>
    </xf>
    <xf numFmtId="0" fontId="16" fillId="0" borderId="10" xfId="0" applyFont="1" applyBorder="1" applyAlignment="1">
      <alignment horizontal="center" vertical="center" wrapText="1"/>
    </xf>
    <xf numFmtId="0" fontId="16" fillId="0" borderId="10" xfId="0" applyFont="1" applyBorder="1"/>
    <xf numFmtId="0" fontId="0" fillId="0" borderId="10" xfId="0" applyBorder="1" applyAlignment="1">
      <alignment horizontal="center"/>
    </xf>
    <xf numFmtId="9" fontId="0" fillId="0" borderId="10" xfId="1" applyFont="1" applyBorder="1" applyAlignment="1">
      <alignment horizontal="center"/>
    </xf>
    <xf numFmtId="0" fontId="0" fillId="0" borderId="10" xfId="0" applyBorder="1"/>
    <xf numFmtId="0" fontId="16" fillId="0" borderId="0" xfId="0" applyFont="1"/>
    <xf numFmtId="0" fontId="14" fillId="33" borderId="0" xfId="0" applyFont="1" applyFill="1"/>
    <xf numFmtId="0" fontId="0" fillId="33" borderId="0" xfId="0" applyFill="1"/>
    <xf numFmtId="9" fontId="0" fillId="0" borderId="10" xfId="1" applyFont="1" applyBorder="1"/>
    <xf numFmtId="0" fontId="0" fillId="34" borderId="0" xfId="0" applyFill="1"/>
    <xf numFmtId="0" fontId="0" fillId="35" borderId="0" xfId="0" applyFill="1"/>
    <xf numFmtId="0" fontId="0" fillId="36" borderId="0" xfId="0" applyFill="1"/>
    <xf numFmtId="0" fontId="0" fillId="37" borderId="0" xfId="0" applyFill="1"/>
    <xf numFmtId="10" fontId="0" fillId="0" borderId="0" xfId="0" applyNumberFormat="1" applyAlignment="1">
      <alignment horizontal="center" vertical="top"/>
    </xf>
    <xf numFmtId="0" fontId="0" fillId="38" borderId="0" xfId="0" applyFill="1" applyAlignment="1">
      <alignment wrapText="1"/>
    </xf>
    <xf numFmtId="0" fontId="0" fillId="38" borderId="0" xfId="0" applyFill="1"/>
    <xf numFmtId="0" fontId="0" fillId="0" borderId="0" xfId="0" applyAlignment="1">
      <alignment horizontal="center" vertical="top"/>
    </xf>
    <xf numFmtId="10" fontId="0" fillId="39" borderId="0" xfId="0" applyNumberFormat="1" applyFill="1"/>
    <xf numFmtId="0" fontId="0" fillId="39" borderId="0" xfId="0" applyFill="1"/>
    <xf numFmtId="0" fontId="16" fillId="40" borderId="10" xfId="0" applyFont="1" applyFill="1" applyBorder="1"/>
    <xf numFmtId="0" fontId="0" fillId="40" borderId="10" xfId="0" applyFill="1" applyBorder="1" applyAlignment="1">
      <alignment horizontal="center"/>
    </xf>
    <xf numFmtId="9" fontId="0" fillId="40" borderId="10" xfId="1" applyFont="1" applyFill="1" applyBorder="1" applyAlignment="1">
      <alignment horizontal="center"/>
    </xf>
    <xf numFmtId="0" fontId="20" fillId="0" borderId="0" xfId="43" applyFont="1"/>
    <xf numFmtId="0" fontId="20" fillId="41" borderId="0" xfId="43" applyFont="1" applyFill="1"/>
    <xf numFmtId="0" fontId="19" fillId="0" borderId="0" xfId="43"/>
    <xf numFmtId="0" fontId="20" fillId="42" borderId="0" xfId="43" applyFont="1" applyFill="1"/>
    <xf numFmtId="0" fontId="20" fillId="43" borderId="0" xfId="43" applyFont="1" applyFill="1"/>
    <xf numFmtId="0" fontId="19" fillId="43" borderId="0" xfId="43" applyFill="1"/>
    <xf numFmtId="0" fontId="20" fillId="44" borderId="0" xfId="43" applyFont="1" applyFill="1"/>
    <xf numFmtId="0" fontId="20" fillId="45" borderId="0" xfId="43" applyFont="1" applyFill="1"/>
    <xf numFmtId="0" fontId="20" fillId="46" borderId="0" xfId="43" applyFont="1" applyFill="1"/>
    <xf numFmtId="0" fontId="20" fillId="47" borderId="0" xfId="43" applyFont="1" applyFill="1"/>
    <xf numFmtId="0" fontId="20" fillId="48" borderId="0" xfId="43" applyFont="1" applyFill="1"/>
    <xf numFmtId="0" fontId="20" fillId="49" borderId="0" xfId="43" applyFont="1" applyFill="1"/>
    <xf numFmtId="0" fontId="22" fillId="46" borderId="0" xfId="43" applyFont="1" applyFill="1"/>
    <xf numFmtId="0" fontId="22" fillId="49" borderId="0" xfId="43" applyFont="1" applyFill="1"/>
    <xf numFmtId="0" fontId="20" fillId="50" borderId="0" xfId="43" applyFont="1" applyFill="1"/>
    <xf numFmtId="0" fontId="20" fillId="51" borderId="0" xfId="43" applyFont="1" applyFill="1"/>
    <xf numFmtId="10" fontId="0" fillId="0" borderId="0" xfId="0" applyNumberFormat="1" applyAlignment="1">
      <alignment horizontal="center" vertical="top"/>
    </xf>
    <xf numFmtId="0" fontId="0" fillId="0" borderId="0" xfId="0" applyAlignment="1">
      <alignment horizontal="center" wrapText="1"/>
    </xf>
    <xf numFmtId="0" fontId="0" fillId="0" borderId="0" xfId="0" applyAlignment="1">
      <alignment horizontal="center"/>
    </xf>
    <xf numFmtId="10" fontId="0" fillId="0" borderId="11" xfId="0" applyNumberFormat="1" applyBorder="1" applyAlignment="1">
      <alignment horizontal="center" vertical="top"/>
    </xf>
    <xf numFmtId="0" fontId="0" fillId="38" borderId="0" xfId="0" applyFill="1" applyAlignment="1">
      <alignment horizontal="center" wrapText="1"/>
    </xf>
    <xf numFmtId="0" fontId="22" fillId="46" borderId="0" xfId="43" applyFont="1" applyFill="1"/>
    <xf numFmtId="0" fontId="19" fillId="0" borderId="0" xfId="43"/>
    <xf numFmtId="0" fontId="20" fillId="0" borderId="0" xfId="43" applyFont="1"/>
  </cellXfs>
  <cellStyles count="44">
    <cellStyle name="20% - Accent1" xfId="20" builtinId="30" customBuiltin="1"/>
    <cellStyle name="20% - Accent2" xfId="24" builtinId="34" customBuiltin="1"/>
    <cellStyle name="20% - Accent3" xfId="28" builtinId="38" customBuiltin="1"/>
    <cellStyle name="20% - Accent4" xfId="32" builtinId="42" customBuiltin="1"/>
    <cellStyle name="20% - Accent5" xfId="36" builtinId="46" customBuiltin="1"/>
    <cellStyle name="20% - Accent6" xfId="40" builtinId="50" customBuiltin="1"/>
    <cellStyle name="40% - Accent1" xfId="21" builtinId="31" customBuiltin="1"/>
    <cellStyle name="40% - Accent2" xfId="25" builtinId="35" customBuiltin="1"/>
    <cellStyle name="40% - Accent3" xfId="29" builtinId="39" customBuiltin="1"/>
    <cellStyle name="40% - Accent4" xfId="33" builtinId="43" customBuiltin="1"/>
    <cellStyle name="40% - Accent5" xfId="37" builtinId="47" customBuiltin="1"/>
    <cellStyle name="40% - Accent6" xfId="41" builtinId="51" customBuiltin="1"/>
    <cellStyle name="60% - Accent1" xfId="22" builtinId="32" customBuiltin="1"/>
    <cellStyle name="60% - Accent2" xfId="26" builtinId="36" customBuiltin="1"/>
    <cellStyle name="60% - Accent3" xfId="30" builtinId="40" customBuiltin="1"/>
    <cellStyle name="60% - Accent4" xfId="34" builtinId="44" customBuiltin="1"/>
    <cellStyle name="60% - Accent5" xfId="38" builtinId="48" customBuiltin="1"/>
    <cellStyle name="60% - Accent6" xfId="42" builtinId="52" customBuiltin="1"/>
    <cellStyle name="Accent1" xfId="19" builtinId="29" customBuiltin="1"/>
    <cellStyle name="Accent2" xfId="23" builtinId="33" customBuiltin="1"/>
    <cellStyle name="Accent3" xfId="27" builtinId="37" customBuiltin="1"/>
    <cellStyle name="Accent4" xfId="31" builtinId="41" customBuiltin="1"/>
    <cellStyle name="Accent5" xfId="35" builtinId="45" customBuiltin="1"/>
    <cellStyle name="Accent6" xfId="39" builtinId="49" customBuiltin="1"/>
    <cellStyle name="Bad" xfId="8" builtinId="27" customBuiltin="1"/>
    <cellStyle name="Calculation" xfId="12" builtinId="22" customBuiltin="1"/>
    <cellStyle name="Check Cell" xfId="14" builtinId="23" customBuiltin="1"/>
    <cellStyle name="Explanatory Text" xfId="17" builtinId="53" customBuiltin="1"/>
    <cellStyle name="Good" xfId="7" builtinId="26" customBuiltin="1"/>
    <cellStyle name="Heading 1" xfId="3" builtinId="16" customBuiltin="1"/>
    <cellStyle name="Heading 2" xfId="4" builtinId="17" customBuiltin="1"/>
    <cellStyle name="Heading 3" xfId="5" builtinId="18" customBuiltin="1"/>
    <cellStyle name="Heading 4" xfId="6" builtinId="19" customBuiltin="1"/>
    <cellStyle name="Input" xfId="10" builtinId="20" customBuiltin="1"/>
    <cellStyle name="Linked Cell" xfId="13" builtinId="24" customBuiltin="1"/>
    <cellStyle name="Neutral" xfId="9" builtinId="28" customBuiltin="1"/>
    <cellStyle name="Normal" xfId="0" builtinId="0"/>
    <cellStyle name="Normal 2" xfId="43" xr:uid="{D025306C-287A-4290-ADF3-30165363118A}"/>
    <cellStyle name="Note" xfId="16" builtinId="10" customBuiltin="1"/>
    <cellStyle name="Output" xfId="11" builtinId="21" customBuiltin="1"/>
    <cellStyle name="Percent" xfId="1" builtinId="5"/>
    <cellStyle name="Title" xfId="2" builtinId="15" customBuiltin="1"/>
    <cellStyle name="Total" xfId="18" builtinId="25" customBuiltin="1"/>
    <cellStyle name="Warning Text" xfId="15" builtinId="11" customBuiltin="1"/>
  </cellStyles>
  <dxfs count="11"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tyles" Target="styles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1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onnections" Target="connections.xml"/><Relationship Id="rId5" Type="http://schemas.openxmlformats.org/officeDocument/2006/relationships/worksheet" Target="worksheets/sheet5.xml"/><Relationship Id="rId15" Type="http://schemas.openxmlformats.org/officeDocument/2006/relationships/calcChain" Target="calcChain.xml"/><Relationship Id="rId10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sheetMetadata" Target="metadata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38EF8FAF-FA10-4963-8090-24A403083F57}" name="Wikidata_upec_political_20" displayName="Wikidata_upec_political_20" ref="A1:N329" totalsRowShown="0">
  <autoFilter ref="A1:N329" xr:uid="{7DABBB2D-4150-4BC4-B7EB-265490B099CB}"/>
  <tableColumns count="14">
    <tableColumn id="1" xr3:uid="{1C100F07-0587-440F-93AE-BB499128A963}" name="docid"/>
    <tableColumn id="2" xr3:uid="{C855A241-91D8-4823-91A6-942D7449D2E7}" name="title" dataDxfId="10"/>
    <tableColumn id="3" xr3:uid="{BD40B9F0-B749-4D59-9694-955CE5A215FB}" name="keyword" dataDxfId="9"/>
    <tableColumn id="4" xr3:uid="{C23A2939-D88F-4F54-BA74-AF4FD491B7D9}" name="wikidata_label" dataDxfId="8"/>
    <tableColumn id="5" xr3:uid="{8E16D174-5B84-4F81-8731-440503063317}" name="wikidata_qid" dataDxfId="7"/>
    <tableColumn id="6" xr3:uid="{8764BA2C-3508-4680-AF12-420AD54C2FA4}" name="bnf_id" dataDxfId="6"/>
    <tableColumn id="7" xr3:uid="{3FD49A79-6C62-4633-8FD2-5D65F2B0C112}" name="p279_path" dataDxfId="5"/>
    <tableColumn id="8" xr3:uid="{71976C9F-D41A-41CC-B246-882A4F8CBCF3}" name="retry_source" dataDxfId="4"/>
    <tableColumn id="9" xr3:uid="{BA47BEC9-3583-49AA-ADB7-1F4F85234B20}" name="match_stage" dataDxfId="3"/>
    <tableColumn id="10" xr3:uid="{74BA4421-3959-4490-B60F-B667CA2FD3D8}" name="is_disambiguation" dataDxfId="2"/>
    <tableColumn id="11" xr3:uid="{246F0352-E9B3-48A8-84D1-8D5E38617658}" name="label_similarity"/>
    <tableColumn id="12" xr3:uid="{9F4E49AB-A906-414D-BEBC-5E56D6753E7B}" name="match_score"/>
    <tableColumn id="13" xr3:uid="{9D155A64-0B46-4256-B905-DF746216AE12}" name="p31_types" dataDxfId="1"/>
    <tableColumn id="14" xr3:uid="{C776FC2E-6744-4F34-9C9E-BB1A5AA312FB}" name="p31_label" dataDxfId="0"/>
  </tableColumns>
  <tableStyleInfo name="TableStyleMedium7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8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9.xml.rels><?xml version="1.0" encoding="UTF-8" standalone="yes"?>
<Relationships xmlns="http://schemas.openxmlformats.org/package/2006/relationships"><Relationship Id="rId3" Type="http://schemas.openxmlformats.org/officeDocument/2006/relationships/hyperlink" Target="https://catalogue.bnf.fr/ark:/12148/cb11963618j" TargetMode="External"/><Relationship Id="rId2" Type="http://schemas.openxmlformats.org/officeDocument/2006/relationships/hyperlink" Target="https://catalogue.bnf.fr/ark:/12148/cb11937402z" TargetMode="External"/><Relationship Id="rId1" Type="http://schemas.openxmlformats.org/officeDocument/2006/relationships/hyperlink" Target="https://catalogue.bnf.fr/ark:/12148/cb133192241" TargetMode="External"/><Relationship Id="rId4" Type="http://schemas.openxmlformats.org/officeDocument/2006/relationships/hyperlink" Target="https://catalogue.bnf.fr/ark:/12148/cb11963618j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D619807-4124-4E65-BB68-420CF378C741}">
  <dimension ref="A1:L8"/>
  <sheetViews>
    <sheetView workbookViewId="0">
      <selection activeCell="C15" sqref="C15"/>
    </sheetView>
  </sheetViews>
  <sheetFormatPr defaultRowHeight="14.4" x14ac:dyDescent="0.3"/>
  <cols>
    <col min="1" max="1" width="9.77734375" customWidth="1"/>
    <col min="2" max="2" width="21.5546875" bestFit="1" customWidth="1"/>
    <col min="3" max="3" width="12.44140625" customWidth="1"/>
    <col min="4" max="4" width="13.109375" customWidth="1"/>
    <col min="5" max="5" width="14.44140625" customWidth="1"/>
    <col min="6" max="6" width="15.6640625" customWidth="1"/>
    <col min="9" max="9" width="13" customWidth="1"/>
    <col min="10" max="10" width="12" customWidth="1"/>
    <col min="11" max="11" width="11.6640625" customWidth="1"/>
  </cols>
  <sheetData>
    <row r="1" spans="1:12" s="4" customFormat="1" ht="43.2" x14ac:dyDescent="0.3">
      <c r="A1" s="5"/>
      <c r="B1" s="5" t="s">
        <v>554</v>
      </c>
      <c r="C1" s="5" t="s">
        <v>538</v>
      </c>
      <c r="D1" s="5" t="s">
        <v>539</v>
      </c>
      <c r="E1" s="5" t="s">
        <v>540</v>
      </c>
      <c r="F1" s="5" t="s">
        <v>542</v>
      </c>
      <c r="G1" s="5" t="s">
        <v>544</v>
      </c>
      <c r="H1" s="5" t="s">
        <v>545</v>
      </c>
      <c r="I1" s="5" t="s">
        <v>541</v>
      </c>
      <c r="J1" s="5" t="s">
        <v>543</v>
      </c>
      <c r="K1" s="5" t="s">
        <v>546</v>
      </c>
      <c r="L1" s="5" t="s">
        <v>547</v>
      </c>
    </row>
    <row r="2" spans="1:12" x14ac:dyDescent="0.3">
      <c r="A2" s="6"/>
      <c r="B2" s="6" t="s">
        <v>537</v>
      </c>
      <c r="C2" s="7">
        <f>Sheet1!H1</f>
        <v>20</v>
      </c>
      <c r="D2" s="7">
        <f>Sheet1!H2</f>
        <v>95</v>
      </c>
      <c r="E2" s="7">
        <f>Sheet1!$H$3</f>
        <v>70</v>
      </c>
      <c r="F2" s="7">
        <f>Sheet1!H4</f>
        <v>25</v>
      </c>
      <c r="G2" s="7">
        <f>Sheet1!H5</f>
        <v>44</v>
      </c>
      <c r="H2" s="7">
        <f>Sheet1!H6</f>
        <v>5</v>
      </c>
      <c r="I2" s="8">
        <f t="shared" ref="I2:I8" si="0">E2/D2</f>
        <v>0.73684210526315785</v>
      </c>
      <c r="J2" s="8">
        <f t="shared" ref="J2:J8" si="1">F2/D2</f>
        <v>0.26315789473684209</v>
      </c>
      <c r="K2" s="8">
        <f t="shared" ref="K2:L5" si="2">G2/$D2</f>
        <v>0.4631578947368421</v>
      </c>
      <c r="L2" s="8">
        <f t="shared" si="2"/>
        <v>5.2631578947368418E-2</v>
      </c>
    </row>
    <row r="3" spans="1:12" x14ac:dyDescent="0.3">
      <c r="A3" s="6"/>
      <c r="B3" s="6" t="s">
        <v>548</v>
      </c>
      <c r="C3" s="7">
        <f>Wikidata_upec_civil_20!W7</f>
        <v>20</v>
      </c>
      <c r="D3" s="7">
        <f>Wikidata_upec_civil_20!X7</f>
        <v>93</v>
      </c>
      <c r="E3" s="7">
        <f>Wikidata_upec_civil_20!Y7</f>
        <v>67</v>
      </c>
      <c r="F3" s="7">
        <f>Wikidata_upec_civil_20!Z7</f>
        <v>26</v>
      </c>
      <c r="G3" s="7">
        <f>Wikidata_upec_civil_20!AA7</f>
        <v>43</v>
      </c>
      <c r="H3" s="7">
        <f>Wikidata_upec_civil_20!AB7</f>
        <v>7</v>
      </c>
      <c r="I3" s="8">
        <f t="shared" si="0"/>
        <v>0.72043010752688175</v>
      </c>
      <c r="J3" s="8">
        <f t="shared" si="1"/>
        <v>0.27956989247311825</v>
      </c>
      <c r="K3" s="8">
        <f t="shared" si="2"/>
        <v>0.46236559139784944</v>
      </c>
      <c r="L3" s="8">
        <f t="shared" si="2"/>
        <v>7.5268817204301078E-2</v>
      </c>
    </row>
    <row r="4" spans="1:12" x14ac:dyDescent="0.3">
      <c r="A4" s="6"/>
      <c r="B4" s="6" t="s">
        <v>552</v>
      </c>
      <c r="C4" s="7">
        <f>Wikidata_upec_civil_20_part2!W12</f>
        <v>9</v>
      </c>
      <c r="D4" s="7">
        <f>Wikidata_upec_civil_20_part2!X12</f>
        <v>48</v>
      </c>
      <c r="E4" s="7">
        <f>Wikidata_upec_civil_20_part2!Y12</f>
        <v>41</v>
      </c>
      <c r="F4" s="7">
        <f>Wikidata_upec_civil_20_part2!Z12</f>
        <v>7</v>
      </c>
      <c r="G4" s="7">
        <f>Wikidata_upec_civil_20_part2!AA12</f>
        <v>17</v>
      </c>
      <c r="H4" s="7">
        <f>Wikidata_upec_civil_20_part2!AB12</f>
        <v>2</v>
      </c>
      <c r="I4" s="8">
        <f t="shared" si="0"/>
        <v>0.85416666666666663</v>
      </c>
      <c r="J4" s="8">
        <f t="shared" si="1"/>
        <v>0.14583333333333334</v>
      </c>
      <c r="K4" s="8">
        <f t="shared" si="2"/>
        <v>0.35416666666666669</v>
      </c>
      <c r="L4" s="8">
        <f t="shared" si="2"/>
        <v>4.1666666666666664E-2</v>
      </c>
    </row>
    <row r="5" spans="1:12" x14ac:dyDescent="0.3">
      <c r="A5" s="6"/>
      <c r="B5" s="6" t="s">
        <v>551</v>
      </c>
      <c r="C5" s="7">
        <v>20</v>
      </c>
      <c r="D5" s="7">
        <v>104</v>
      </c>
      <c r="E5" s="7">
        <v>78</v>
      </c>
      <c r="F5" s="7">
        <v>26</v>
      </c>
      <c r="G5" s="7">
        <v>50</v>
      </c>
      <c r="H5" s="7">
        <v>5</v>
      </c>
      <c r="I5" s="8">
        <f t="shared" si="0"/>
        <v>0.75</v>
      </c>
      <c r="J5" s="8">
        <f t="shared" si="1"/>
        <v>0.25</v>
      </c>
      <c r="K5" s="8">
        <f t="shared" si="2"/>
        <v>0.48076923076923078</v>
      </c>
      <c r="L5" s="8">
        <f t="shared" si="2"/>
        <v>4.807692307692308E-2</v>
      </c>
    </row>
    <row r="6" spans="1:12" x14ac:dyDescent="0.3">
      <c r="A6" s="6"/>
      <c r="B6" s="6" t="s">
        <v>549</v>
      </c>
      <c r="C6" s="7">
        <v>20</v>
      </c>
      <c r="D6" s="7">
        <v>77</v>
      </c>
      <c r="E6" s="7">
        <v>49</v>
      </c>
      <c r="F6" s="7">
        <v>4</v>
      </c>
      <c r="G6" s="7">
        <v>55</v>
      </c>
      <c r="H6" s="7">
        <v>10</v>
      </c>
      <c r="I6" s="8">
        <f t="shared" si="0"/>
        <v>0.63636363636363635</v>
      </c>
      <c r="J6" s="8">
        <f t="shared" si="1"/>
        <v>5.1948051948051951E-2</v>
      </c>
      <c r="K6" s="8">
        <f t="shared" ref="K6" si="3">G6/$D6</f>
        <v>0.7142857142857143</v>
      </c>
      <c r="L6" s="8">
        <f t="shared" ref="L6" si="4">H6/$D6</f>
        <v>0.12987012987012986</v>
      </c>
    </row>
    <row r="7" spans="1:12" x14ac:dyDescent="0.3">
      <c r="A7" s="6"/>
      <c r="B7" s="6" t="s">
        <v>550</v>
      </c>
      <c r="C7" s="7">
        <v>20</v>
      </c>
      <c r="D7" s="7">
        <v>87</v>
      </c>
      <c r="E7" s="7">
        <v>58</v>
      </c>
      <c r="F7" s="7">
        <v>29</v>
      </c>
      <c r="G7" s="7">
        <v>54</v>
      </c>
      <c r="H7" s="7">
        <v>9</v>
      </c>
      <c r="I7" s="8">
        <f t="shared" si="0"/>
        <v>0.66666666666666663</v>
      </c>
      <c r="J7" s="8">
        <f t="shared" si="1"/>
        <v>0.33333333333333331</v>
      </c>
      <c r="K7" s="8">
        <f>G7/$D7</f>
        <v>0.62068965517241381</v>
      </c>
      <c r="L7" s="8">
        <f>H7/$D7</f>
        <v>0.10344827586206896</v>
      </c>
    </row>
    <row r="8" spans="1:12" x14ac:dyDescent="0.3">
      <c r="A8" s="6"/>
      <c r="B8" s="24" t="s">
        <v>535</v>
      </c>
      <c r="C8" s="25">
        <f>SUM(C2:C7)</f>
        <v>109</v>
      </c>
      <c r="D8" s="25">
        <f t="shared" ref="D8:H8" si="5">SUM(D2:D7)</f>
        <v>504</v>
      </c>
      <c r="E8" s="25">
        <f t="shared" si="5"/>
        <v>363</v>
      </c>
      <c r="F8" s="25">
        <f t="shared" si="5"/>
        <v>117</v>
      </c>
      <c r="G8" s="25">
        <f t="shared" si="5"/>
        <v>263</v>
      </c>
      <c r="H8" s="25">
        <f t="shared" si="5"/>
        <v>38</v>
      </c>
      <c r="I8" s="26">
        <f t="shared" si="0"/>
        <v>0.72023809523809523</v>
      </c>
      <c r="J8" s="26">
        <f t="shared" si="1"/>
        <v>0.23214285714285715</v>
      </c>
      <c r="K8" s="26">
        <f>G8/$D8</f>
        <v>0.52182539682539686</v>
      </c>
      <c r="L8" s="26">
        <f>H8/$D8</f>
        <v>7.5396825396825393E-2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CFBF9E5-3600-44BA-AFA0-9406E99D1C18}">
  <dimension ref="A1:Q371"/>
  <sheetViews>
    <sheetView tabSelected="1" topLeftCell="D312" workbookViewId="0">
      <selection activeCell="N322" sqref="N322"/>
    </sheetView>
  </sheetViews>
  <sheetFormatPr defaultRowHeight="14.4" x14ac:dyDescent="0.3"/>
  <cols>
    <col min="2" max="2" width="46.44140625" customWidth="1"/>
    <col min="3" max="3" width="33.6640625" customWidth="1"/>
    <col min="4" max="4" width="41.21875" bestFit="1" customWidth="1"/>
    <col min="6" max="6" width="17.77734375" customWidth="1"/>
    <col min="7" max="7" width="66.5546875" customWidth="1"/>
    <col min="14" max="14" width="20" customWidth="1"/>
  </cols>
  <sheetData>
    <row r="1" spans="1:17" x14ac:dyDescent="0.3">
      <c r="A1" t="s">
        <v>0</v>
      </c>
      <c r="B1" t="s">
        <v>1</v>
      </c>
      <c r="C1" t="s">
        <v>2</v>
      </c>
      <c r="D1" t="s">
        <v>3</v>
      </c>
      <c r="E1" t="s">
        <v>4</v>
      </c>
      <c r="F1" t="s">
        <v>5</v>
      </c>
      <c r="G1" t="s">
        <v>6</v>
      </c>
      <c r="H1" t="s">
        <v>7</v>
      </c>
      <c r="I1" t="s">
        <v>8</v>
      </c>
      <c r="J1" t="s">
        <v>9</v>
      </c>
      <c r="K1" t="s">
        <v>10</v>
      </c>
      <c r="L1" t="s">
        <v>11</v>
      </c>
      <c r="M1" t="s">
        <v>12</v>
      </c>
      <c r="N1" t="s">
        <v>13</v>
      </c>
      <c r="O1" t="s">
        <v>520</v>
      </c>
    </row>
    <row r="2" spans="1:17" x14ac:dyDescent="0.3">
      <c r="A2">
        <v>1006198</v>
      </c>
      <c r="B2" t="s">
        <v>14</v>
      </c>
      <c r="C2" t="s">
        <v>15</v>
      </c>
      <c r="H2" t="s">
        <v>16</v>
      </c>
      <c r="I2" t="s">
        <v>16</v>
      </c>
      <c r="J2" t="s">
        <v>17</v>
      </c>
      <c r="K2">
        <v>0</v>
      </c>
      <c r="L2">
        <v>0</v>
      </c>
      <c r="O2" t="s">
        <v>521</v>
      </c>
    </row>
    <row r="3" spans="1:17" x14ac:dyDescent="0.3">
      <c r="A3">
        <v>1006198</v>
      </c>
      <c r="B3" t="s">
        <v>14</v>
      </c>
      <c r="C3" t="s">
        <v>18</v>
      </c>
      <c r="H3" t="s">
        <v>16</v>
      </c>
      <c r="I3" t="s">
        <v>16</v>
      </c>
      <c r="J3" t="s">
        <v>17</v>
      </c>
      <c r="K3">
        <v>0</v>
      </c>
      <c r="L3">
        <v>0</v>
      </c>
      <c r="O3" t="s">
        <v>521</v>
      </c>
    </row>
    <row r="4" spans="1:17" x14ac:dyDescent="0.3">
      <c r="A4">
        <v>1006198</v>
      </c>
      <c r="B4" t="s">
        <v>14</v>
      </c>
      <c r="C4" t="s">
        <v>19</v>
      </c>
      <c r="D4" t="s">
        <v>19</v>
      </c>
      <c r="E4" t="s">
        <v>20</v>
      </c>
      <c r="G4" t="s">
        <v>21</v>
      </c>
      <c r="H4" t="s">
        <v>22</v>
      </c>
      <c r="I4" t="s">
        <v>22</v>
      </c>
      <c r="J4" t="s">
        <v>17</v>
      </c>
      <c r="K4">
        <v>100</v>
      </c>
      <c r="L4">
        <v>111</v>
      </c>
      <c r="O4" t="s">
        <v>521</v>
      </c>
    </row>
    <row r="5" spans="1:17" x14ac:dyDescent="0.3">
      <c r="A5">
        <v>1006198</v>
      </c>
      <c r="B5" t="s">
        <v>14</v>
      </c>
      <c r="C5" t="s">
        <v>19</v>
      </c>
      <c r="D5" t="s">
        <v>19</v>
      </c>
      <c r="E5" t="s">
        <v>20</v>
      </c>
      <c r="G5" t="s">
        <v>23</v>
      </c>
      <c r="H5" t="s">
        <v>22</v>
      </c>
      <c r="I5" t="s">
        <v>22</v>
      </c>
      <c r="J5" t="s">
        <v>17</v>
      </c>
      <c r="K5">
        <v>100</v>
      </c>
      <c r="L5">
        <v>111</v>
      </c>
      <c r="O5" t="s">
        <v>521</v>
      </c>
    </row>
    <row r="6" spans="1:17" x14ac:dyDescent="0.3">
      <c r="A6">
        <v>1006198</v>
      </c>
      <c r="B6" t="s">
        <v>14</v>
      </c>
      <c r="C6" t="s">
        <v>19</v>
      </c>
      <c r="D6" t="s">
        <v>19</v>
      </c>
      <c r="E6" t="s">
        <v>20</v>
      </c>
      <c r="G6" t="s">
        <v>24</v>
      </c>
      <c r="H6" t="s">
        <v>22</v>
      </c>
      <c r="I6" t="s">
        <v>22</v>
      </c>
      <c r="J6" t="s">
        <v>17</v>
      </c>
      <c r="K6">
        <v>100</v>
      </c>
      <c r="L6">
        <v>111</v>
      </c>
      <c r="O6" t="s">
        <v>521</v>
      </c>
    </row>
    <row r="7" spans="1:17" x14ac:dyDescent="0.3">
      <c r="A7">
        <v>1006198</v>
      </c>
      <c r="B7" t="s">
        <v>14</v>
      </c>
      <c r="C7" t="s">
        <v>19</v>
      </c>
      <c r="D7" t="s">
        <v>19</v>
      </c>
      <c r="E7" t="s">
        <v>20</v>
      </c>
      <c r="G7" t="s">
        <v>25</v>
      </c>
      <c r="H7" t="s">
        <v>22</v>
      </c>
      <c r="I7" t="s">
        <v>22</v>
      </c>
      <c r="J7" t="s">
        <v>17</v>
      </c>
      <c r="K7">
        <v>100</v>
      </c>
      <c r="L7">
        <v>111</v>
      </c>
      <c r="O7" t="s">
        <v>521</v>
      </c>
    </row>
    <row r="8" spans="1:17" x14ac:dyDescent="0.3">
      <c r="A8">
        <v>1006198</v>
      </c>
      <c r="B8" t="s">
        <v>14</v>
      </c>
      <c r="C8" t="s">
        <v>19</v>
      </c>
      <c r="D8" t="s">
        <v>19</v>
      </c>
      <c r="E8" t="s">
        <v>20</v>
      </c>
      <c r="G8" t="s">
        <v>26</v>
      </c>
      <c r="H8" t="s">
        <v>22</v>
      </c>
      <c r="I8" t="s">
        <v>22</v>
      </c>
      <c r="J8" t="s">
        <v>17</v>
      </c>
      <c r="K8">
        <v>100</v>
      </c>
      <c r="L8">
        <v>111</v>
      </c>
      <c r="O8" t="s">
        <v>521</v>
      </c>
    </row>
    <row r="9" spans="1:17" x14ac:dyDescent="0.3">
      <c r="A9">
        <v>1006198</v>
      </c>
      <c r="B9" t="s">
        <v>14</v>
      </c>
      <c r="C9" t="s">
        <v>19</v>
      </c>
      <c r="D9" t="s">
        <v>19</v>
      </c>
      <c r="E9" t="s">
        <v>20</v>
      </c>
      <c r="G9" t="s">
        <v>27</v>
      </c>
      <c r="H9" t="s">
        <v>22</v>
      </c>
      <c r="I9" t="s">
        <v>22</v>
      </c>
      <c r="J9" t="s">
        <v>17</v>
      </c>
      <c r="K9">
        <v>100</v>
      </c>
      <c r="L9">
        <v>111</v>
      </c>
      <c r="O9" t="s">
        <v>521</v>
      </c>
    </row>
    <row r="10" spans="1:17" x14ac:dyDescent="0.3">
      <c r="A10">
        <v>1006198</v>
      </c>
      <c r="B10" t="s">
        <v>14</v>
      </c>
      <c r="C10" t="s">
        <v>28</v>
      </c>
      <c r="H10" t="s">
        <v>16</v>
      </c>
      <c r="I10" t="s">
        <v>16</v>
      </c>
      <c r="J10" t="s">
        <v>17</v>
      </c>
      <c r="K10">
        <v>0</v>
      </c>
      <c r="L10">
        <v>0</v>
      </c>
      <c r="O10" t="s">
        <v>521</v>
      </c>
    </row>
    <row r="11" spans="1:17" x14ac:dyDescent="0.3">
      <c r="A11">
        <v>1006198</v>
      </c>
      <c r="B11" t="s">
        <v>14</v>
      </c>
      <c r="C11" t="s">
        <v>29</v>
      </c>
      <c r="H11" t="s">
        <v>16</v>
      </c>
      <c r="I11" t="s">
        <v>16</v>
      </c>
      <c r="J11" t="s">
        <v>17</v>
      </c>
      <c r="K11">
        <v>0</v>
      </c>
      <c r="L11">
        <v>0</v>
      </c>
      <c r="O11" t="s">
        <v>521</v>
      </c>
    </row>
    <row r="12" spans="1:17" x14ac:dyDescent="0.3">
      <c r="A12">
        <v>1006198</v>
      </c>
      <c r="B12" t="s">
        <v>14</v>
      </c>
      <c r="C12" t="s">
        <v>30</v>
      </c>
      <c r="H12" t="s">
        <v>16</v>
      </c>
      <c r="I12" t="s">
        <v>16</v>
      </c>
      <c r="J12" t="s">
        <v>17</v>
      </c>
      <c r="K12">
        <v>0</v>
      </c>
      <c r="L12">
        <v>0</v>
      </c>
      <c r="O12" t="s">
        <v>521</v>
      </c>
    </row>
    <row r="13" spans="1:17" x14ac:dyDescent="0.3">
      <c r="A13">
        <v>1006198</v>
      </c>
      <c r="B13" t="s">
        <v>14</v>
      </c>
      <c r="C13" t="s">
        <v>31</v>
      </c>
      <c r="H13" t="s">
        <v>16</v>
      </c>
      <c r="I13" t="s">
        <v>16</v>
      </c>
      <c r="J13" t="s">
        <v>17</v>
      </c>
      <c r="K13">
        <v>0</v>
      </c>
      <c r="L13">
        <v>0</v>
      </c>
      <c r="O13" t="s">
        <v>521</v>
      </c>
    </row>
    <row r="14" spans="1:17" x14ac:dyDescent="0.3">
      <c r="A14">
        <v>1006198</v>
      </c>
      <c r="B14" t="s">
        <v>14</v>
      </c>
      <c r="C14" t="s">
        <v>32</v>
      </c>
      <c r="D14" t="s">
        <v>32</v>
      </c>
      <c r="E14" t="s">
        <v>33</v>
      </c>
      <c r="H14" t="s">
        <v>22</v>
      </c>
      <c r="I14" t="s">
        <v>22</v>
      </c>
      <c r="J14" t="s">
        <v>17</v>
      </c>
      <c r="K14">
        <v>100</v>
      </c>
      <c r="L14">
        <v>113</v>
      </c>
      <c r="O14" t="s">
        <v>522</v>
      </c>
      <c r="P14" t="s">
        <v>523</v>
      </c>
      <c r="Q14" t="s">
        <v>524</v>
      </c>
    </row>
    <row r="15" spans="1:17" x14ac:dyDescent="0.3">
      <c r="A15">
        <v>1025697</v>
      </c>
      <c r="B15" t="s">
        <v>34</v>
      </c>
      <c r="C15" t="s">
        <v>35</v>
      </c>
      <c r="D15" t="s">
        <v>35</v>
      </c>
      <c r="E15" t="s">
        <v>36</v>
      </c>
      <c r="H15" t="s">
        <v>22</v>
      </c>
      <c r="I15" t="s">
        <v>22</v>
      </c>
      <c r="J15" t="s">
        <v>17</v>
      </c>
      <c r="K15">
        <v>100</v>
      </c>
      <c r="L15">
        <v>112</v>
      </c>
      <c r="M15" t="s">
        <v>37</v>
      </c>
      <c r="N15" t="s">
        <v>38</v>
      </c>
      <c r="O15" t="s">
        <v>522</v>
      </c>
      <c r="P15" s="1" t="s">
        <v>525</v>
      </c>
      <c r="Q15" t="s">
        <v>526</v>
      </c>
    </row>
    <row r="16" spans="1:17" x14ac:dyDescent="0.3">
      <c r="A16">
        <v>1025697</v>
      </c>
      <c r="B16" t="s">
        <v>34</v>
      </c>
      <c r="C16" t="s">
        <v>39</v>
      </c>
      <c r="H16" t="s">
        <v>16</v>
      </c>
      <c r="I16" t="s">
        <v>16</v>
      </c>
      <c r="J16" t="s">
        <v>17</v>
      </c>
      <c r="K16">
        <v>0</v>
      </c>
      <c r="L16">
        <v>0</v>
      </c>
      <c r="O16" t="s">
        <v>521</v>
      </c>
    </row>
    <row r="17" spans="1:17" x14ac:dyDescent="0.3">
      <c r="A17">
        <v>1025697</v>
      </c>
      <c r="B17" t="s">
        <v>34</v>
      </c>
      <c r="C17" t="s">
        <v>40</v>
      </c>
      <c r="H17" t="s">
        <v>16</v>
      </c>
      <c r="I17" t="s">
        <v>16</v>
      </c>
      <c r="J17" t="s">
        <v>17</v>
      </c>
      <c r="K17">
        <v>0</v>
      </c>
      <c r="L17">
        <v>0</v>
      </c>
      <c r="O17" t="s">
        <v>521</v>
      </c>
    </row>
    <row r="18" spans="1:17" x14ac:dyDescent="0.3">
      <c r="A18">
        <v>1025697</v>
      </c>
      <c r="B18" t="s">
        <v>34</v>
      </c>
      <c r="C18" t="s">
        <v>41</v>
      </c>
      <c r="D18" t="s">
        <v>42</v>
      </c>
      <c r="E18" t="s">
        <v>43</v>
      </c>
      <c r="F18" t="s">
        <v>44</v>
      </c>
      <c r="G18" t="s">
        <v>45</v>
      </c>
      <c r="H18" t="s">
        <v>46</v>
      </c>
      <c r="I18" t="s">
        <v>46</v>
      </c>
      <c r="J18" t="s">
        <v>17</v>
      </c>
      <c r="K18">
        <v>100</v>
      </c>
      <c r="L18">
        <v>50</v>
      </c>
      <c r="M18" t="s">
        <v>47</v>
      </c>
      <c r="N18" t="s">
        <v>48</v>
      </c>
      <c r="O18" t="s">
        <v>522</v>
      </c>
      <c r="P18" t="s">
        <v>527</v>
      </c>
      <c r="Q18" t="s">
        <v>528</v>
      </c>
    </row>
    <row r="19" spans="1:17" x14ac:dyDescent="0.3">
      <c r="A19">
        <v>1025697</v>
      </c>
      <c r="B19" t="s">
        <v>34</v>
      </c>
      <c r="C19" t="s">
        <v>41</v>
      </c>
      <c r="D19" t="s">
        <v>42</v>
      </c>
      <c r="E19" t="s">
        <v>43</v>
      </c>
      <c r="F19" t="s">
        <v>44</v>
      </c>
      <c r="G19" t="s">
        <v>49</v>
      </c>
      <c r="H19" t="s">
        <v>46</v>
      </c>
      <c r="I19" t="s">
        <v>46</v>
      </c>
      <c r="J19" t="s">
        <v>17</v>
      </c>
      <c r="K19">
        <v>100</v>
      </c>
      <c r="L19">
        <v>50</v>
      </c>
      <c r="M19" t="s">
        <v>47</v>
      </c>
      <c r="N19" t="s">
        <v>48</v>
      </c>
      <c r="O19" t="s">
        <v>522</v>
      </c>
    </row>
    <row r="20" spans="1:17" x14ac:dyDescent="0.3">
      <c r="A20">
        <v>1025697</v>
      </c>
      <c r="B20" t="s">
        <v>34</v>
      </c>
      <c r="C20" t="s">
        <v>50</v>
      </c>
      <c r="H20" t="s">
        <v>16</v>
      </c>
      <c r="I20" t="s">
        <v>16</v>
      </c>
      <c r="J20" t="s">
        <v>17</v>
      </c>
      <c r="K20">
        <v>0</v>
      </c>
      <c r="L20">
        <v>0</v>
      </c>
      <c r="O20" t="s">
        <v>521</v>
      </c>
    </row>
    <row r="21" spans="1:17" x14ac:dyDescent="0.3">
      <c r="A21">
        <v>1060481</v>
      </c>
      <c r="B21" t="s">
        <v>51</v>
      </c>
      <c r="C21">
        <v>20902069</v>
      </c>
      <c r="H21" t="s">
        <v>16</v>
      </c>
      <c r="I21" t="s">
        <v>16</v>
      </c>
      <c r="J21" t="s">
        <v>17</v>
      </c>
      <c r="K21">
        <v>0</v>
      </c>
      <c r="L21">
        <v>0</v>
      </c>
      <c r="O21" t="s">
        <v>521</v>
      </c>
    </row>
    <row r="22" spans="1:17" x14ac:dyDescent="0.3">
      <c r="A22">
        <v>1060481</v>
      </c>
      <c r="B22" t="s">
        <v>51</v>
      </c>
      <c r="C22" t="s">
        <v>52</v>
      </c>
      <c r="H22" t="s">
        <v>16</v>
      </c>
      <c r="I22" t="s">
        <v>16</v>
      </c>
      <c r="J22" t="s">
        <v>53</v>
      </c>
      <c r="K22">
        <v>0</v>
      </c>
      <c r="L22">
        <v>0</v>
      </c>
      <c r="O22" t="s">
        <v>521</v>
      </c>
    </row>
    <row r="23" spans="1:17" x14ac:dyDescent="0.3">
      <c r="A23">
        <v>1060481</v>
      </c>
      <c r="B23" t="s">
        <v>51</v>
      </c>
      <c r="C23" t="s">
        <v>54</v>
      </c>
      <c r="D23" t="s">
        <v>55</v>
      </c>
      <c r="E23" t="s">
        <v>56</v>
      </c>
      <c r="H23" t="s">
        <v>46</v>
      </c>
      <c r="I23" t="s">
        <v>46</v>
      </c>
      <c r="J23" t="s">
        <v>17</v>
      </c>
      <c r="K23">
        <v>100</v>
      </c>
      <c r="L23">
        <v>50</v>
      </c>
      <c r="M23" t="s">
        <v>57</v>
      </c>
      <c r="N23" t="s">
        <v>58</v>
      </c>
      <c r="O23" t="s">
        <v>521</v>
      </c>
    </row>
    <row r="24" spans="1:17" x14ac:dyDescent="0.3">
      <c r="A24">
        <v>1060481</v>
      </c>
      <c r="B24" t="s">
        <v>51</v>
      </c>
      <c r="C24">
        <v>21074094</v>
      </c>
      <c r="H24" t="s">
        <v>16</v>
      </c>
      <c r="I24" t="s">
        <v>16</v>
      </c>
      <c r="J24" t="s">
        <v>17</v>
      </c>
      <c r="K24">
        <v>0</v>
      </c>
      <c r="L24">
        <v>0</v>
      </c>
      <c r="O24" t="s">
        <v>521</v>
      </c>
    </row>
    <row r="25" spans="1:17" x14ac:dyDescent="0.3">
      <c r="A25">
        <v>1060481</v>
      </c>
      <c r="B25" t="s">
        <v>51</v>
      </c>
      <c r="C25">
        <v>51173134</v>
      </c>
      <c r="H25" t="s">
        <v>16</v>
      </c>
      <c r="I25" t="s">
        <v>16</v>
      </c>
      <c r="J25" t="s">
        <v>17</v>
      </c>
      <c r="K25">
        <v>0</v>
      </c>
      <c r="L25">
        <v>0</v>
      </c>
      <c r="O25" t="s">
        <v>521</v>
      </c>
    </row>
    <row r="26" spans="1:17" x14ac:dyDescent="0.3">
      <c r="A26">
        <v>1064801</v>
      </c>
      <c r="B26" t="s">
        <v>59</v>
      </c>
      <c r="C26" t="s">
        <v>60</v>
      </c>
      <c r="H26" t="s">
        <v>16</v>
      </c>
      <c r="I26" t="s">
        <v>16</v>
      </c>
      <c r="J26" t="s">
        <v>17</v>
      </c>
      <c r="K26">
        <v>0</v>
      </c>
      <c r="L26">
        <v>0</v>
      </c>
      <c r="O26" t="s">
        <v>521</v>
      </c>
    </row>
    <row r="27" spans="1:17" x14ac:dyDescent="0.3">
      <c r="A27">
        <v>1064801</v>
      </c>
      <c r="B27" t="s">
        <v>59</v>
      </c>
      <c r="C27" t="s">
        <v>61</v>
      </c>
      <c r="H27" t="s">
        <v>16</v>
      </c>
      <c r="I27" t="s">
        <v>16</v>
      </c>
      <c r="J27" t="s">
        <v>17</v>
      </c>
      <c r="K27">
        <v>0</v>
      </c>
      <c r="L27">
        <v>0</v>
      </c>
      <c r="O27" t="s">
        <v>521</v>
      </c>
    </row>
    <row r="28" spans="1:17" x14ac:dyDescent="0.3">
      <c r="A28">
        <v>1064801</v>
      </c>
      <c r="B28" t="s">
        <v>59</v>
      </c>
      <c r="C28" t="s">
        <v>62</v>
      </c>
      <c r="H28" t="s">
        <v>16</v>
      </c>
      <c r="I28" t="s">
        <v>16</v>
      </c>
      <c r="J28" t="s">
        <v>17</v>
      </c>
      <c r="K28">
        <v>0</v>
      </c>
      <c r="L28">
        <v>0</v>
      </c>
      <c r="O28" t="s">
        <v>521</v>
      </c>
    </row>
    <row r="29" spans="1:17" x14ac:dyDescent="0.3">
      <c r="A29">
        <v>1064801</v>
      </c>
      <c r="B29" t="s">
        <v>59</v>
      </c>
      <c r="C29" t="s">
        <v>63</v>
      </c>
      <c r="D29" t="s">
        <v>64</v>
      </c>
      <c r="E29" t="s">
        <v>65</v>
      </c>
      <c r="G29" t="s">
        <v>66</v>
      </c>
      <c r="H29" t="s">
        <v>46</v>
      </c>
      <c r="I29" t="s">
        <v>46</v>
      </c>
      <c r="J29" t="s">
        <v>17</v>
      </c>
      <c r="K29">
        <v>100</v>
      </c>
      <c r="L29">
        <v>50</v>
      </c>
      <c r="M29" t="s">
        <v>67</v>
      </c>
      <c r="N29" t="s">
        <v>68</v>
      </c>
      <c r="O29" t="s">
        <v>521</v>
      </c>
    </row>
    <row r="30" spans="1:17" x14ac:dyDescent="0.3">
      <c r="A30">
        <v>1064801</v>
      </c>
      <c r="B30" t="s">
        <v>59</v>
      </c>
      <c r="C30" t="s">
        <v>63</v>
      </c>
      <c r="D30" t="s">
        <v>64</v>
      </c>
      <c r="E30" t="s">
        <v>65</v>
      </c>
      <c r="G30" t="s">
        <v>69</v>
      </c>
      <c r="H30" t="s">
        <v>46</v>
      </c>
      <c r="I30" t="s">
        <v>46</v>
      </c>
      <c r="J30" t="s">
        <v>17</v>
      </c>
      <c r="K30">
        <v>100</v>
      </c>
      <c r="L30">
        <v>50</v>
      </c>
      <c r="M30" t="s">
        <v>67</v>
      </c>
      <c r="N30" t="s">
        <v>68</v>
      </c>
      <c r="O30" t="s">
        <v>521</v>
      </c>
    </row>
    <row r="31" spans="1:17" x14ac:dyDescent="0.3">
      <c r="A31">
        <v>1064801</v>
      </c>
      <c r="B31" t="s">
        <v>59</v>
      </c>
      <c r="C31" t="s">
        <v>63</v>
      </c>
      <c r="D31" t="s">
        <v>64</v>
      </c>
      <c r="E31" t="s">
        <v>65</v>
      </c>
      <c r="G31" t="s">
        <v>70</v>
      </c>
      <c r="H31" t="s">
        <v>46</v>
      </c>
      <c r="I31" t="s">
        <v>46</v>
      </c>
      <c r="J31" t="s">
        <v>17</v>
      </c>
      <c r="K31">
        <v>100</v>
      </c>
      <c r="L31">
        <v>50</v>
      </c>
      <c r="M31" t="s">
        <v>67</v>
      </c>
      <c r="N31" t="s">
        <v>68</v>
      </c>
      <c r="O31" t="s">
        <v>521</v>
      </c>
    </row>
    <row r="32" spans="1:17" x14ac:dyDescent="0.3">
      <c r="A32">
        <v>1064801</v>
      </c>
      <c r="B32" t="s">
        <v>59</v>
      </c>
      <c r="C32" t="s">
        <v>63</v>
      </c>
      <c r="D32" t="s">
        <v>64</v>
      </c>
      <c r="E32" t="s">
        <v>65</v>
      </c>
      <c r="G32" t="s">
        <v>71</v>
      </c>
      <c r="H32" t="s">
        <v>46</v>
      </c>
      <c r="I32" t="s">
        <v>46</v>
      </c>
      <c r="J32" t="s">
        <v>17</v>
      </c>
      <c r="K32">
        <v>100</v>
      </c>
      <c r="L32">
        <v>50</v>
      </c>
      <c r="M32" t="s">
        <v>67</v>
      </c>
      <c r="N32" t="s">
        <v>68</v>
      </c>
      <c r="O32" t="s">
        <v>521</v>
      </c>
    </row>
    <row r="33" spans="1:15" x14ac:dyDescent="0.3">
      <c r="A33">
        <v>1064801</v>
      </c>
      <c r="B33" t="s">
        <v>59</v>
      </c>
      <c r="C33" t="s">
        <v>63</v>
      </c>
      <c r="D33" t="s">
        <v>64</v>
      </c>
      <c r="E33" t="s">
        <v>65</v>
      </c>
      <c r="G33" t="s">
        <v>72</v>
      </c>
      <c r="H33" t="s">
        <v>46</v>
      </c>
      <c r="I33" t="s">
        <v>46</v>
      </c>
      <c r="J33" t="s">
        <v>17</v>
      </c>
      <c r="K33">
        <v>100</v>
      </c>
      <c r="L33">
        <v>50</v>
      </c>
      <c r="M33" t="s">
        <v>67</v>
      </c>
      <c r="N33" t="s">
        <v>68</v>
      </c>
      <c r="O33" t="s">
        <v>521</v>
      </c>
    </row>
    <row r="34" spans="1:15" x14ac:dyDescent="0.3">
      <c r="A34">
        <v>1064801</v>
      </c>
      <c r="B34" t="s">
        <v>59</v>
      </c>
      <c r="C34" t="s">
        <v>63</v>
      </c>
      <c r="D34" t="s">
        <v>64</v>
      </c>
      <c r="E34" t="s">
        <v>65</v>
      </c>
      <c r="G34" t="s">
        <v>73</v>
      </c>
      <c r="H34" t="s">
        <v>46</v>
      </c>
      <c r="I34" t="s">
        <v>46</v>
      </c>
      <c r="J34" t="s">
        <v>17</v>
      </c>
      <c r="K34">
        <v>100</v>
      </c>
      <c r="L34">
        <v>50</v>
      </c>
      <c r="M34" t="s">
        <v>67</v>
      </c>
      <c r="N34" t="s">
        <v>68</v>
      </c>
      <c r="O34" t="s">
        <v>521</v>
      </c>
    </row>
    <row r="35" spans="1:15" x14ac:dyDescent="0.3">
      <c r="A35">
        <v>1064801</v>
      </c>
      <c r="B35" t="s">
        <v>59</v>
      </c>
      <c r="C35" t="s">
        <v>63</v>
      </c>
      <c r="D35" t="s">
        <v>64</v>
      </c>
      <c r="E35" t="s">
        <v>65</v>
      </c>
      <c r="G35" t="s">
        <v>74</v>
      </c>
      <c r="H35" t="s">
        <v>46</v>
      </c>
      <c r="I35" t="s">
        <v>46</v>
      </c>
      <c r="J35" t="s">
        <v>17</v>
      </c>
      <c r="K35">
        <v>100</v>
      </c>
      <c r="L35">
        <v>50</v>
      </c>
      <c r="M35" t="s">
        <v>67</v>
      </c>
      <c r="N35" t="s">
        <v>68</v>
      </c>
      <c r="O35" t="s">
        <v>521</v>
      </c>
    </row>
    <row r="36" spans="1:15" x14ac:dyDescent="0.3">
      <c r="A36">
        <v>1064801</v>
      </c>
      <c r="B36" t="s">
        <v>59</v>
      </c>
      <c r="C36" t="s">
        <v>63</v>
      </c>
      <c r="D36" t="s">
        <v>64</v>
      </c>
      <c r="E36" t="s">
        <v>65</v>
      </c>
      <c r="G36" t="s">
        <v>75</v>
      </c>
      <c r="H36" t="s">
        <v>46</v>
      </c>
      <c r="I36" t="s">
        <v>46</v>
      </c>
      <c r="J36" t="s">
        <v>17</v>
      </c>
      <c r="K36">
        <v>100</v>
      </c>
      <c r="L36">
        <v>50</v>
      </c>
      <c r="M36" t="s">
        <v>67</v>
      </c>
      <c r="N36" t="s">
        <v>68</v>
      </c>
      <c r="O36" t="s">
        <v>521</v>
      </c>
    </row>
    <row r="37" spans="1:15" x14ac:dyDescent="0.3">
      <c r="A37">
        <v>1064801</v>
      </c>
      <c r="B37" t="s">
        <v>59</v>
      </c>
      <c r="C37" t="s">
        <v>63</v>
      </c>
      <c r="D37" t="s">
        <v>64</v>
      </c>
      <c r="E37" t="s">
        <v>65</v>
      </c>
      <c r="G37" t="s">
        <v>76</v>
      </c>
      <c r="H37" t="s">
        <v>46</v>
      </c>
      <c r="I37" t="s">
        <v>46</v>
      </c>
      <c r="J37" t="s">
        <v>17</v>
      </c>
      <c r="K37">
        <v>100</v>
      </c>
      <c r="L37">
        <v>50</v>
      </c>
      <c r="M37" t="s">
        <v>67</v>
      </c>
      <c r="N37" t="s">
        <v>68</v>
      </c>
      <c r="O37" t="s">
        <v>521</v>
      </c>
    </row>
    <row r="38" spans="1:15" x14ac:dyDescent="0.3">
      <c r="A38">
        <v>1067996</v>
      </c>
      <c r="B38" t="s">
        <v>77</v>
      </c>
      <c r="C38" t="s">
        <v>78</v>
      </c>
      <c r="H38" t="s">
        <v>16</v>
      </c>
      <c r="I38" t="s">
        <v>16</v>
      </c>
      <c r="J38" t="s">
        <v>17</v>
      </c>
      <c r="K38">
        <v>0</v>
      </c>
      <c r="L38">
        <v>0</v>
      </c>
      <c r="O38" t="s">
        <v>521</v>
      </c>
    </row>
    <row r="39" spans="1:15" x14ac:dyDescent="0.3">
      <c r="A39">
        <v>1067996</v>
      </c>
      <c r="B39" t="s">
        <v>77</v>
      </c>
      <c r="C39" t="s">
        <v>79</v>
      </c>
      <c r="D39" t="s">
        <v>79</v>
      </c>
      <c r="E39" t="s">
        <v>80</v>
      </c>
      <c r="H39" t="s">
        <v>22</v>
      </c>
      <c r="I39" t="s">
        <v>22</v>
      </c>
      <c r="J39" t="s">
        <v>17</v>
      </c>
      <c r="K39">
        <v>100</v>
      </c>
      <c r="L39">
        <v>114</v>
      </c>
      <c r="M39" t="s">
        <v>81</v>
      </c>
      <c r="N39" t="s">
        <v>82</v>
      </c>
      <c r="O39" t="s">
        <v>522</v>
      </c>
    </row>
    <row r="40" spans="1:15" x14ac:dyDescent="0.3">
      <c r="A40">
        <v>1067996</v>
      </c>
      <c r="B40" t="s">
        <v>77</v>
      </c>
      <c r="C40" t="s">
        <v>83</v>
      </c>
      <c r="H40" t="s">
        <v>16</v>
      </c>
      <c r="I40" t="s">
        <v>16</v>
      </c>
      <c r="J40" t="s">
        <v>17</v>
      </c>
      <c r="K40">
        <v>0</v>
      </c>
      <c r="L40">
        <v>0</v>
      </c>
      <c r="O40" t="s">
        <v>521</v>
      </c>
    </row>
    <row r="41" spans="1:15" x14ac:dyDescent="0.3">
      <c r="A41">
        <v>1067996</v>
      </c>
      <c r="B41" t="s">
        <v>77</v>
      </c>
      <c r="C41" t="s">
        <v>84</v>
      </c>
      <c r="H41" t="s">
        <v>16</v>
      </c>
      <c r="I41" t="s">
        <v>16</v>
      </c>
      <c r="J41" t="s">
        <v>17</v>
      </c>
      <c r="K41">
        <v>0</v>
      </c>
      <c r="L41">
        <v>0</v>
      </c>
      <c r="O41" t="s">
        <v>521</v>
      </c>
    </row>
    <row r="42" spans="1:15" x14ac:dyDescent="0.3">
      <c r="A42">
        <v>1067996</v>
      </c>
      <c r="B42" t="s">
        <v>77</v>
      </c>
      <c r="C42" t="s">
        <v>85</v>
      </c>
      <c r="H42" t="s">
        <v>16</v>
      </c>
      <c r="I42" t="s">
        <v>16</v>
      </c>
      <c r="J42" t="s">
        <v>17</v>
      </c>
      <c r="K42">
        <v>0</v>
      </c>
      <c r="L42">
        <v>0</v>
      </c>
      <c r="O42" t="s">
        <v>521</v>
      </c>
    </row>
    <row r="43" spans="1:15" x14ac:dyDescent="0.3">
      <c r="A43">
        <v>1078652</v>
      </c>
      <c r="B43" t="s">
        <v>86</v>
      </c>
      <c r="C43" t="s">
        <v>87</v>
      </c>
      <c r="H43" t="s">
        <v>16</v>
      </c>
      <c r="I43" t="s">
        <v>16</v>
      </c>
      <c r="J43" t="s">
        <v>17</v>
      </c>
      <c r="K43">
        <v>0</v>
      </c>
      <c r="L43">
        <v>0</v>
      </c>
      <c r="O43" t="s">
        <v>521</v>
      </c>
    </row>
    <row r="44" spans="1:15" x14ac:dyDescent="0.3">
      <c r="A44">
        <v>1078652</v>
      </c>
      <c r="B44" t="s">
        <v>86</v>
      </c>
      <c r="C44" t="s">
        <v>88</v>
      </c>
      <c r="D44" t="s">
        <v>89</v>
      </c>
      <c r="E44" t="s">
        <v>90</v>
      </c>
      <c r="G44" t="s">
        <v>91</v>
      </c>
      <c r="H44" t="s">
        <v>22</v>
      </c>
      <c r="I44" t="s">
        <v>22</v>
      </c>
      <c r="J44" t="s">
        <v>17</v>
      </c>
      <c r="K44">
        <v>88.9</v>
      </c>
      <c r="L44">
        <v>106.3</v>
      </c>
      <c r="O44" t="s">
        <v>521</v>
      </c>
    </row>
    <row r="45" spans="1:15" x14ac:dyDescent="0.3">
      <c r="A45">
        <v>1078652</v>
      </c>
      <c r="B45" t="s">
        <v>86</v>
      </c>
      <c r="C45" t="s">
        <v>88</v>
      </c>
      <c r="D45" t="s">
        <v>89</v>
      </c>
      <c r="E45" t="s">
        <v>90</v>
      </c>
      <c r="G45" t="s">
        <v>92</v>
      </c>
      <c r="H45" t="s">
        <v>22</v>
      </c>
      <c r="I45" t="s">
        <v>22</v>
      </c>
      <c r="J45" t="s">
        <v>17</v>
      </c>
      <c r="K45">
        <v>88.9</v>
      </c>
      <c r="L45">
        <v>106.3</v>
      </c>
      <c r="O45" t="s">
        <v>521</v>
      </c>
    </row>
    <row r="46" spans="1:15" x14ac:dyDescent="0.3">
      <c r="A46">
        <v>1078652</v>
      </c>
      <c r="B46" t="s">
        <v>86</v>
      </c>
      <c r="C46" t="s">
        <v>88</v>
      </c>
      <c r="D46" t="s">
        <v>89</v>
      </c>
      <c r="E46" t="s">
        <v>90</v>
      </c>
      <c r="G46" t="s">
        <v>93</v>
      </c>
      <c r="H46" t="s">
        <v>22</v>
      </c>
      <c r="I46" t="s">
        <v>22</v>
      </c>
      <c r="J46" t="s">
        <v>17</v>
      </c>
      <c r="K46">
        <v>88.9</v>
      </c>
      <c r="L46">
        <v>106.3</v>
      </c>
      <c r="O46" t="s">
        <v>521</v>
      </c>
    </row>
    <row r="47" spans="1:15" x14ac:dyDescent="0.3">
      <c r="A47">
        <v>1078652</v>
      </c>
      <c r="B47" t="s">
        <v>86</v>
      </c>
      <c r="C47" t="s">
        <v>88</v>
      </c>
      <c r="D47" t="s">
        <v>89</v>
      </c>
      <c r="E47" t="s">
        <v>90</v>
      </c>
      <c r="G47" t="s">
        <v>94</v>
      </c>
      <c r="H47" t="s">
        <v>22</v>
      </c>
      <c r="I47" t="s">
        <v>22</v>
      </c>
      <c r="J47" t="s">
        <v>17</v>
      </c>
      <c r="K47">
        <v>88.9</v>
      </c>
      <c r="L47">
        <v>106.3</v>
      </c>
      <c r="O47" t="s">
        <v>521</v>
      </c>
    </row>
    <row r="48" spans="1:15" x14ac:dyDescent="0.3">
      <c r="A48">
        <v>1078652</v>
      </c>
      <c r="B48" t="s">
        <v>86</v>
      </c>
      <c r="C48" t="s">
        <v>95</v>
      </c>
      <c r="H48" t="s">
        <v>16</v>
      </c>
      <c r="I48" t="s">
        <v>16</v>
      </c>
      <c r="J48" t="s">
        <v>17</v>
      </c>
      <c r="K48">
        <v>0</v>
      </c>
      <c r="L48">
        <v>0</v>
      </c>
      <c r="O48" t="s">
        <v>521</v>
      </c>
    </row>
    <row r="49" spans="1:15" x14ac:dyDescent="0.3">
      <c r="A49">
        <v>1078652</v>
      </c>
      <c r="B49" t="s">
        <v>86</v>
      </c>
      <c r="C49" t="s">
        <v>96</v>
      </c>
      <c r="H49" t="s">
        <v>16</v>
      </c>
      <c r="I49" t="s">
        <v>16</v>
      </c>
      <c r="J49" t="s">
        <v>17</v>
      </c>
      <c r="K49">
        <v>0</v>
      </c>
      <c r="L49">
        <v>0</v>
      </c>
      <c r="O49" t="s">
        <v>521</v>
      </c>
    </row>
    <row r="50" spans="1:15" x14ac:dyDescent="0.3">
      <c r="A50">
        <v>1078652</v>
      </c>
      <c r="B50" t="s">
        <v>86</v>
      </c>
      <c r="C50" t="s">
        <v>97</v>
      </c>
      <c r="H50" t="s">
        <v>16</v>
      </c>
      <c r="I50" t="s">
        <v>16</v>
      </c>
      <c r="J50" t="s">
        <v>17</v>
      </c>
      <c r="K50">
        <v>0</v>
      </c>
      <c r="L50">
        <v>0</v>
      </c>
      <c r="O50" t="s">
        <v>521</v>
      </c>
    </row>
    <row r="51" spans="1:15" x14ac:dyDescent="0.3">
      <c r="A51">
        <v>1078652</v>
      </c>
      <c r="B51" t="s">
        <v>86</v>
      </c>
      <c r="C51" t="s">
        <v>98</v>
      </c>
      <c r="D51" t="s">
        <v>99</v>
      </c>
      <c r="E51" t="s">
        <v>100</v>
      </c>
      <c r="G51" t="s">
        <v>101</v>
      </c>
      <c r="H51" t="s">
        <v>22</v>
      </c>
      <c r="I51" t="s">
        <v>22</v>
      </c>
      <c r="J51" t="s">
        <v>17</v>
      </c>
      <c r="K51">
        <v>97.6</v>
      </c>
      <c r="L51">
        <v>109.5</v>
      </c>
      <c r="O51" t="s">
        <v>521</v>
      </c>
    </row>
    <row r="52" spans="1:15" x14ac:dyDescent="0.3">
      <c r="A52">
        <v>1078652</v>
      </c>
      <c r="B52" t="s">
        <v>86</v>
      </c>
      <c r="C52" t="s">
        <v>98</v>
      </c>
      <c r="D52" t="s">
        <v>99</v>
      </c>
      <c r="E52" t="s">
        <v>100</v>
      </c>
      <c r="G52" t="s">
        <v>102</v>
      </c>
      <c r="H52" t="s">
        <v>22</v>
      </c>
      <c r="I52" t="s">
        <v>22</v>
      </c>
      <c r="J52" t="s">
        <v>17</v>
      </c>
      <c r="K52">
        <v>97.6</v>
      </c>
      <c r="L52">
        <v>109.5</v>
      </c>
      <c r="O52" t="s">
        <v>521</v>
      </c>
    </row>
    <row r="53" spans="1:15" x14ac:dyDescent="0.3">
      <c r="A53">
        <v>1078652</v>
      </c>
      <c r="B53" t="s">
        <v>86</v>
      </c>
      <c r="C53" t="s">
        <v>98</v>
      </c>
      <c r="D53" t="s">
        <v>99</v>
      </c>
      <c r="E53" t="s">
        <v>100</v>
      </c>
      <c r="G53" t="s">
        <v>103</v>
      </c>
      <c r="H53" t="s">
        <v>22</v>
      </c>
      <c r="I53" t="s">
        <v>22</v>
      </c>
      <c r="J53" t="s">
        <v>17</v>
      </c>
      <c r="K53">
        <v>97.6</v>
      </c>
      <c r="L53">
        <v>109.5</v>
      </c>
      <c r="O53" t="s">
        <v>521</v>
      </c>
    </row>
    <row r="54" spans="1:15" x14ac:dyDescent="0.3">
      <c r="A54">
        <v>1078652</v>
      </c>
      <c r="B54" t="s">
        <v>86</v>
      </c>
      <c r="C54" t="s">
        <v>98</v>
      </c>
      <c r="D54" t="s">
        <v>99</v>
      </c>
      <c r="E54" t="s">
        <v>100</v>
      </c>
      <c r="G54" t="s">
        <v>104</v>
      </c>
      <c r="H54" t="s">
        <v>22</v>
      </c>
      <c r="I54" t="s">
        <v>22</v>
      </c>
      <c r="J54" t="s">
        <v>17</v>
      </c>
      <c r="K54">
        <v>97.6</v>
      </c>
      <c r="L54">
        <v>109.5</v>
      </c>
      <c r="O54" t="s">
        <v>521</v>
      </c>
    </row>
    <row r="55" spans="1:15" x14ac:dyDescent="0.3">
      <c r="A55">
        <v>1078652</v>
      </c>
      <c r="B55" t="s">
        <v>86</v>
      </c>
      <c r="C55" t="s">
        <v>98</v>
      </c>
      <c r="D55" t="s">
        <v>99</v>
      </c>
      <c r="E55" t="s">
        <v>100</v>
      </c>
      <c r="G55" t="s">
        <v>105</v>
      </c>
      <c r="H55" t="s">
        <v>22</v>
      </c>
      <c r="I55" t="s">
        <v>22</v>
      </c>
      <c r="J55" t="s">
        <v>17</v>
      </c>
      <c r="K55">
        <v>97.6</v>
      </c>
      <c r="L55">
        <v>109.5</v>
      </c>
      <c r="O55" t="s">
        <v>521</v>
      </c>
    </row>
    <row r="56" spans="1:15" x14ac:dyDescent="0.3">
      <c r="A56">
        <v>1078652</v>
      </c>
      <c r="B56" t="s">
        <v>86</v>
      </c>
      <c r="C56" t="s">
        <v>98</v>
      </c>
      <c r="D56" t="s">
        <v>99</v>
      </c>
      <c r="E56" t="s">
        <v>100</v>
      </c>
      <c r="G56" t="s">
        <v>106</v>
      </c>
      <c r="H56" t="s">
        <v>22</v>
      </c>
      <c r="I56" t="s">
        <v>22</v>
      </c>
      <c r="J56" t="s">
        <v>17</v>
      </c>
      <c r="K56">
        <v>97.6</v>
      </c>
      <c r="L56">
        <v>109.5</v>
      </c>
      <c r="O56" t="s">
        <v>521</v>
      </c>
    </row>
    <row r="57" spans="1:15" x14ac:dyDescent="0.3">
      <c r="A57">
        <v>1078652</v>
      </c>
      <c r="B57" t="s">
        <v>86</v>
      </c>
      <c r="C57" t="s">
        <v>98</v>
      </c>
      <c r="D57" t="s">
        <v>99</v>
      </c>
      <c r="E57" t="s">
        <v>100</v>
      </c>
      <c r="G57" t="s">
        <v>107</v>
      </c>
      <c r="H57" t="s">
        <v>22</v>
      </c>
      <c r="I57" t="s">
        <v>22</v>
      </c>
      <c r="J57" t="s">
        <v>17</v>
      </c>
      <c r="K57">
        <v>97.6</v>
      </c>
      <c r="L57">
        <v>109.5</v>
      </c>
      <c r="O57" t="s">
        <v>521</v>
      </c>
    </row>
    <row r="58" spans="1:15" x14ac:dyDescent="0.3">
      <c r="A58">
        <v>1078652</v>
      </c>
      <c r="B58" t="s">
        <v>86</v>
      </c>
      <c r="C58" t="s">
        <v>98</v>
      </c>
      <c r="D58" t="s">
        <v>99</v>
      </c>
      <c r="E58" t="s">
        <v>100</v>
      </c>
      <c r="G58" t="s">
        <v>108</v>
      </c>
      <c r="H58" t="s">
        <v>22</v>
      </c>
      <c r="I58" t="s">
        <v>22</v>
      </c>
      <c r="J58" t="s">
        <v>17</v>
      </c>
      <c r="K58">
        <v>97.6</v>
      </c>
      <c r="L58">
        <v>109.5</v>
      </c>
      <c r="O58" t="s">
        <v>521</v>
      </c>
    </row>
    <row r="59" spans="1:15" x14ac:dyDescent="0.3">
      <c r="A59">
        <v>1078652</v>
      </c>
      <c r="B59" t="s">
        <v>86</v>
      </c>
      <c r="C59" t="s">
        <v>98</v>
      </c>
      <c r="D59" t="s">
        <v>99</v>
      </c>
      <c r="E59" t="s">
        <v>100</v>
      </c>
      <c r="G59" t="s">
        <v>109</v>
      </c>
      <c r="H59" t="s">
        <v>22</v>
      </c>
      <c r="I59" t="s">
        <v>22</v>
      </c>
      <c r="J59" t="s">
        <v>17</v>
      </c>
      <c r="K59">
        <v>97.6</v>
      </c>
      <c r="L59">
        <v>109.5</v>
      </c>
      <c r="O59" t="s">
        <v>521</v>
      </c>
    </row>
    <row r="60" spans="1:15" x14ac:dyDescent="0.3">
      <c r="A60">
        <v>1078652</v>
      </c>
      <c r="B60" t="s">
        <v>86</v>
      </c>
      <c r="C60" t="s">
        <v>98</v>
      </c>
      <c r="D60" t="s">
        <v>99</v>
      </c>
      <c r="E60" t="s">
        <v>100</v>
      </c>
      <c r="G60" t="s">
        <v>110</v>
      </c>
      <c r="H60" t="s">
        <v>22</v>
      </c>
      <c r="I60" t="s">
        <v>22</v>
      </c>
      <c r="J60" t="s">
        <v>17</v>
      </c>
      <c r="K60">
        <v>97.6</v>
      </c>
      <c r="L60">
        <v>109.5</v>
      </c>
      <c r="O60" t="s">
        <v>521</v>
      </c>
    </row>
    <row r="61" spans="1:15" x14ac:dyDescent="0.3">
      <c r="A61">
        <v>1078652</v>
      </c>
      <c r="B61" t="s">
        <v>86</v>
      </c>
      <c r="C61" t="s">
        <v>98</v>
      </c>
      <c r="D61" t="s">
        <v>99</v>
      </c>
      <c r="E61" t="s">
        <v>100</v>
      </c>
      <c r="G61" t="s">
        <v>111</v>
      </c>
      <c r="H61" t="s">
        <v>22</v>
      </c>
      <c r="I61" t="s">
        <v>22</v>
      </c>
      <c r="J61" t="s">
        <v>17</v>
      </c>
      <c r="K61">
        <v>97.6</v>
      </c>
      <c r="L61">
        <v>109.5</v>
      </c>
      <c r="O61" t="s">
        <v>521</v>
      </c>
    </row>
    <row r="62" spans="1:15" x14ac:dyDescent="0.3">
      <c r="A62">
        <v>1078652</v>
      </c>
      <c r="B62" t="s">
        <v>86</v>
      </c>
      <c r="C62" t="s">
        <v>98</v>
      </c>
      <c r="D62" t="s">
        <v>99</v>
      </c>
      <c r="E62" t="s">
        <v>100</v>
      </c>
      <c r="G62" t="s">
        <v>112</v>
      </c>
      <c r="H62" t="s">
        <v>22</v>
      </c>
      <c r="I62" t="s">
        <v>22</v>
      </c>
      <c r="J62" t="s">
        <v>17</v>
      </c>
      <c r="K62">
        <v>97.6</v>
      </c>
      <c r="L62">
        <v>109.5</v>
      </c>
      <c r="O62" t="s">
        <v>521</v>
      </c>
    </row>
    <row r="63" spans="1:15" x14ac:dyDescent="0.3">
      <c r="A63">
        <v>1078652</v>
      </c>
      <c r="B63" t="s">
        <v>86</v>
      </c>
      <c r="C63" t="s">
        <v>98</v>
      </c>
      <c r="D63" t="s">
        <v>99</v>
      </c>
      <c r="E63" t="s">
        <v>100</v>
      </c>
      <c r="G63" t="s">
        <v>113</v>
      </c>
      <c r="H63" t="s">
        <v>22</v>
      </c>
      <c r="I63" t="s">
        <v>22</v>
      </c>
      <c r="J63" t="s">
        <v>17</v>
      </c>
      <c r="K63">
        <v>97.6</v>
      </c>
      <c r="L63">
        <v>109.5</v>
      </c>
      <c r="O63" t="s">
        <v>521</v>
      </c>
    </row>
    <row r="64" spans="1:15" x14ac:dyDescent="0.3">
      <c r="A64">
        <v>1078652</v>
      </c>
      <c r="B64" t="s">
        <v>86</v>
      </c>
      <c r="C64" t="s">
        <v>98</v>
      </c>
      <c r="D64" t="s">
        <v>99</v>
      </c>
      <c r="E64" t="s">
        <v>100</v>
      </c>
      <c r="G64" t="s">
        <v>114</v>
      </c>
      <c r="H64" t="s">
        <v>22</v>
      </c>
      <c r="I64" t="s">
        <v>22</v>
      </c>
      <c r="J64" t="s">
        <v>17</v>
      </c>
      <c r="K64">
        <v>97.6</v>
      </c>
      <c r="L64">
        <v>109.5</v>
      </c>
      <c r="O64" t="s">
        <v>521</v>
      </c>
    </row>
    <row r="65" spans="1:16" x14ac:dyDescent="0.3">
      <c r="A65">
        <v>1078652</v>
      </c>
      <c r="B65" t="s">
        <v>86</v>
      </c>
      <c r="C65" t="s">
        <v>98</v>
      </c>
      <c r="D65" t="s">
        <v>99</v>
      </c>
      <c r="E65" t="s">
        <v>100</v>
      </c>
      <c r="G65" t="s">
        <v>115</v>
      </c>
      <c r="H65" t="s">
        <v>22</v>
      </c>
      <c r="I65" t="s">
        <v>22</v>
      </c>
      <c r="J65" t="s">
        <v>17</v>
      </c>
      <c r="K65">
        <v>97.6</v>
      </c>
      <c r="L65">
        <v>109.5</v>
      </c>
      <c r="O65" t="s">
        <v>521</v>
      </c>
    </row>
    <row r="66" spans="1:16" x14ac:dyDescent="0.3">
      <c r="A66">
        <v>1078652</v>
      </c>
      <c r="B66" t="s">
        <v>86</v>
      </c>
      <c r="C66" t="s">
        <v>98</v>
      </c>
      <c r="D66" t="s">
        <v>99</v>
      </c>
      <c r="E66" t="s">
        <v>100</v>
      </c>
      <c r="G66" t="s">
        <v>116</v>
      </c>
      <c r="H66" t="s">
        <v>22</v>
      </c>
      <c r="I66" t="s">
        <v>22</v>
      </c>
      <c r="J66" t="s">
        <v>17</v>
      </c>
      <c r="K66">
        <v>97.6</v>
      </c>
      <c r="L66">
        <v>109.5</v>
      </c>
      <c r="O66" t="s">
        <v>521</v>
      </c>
    </row>
    <row r="67" spans="1:16" x14ac:dyDescent="0.3">
      <c r="A67">
        <v>1078652</v>
      </c>
      <c r="B67" t="s">
        <v>86</v>
      </c>
      <c r="C67" t="s">
        <v>98</v>
      </c>
      <c r="D67" t="s">
        <v>99</v>
      </c>
      <c r="E67" t="s">
        <v>100</v>
      </c>
      <c r="G67" t="s">
        <v>117</v>
      </c>
      <c r="H67" t="s">
        <v>22</v>
      </c>
      <c r="I67" t="s">
        <v>22</v>
      </c>
      <c r="J67" t="s">
        <v>17</v>
      </c>
      <c r="K67">
        <v>97.6</v>
      </c>
      <c r="L67">
        <v>109.5</v>
      </c>
      <c r="O67" t="s">
        <v>521</v>
      </c>
    </row>
    <row r="68" spans="1:16" x14ac:dyDescent="0.3">
      <c r="A68">
        <v>1078652</v>
      </c>
      <c r="B68" t="s">
        <v>86</v>
      </c>
      <c r="C68" t="s">
        <v>98</v>
      </c>
      <c r="D68" t="s">
        <v>99</v>
      </c>
      <c r="E68" t="s">
        <v>100</v>
      </c>
      <c r="G68" t="s">
        <v>118</v>
      </c>
      <c r="H68" t="s">
        <v>22</v>
      </c>
      <c r="I68" t="s">
        <v>22</v>
      </c>
      <c r="J68" t="s">
        <v>17</v>
      </c>
      <c r="K68">
        <v>97.6</v>
      </c>
      <c r="L68">
        <v>109.5</v>
      </c>
      <c r="O68" t="s">
        <v>521</v>
      </c>
    </row>
    <row r="69" spans="1:16" x14ac:dyDescent="0.3">
      <c r="A69">
        <v>1078652</v>
      </c>
      <c r="B69" t="s">
        <v>86</v>
      </c>
      <c r="C69" t="s">
        <v>98</v>
      </c>
      <c r="D69" t="s">
        <v>99</v>
      </c>
      <c r="E69" t="s">
        <v>100</v>
      </c>
      <c r="G69" t="s">
        <v>119</v>
      </c>
      <c r="H69" t="s">
        <v>22</v>
      </c>
      <c r="I69" t="s">
        <v>22</v>
      </c>
      <c r="J69" t="s">
        <v>17</v>
      </c>
      <c r="K69">
        <v>97.6</v>
      </c>
      <c r="L69">
        <v>109.5</v>
      </c>
      <c r="O69" t="s">
        <v>521</v>
      </c>
    </row>
    <row r="70" spans="1:16" x14ac:dyDescent="0.3">
      <c r="A70">
        <v>1078652</v>
      </c>
      <c r="B70" t="s">
        <v>86</v>
      </c>
      <c r="C70" t="s">
        <v>98</v>
      </c>
      <c r="D70" t="s">
        <v>99</v>
      </c>
      <c r="E70" t="s">
        <v>100</v>
      </c>
      <c r="G70" t="s">
        <v>120</v>
      </c>
      <c r="H70" t="s">
        <v>22</v>
      </c>
      <c r="I70" t="s">
        <v>22</v>
      </c>
      <c r="J70" t="s">
        <v>17</v>
      </c>
      <c r="K70">
        <v>97.6</v>
      </c>
      <c r="L70">
        <v>109.5</v>
      </c>
      <c r="O70" t="s">
        <v>521</v>
      </c>
    </row>
    <row r="71" spans="1:16" x14ac:dyDescent="0.3">
      <c r="A71">
        <v>1078652</v>
      </c>
      <c r="B71" t="s">
        <v>86</v>
      </c>
      <c r="C71" t="s">
        <v>98</v>
      </c>
      <c r="D71" t="s">
        <v>99</v>
      </c>
      <c r="E71" t="s">
        <v>100</v>
      </c>
      <c r="G71" t="s">
        <v>121</v>
      </c>
      <c r="H71" t="s">
        <v>22</v>
      </c>
      <c r="I71" t="s">
        <v>22</v>
      </c>
      <c r="J71" t="s">
        <v>17</v>
      </c>
      <c r="K71">
        <v>97.6</v>
      </c>
      <c r="L71">
        <v>109.5</v>
      </c>
      <c r="O71" t="s">
        <v>521</v>
      </c>
    </row>
    <row r="72" spans="1:16" x14ac:dyDescent="0.3">
      <c r="A72">
        <v>1078652</v>
      </c>
      <c r="B72" t="s">
        <v>86</v>
      </c>
      <c r="C72" t="s">
        <v>98</v>
      </c>
      <c r="D72" t="s">
        <v>99</v>
      </c>
      <c r="E72" t="s">
        <v>100</v>
      </c>
      <c r="G72" t="s">
        <v>122</v>
      </c>
      <c r="H72" t="s">
        <v>22</v>
      </c>
      <c r="I72" t="s">
        <v>22</v>
      </c>
      <c r="J72" t="s">
        <v>17</v>
      </c>
      <c r="K72">
        <v>97.6</v>
      </c>
      <c r="L72">
        <v>109.5</v>
      </c>
      <c r="O72" t="s">
        <v>521</v>
      </c>
    </row>
    <row r="73" spans="1:16" x14ac:dyDescent="0.3">
      <c r="A73">
        <v>1078652</v>
      </c>
      <c r="B73" t="s">
        <v>86</v>
      </c>
      <c r="C73" t="s">
        <v>98</v>
      </c>
      <c r="D73" t="s">
        <v>99</v>
      </c>
      <c r="E73" t="s">
        <v>100</v>
      </c>
      <c r="G73" t="s">
        <v>123</v>
      </c>
      <c r="H73" t="s">
        <v>22</v>
      </c>
      <c r="I73" t="s">
        <v>22</v>
      </c>
      <c r="J73" t="s">
        <v>17</v>
      </c>
      <c r="K73">
        <v>97.6</v>
      </c>
      <c r="L73">
        <v>109.5</v>
      </c>
      <c r="O73" t="s">
        <v>521</v>
      </c>
    </row>
    <row r="74" spans="1:16" x14ac:dyDescent="0.3">
      <c r="A74">
        <v>1078652</v>
      </c>
      <c r="B74" t="s">
        <v>86</v>
      </c>
      <c r="C74" t="s">
        <v>98</v>
      </c>
      <c r="D74" t="s">
        <v>99</v>
      </c>
      <c r="E74" t="s">
        <v>100</v>
      </c>
      <c r="G74" t="s">
        <v>124</v>
      </c>
      <c r="H74" t="s">
        <v>22</v>
      </c>
      <c r="I74" t="s">
        <v>22</v>
      </c>
      <c r="J74" t="s">
        <v>17</v>
      </c>
      <c r="K74">
        <v>97.6</v>
      </c>
      <c r="L74">
        <v>109.5</v>
      </c>
      <c r="O74" t="s">
        <v>521</v>
      </c>
    </row>
    <row r="75" spans="1:16" x14ac:dyDescent="0.3">
      <c r="A75">
        <v>1078652</v>
      </c>
      <c r="B75" t="s">
        <v>86</v>
      </c>
      <c r="C75" t="s">
        <v>98</v>
      </c>
      <c r="D75" t="s">
        <v>99</v>
      </c>
      <c r="E75" t="s">
        <v>100</v>
      </c>
      <c r="G75" t="s">
        <v>125</v>
      </c>
      <c r="H75" t="s">
        <v>22</v>
      </c>
      <c r="I75" t="s">
        <v>22</v>
      </c>
      <c r="J75" t="s">
        <v>17</v>
      </c>
      <c r="K75">
        <v>97.6</v>
      </c>
      <c r="L75">
        <v>109.5</v>
      </c>
      <c r="O75" t="s">
        <v>521</v>
      </c>
    </row>
    <row r="76" spans="1:16" x14ac:dyDescent="0.3">
      <c r="A76">
        <v>1078652</v>
      </c>
      <c r="B76" t="s">
        <v>86</v>
      </c>
      <c r="C76" t="s">
        <v>98</v>
      </c>
      <c r="D76" t="s">
        <v>99</v>
      </c>
      <c r="E76" t="s">
        <v>100</v>
      </c>
      <c r="G76" t="s">
        <v>126</v>
      </c>
      <c r="H76" t="s">
        <v>22</v>
      </c>
      <c r="I76" t="s">
        <v>22</v>
      </c>
      <c r="J76" t="s">
        <v>17</v>
      </c>
      <c r="K76">
        <v>97.6</v>
      </c>
      <c r="L76">
        <v>109.5</v>
      </c>
      <c r="O76" t="s">
        <v>521</v>
      </c>
    </row>
    <row r="77" spans="1:16" x14ac:dyDescent="0.3">
      <c r="A77">
        <v>1078652</v>
      </c>
      <c r="B77" t="s">
        <v>86</v>
      </c>
      <c r="C77" t="s">
        <v>98</v>
      </c>
      <c r="D77" t="s">
        <v>99</v>
      </c>
      <c r="E77" t="s">
        <v>100</v>
      </c>
      <c r="G77" t="s">
        <v>127</v>
      </c>
      <c r="H77" t="s">
        <v>22</v>
      </c>
      <c r="I77" t="s">
        <v>22</v>
      </c>
      <c r="J77" t="s">
        <v>17</v>
      </c>
      <c r="K77">
        <v>97.6</v>
      </c>
      <c r="L77">
        <v>109.5</v>
      </c>
      <c r="O77" t="s">
        <v>521</v>
      </c>
    </row>
    <row r="78" spans="1:16" x14ac:dyDescent="0.3">
      <c r="A78">
        <v>1078652</v>
      </c>
      <c r="B78" t="s">
        <v>86</v>
      </c>
      <c r="C78" t="s">
        <v>98</v>
      </c>
      <c r="D78" t="s">
        <v>99</v>
      </c>
      <c r="E78" t="s">
        <v>100</v>
      </c>
      <c r="G78" t="s">
        <v>128</v>
      </c>
      <c r="H78" t="s">
        <v>22</v>
      </c>
      <c r="I78" t="s">
        <v>22</v>
      </c>
      <c r="J78" t="s">
        <v>17</v>
      </c>
      <c r="K78">
        <v>97.6</v>
      </c>
      <c r="L78">
        <v>109.5</v>
      </c>
      <c r="O78" t="s">
        <v>521</v>
      </c>
    </row>
    <row r="79" spans="1:16" x14ac:dyDescent="0.3">
      <c r="A79">
        <v>1078652</v>
      </c>
      <c r="B79" t="s">
        <v>86</v>
      </c>
      <c r="C79" t="s">
        <v>98</v>
      </c>
      <c r="D79" t="s">
        <v>99</v>
      </c>
      <c r="E79" t="s">
        <v>100</v>
      </c>
      <c r="G79" t="s">
        <v>129</v>
      </c>
      <c r="H79" t="s">
        <v>22</v>
      </c>
      <c r="I79" t="s">
        <v>22</v>
      </c>
      <c r="J79" t="s">
        <v>17</v>
      </c>
      <c r="K79">
        <v>97.6</v>
      </c>
      <c r="L79">
        <v>109.5</v>
      </c>
      <c r="O79" t="s">
        <v>521</v>
      </c>
    </row>
    <row r="80" spans="1:16" x14ac:dyDescent="0.3">
      <c r="A80">
        <v>1078652</v>
      </c>
      <c r="B80" t="s">
        <v>86</v>
      </c>
      <c r="C80" t="s">
        <v>130</v>
      </c>
      <c r="D80" t="s">
        <v>131</v>
      </c>
      <c r="E80" t="s">
        <v>132</v>
      </c>
      <c r="H80" t="s">
        <v>22</v>
      </c>
      <c r="I80" t="s">
        <v>22</v>
      </c>
      <c r="J80" t="s">
        <v>17</v>
      </c>
      <c r="K80">
        <v>83</v>
      </c>
      <c r="L80">
        <v>52.8</v>
      </c>
      <c r="M80" t="s">
        <v>133</v>
      </c>
      <c r="N80" t="s">
        <v>134</v>
      </c>
      <c r="O80" t="s">
        <v>522</v>
      </c>
      <c r="P80" t="s">
        <v>529</v>
      </c>
    </row>
    <row r="81" spans="1:15" x14ac:dyDescent="0.3">
      <c r="A81">
        <v>1078896</v>
      </c>
      <c r="B81" t="s">
        <v>135</v>
      </c>
      <c r="C81" t="s">
        <v>136</v>
      </c>
      <c r="H81" t="s">
        <v>16</v>
      </c>
      <c r="I81" t="s">
        <v>16</v>
      </c>
      <c r="J81" t="s">
        <v>17</v>
      </c>
      <c r="K81">
        <v>0</v>
      </c>
      <c r="L81">
        <v>0</v>
      </c>
      <c r="O81" t="s">
        <v>521</v>
      </c>
    </row>
    <row r="82" spans="1:15" x14ac:dyDescent="0.3">
      <c r="A82">
        <v>1078896</v>
      </c>
      <c r="B82" t="s">
        <v>135</v>
      </c>
      <c r="C82" t="s">
        <v>137</v>
      </c>
      <c r="D82" t="s">
        <v>138</v>
      </c>
      <c r="E82" t="s">
        <v>139</v>
      </c>
      <c r="H82" t="s">
        <v>22</v>
      </c>
      <c r="I82" t="s">
        <v>22</v>
      </c>
      <c r="J82" t="s">
        <v>17</v>
      </c>
      <c r="K82">
        <v>88.9</v>
      </c>
      <c r="L82">
        <v>110.3</v>
      </c>
      <c r="M82" t="s">
        <v>140</v>
      </c>
      <c r="N82" t="s">
        <v>141</v>
      </c>
      <c r="O82" t="s">
        <v>521</v>
      </c>
    </row>
    <row r="83" spans="1:15" x14ac:dyDescent="0.3">
      <c r="A83">
        <v>1078896</v>
      </c>
      <c r="B83" t="s">
        <v>135</v>
      </c>
      <c r="C83" t="s">
        <v>142</v>
      </c>
      <c r="H83" t="s">
        <v>16</v>
      </c>
      <c r="I83" t="s">
        <v>16</v>
      </c>
      <c r="J83" t="s">
        <v>17</v>
      </c>
      <c r="K83">
        <v>0</v>
      </c>
      <c r="L83">
        <v>0</v>
      </c>
      <c r="O83" t="s">
        <v>521</v>
      </c>
    </row>
    <row r="84" spans="1:15" x14ac:dyDescent="0.3">
      <c r="A84">
        <v>1083001</v>
      </c>
      <c r="B84" t="s">
        <v>143</v>
      </c>
      <c r="C84" t="s">
        <v>144</v>
      </c>
      <c r="H84" t="s">
        <v>16</v>
      </c>
      <c r="I84" t="s">
        <v>16</v>
      </c>
      <c r="J84" t="s">
        <v>17</v>
      </c>
      <c r="K84">
        <v>0</v>
      </c>
      <c r="L84">
        <v>0</v>
      </c>
      <c r="O84" t="s">
        <v>521</v>
      </c>
    </row>
    <row r="85" spans="1:15" x14ac:dyDescent="0.3">
      <c r="A85">
        <v>1083001</v>
      </c>
      <c r="B85" t="s">
        <v>143</v>
      </c>
      <c r="C85" t="s">
        <v>145</v>
      </c>
      <c r="H85" t="s">
        <v>16</v>
      </c>
      <c r="I85" t="s">
        <v>16</v>
      </c>
      <c r="J85" t="s">
        <v>17</v>
      </c>
      <c r="K85">
        <v>0</v>
      </c>
      <c r="L85">
        <v>0</v>
      </c>
      <c r="O85" t="s">
        <v>521</v>
      </c>
    </row>
    <row r="86" spans="1:15" x14ac:dyDescent="0.3">
      <c r="A86">
        <v>1083001</v>
      </c>
      <c r="B86" t="s">
        <v>143</v>
      </c>
      <c r="C86" t="s">
        <v>146</v>
      </c>
      <c r="D86" t="s">
        <v>147</v>
      </c>
      <c r="E86" t="s">
        <v>148</v>
      </c>
      <c r="G86" t="s">
        <v>149</v>
      </c>
      <c r="H86" t="s">
        <v>22</v>
      </c>
      <c r="I86" t="s">
        <v>22</v>
      </c>
      <c r="J86" t="s">
        <v>17</v>
      </c>
      <c r="K86">
        <v>87.5</v>
      </c>
      <c r="L86">
        <v>106.5</v>
      </c>
      <c r="M86" t="s">
        <v>150</v>
      </c>
      <c r="N86" t="s">
        <v>151</v>
      </c>
      <c r="O86" t="s">
        <v>521</v>
      </c>
    </row>
    <row r="87" spans="1:15" x14ac:dyDescent="0.3">
      <c r="A87">
        <v>1083001</v>
      </c>
      <c r="B87" t="s">
        <v>143</v>
      </c>
      <c r="C87" t="s">
        <v>146</v>
      </c>
      <c r="D87" t="s">
        <v>147</v>
      </c>
      <c r="E87" t="s">
        <v>148</v>
      </c>
      <c r="G87" t="s">
        <v>152</v>
      </c>
      <c r="H87" t="s">
        <v>22</v>
      </c>
      <c r="I87" t="s">
        <v>22</v>
      </c>
      <c r="J87" t="s">
        <v>17</v>
      </c>
      <c r="K87">
        <v>87.5</v>
      </c>
      <c r="L87">
        <v>106.5</v>
      </c>
      <c r="M87" t="s">
        <v>150</v>
      </c>
      <c r="N87" t="s">
        <v>151</v>
      </c>
      <c r="O87" t="s">
        <v>521</v>
      </c>
    </row>
    <row r="88" spans="1:15" x14ac:dyDescent="0.3">
      <c r="A88">
        <v>1083001</v>
      </c>
      <c r="B88" t="s">
        <v>143</v>
      </c>
      <c r="C88" t="s">
        <v>146</v>
      </c>
      <c r="D88" t="s">
        <v>147</v>
      </c>
      <c r="E88" t="s">
        <v>148</v>
      </c>
      <c r="G88" t="s">
        <v>153</v>
      </c>
      <c r="H88" t="s">
        <v>22</v>
      </c>
      <c r="I88" t="s">
        <v>22</v>
      </c>
      <c r="J88" t="s">
        <v>17</v>
      </c>
      <c r="K88">
        <v>87.5</v>
      </c>
      <c r="L88">
        <v>106.5</v>
      </c>
      <c r="M88" t="s">
        <v>150</v>
      </c>
      <c r="N88" t="s">
        <v>151</v>
      </c>
      <c r="O88" t="s">
        <v>521</v>
      </c>
    </row>
    <row r="89" spans="1:15" x14ac:dyDescent="0.3">
      <c r="A89">
        <v>1083001</v>
      </c>
      <c r="B89" t="s">
        <v>143</v>
      </c>
      <c r="C89" t="s">
        <v>146</v>
      </c>
      <c r="D89" t="s">
        <v>147</v>
      </c>
      <c r="E89" t="s">
        <v>148</v>
      </c>
      <c r="G89" t="s">
        <v>154</v>
      </c>
      <c r="H89" t="s">
        <v>22</v>
      </c>
      <c r="I89" t="s">
        <v>22</v>
      </c>
      <c r="J89" t="s">
        <v>17</v>
      </c>
      <c r="K89">
        <v>87.5</v>
      </c>
      <c r="L89">
        <v>106.5</v>
      </c>
      <c r="M89" t="s">
        <v>150</v>
      </c>
      <c r="N89" t="s">
        <v>151</v>
      </c>
      <c r="O89" t="s">
        <v>521</v>
      </c>
    </row>
    <row r="90" spans="1:15" x14ac:dyDescent="0.3">
      <c r="A90">
        <v>1083001</v>
      </c>
      <c r="B90" t="s">
        <v>143</v>
      </c>
      <c r="C90" t="s">
        <v>146</v>
      </c>
      <c r="D90" t="s">
        <v>147</v>
      </c>
      <c r="E90" t="s">
        <v>148</v>
      </c>
      <c r="G90" t="s">
        <v>155</v>
      </c>
      <c r="H90" t="s">
        <v>22</v>
      </c>
      <c r="I90" t="s">
        <v>22</v>
      </c>
      <c r="J90" t="s">
        <v>17</v>
      </c>
      <c r="K90">
        <v>87.5</v>
      </c>
      <c r="L90">
        <v>106.5</v>
      </c>
      <c r="M90" t="s">
        <v>150</v>
      </c>
      <c r="N90" t="s">
        <v>151</v>
      </c>
      <c r="O90" t="s">
        <v>521</v>
      </c>
    </row>
    <row r="91" spans="1:15" x14ac:dyDescent="0.3">
      <c r="A91">
        <v>1083001</v>
      </c>
      <c r="B91" t="s">
        <v>143</v>
      </c>
      <c r="C91" t="s">
        <v>146</v>
      </c>
      <c r="D91" t="s">
        <v>147</v>
      </c>
      <c r="E91" t="s">
        <v>148</v>
      </c>
      <c r="G91" t="s">
        <v>156</v>
      </c>
      <c r="H91" t="s">
        <v>22</v>
      </c>
      <c r="I91" t="s">
        <v>22</v>
      </c>
      <c r="J91" t="s">
        <v>17</v>
      </c>
      <c r="K91">
        <v>87.5</v>
      </c>
      <c r="L91">
        <v>106.5</v>
      </c>
      <c r="M91" t="s">
        <v>150</v>
      </c>
      <c r="N91" t="s">
        <v>151</v>
      </c>
      <c r="O91" t="s">
        <v>521</v>
      </c>
    </row>
    <row r="92" spans="1:15" x14ac:dyDescent="0.3">
      <c r="A92">
        <v>1083001</v>
      </c>
      <c r="B92" t="s">
        <v>143</v>
      </c>
      <c r="C92" t="s">
        <v>146</v>
      </c>
      <c r="D92" t="s">
        <v>147</v>
      </c>
      <c r="E92" t="s">
        <v>148</v>
      </c>
      <c r="G92" t="s">
        <v>157</v>
      </c>
      <c r="H92" t="s">
        <v>22</v>
      </c>
      <c r="I92" t="s">
        <v>22</v>
      </c>
      <c r="J92" t="s">
        <v>17</v>
      </c>
      <c r="K92">
        <v>87.5</v>
      </c>
      <c r="L92">
        <v>106.5</v>
      </c>
      <c r="M92" t="s">
        <v>150</v>
      </c>
      <c r="N92" t="s">
        <v>151</v>
      </c>
      <c r="O92" t="s">
        <v>521</v>
      </c>
    </row>
    <row r="93" spans="1:15" x14ac:dyDescent="0.3">
      <c r="A93">
        <v>1083001</v>
      </c>
      <c r="B93" t="s">
        <v>143</v>
      </c>
      <c r="C93" t="s">
        <v>146</v>
      </c>
      <c r="D93" t="s">
        <v>147</v>
      </c>
      <c r="E93" t="s">
        <v>148</v>
      </c>
      <c r="G93" t="s">
        <v>158</v>
      </c>
      <c r="H93" t="s">
        <v>22</v>
      </c>
      <c r="I93" t="s">
        <v>22</v>
      </c>
      <c r="J93" t="s">
        <v>17</v>
      </c>
      <c r="K93">
        <v>87.5</v>
      </c>
      <c r="L93">
        <v>106.5</v>
      </c>
      <c r="M93" t="s">
        <v>150</v>
      </c>
      <c r="N93" t="s">
        <v>151</v>
      </c>
      <c r="O93" t="s">
        <v>521</v>
      </c>
    </row>
    <row r="94" spans="1:15" x14ac:dyDescent="0.3">
      <c r="A94">
        <v>1083001</v>
      </c>
      <c r="B94" t="s">
        <v>143</v>
      </c>
      <c r="C94" t="s">
        <v>146</v>
      </c>
      <c r="D94" t="s">
        <v>147</v>
      </c>
      <c r="E94" t="s">
        <v>148</v>
      </c>
      <c r="G94" t="s">
        <v>159</v>
      </c>
      <c r="H94" t="s">
        <v>22</v>
      </c>
      <c r="I94" t="s">
        <v>22</v>
      </c>
      <c r="J94" t="s">
        <v>17</v>
      </c>
      <c r="K94">
        <v>87.5</v>
      </c>
      <c r="L94">
        <v>106.5</v>
      </c>
      <c r="M94" t="s">
        <v>150</v>
      </c>
      <c r="N94" t="s">
        <v>151</v>
      </c>
      <c r="O94" t="s">
        <v>521</v>
      </c>
    </row>
    <row r="95" spans="1:15" x14ac:dyDescent="0.3">
      <c r="A95">
        <v>1083001</v>
      </c>
      <c r="B95" t="s">
        <v>143</v>
      </c>
      <c r="C95" t="s">
        <v>146</v>
      </c>
      <c r="D95" t="s">
        <v>147</v>
      </c>
      <c r="E95" t="s">
        <v>148</v>
      </c>
      <c r="G95" t="s">
        <v>160</v>
      </c>
      <c r="H95" t="s">
        <v>22</v>
      </c>
      <c r="I95" t="s">
        <v>22</v>
      </c>
      <c r="J95" t="s">
        <v>17</v>
      </c>
      <c r="K95">
        <v>87.5</v>
      </c>
      <c r="L95">
        <v>106.5</v>
      </c>
      <c r="M95" t="s">
        <v>150</v>
      </c>
      <c r="N95" t="s">
        <v>151</v>
      </c>
      <c r="O95" t="s">
        <v>521</v>
      </c>
    </row>
    <row r="96" spans="1:15" x14ac:dyDescent="0.3">
      <c r="A96">
        <v>1083001</v>
      </c>
      <c r="B96" t="s">
        <v>143</v>
      </c>
      <c r="C96" t="s">
        <v>146</v>
      </c>
      <c r="D96" t="s">
        <v>147</v>
      </c>
      <c r="E96" t="s">
        <v>148</v>
      </c>
      <c r="G96" t="s">
        <v>161</v>
      </c>
      <c r="H96" t="s">
        <v>22</v>
      </c>
      <c r="I96" t="s">
        <v>22</v>
      </c>
      <c r="J96" t="s">
        <v>17</v>
      </c>
      <c r="K96">
        <v>87.5</v>
      </c>
      <c r="L96">
        <v>106.5</v>
      </c>
      <c r="M96" t="s">
        <v>150</v>
      </c>
      <c r="N96" t="s">
        <v>151</v>
      </c>
      <c r="O96" t="s">
        <v>521</v>
      </c>
    </row>
    <row r="97" spans="1:15" x14ac:dyDescent="0.3">
      <c r="A97">
        <v>1083001</v>
      </c>
      <c r="B97" t="s">
        <v>143</v>
      </c>
      <c r="C97" t="s">
        <v>146</v>
      </c>
      <c r="D97" t="s">
        <v>147</v>
      </c>
      <c r="E97" t="s">
        <v>148</v>
      </c>
      <c r="G97" t="s">
        <v>162</v>
      </c>
      <c r="H97" t="s">
        <v>22</v>
      </c>
      <c r="I97" t="s">
        <v>22</v>
      </c>
      <c r="J97" t="s">
        <v>17</v>
      </c>
      <c r="K97">
        <v>87.5</v>
      </c>
      <c r="L97">
        <v>106.5</v>
      </c>
      <c r="M97" t="s">
        <v>150</v>
      </c>
      <c r="N97" t="s">
        <v>151</v>
      </c>
      <c r="O97" t="s">
        <v>521</v>
      </c>
    </row>
    <row r="98" spans="1:15" x14ac:dyDescent="0.3">
      <c r="A98">
        <v>1083001</v>
      </c>
      <c r="B98" t="s">
        <v>143</v>
      </c>
      <c r="C98" t="s">
        <v>146</v>
      </c>
      <c r="D98" t="s">
        <v>147</v>
      </c>
      <c r="E98" t="s">
        <v>148</v>
      </c>
      <c r="G98" t="s">
        <v>163</v>
      </c>
      <c r="H98" t="s">
        <v>22</v>
      </c>
      <c r="I98" t="s">
        <v>22</v>
      </c>
      <c r="J98" t="s">
        <v>17</v>
      </c>
      <c r="K98">
        <v>87.5</v>
      </c>
      <c r="L98">
        <v>106.5</v>
      </c>
      <c r="M98" t="s">
        <v>150</v>
      </c>
      <c r="N98" t="s">
        <v>151</v>
      </c>
      <c r="O98" t="s">
        <v>521</v>
      </c>
    </row>
    <row r="99" spans="1:15" x14ac:dyDescent="0.3">
      <c r="A99">
        <v>1083001</v>
      </c>
      <c r="B99" t="s">
        <v>143</v>
      </c>
      <c r="C99" t="s">
        <v>146</v>
      </c>
      <c r="D99" t="s">
        <v>147</v>
      </c>
      <c r="E99" t="s">
        <v>148</v>
      </c>
      <c r="G99" t="s">
        <v>164</v>
      </c>
      <c r="H99" t="s">
        <v>22</v>
      </c>
      <c r="I99" t="s">
        <v>22</v>
      </c>
      <c r="J99" t="s">
        <v>17</v>
      </c>
      <c r="K99">
        <v>87.5</v>
      </c>
      <c r="L99">
        <v>106.5</v>
      </c>
      <c r="M99" t="s">
        <v>150</v>
      </c>
      <c r="N99" t="s">
        <v>151</v>
      </c>
      <c r="O99" t="s">
        <v>521</v>
      </c>
    </row>
    <row r="100" spans="1:15" x14ac:dyDescent="0.3">
      <c r="A100">
        <v>1083001</v>
      </c>
      <c r="B100" t="s">
        <v>143</v>
      </c>
      <c r="C100" t="s">
        <v>146</v>
      </c>
      <c r="D100" t="s">
        <v>147</v>
      </c>
      <c r="E100" t="s">
        <v>148</v>
      </c>
      <c r="G100" t="s">
        <v>165</v>
      </c>
      <c r="H100" t="s">
        <v>22</v>
      </c>
      <c r="I100" t="s">
        <v>22</v>
      </c>
      <c r="J100" t="s">
        <v>17</v>
      </c>
      <c r="K100">
        <v>87.5</v>
      </c>
      <c r="L100">
        <v>106.5</v>
      </c>
      <c r="M100" t="s">
        <v>150</v>
      </c>
      <c r="N100" t="s">
        <v>151</v>
      </c>
      <c r="O100" t="s">
        <v>521</v>
      </c>
    </row>
    <row r="101" spans="1:15" x14ac:dyDescent="0.3">
      <c r="A101">
        <v>1083001</v>
      </c>
      <c r="B101" t="s">
        <v>143</v>
      </c>
      <c r="C101" t="s">
        <v>146</v>
      </c>
      <c r="D101" t="s">
        <v>147</v>
      </c>
      <c r="E101" t="s">
        <v>148</v>
      </c>
      <c r="G101" t="s">
        <v>166</v>
      </c>
      <c r="H101" t="s">
        <v>22</v>
      </c>
      <c r="I101" t="s">
        <v>22</v>
      </c>
      <c r="J101" t="s">
        <v>17</v>
      </c>
      <c r="K101">
        <v>87.5</v>
      </c>
      <c r="L101">
        <v>106.5</v>
      </c>
      <c r="M101" t="s">
        <v>150</v>
      </c>
      <c r="N101" t="s">
        <v>151</v>
      </c>
      <c r="O101" t="s">
        <v>521</v>
      </c>
    </row>
    <row r="102" spans="1:15" x14ac:dyDescent="0.3">
      <c r="A102">
        <v>1083001</v>
      </c>
      <c r="B102" t="s">
        <v>143</v>
      </c>
      <c r="C102" t="s">
        <v>146</v>
      </c>
      <c r="D102" t="s">
        <v>147</v>
      </c>
      <c r="E102" t="s">
        <v>148</v>
      </c>
      <c r="G102" t="s">
        <v>167</v>
      </c>
      <c r="H102" t="s">
        <v>22</v>
      </c>
      <c r="I102" t="s">
        <v>22</v>
      </c>
      <c r="J102" t="s">
        <v>17</v>
      </c>
      <c r="K102">
        <v>87.5</v>
      </c>
      <c r="L102">
        <v>106.5</v>
      </c>
      <c r="M102" t="s">
        <v>150</v>
      </c>
      <c r="N102" t="s">
        <v>151</v>
      </c>
      <c r="O102" t="s">
        <v>521</v>
      </c>
    </row>
    <row r="103" spans="1:15" x14ac:dyDescent="0.3">
      <c r="A103">
        <v>1083001</v>
      </c>
      <c r="B103" t="s">
        <v>143</v>
      </c>
      <c r="C103" t="s">
        <v>146</v>
      </c>
      <c r="D103" t="s">
        <v>147</v>
      </c>
      <c r="E103" t="s">
        <v>148</v>
      </c>
      <c r="G103" t="s">
        <v>168</v>
      </c>
      <c r="H103" t="s">
        <v>22</v>
      </c>
      <c r="I103" t="s">
        <v>22</v>
      </c>
      <c r="J103" t="s">
        <v>17</v>
      </c>
      <c r="K103">
        <v>87.5</v>
      </c>
      <c r="L103">
        <v>106.5</v>
      </c>
      <c r="M103" t="s">
        <v>150</v>
      </c>
      <c r="N103" t="s">
        <v>151</v>
      </c>
      <c r="O103" t="s">
        <v>521</v>
      </c>
    </row>
    <row r="104" spans="1:15" x14ac:dyDescent="0.3">
      <c r="A104">
        <v>1083001</v>
      </c>
      <c r="B104" t="s">
        <v>143</v>
      </c>
      <c r="C104" t="s">
        <v>146</v>
      </c>
      <c r="D104" t="s">
        <v>147</v>
      </c>
      <c r="E104" t="s">
        <v>148</v>
      </c>
      <c r="G104" t="s">
        <v>169</v>
      </c>
      <c r="H104" t="s">
        <v>22</v>
      </c>
      <c r="I104" t="s">
        <v>22</v>
      </c>
      <c r="J104" t="s">
        <v>17</v>
      </c>
      <c r="K104">
        <v>87.5</v>
      </c>
      <c r="L104">
        <v>106.5</v>
      </c>
      <c r="M104" t="s">
        <v>150</v>
      </c>
      <c r="N104" t="s">
        <v>151</v>
      </c>
      <c r="O104" t="s">
        <v>521</v>
      </c>
    </row>
    <row r="105" spans="1:15" x14ac:dyDescent="0.3">
      <c r="A105">
        <v>1083001</v>
      </c>
      <c r="B105" t="s">
        <v>143</v>
      </c>
      <c r="C105" t="s">
        <v>146</v>
      </c>
      <c r="D105" t="s">
        <v>147</v>
      </c>
      <c r="E105" t="s">
        <v>148</v>
      </c>
      <c r="G105" t="s">
        <v>170</v>
      </c>
      <c r="H105" t="s">
        <v>22</v>
      </c>
      <c r="I105" t="s">
        <v>22</v>
      </c>
      <c r="J105" t="s">
        <v>17</v>
      </c>
      <c r="K105">
        <v>87.5</v>
      </c>
      <c r="L105">
        <v>106.5</v>
      </c>
      <c r="M105" t="s">
        <v>150</v>
      </c>
      <c r="N105" t="s">
        <v>151</v>
      </c>
      <c r="O105" t="s">
        <v>521</v>
      </c>
    </row>
    <row r="106" spans="1:15" x14ac:dyDescent="0.3">
      <c r="A106">
        <v>1083001</v>
      </c>
      <c r="B106" t="s">
        <v>143</v>
      </c>
      <c r="C106" t="s">
        <v>146</v>
      </c>
      <c r="D106" t="s">
        <v>147</v>
      </c>
      <c r="E106" t="s">
        <v>148</v>
      </c>
      <c r="G106" t="s">
        <v>171</v>
      </c>
      <c r="H106" t="s">
        <v>22</v>
      </c>
      <c r="I106" t="s">
        <v>22</v>
      </c>
      <c r="J106" t="s">
        <v>17</v>
      </c>
      <c r="K106">
        <v>87.5</v>
      </c>
      <c r="L106">
        <v>106.5</v>
      </c>
      <c r="M106" t="s">
        <v>150</v>
      </c>
      <c r="N106" t="s">
        <v>151</v>
      </c>
      <c r="O106" t="s">
        <v>521</v>
      </c>
    </row>
    <row r="107" spans="1:15" x14ac:dyDescent="0.3">
      <c r="A107">
        <v>1083001</v>
      </c>
      <c r="B107" t="s">
        <v>143</v>
      </c>
      <c r="C107" t="s">
        <v>146</v>
      </c>
      <c r="D107" t="s">
        <v>147</v>
      </c>
      <c r="E107" t="s">
        <v>148</v>
      </c>
      <c r="G107" t="s">
        <v>172</v>
      </c>
      <c r="H107" t="s">
        <v>22</v>
      </c>
      <c r="I107" t="s">
        <v>22</v>
      </c>
      <c r="J107" t="s">
        <v>17</v>
      </c>
      <c r="K107">
        <v>87.5</v>
      </c>
      <c r="L107">
        <v>106.5</v>
      </c>
      <c r="M107" t="s">
        <v>150</v>
      </c>
      <c r="N107" t="s">
        <v>151</v>
      </c>
      <c r="O107" t="s">
        <v>521</v>
      </c>
    </row>
    <row r="108" spans="1:15" x14ac:dyDescent="0.3">
      <c r="A108">
        <v>1083001</v>
      </c>
      <c r="B108" t="s">
        <v>143</v>
      </c>
      <c r="C108" t="s">
        <v>146</v>
      </c>
      <c r="D108" t="s">
        <v>147</v>
      </c>
      <c r="E108" t="s">
        <v>148</v>
      </c>
      <c r="G108" t="s">
        <v>173</v>
      </c>
      <c r="H108" t="s">
        <v>22</v>
      </c>
      <c r="I108" t="s">
        <v>22</v>
      </c>
      <c r="J108" t="s">
        <v>17</v>
      </c>
      <c r="K108">
        <v>87.5</v>
      </c>
      <c r="L108">
        <v>106.5</v>
      </c>
      <c r="M108" t="s">
        <v>150</v>
      </c>
      <c r="N108" t="s">
        <v>151</v>
      </c>
      <c r="O108" t="s">
        <v>521</v>
      </c>
    </row>
    <row r="109" spans="1:15" x14ac:dyDescent="0.3">
      <c r="A109">
        <v>1083001</v>
      </c>
      <c r="B109" t="s">
        <v>143</v>
      </c>
      <c r="C109" t="s">
        <v>146</v>
      </c>
      <c r="D109" t="s">
        <v>147</v>
      </c>
      <c r="E109" t="s">
        <v>148</v>
      </c>
      <c r="G109" t="s">
        <v>174</v>
      </c>
      <c r="H109" t="s">
        <v>22</v>
      </c>
      <c r="I109" t="s">
        <v>22</v>
      </c>
      <c r="J109" t="s">
        <v>17</v>
      </c>
      <c r="K109">
        <v>87.5</v>
      </c>
      <c r="L109">
        <v>106.5</v>
      </c>
      <c r="M109" t="s">
        <v>150</v>
      </c>
      <c r="N109" t="s">
        <v>151</v>
      </c>
      <c r="O109" t="s">
        <v>521</v>
      </c>
    </row>
    <row r="110" spans="1:15" x14ac:dyDescent="0.3">
      <c r="A110">
        <v>1083001</v>
      </c>
      <c r="B110" t="s">
        <v>143</v>
      </c>
      <c r="C110" t="s">
        <v>146</v>
      </c>
      <c r="D110" t="s">
        <v>147</v>
      </c>
      <c r="E110" t="s">
        <v>148</v>
      </c>
      <c r="G110" t="s">
        <v>175</v>
      </c>
      <c r="H110" t="s">
        <v>22</v>
      </c>
      <c r="I110" t="s">
        <v>22</v>
      </c>
      <c r="J110" t="s">
        <v>17</v>
      </c>
      <c r="K110">
        <v>87.5</v>
      </c>
      <c r="L110">
        <v>106.5</v>
      </c>
      <c r="M110" t="s">
        <v>150</v>
      </c>
      <c r="N110" t="s">
        <v>151</v>
      </c>
      <c r="O110" t="s">
        <v>521</v>
      </c>
    </row>
    <row r="111" spans="1:15" x14ac:dyDescent="0.3">
      <c r="A111">
        <v>1083001</v>
      </c>
      <c r="B111" t="s">
        <v>143</v>
      </c>
      <c r="C111" t="s">
        <v>146</v>
      </c>
      <c r="D111" t="s">
        <v>147</v>
      </c>
      <c r="E111" t="s">
        <v>148</v>
      </c>
      <c r="G111" t="s">
        <v>176</v>
      </c>
      <c r="H111" t="s">
        <v>22</v>
      </c>
      <c r="I111" t="s">
        <v>22</v>
      </c>
      <c r="J111" t="s">
        <v>17</v>
      </c>
      <c r="K111">
        <v>87.5</v>
      </c>
      <c r="L111">
        <v>106.5</v>
      </c>
      <c r="M111" t="s">
        <v>150</v>
      </c>
      <c r="N111" t="s">
        <v>151</v>
      </c>
      <c r="O111" t="s">
        <v>521</v>
      </c>
    </row>
    <row r="112" spans="1:15" x14ac:dyDescent="0.3">
      <c r="A112">
        <v>1083001</v>
      </c>
      <c r="B112" t="s">
        <v>143</v>
      </c>
      <c r="C112" t="s">
        <v>146</v>
      </c>
      <c r="D112" t="s">
        <v>147</v>
      </c>
      <c r="E112" t="s">
        <v>148</v>
      </c>
      <c r="G112" t="s">
        <v>177</v>
      </c>
      <c r="H112" t="s">
        <v>22</v>
      </c>
      <c r="I112" t="s">
        <v>22</v>
      </c>
      <c r="J112" t="s">
        <v>17</v>
      </c>
      <c r="K112">
        <v>87.5</v>
      </c>
      <c r="L112">
        <v>106.5</v>
      </c>
      <c r="M112" t="s">
        <v>150</v>
      </c>
      <c r="N112" t="s">
        <v>151</v>
      </c>
      <c r="O112" t="s">
        <v>521</v>
      </c>
    </row>
    <row r="113" spans="1:17" x14ac:dyDescent="0.3">
      <c r="A113">
        <v>1083001</v>
      </c>
      <c r="B113" t="s">
        <v>143</v>
      </c>
      <c r="C113" t="s">
        <v>146</v>
      </c>
      <c r="D113" t="s">
        <v>147</v>
      </c>
      <c r="E113" t="s">
        <v>148</v>
      </c>
      <c r="G113" t="s">
        <v>178</v>
      </c>
      <c r="H113" t="s">
        <v>22</v>
      </c>
      <c r="I113" t="s">
        <v>22</v>
      </c>
      <c r="J113" t="s">
        <v>17</v>
      </c>
      <c r="K113">
        <v>87.5</v>
      </c>
      <c r="L113">
        <v>106.5</v>
      </c>
      <c r="M113" t="s">
        <v>150</v>
      </c>
      <c r="N113" t="s">
        <v>151</v>
      </c>
      <c r="O113" t="s">
        <v>521</v>
      </c>
    </row>
    <row r="114" spans="1:17" x14ac:dyDescent="0.3">
      <c r="A114">
        <v>1083001</v>
      </c>
      <c r="B114" t="s">
        <v>143</v>
      </c>
      <c r="C114" t="s">
        <v>146</v>
      </c>
      <c r="D114" t="s">
        <v>147</v>
      </c>
      <c r="E114" t="s">
        <v>148</v>
      </c>
      <c r="G114" t="s">
        <v>179</v>
      </c>
      <c r="H114" t="s">
        <v>22</v>
      </c>
      <c r="I114" t="s">
        <v>22</v>
      </c>
      <c r="J114" t="s">
        <v>17</v>
      </c>
      <c r="K114">
        <v>87.5</v>
      </c>
      <c r="L114">
        <v>106.5</v>
      </c>
      <c r="M114" t="s">
        <v>150</v>
      </c>
      <c r="N114" t="s">
        <v>151</v>
      </c>
      <c r="O114" t="s">
        <v>521</v>
      </c>
    </row>
    <row r="115" spans="1:17" x14ac:dyDescent="0.3">
      <c r="A115">
        <v>1083001</v>
      </c>
      <c r="B115" t="s">
        <v>143</v>
      </c>
      <c r="C115" t="s">
        <v>180</v>
      </c>
      <c r="D115" t="s">
        <v>180</v>
      </c>
      <c r="E115" t="s">
        <v>181</v>
      </c>
      <c r="H115" t="s">
        <v>22</v>
      </c>
      <c r="I115" t="s">
        <v>22</v>
      </c>
      <c r="J115" t="s">
        <v>17</v>
      </c>
      <c r="K115">
        <v>100</v>
      </c>
      <c r="L115">
        <v>110</v>
      </c>
      <c r="M115" t="s">
        <v>182</v>
      </c>
      <c r="N115" t="s">
        <v>183</v>
      </c>
      <c r="O115" t="s">
        <v>522</v>
      </c>
      <c r="P115" t="s">
        <v>530</v>
      </c>
    </row>
    <row r="116" spans="1:17" x14ac:dyDescent="0.3">
      <c r="A116">
        <v>1083004</v>
      </c>
      <c r="B116" t="s">
        <v>184</v>
      </c>
      <c r="C116" t="s">
        <v>185</v>
      </c>
      <c r="H116" t="s">
        <v>16</v>
      </c>
      <c r="I116" t="s">
        <v>16</v>
      </c>
      <c r="J116" t="s">
        <v>17</v>
      </c>
      <c r="K116">
        <v>0</v>
      </c>
      <c r="L116">
        <v>0</v>
      </c>
      <c r="O116" t="s">
        <v>521</v>
      </c>
    </row>
    <row r="117" spans="1:17" x14ac:dyDescent="0.3">
      <c r="A117">
        <v>1083004</v>
      </c>
      <c r="B117" t="s">
        <v>184</v>
      </c>
      <c r="C117" t="s">
        <v>186</v>
      </c>
      <c r="D117" t="s">
        <v>187</v>
      </c>
      <c r="E117" t="s">
        <v>188</v>
      </c>
      <c r="G117" t="s">
        <v>189</v>
      </c>
      <c r="H117" t="s">
        <v>22</v>
      </c>
      <c r="I117" t="s">
        <v>22</v>
      </c>
      <c r="J117" t="s">
        <v>17</v>
      </c>
      <c r="K117">
        <v>92.9</v>
      </c>
      <c r="L117">
        <v>109.7</v>
      </c>
      <c r="O117" t="s">
        <v>521</v>
      </c>
    </row>
    <row r="118" spans="1:17" x14ac:dyDescent="0.3">
      <c r="A118">
        <v>1083004</v>
      </c>
      <c r="B118" t="s">
        <v>184</v>
      </c>
      <c r="C118" t="s">
        <v>186</v>
      </c>
      <c r="D118" t="s">
        <v>187</v>
      </c>
      <c r="E118" t="s">
        <v>188</v>
      </c>
      <c r="G118" t="s">
        <v>190</v>
      </c>
      <c r="H118" t="s">
        <v>22</v>
      </c>
      <c r="I118" t="s">
        <v>22</v>
      </c>
      <c r="J118" t="s">
        <v>17</v>
      </c>
      <c r="K118">
        <v>92.9</v>
      </c>
      <c r="L118">
        <v>109.7</v>
      </c>
      <c r="O118" t="s">
        <v>521</v>
      </c>
    </row>
    <row r="119" spans="1:17" x14ac:dyDescent="0.3">
      <c r="A119">
        <v>1083004</v>
      </c>
      <c r="B119" t="s">
        <v>184</v>
      </c>
      <c r="C119" t="s">
        <v>191</v>
      </c>
      <c r="D119" t="s">
        <v>191</v>
      </c>
      <c r="E119" t="s">
        <v>192</v>
      </c>
      <c r="H119" t="s">
        <v>22</v>
      </c>
      <c r="I119" t="s">
        <v>22</v>
      </c>
      <c r="J119" t="s">
        <v>17</v>
      </c>
      <c r="K119">
        <v>100</v>
      </c>
      <c r="L119">
        <v>113</v>
      </c>
      <c r="M119" t="s">
        <v>37</v>
      </c>
      <c r="N119" t="s">
        <v>38</v>
      </c>
      <c r="O119" t="s">
        <v>522</v>
      </c>
      <c r="P119" s="1" t="s">
        <v>531</v>
      </c>
      <c r="Q119" t="s">
        <v>532</v>
      </c>
    </row>
    <row r="120" spans="1:17" x14ac:dyDescent="0.3">
      <c r="A120">
        <v>1083007</v>
      </c>
      <c r="B120" t="s">
        <v>193</v>
      </c>
      <c r="C120" t="s">
        <v>185</v>
      </c>
      <c r="H120" t="s">
        <v>16</v>
      </c>
      <c r="I120" t="s">
        <v>16</v>
      </c>
      <c r="J120" t="s">
        <v>17</v>
      </c>
      <c r="K120">
        <v>0</v>
      </c>
      <c r="L120">
        <v>0</v>
      </c>
      <c r="O120" t="s">
        <v>521</v>
      </c>
    </row>
    <row r="121" spans="1:17" x14ac:dyDescent="0.3">
      <c r="A121">
        <v>1083007</v>
      </c>
      <c r="B121" t="s">
        <v>193</v>
      </c>
      <c r="C121" t="s">
        <v>194</v>
      </c>
      <c r="D121" t="s">
        <v>194</v>
      </c>
      <c r="E121" t="s">
        <v>195</v>
      </c>
      <c r="H121" t="s">
        <v>22</v>
      </c>
      <c r="I121" t="s">
        <v>22</v>
      </c>
      <c r="J121" t="s">
        <v>17</v>
      </c>
      <c r="K121">
        <v>100</v>
      </c>
      <c r="L121">
        <v>112</v>
      </c>
      <c r="M121" t="s">
        <v>196</v>
      </c>
      <c r="N121" t="s">
        <v>197</v>
      </c>
      <c r="O121" t="s">
        <v>522</v>
      </c>
      <c r="P121" t="s">
        <v>197</v>
      </c>
    </row>
    <row r="122" spans="1:17" x14ac:dyDescent="0.3">
      <c r="A122">
        <v>1083007</v>
      </c>
      <c r="B122" t="s">
        <v>193</v>
      </c>
      <c r="C122" t="s">
        <v>198</v>
      </c>
      <c r="D122" t="s">
        <v>199</v>
      </c>
      <c r="E122" t="s">
        <v>200</v>
      </c>
      <c r="G122" t="s">
        <v>201</v>
      </c>
      <c r="H122" t="s">
        <v>22</v>
      </c>
      <c r="I122" t="s">
        <v>22</v>
      </c>
      <c r="J122" t="s">
        <v>17</v>
      </c>
      <c r="K122">
        <v>85.7</v>
      </c>
      <c r="L122">
        <v>103.4</v>
      </c>
      <c r="M122" t="s">
        <v>202</v>
      </c>
      <c r="N122" t="s">
        <v>203</v>
      </c>
      <c r="O122" t="s">
        <v>521</v>
      </c>
    </row>
    <row r="123" spans="1:17" x14ac:dyDescent="0.3">
      <c r="A123">
        <v>1083007</v>
      </c>
      <c r="B123" t="s">
        <v>193</v>
      </c>
      <c r="C123" t="s">
        <v>198</v>
      </c>
      <c r="D123" t="s">
        <v>199</v>
      </c>
      <c r="E123" t="s">
        <v>200</v>
      </c>
      <c r="G123" t="s">
        <v>204</v>
      </c>
      <c r="H123" t="s">
        <v>22</v>
      </c>
      <c r="I123" t="s">
        <v>22</v>
      </c>
      <c r="J123" t="s">
        <v>17</v>
      </c>
      <c r="K123">
        <v>85.7</v>
      </c>
      <c r="L123">
        <v>103.4</v>
      </c>
      <c r="M123" t="s">
        <v>202</v>
      </c>
      <c r="N123" t="s">
        <v>203</v>
      </c>
      <c r="O123" t="s">
        <v>521</v>
      </c>
    </row>
    <row r="124" spans="1:17" x14ac:dyDescent="0.3">
      <c r="A124">
        <v>1083007</v>
      </c>
      <c r="B124" t="s">
        <v>193</v>
      </c>
      <c r="C124" t="s">
        <v>198</v>
      </c>
      <c r="D124" t="s">
        <v>199</v>
      </c>
      <c r="E124" t="s">
        <v>200</v>
      </c>
      <c r="G124" t="s">
        <v>205</v>
      </c>
      <c r="H124" t="s">
        <v>22</v>
      </c>
      <c r="I124" t="s">
        <v>22</v>
      </c>
      <c r="J124" t="s">
        <v>17</v>
      </c>
      <c r="K124">
        <v>85.7</v>
      </c>
      <c r="L124">
        <v>103.4</v>
      </c>
      <c r="M124" t="s">
        <v>202</v>
      </c>
      <c r="N124" t="s">
        <v>203</v>
      </c>
      <c r="O124" t="s">
        <v>521</v>
      </c>
    </row>
    <row r="125" spans="1:17" x14ac:dyDescent="0.3">
      <c r="A125">
        <v>1083007</v>
      </c>
      <c r="B125" t="s">
        <v>193</v>
      </c>
      <c r="C125" t="s">
        <v>198</v>
      </c>
      <c r="D125" t="s">
        <v>199</v>
      </c>
      <c r="E125" t="s">
        <v>200</v>
      </c>
      <c r="G125" t="s">
        <v>206</v>
      </c>
      <c r="H125" t="s">
        <v>22</v>
      </c>
      <c r="I125" t="s">
        <v>22</v>
      </c>
      <c r="J125" t="s">
        <v>17</v>
      </c>
      <c r="K125">
        <v>85.7</v>
      </c>
      <c r="L125">
        <v>103.4</v>
      </c>
      <c r="M125" t="s">
        <v>202</v>
      </c>
      <c r="N125" t="s">
        <v>203</v>
      </c>
      <c r="O125" t="s">
        <v>521</v>
      </c>
    </row>
    <row r="126" spans="1:17" x14ac:dyDescent="0.3">
      <c r="A126">
        <v>1083007</v>
      </c>
      <c r="B126" t="s">
        <v>193</v>
      </c>
      <c r="C126" t="s">
        <v>198</v>
      </c>
      <c r="D126" t="s">
        <v>199</v>
      </c>
      <c r="E126" t="s">
        <v>200</v>
      </c>
      <c r="G126" t="s">
        <v>207</v>
      </c>
      <c r="H126" t="s">
        <v>22</v>
      </c>
      <c r="I126" t="s">
        <v>22</v>
      </c>
      <c r="J126" t="s">
        <v>17</v>
      </c>
      <c r="K126">
        <v>85.7</v>
      </c>
      <c r="L126">
        <v>103.4</v>
      </c>
      <c r="M126" t="s">
        <v>202</v>
      </c>
      <c r="N126" t="s">
        <v>203</v>
      </c>
      <c r="O126" t="s">
        <v>521</v>
      </c>
    </row>
    <row r="127" spans="1:17" x14ac:dyDescent="0.3">
      <c r="A127">
        <v>1083007</v>
      </c>
      <c r="B127" t="s">
        <v>193</v>
      </c>
      <c r="C127" t="s">
        <v>198</v>
      </c>
      <c r="D127" t="s">
        <v>199</v>
      </c>
      <c r="E127" t="s">
        <v>200</v>
      </c>
      <c r="G127" t="s">
        <v>208</v>
      </c>
      <c r="H127" t="s">
        <v>22</v>
      </c>
      <c r="I127" t="s">
        <v>22</v>
      </c>
      <c r="J127" t="s">
        <v>17</v>
      </c>
      <c r="K127">
        <v>85.7</v>
      </c>
      <c r="L127">
        <v>103.4</v>
      </c>
      <c r="M127" t="s">
        <v>202</v>
      </c>
      <c r="N127" t="s">
        <v>203</v>
      </c>
      <c r="O127" t="s">
        <v>521</v>
      </c>
    </row>
    <row r="128" spans="1:17" x14ac:dyDescent="0.3">
      <c r="A128">
        <v>1083007</v>
      </c>
      <c r="B128" t="s">
        <v>193</v>
      </c>
      <c r="C128" t="s">
        <v>209</v>
      </c>
      <c r="D128" t="s">
        <v>209</v>
      </c>
      <c r="E128" t="s">
        <v>210</v>
      </c>
      <c r="G128" t="s">
        <v>211</v>
      </c>
      <c r="H128" t="s">
        <v>22</v>
      </c>
      <c r="I128" t="s">
        <v>22</v>
      </c>
      <c r="J128" t="s">
        <v>17</v>
      </c>
      <c r="K128">
        <v>100</v>
      </c>
      <c r="L128">
        <v>111</v>
      </c>
      <c r="M128" t="s">
        <v>212</v>
      </c>
      <c r="N128" t="s">
        <v>213</v>
      </c>
      <c r="O128" t="s">
        <v>521</v>
      </c>
    </row>
    <row r="129" spans="1:15" x14ac:dyDescent="0.3">
      <c r="A129">
        <v>1083007</v>
      </c>
      <c r="B129" t="s">
        <v>193</v>
      </c>
      <c r="C129" t="s">
        <v>209</v>
      </c>
      <c r="D129" t="s">
        <v>209</v>
      </c>
      <c r="E129" t="s">
        <v>210</v>
      </c>
      <c r="G129" t="s">
        <v>214</v>
      </c>
      <c r="H129" t="s">
        <v>22</v>
      </c>
      <c r="I129" t="s">
        <v>22</v>
      </c>
      <c r="J129" t="s">
        <v>17</v>
      </c>
      <c r="K129">
        <v>100</v>
      </c>
      <c r="L129">
        <v>111</v>
      </c>
      <c r="M129" t="s">
        <v>212</v>
      </c>
      <c r="N129" t="s">
        <v>213</v>
      </c>
      <c r="O129" t="s">
        <v>521</v>
      </c>
    </row>
    <row r="130" spans="1:15" x14ac:dyDescent="0.3">
      <c r="A130">
        <v>1083007</v>
      </c>
      <c r="B130" t="s">
        <v>193</v>
      </c>
      <c r="C130" t="s">
        <v>209</v>
      </c>
      <c r="D130" t="s">
        <v>209</v>
      </c>
      <c r="E130" t="s">
        <v>210</v>
      </c>
      <c r="G130" t="s">
        <v>215</v>
      </c>
      <c r="H130" t="s">
        <v>22</v>
      </c>
      <c r="I130" t="s">
        <v>22</v>
      </c>
      <c r="J130" t="s">
        <v>17</v>
      </c>
      <c r="K130">
        <v>100</v>
      </c>
      <c r="L130">
        <v>111</v>
      </c>
      <c r="M130" t="s">
        <v>212</v>
      </c>
      <c r="N130" t="s">
        <v>213</v>
      </c>
      <c r="O130" t="s">
        <v>521</v>
      </c>
    </row>
    <row r="131" spans="1:15" x14ac:dyDescent="0.3">
      <c r="A131">
        <v>1083007</v>
      </c>
      <c r="B131" t="s">
        <v>193</v>
      </c>
      <c r="C131" t="s">
        <v>209</v>
      </c>
      <c r="D131" t="s">
        <v>209</v>
      </c>
      <c r="E131" t="s">
        <v>210</v>
      </c>
      <c r="G131" t="s">
        <v>216</v>
      </c>
      <c r="H131" t="s">
        <v>22</v>
      </c>
      <c r="I131" t="s">
        <v>22</v>
      </c>
      <c r="J131" t="s">
        <v>17</v>
      </c>
      <c r="K131">
        <v>100</v>
      </c>
      <c r="L131">
        <v>111</v>
      </c>
      <c r="M131" t="s">
        <v>212</v>
      </c>
      <c r="N131" t="s">
        <v>213</v>
      </c>
      <c r="O131" t="s">
        <v>521</v>
      </c>
    </row>
    <row r="132" spans="1:15" x14ac:dyDescent="0.3">
      <c r="A132">
        <v>1083007</v>
      </c>
      <c r="B132" t="s">
        <v>193</v>
      </c>
      <c r="C132" t="s">
        <v>209</v>
      </c>
      <c r="D132" t="s">
        <v>209</v>
      </c>
      <c r="E132" t="s">
        <v>210</v>
      </c>
      <c r="G132" t="s">
        <v>217</v>
      </c>
      <c r="H132" t="s">
        <v>22</v>
      </c>
      <c r="I132" t="s">
        <v>22</v>
      </c>
      <c r="J132" t="s">
        <v>17</v>
      </c>
      <c r="K132">
        <v>100</v>
      </c>
      <c r="L132">
        <v>111</v>
      </c>
      <c r="M132" t="s">
        <v>212</v>
      </c>
      <c r="N132" t="s">
        <v>213</v>
      </c>
      <c r="O132" t="s">
        <v>521</v>
      </c>
    </row>
    <row r="133" spans="1:15" x14ac:dyDescent="0.3">
      <c r="A133">
        <v>1083007</v>
      </c>
      <c r="B133" t="s">
        <v>193</v>
      </c>
      <c r="C133" t="s">
        <v>209</v>
      </c>
      <c r="D133" t="s">
        <v>209</v>
      </c>
      <c r="E133" t="s">
        <v>210</v>
      </c>
      <c r="G133" t="s">
        <v>218</v>
      </c>
      <c r="H133" t="s">
        <v>22</v>
      </c>
      <c r="I133" t="s">
        <v>22</v>
      </c>
      <c r="J133" t="s">
        <v>17</v>
      </c>
      <c r="K133">
        <v>100</v>
      </c>
      <c r="L133">
        <v>111</v>
      </c>
      <c r="M133" t="s">
        <v>212</v>
      </c>
      <c r="N133" t="s">
        <v>213</v>
      </c>
      <c r="O133" t="s">
        <v>521</v>
      </c>
    </row>
    <row r="134" spans="1:15" x14ac:dyDescent="0.3">
      <c r="A134">
        <v>1083007</v>
      </c>
      <c r="B134" t="s">
        <v>193</v>
      </c>
      <c r="C134" t="s">
        <v>209</v>
      </c>
      <c r="D134" t="s">
        <v>209</v>
      </c>
      <c r="E134" t="s">
        <v>210</v>
      </c>
      <c r="G134" t="s">
        <v>219</v>
      </c>
      <c r="H134" t="s">
        <v>22</v>
      </c>
      <c r="I134" t="s">
        <v>22</v>
      </c>
      <c r="J134" t="s">
        <v>17</v>
      </c>
      <c r="K134">
        <v>100</v>
      </c>
      <c r="L134">
        <v>111</v>
      </c>
      <c r="M134" t="s">
        <v>212</v>
      </c>
      <c r="N134" t="s">
        <v>213</v>
      </c>
      <c r="O134" t="s">
        <v>521</v>
      </c>
    </row>
    <row r="135" spans="1:15" x14ac:dyDescent="0.3">
      <c r="A135">
        <v>1083007</v>
      </c>
      <c r="B135" t="s">
        <v>193</v>
      </c>
      <c r="C135" t="s">
        <v>209</v>
      </c>
      <c r="D135" t="s">
        <v>209</v>
      </c>
      <c r="E135" t="s">
        <v>210</v>
      </c>
      <c r="G135" t="s">
        <v>220</v>
      </c>
      <c r="H135" t="s">
        <v>22</v>
      </c>
      <c r="I135" t="s">
        <v>22</v>
      </c>
      <c r="J135" t="s">
        <v>17</v>
      </c>
      <c r="K135">
        <v>100</v>
      </c>
      <c r="L135">
        <v>111</v>
      </c>
      <c r="M135" t="s">
        <v>212</v>
      </c>
      <c r="N135" t="s">
        <v>213</v>
      </c>
      <c r="O135" t="s">
        <v>521</v>
      </c>
    </row>
    <row r="136" spans="1:15" x14ac:dyDescent="0.3">
      <c r="A136">
        <v>1083007</v>
      </c>
      <c r="B136" t="s">
        <v>193</v>
      </c>
      <c r="C136" t="s">
        <v>209</v>
      </c>
      <c r="D136" t="s">
        <v>209</v>
      </c>
      <c r="E136" t="s">
        <v>210</v>
      </c>
      <c r="G136" t="s">
        <v>221</v>
      </c>
      <c r="H136" t="s">
        <v>22</v>
      </c>
      <c r="I136" t="s">
        <v>22</v>
      </c>
      <c r="J136" t="s">
        <v>17</v>
      </c>
      <c r="K136">
        <v>100</v>
      </c>
      <c r="L136">
        <v>111</v>
      </c>
      <c r="M136" t="s">
        <v>212</v>
      </c>
      <c r="N136" t="s">
        <v>213</v>
      </c>
      <c r="O136" t="s">
        <v>521</v>
      </c>
    </row>
    <row r="137" spans="1:15" x14ac:dyDescent="0.3">
      <c r="A137">
        <v>1083007</v>
      </c>
      <c r="B137" t="s">
        <v>193</v>
      </c>
      <c r="C137" t="s">
        <v>209</v>
      </c>
      <c r="D137" t="s">
        <v>209</v>
      </c>
      <c r="E137" t="s">
        <v>210</v>
      </c>
      <c r="G137" t="s">
        <v>222</v>
      </c>
      <c r="H137" t="s">
        <v>22</v>
      </c>
      <c r="I137" t="s">
        <v>22</v>
      </c>
      <c r="J137" t="s">
        <v>17</v>
      </c>
      <c r="K137">
        <v>100</v>
      </c>
      <c r="L137">
        <v>111</v>
      </c>
      <c r="M137" t="s">
        <v>212</v>
      </c>
      <c r="N137" t="s">
        <v>213</v>
      </c>
      <c r="O137" t="s">
        <v>521</v>
      </c>
    </row>
    <row r="138" spans="1:15" x14ac:dyDescent="0.3">
      <c r="A138">
        <v>1083007</v>
      </c>
      <c r="B138" t="s">
        <v>193</v>
      </c>
      <c r="C138" t="s">
        <v>209</v>
      </c>
      <c r="D138" t="s">
        <v>209</v>
      </c>
      <c r="E138" t="s">
        <v>210</v>
      </c>
      <c r="G138" t="s">
        <v>223</v>
      </c>
      <c r="H138" t="s">
        <v>22</v>
      </c>
      <c r="I138" t="s">
        <v>22</v>
      </c>
      <c r="J138" t="s">
        <v>17</v>
      </c>
      <c r="K138">
        <v>100</v>
      </c>
      <c r="L138">
        <v>111</v>
      </c>
      <c r="M138" t="s">
        <v>212</v>
      </c>
      <c r="N138" t="s">
        <v>213</v>
      </c>
      <c r="O138" t="s">
        <v>521</v>
      </c>
    </row>
    <row r="139" spans="1:15" x14ac:dyDescent="0.3">
      <c r="A139">
        <v>1083007</v>
      </c>
      <c r="B139" t="s">
        <v>193</v>
      </c>
      <c r="C139" t="s">
        <v>209</v>
      </c>
      <c r="D139" t="s">
        <v>209</v>
      </c>
      <c r="E139" t="s">
        <v>210</v>
      </c>
      <c r="G139" t="s">
        <v>224</v>
      </c>
      <c r="H139" t="s">
        <v>22</v>
      </c>
      <c r="I139" t="s">
        <v>22</v>
      </c>
      <c r="J139" t="s">
        <v>17</v>
      </c>
      <c r="K139">
        <v>100</v>
      </c>
      <c r="L139">
        <v>111</v>
      </c>
      <c r="M139" t="s">
        <v>212</v>
      </c>
      <c r="N139" t="s">
        <v>213</v>
      </c>
      <c r="O139" t="s">
        <v>521</v>
      </c>
    </row>
    <row r="140" spans="1:15" x14ac:dyDescent="0.3">
      <c r="A140">
        <v>1083007</v>
      </c>
      <c r="B140" t="s">
        <v>193</v>
      </c>
      <c r="C140" t="s">
        <v>209</v>
      </c>
      <c r="D140" t="s">
        <v>209</v>
      </c>
      <c r="E140" t="s">
        <v>210</v>
      </c>
      <c r="G140" t="s">
        <v>225</v>
      </c>
      <c r="H140" t="s">
        <v>22</v>
      </c>
      <c r="I140" t="s">
        <v>22</v>
      </c>
      <c r="J140" t="s">
        <v>17</v>
      </c>
      <c r="K140">
        <v>100</v>
      </c>
      <c r="L140">
        <v>111</v>
      </c>
      <c r="M140" t="s">
        <v>212</v>
      </c>
      <c r="N140" t="s">
        <v>213</v>
      </c>
      <c r="O140" t="s">
        <v>521</v>
      </c>
    </row>
    <row r="141" spans="1:15" x14ac:dyDescent="0.3">
      <c r="A141">
        <v>1083007</v>
      </c>
      <c r="B141" t="s">
        <v>193</v>
      </c>
      <c r="C141" t="s">
        <v>209</v>
      </c>
      <c r="D141" t="s">
        <v>209</v>
      </c>
      <c r="E141" t="s">
        <v>210</v>
      </c>
      <c r="G141" t="s">
        <v>226</v>
      </c>
      <c r="H141" t="s">
        <v>22</v>
      </c>
      <c r="I141" t="s">
        <v>22</v>
      </c>
      <c r="J141" t="s">
        <v>17</v>
      </c>
      <c r="K141">
        <v>100</v>
      </c>
      <c r="L141">
        <v>111</v>
      </c>
      <c r="M141" t="s">
        <v>212</v>
      </c>
      <c r="N141" t="s">
        <v>213</v>
      </c>
      <c r="O141" t="s">
        <v>521</v>
      </c>
    </row>
    <row r="142" spans="1:15" x14ac:dyDescent="0.3">
      <c r="A142">
        <v>1083007</v>
      </c>
      <c r="B142" t="s">
        <v>193</v>
      </c>
      <c r="C142" t="s">
        <v>209</v>
      </c>
      <c r="D142" t="s">
        <v>209</v>
      </c>
      <c r="E142" t="s">
        <v>210</v>
      </c>
      <c r="G142" t="s">
        <v>227</v>
      </c>
      <c r="H142" t="s">
        <v>22</v>
      </c>
      <c r="I142" t="s">
        <v>22</v>
      </c>
      <c r="J142" t="s">
        <v>17</v>
      </c>
      <c r="K142">
        <v>100</v>
      </c>
      <c r="L142">
        <v>111</v>
      </c>
      <c r="M142" t="s">
        <v>212</v>
      </c>
      <c r="N142" t="s">
        <v>213</v>
      </c>
      <c r="O142" t="s">
        <v>521</v>
      </c>
    </row>
    <row r="143" spans="1:15" x14ac:dyDescent="0.3">
      <c r="A143">
        <v>1083007</v>
      </c>
      <c r="B143" t="s">
        <v>193</v>
      </c>
      <c r="C143" t="s">
        <v>209</v>
      </c>
      <c r="D143" t="s">
        <v>209</v>
      </c>
      <c r="E143" t="s">
        <v>210</v>
      </c>
      <c r="G143" t="s">
        <v>228</v>
      </c>
      <c r="H143" t="s">
        <v>22</v>
      </c>
      <c r="I143" t="s">
        <v>22</v>
      </c>
      <c r="J143" t="s">
        <v>17</v>
      </c>
      <c r="K143">
        <v>100</v>
      </c>
      <c r="L143">
        <v>111</v>
      </c>
      <c r="M143" t="s">
        <v>212</v>
      </c>
      <c r="N143" t="s">
        <v>213</v>
      </c>
      <c r="O143" t="s">
        <v>521</v>
      </c>
    </row>
    <row r="144" spans="1:15" x14ac:dyDescent="0.3">
      <c r="A144">
        <v>1083007</v>
      </c>
      <c r="B144" t="s">
        <v>193</v>
      </c>
      <c r="C144" t="s">
        <v>209</v>
      </c>
      <c r="D144" t="s">
        <v>209</v>
      </c>
      <c r="E144" t="s">
        <v>210</v>
      </c>
      <c r="G144" t="s">
        <v>229</v>
      </c>
      <c r="H144" t="s">
        <v>22</v>
      </c>
      <c r="I144" t="s">
        <v>22</v>
      </c>
      <c r="J144" t="s">
        <v>17</v>
      </c>
      <c r="K144">
        <v>100</v>
      </c>
      <c r="L144">
        <v>111</v>
      </c>
      <c r="M144" t="s">
        <v>212</v>
      </c>
      <c r="N144" t="s">
        <v>213</v>
      </c>
      <c r="O144" t="s">
        <v>521</v>
      </c>
    </row>
    <row r="145" spans="1:15" x14ac:dyDescent="0.3">
      <c r="A145">
        <v>1083007</v>
      </c>
      <c r="B145" t="s">
        <v>193</v>
      </c>
      <c r="C145" t="s">
        <v>209</v>
      </c>
      <c r="D145" t="s">
        <v>209</v>
      </c>
      <c r="E145" t="s">
        <v>210</v>
      </c>
      <c r="G145" t="s">
        <v>230</v>
      </c>
      <c r="H145" t="s">
        <v>22</v>
      </c>
      <c r="I145" t="s">
        <v>22</v>
      </c>
      <c r="J145" t="s">
        <v>17</v>
      </c>
      <c r="K145">
        <v>100</v>
      </c>
      <c r="L145">
        <v>111</v>
      </c>
      <c r="M145" t="s">
        <v>212</v>
      </c>
      <c r="N145" t="s">
        <v>213</v>
      </c>
      <c r="O145" t="s">
        <v>521</v>
      </c>
    </row>
    <row r="146" spans="1:15" x14ac:dyDescent="0.3">
      <c r="A146">
        <v>1083007</v>
      </c>
      <c r="B146" t="s">
        <v>193</v>
      </c>
      <c r="C146" t="s">
        <v>209</v>
      </c>
      <c r="D146" t="s">
        <v>209</v>
      </c>
      <c r="E146" t="s">
        <v>210</v>
      </c>
      <c r="G146" t="s">
        <v>231</v>
      </c>
      <c r="H146" t="s">
        <v>22</v>
      </c>
      <c r="I146" t="s">
        <v>22</v>
      </c>
      <c r="J146" t="s">
        <v>17</v>
      </c>
      <c r="K146">
        <v>100</v>
      </c>
      <c r="L146">
        <v>111</v>
      </c>
      <c r="M146" t="s">
        <v>212</v>
      </c>
      <c r="N146" t="s">
        <v>213</v>
      </c>
      <c r="O146" t="s">
        <v>521</v>
      </c>
    </row>
    <row r="147" spans="1:15" x14ac:dyDescent="0.3">
      <c r="A147">
        <v>1083007</v>
      </c>
      <c r="B147" t="s">
        <v>193</v>
      </c>
      <c r="C147" t="s">
        <v>209</v>
      </c>
      <c r="D147" t="s">
        <v>209</v>
      </c>
      <c r="E147" t="s">
        <v>210</v>
      </c>
      <c r="G147" t="s">
        <v>232</v>
      </c>
      <c r="H147" t="s">
        <v>22</v>
      </c>
      <c r="I147" t="s">
        <v>22</v>
      </c>
      <c r="J147" t="s">
        <v>17</v>
      </c>
      <c r="K147">
        <v>100</v>
      </c>
      <c r="L147">
        <v>111</v>
      </c>
      <c r="M147" t="s">
        <v>212</v>
      </c>
      <c r="N147" t="s">
        <v>213</v>
      </c>
      <c r="O147" t="s">
        <v>521</v>
      </c>
    </row>
    <row r="148" spans="1:15" x14ac:dyDescent="0.3">
      <c r="A148">
        <v>1083014</v>
      </c>
      <c r="B148" t="s">
        <v>233</v>
      </c>
      <c r="C148" t="s">
        <v>185</v>
      </c>
      <c r="H148" t="s">
        <v>16</v>
      </c>
      <c r="I148" t="s">
        <v>16</v>
      </c>
      <c r="J148" t="s">
        <v>17</v>
      </c>
      <c r="K148">
        <v>0</v>
      </c>
      <c r="L148">
        <v>0</v>
      </c>
      <c r="O148" t="s">
        <v>521</v>
      </c>
    </row>
    <row r="149" spans="1:15" x14ac:dyDescent="0.3">
      <c r="A149">
        <v>1083014</v>
      </c>
      <c r="B149" t="s">
        <v>233</v>
      </c>
      <c r="C149" t="s">
        <v>198</v>
      </c>
      <c r="D149" t="s">
        <v>199</v>
      </c>
      <c r="E149" t="s">
        <v>200</v>
      </c>
      <c r="G149" t="s">
        <v>201</v>
      </c>
      <c r="H149" t="s">
        <v>22</v>
      </c>
      <c r="I149" t="s">
        <v>22</v>
      </c>
      <c r="J149" t="s">
        <v>17</v>
      </c>
      <c r="K149">
        <v>85.7</v>
      </c>
      <c r="L149">
        <v>104.4</v>
      </c>
      <c r="M149" t="s">
        <v>202</v>
      </c>
      <c r="N149" t="s">
        <v>203</v>
      </c>
      <c r="O149" t="s">
        <v>521</v>
      </c>
    </row>
    <row r="150" spans="1:15" x14ac:dyDescent="0.3">
      <c r="A150">
        <v>1083014</v>
      </c>
      <c r="B150" t="s">
        <v>233</v>
      </c>
      <c r="C150" t="s">
        <v>198</v>
      </c>
      <c r="D150" t="s">
        <v>199</v>
      </c>
      <c r="E150" t="s">
        <v>200</v>
      </c>
      <c r="G150" t="s">
        <v>204</v>
      </c>
      <c r="H150" t="s">
        <v>22</v>
      </c>
      <c r="I150" t="s">
        <v>22</v>
      </c>
      <c r="J150" t="s">
        <v>17</v>
      </c>
      <c r="K150">
        <v>85.7</v>
      </c>
      <c r="L150">
        <v>104.4</v>
      </c>
      <c r="M150" t="s">
        <v>202</v>
      </c>
      <c r="N150" t="s">
        <v>203</v>
      </c>
      <c r="O150" t="s">
        <v>521</v>
      </c>
    </row>
    <row r="151" spans="1:15" x14ac:dyDescent="0.3">
      <c r="A151">
        <v>1083014</v>
      </c>
      <c r="B151" t="s">
        <v>233</v>
      </c>
      <c r="C151" t="s">
        <v>198</v>
      </c>
      <c r="D151" t="s">
        <v>199</v>
      </c>
      <c r="E151" t="s">
        <v>200</v>
      </c>
      <c r="G151" t="s">
        <v>205</v>
      </c>
      <c r="H151" t="s">
        <v>22</v>
      </c>
      <c r="I151" t="s">
        <v>22</v>
      </c>
      <c r="J151" t="s">
        <v>17</v>
      </c>
      <c r="K151">
        <v>85.7</v>
      </c>
      <c r="L151">
        <v>104.4</v>
      </c>
      <c r="M151" t="s">
        <v>202</v>
      </c>
      <c r="N151" t="s">
        <v>203</v>
      </c>
      <c r="O151" t="s">
        <v>521</v>
      </c>
    </row>
    <row r="152" spans="1:15" x14ac:dyDescent="0.3">
      <c r="A152">
        <v>1083014</v>
      </c>
      <c r="B152" t="s">
        <v>233</v>
      </c>
      <c r="C152" t="s">
        <v>198</v>
      </c>
      <c r="D152" t="s">
        <v>199</v>
      </c>
      <c r="E152" t="s">
        <v>200</v>
      </c>
      <c r="G152" t="s">
        <v>206</v>
      </c>
      <c r="H152" t="s">
        <v>22</v>
      </c>
      <c r="I152" t="s">
        <v>22</v>
      </c>
      <c r="J152" t="s">
        <v>17</v>
      </c>
      <c r="K152">
        <v>85.7</v>
      </c>
      <c r="L152">
        <v>104.4</v>
      </c>
      <c r="M152" t="s">
        <v>202</v>
      </c>
      <c r="N152" t="s">
        <v>203</v>
      </c>
      <c r="O152" t="s">
        <v>521</v>
      </c>
    </row>
    <row r="153" spans="1:15" x14ac:dyDescent="0.3">
      <c r="A153">
        <v>1083014</v>
      </c>
      <c r="B153" t="s">
        <v>233</v>
      </c>
      <c r="C153" t="s">
        <v>198</v>
      </c>
      <c r="D153" t="s">
        <v>199</v>
      </c>
      <c r="E153" t="s">
        <v>200</v>
      </c>
      <c r="G153" t="s">
        <v>207</v>
      </c>
      <c r="H153" t="s">
        <v>22</v>
      </c>
      <c r="I153" t="s">
        <v>22</v>
      </c>
      <c r="J153" t="s">
        <v>17</v>
      </c>
      <c r="K153">
        <v>85.7</v>
      </c>
      <c r="L153">
        <v>104.4</v>
      </c>
      <c r="M153" t="s">
        <v>202</v>
      </c>
      <c r="N153" t="s">
        <v>203</v>
      </c>
      <c r="O153" t="s">
        <v>521</v>
      </c>
    </row>
    <row r="154" spans="1:15" x14ac:dyDescent="0.3">
      <c r="A154">
        <v>1083014</v>
      </c>
      <c r="B154" t="s">
        <v>233</v>
      </c>
      <c r="C154" t="s">
        <v>198</v>
      </c>
      <c r="D154" t="s">
        <v>199</v>
      </c>
      <c r="E154" t="s">
        <v>200</v>
      </c>
      <c r="G154" t="s">
        <v>208</v>
      </c>
      <c r="H154" t="s">
        <v>22</v>
      </c>
      <c r="I154" t="s">
        <v>22</v>
      </c>
      <c r="J154" t="s">
        <v>17</v>
      </c>
      <c r="K154">
        <v>85.7</v>
      </c>
      <c r="L154">
        <v>104.4</v>
      </c>
      <c r="M154" t="s">
        <v>202</v>
      </c>
      <c r="N154" t="s">
        <v>203</v>
      </c>
      <c r="O154" t="s">
        <v>521</v>
      </c>
    </row>
    <row r="155" spans="1:15" x14ac:dyDescent="0.3">
      <c r="A155">
        <v>1083014</v>
      </c>
      <c r="B155" t="s">
        <v>233</v>
      </c>
      <c r="C155" t="s">
        <v>209</v>
      </c>
      <c r="D155" t="s">
        <v>209</v>
      </c>
      <c r="E155" t="s">
        <v>210</v>
      </c>
      <c r="G155" t="s">
        <v>211</v>
      </c>
      <c r="H155" t="s">
        <v>22</v>
      </c>
      <c r="I155" t="s">
        <v>22</v>
      </c>
      <c r="J155" t="s">
        <v>17</v>
      </c>
      <c r="K155">
        <v>100</v>
      </c>
      <c r="L155">
        <v>111</v>
      </c>
      <c r="M155" t="s">
        <v>212</v>
      </c>
      <c r="N155" t="s">
        <v>213</v>
      </c>
      <c r="O155" t="s">
        <v>521</v>
      </c>
    </row>
    <row r="156" spans="1:15" x14ac:dyDescent="0.3">
      <c r="A156">
        <v>1083014</v>
      </c>
      <c r="B156" t="s">
        <v>233</v>
      </c>
      <c r="C156" t="s">
        <v>209</v>
      </c>
      <c r="D156" t="s">
        <v>209</v>
      </c>
      <c r="E156" t="s">
        <v>210</v>
      </c>
      <c r="G156" t="s">
        <v>214</v>
      </c>
      <c r="H156" t="s">
        <v>22</v>
      </c>
      <c r="I156" t="s">
        <v>22</v>
      </c>
      <c r="J156" t="s">
        <v>17</v>
      </c>
      <c r="K156">
        <v>100</v>
      </c>
      <c r="L156">
        <v>111</v>
      </c>
      <c r="M156" t="s">
        <v>212</v>
      </c>
      <c r="N156" t="s">
        <v>213</v>
      </c>
      <c r="O156" t="s">
        <v>521</v>
      </c>
    </row>
    <row r="157" spans="1:15" x14ac:dyDescent="0.3">
      <c r="A157">
        <v>1083014</v>
      </c>
      <c r="B157" t="s">
        <v>233</v>
      </c>
      <c r="C157" t="s">
        <v>209</v>
      </c>
      <c r="D157" t="s">
        <v>209</v>
      </c>
      <c r="E157" t="s">
        <v>210</v>
      </c>
      <c r="G157" t="s">
        <v>215</v>
      </c>
      <c r="H157" t="s">
        <v>22</v>
      </c>
      <c r="I157" t="s">
        <v>22</v>
      </c>
      <c r="J157" t="s">
        <v>17</v>
      </c>
      <c r="K157">
        <v>100</v>
      </c>
      <c r="L157">
        <v>111</v>
      </c>
      <c r="M157" t="s">
        <v>212</v>
      </c>
      <c r="N157" t="s">
        <v>213</v>
      </c>
      <c r="O157" t="s">
        <v>521</v>
      </c>
    </row>
    <row r="158" spans="1:15" x14ac:dyDescent="0.3">
      <c r="A158">
        <v>1083014</v>
      </c>
      <c r="B158" t="s">
        <v>233</v>
      </c>
      <c r="C158" t="s">
        <v>209</v>
      </c>
      <c r="D158" t="s">
        <v>209</v>
      </c>
      <c r="E158" t="s">
        <v>210</v>
      </c>
      <c r="G158" t="s">
        <v>216</v>
      </c>
      <c r="H158" t="s">
        <v>22</v>
      </c>
      <c r="I158" t="s">
        <v>22</v>
      </c>
      <c r="J158" t="s">
        <v>17</v>
      </c>
      <c r="K158">
        <v>100</v>
      </c>
      <c r="L158">
        <v>111</v>
      </c>
      <c r="M158" t="s">
        <v>212</v>
      </c>
      <c r="N158" t="s">
        <v>213</v>
      </c>
      <c r="O158" t="s">
        <v>521</v>
      </c>
    </row>
    <row r="159" spans="1:15" x14ac:dyDescent="0.3">
      <c r="A159">
        <v>1083014</v>
      </c>
      <c r="B159" t="s">
        <v>233</v>
      </c>
      <c r="C159" t="s">
        <v>209</v>
      </c>
      <c r="D159" t="s">
        <v>209</v>
      </c>
      <c r="E159" t="s">
        <v>210</v>
      </c>
      <c r="G159" t="s">
        <v>217</v>
      </c>
      <c r="H159" t="s">
        <v>22</v>
      </c>
      <c r="I159" t="s">
        <v>22</v>
      </c>
      <c r="J159" t="s">
        <v>17</v>
      </c>
      <c r="K159">
        <v>100</v>
      </c>
      <c r="L159">
        <v>111</v>
      </c>
      <c r="M159" t="s">
        <v>212</v>
      </c>
      <c r="N159" t="s">
        <v>213</v>
      </c>
      <c r="O159" t="s">
        <v>521</v>
      </c>
    </row>
    <row r="160" spans="1:15" x14ac:dyDescent="0.3">
      <c r="A160">
        <v>1083014</v>
      </c>
      <c r="B160" t="s">
        <v>233</v>
      </c>
      <c r="C160" t="s">
        <v>209</v>
      </c>
      <c r="D160" t="s">
        <v>209</v>
      </c>
      <c r="E160" t="s">
        <v>210</v>
      </c>
      <c r="G160" t="s">
        <v>218</v>
      </c>
      <c r="H160" t="s">
        <v>22</v>
      </c>
      <c r="I160" t="s">
        <v>22</v>
      </c>
      <c r="J160" t="s">
        <v>17</v>
      </c>
      <c r="K160">
        <v>100</v>
      </c>
      <c r="L160">
        <v>111</v>
      </c>
      <c r="M160" t="s">
        <v>212</v>
      </c>
      <c r="N160" t="s">
        <v>213</v>
      </c>
      <c r="O160" t="s">
        <v>521</v>
      </c>
    </row>
    <row r="161" spans="1:15" x14ac:dyDescent="0.3">
      <c r="A161">
        <v>1083014</v>
      </c>
      <c r="B161" t="s">
        <v>233</v>
      </c>
      <c r="C161" t="s">
        <v>209</v>
      </c>
      <c r="D161" t="s">
        <v>209</v>
      </c>
      <c r="E161" t="s">
        <v>210</v>
      </c>
      <c r="G161" t="s">
        <v>219</v>
      </c>
      <c r="H161" t="s">
        <v>22</v>
      </c>
      <c r="I161" t="s">
        <v>22</v>
      </c>
      <c r="J161" t="s">
        <v>17</v>
      </c>
      <c r="K161">
        <v>100</v>
      </c>
      <c r="L161">
        <v>111</v>
      </c>
      <c r="M161" t="s">
        <v>212</v>
      </c>
      <c r="N161" t="s">
        <v>213</v>
      </c>
      <c r="O161" t="s">
        <v>521</v>
      </c>
    </row>
    <row r="162" spans="1:15" x14ac:dyDescent="0.3">
      <c r="A162">
        <v>1083014</v>
      </c>
      <c r="B162" t="s">
        <v>233</v>
      </c>
      <c r="C162" t="s">
        <v>209</v>
      </c>
      <c r="D162" t="s">
        <v>209</v>
      </c>
      <c r="E162" t="s">
        <v>210</v>
      </c>
      <c r="G162" t="s">
        <v>220</v>
      </c>
      <c r="H162" t="s">
        <v>22</v>
      </c>
      <c r="I162" t="s">
        <v>22</v>
      </c>
      <c r="J162" t="s">
        <v>17</v>
      </c>
      <c r="K162">
        <v>100</v>
      </c>
      <c r="L162">
        <v>111</v>
      </c>
      <c r="M162" t="s">
        <v>212</v>
      </c>
      <c r="N162" t="s">
        <v>213</v>
      </c>
      <c r="O162" t="s">
        <v>521</v>
      </c>
    </row>
    <row r="163" spans="1:15" x14ac:dyDescent="0.3">
      <c r="A163">
        <v>1083014</v>
      </c>
      <c r="B163" t="s">
        <v>233</v>
      </c>
      <c r="C163" t="s">
        <v>209</v>
      </c>
      <c r="D163" t="s">
        <v>209</v>
      </c>
      <c r="E163" t="s">
        <v>210</v>
      </c>
      <c r="G163" t="s">
        <v>221</v>
      </c>
      <c r="H163" t="s">
        <v>22</v>
      </c>
      <c r="I163" t="s">
        <v>22</v>
      </c>
      <c r="J163" t="s">
        <v>17</v>
      </c>
      <c r="K163">
        <v>100</v>
      </c>
      <c r="L163">
        <v>111</v>
      </c>
      <c r="M163" t="s">
        <v>212</v>
      </c>
      <c r="N163" t="s">
        <v>213</v>
      </c>
      <c r="O163" t="s">
        <v>521</v>
      </c>
    </row>
    <row r="164" spans="1:15" x14ac:dyDescent="0.3">
      <c r="A164">
        <v>1083014</v>
      </c>
      <c r="B164" t="s">
        <v>233</v>
      </c>
      <c r="C164" t="s">
        <v>209</v>
      </c>
      <c r="D164" t="s">
        <v>209</v>
      </c>
      <c r="E164" t="s">
        <v>210</v>
      </c>
      <c r="G164" t="s">
        <v>222</v>
      </c>
      <c r="H164" t="s">
        <v>22</v>
      </c>
      <c r="I164" t="s">
        <v>22</v>
      </c>
      <c r="J164" t="s">
        <v>17</v>
      </c>
      <c r="K164">
        <v>100</v>
      </c>
      <c r="L164">
        <v>111</v>
      </c>
      <c r="M164" t="s">
        <v>212</v>
      </c>
      <c r="N164" t="s">
        <v>213</v>
      </c>
      <c r="O164" t="s">
        <v>521</v>
      </c>
    </row>
    <row r="165" spans="1:15" x14ac:dyDescent="0.3">
      <c r="A165">
        <v>1083014</v>
      </c>
      <c r="B165" t="s">
        <v>233</v>
      </c>
      <c r="C165" t="s">
        <v>209</v>
      </c>
      <c r="D165" t="s">
        <v>209</v>
      </c>
      <c r="E165" t="s">
        <v>210</v>
      </c>
      <c r="G165" t="s">
        <v>223</v>
      </c>
      <c r="H165" t="s">
        <v>22</v>
      </c>
      <c r="I165" t="s">
        <v>22</v>
      </c>
      <c r="J165" t="s">
        <v>17</v>
      </c>
      <c r="K165">
        <v>100</v>
      </c>
      <c r="L165">
        <v>111</v>
      </c>
      <c r="M165" t="s">
        <v>212</v>
      </c>
      <c r="N165" t="s">
        <v>213</v>
      </c>
      <c r="O165" t="s">
        <v>521</v>
      </c>
    </row>
    <row r="166" spans="1:15" x14ac:dyDescent="0.3">
      <c r="A166">
        <v>1083014</v>
      </c>
      <c r="B166" t="s">
        <v>233</v>
      </c>
      <c r="C166" t="s">
        <v>209</v>
      </c>
      <c r="D166" t="s">
        <v>209</v>
      </c>
      <c r="E166" t="s">
        <v>210</v>
      </c>
      <c r="G166" t="s">
        <v>224</v>
      </c>
      <c r="H166" t="s">
        <v>22</v>
      </c>
      <c r="I166" t="s">
        <v>22</v>
      </c>
      <c r="J166" t="s">
        <v>17</v>
      </c>
      <c r="K166">
        <v>100</v>
      </c>
      <c r="L166">
        <v>111</v>
      </c>
      <c r="M166" t="s">
        <v>212</v>
      </c>
      <c r="N166" t="s">
        <v>213</v>
      </c>
      <c r="O166" t="s">
        <v>521</v>
      </c>
    </row>
    <row r="167" spans="1:15" x14ac:dyDescent="0.3">
      <c r="A167">
        <v>1083014</v>
      </c>
      <c r="B167" t="s">
        <v>233</v>
      </c>
      <c r="C167" t="s">
        <v>209</v>
      </c>
      <c r="D167" t="s">
        <v>209</v>
      </c>
      <c r="E167" t="s">
        <v>210</v>
      </c>
      <c r="G167" t="s">
        <v>225</v>
      </c>
      <c r="H167" t="s">
        <v>22</v>
      </c>
      <c r="I167" t="s">
        <v>22</v>
      </c>
      <c r="J167" t="s">
        <v>17</v>
      </c>
      <c r="K167">
        <v>100</v>
      </c>
      <c r="L167">
        <v>111</v>
      </c>
      <c r="M167" t="s">
        <v>212</v>
      </c>
      <c r="N167" t="s">
        <v>213</v>
      </c>
      <c r="O167" t="s">
        <v>521</v>
      </c>
    </row>
    <row r="168" spans="1:15" x14ac:dyDescent="0.3">
      <c r="A168">
        <v>1083014</v>
      </c>
      <c r="B168" t="s">
        <v>233</v>
      </c>
      <c r="C168" t="s">
        <v>209</v>
      </c>
      <c r="D168" t="s">
        <v>209</v>
      </c>
      <c r="E168" t="s">
        <v>210</v>
      </c>
      <c r="G168" t="s">
        <v>226</v>
      </c>
      <c r="H168" t="s">
        <v>22</v>
      </c>
      <c r="I168" t="s">
        <v>22</v>
      </c>
      <c r="J168" t="s">
        <v>17</v>
      </c>
      <c r="K168">
        <v>100</v>
      </c>
      <c r="L168">
        <v>111</v>
      </c>
      <c r="M168" t="s">
        <v>212</v>
      </c>
      <c r="N168" t="s">
        <v>213</v>
      </c>
      <c r="O168" t="s">
        <v>521</v>
      </c>
    </row>
    <row r="169" spans="1:15" x14ac:dyDescent="0.3">
      <c r="A169">
        <v>1083014</v>
      </c>
      <c r="B169" t="s">
        <v>233</v>
      </c>
      <c r="C169" t="s">
        <v>209</v>
      </c>
      <c r="D169" t="s">
        <v>209</v>
      </c>
      <c r="E169" t="s">
        <v>210</v>
      </c>
      <c r="G169" t="s">
        <v>227</v>
      </c>
      <c r="H169" t="s">
        <v>22</v>
      </c>
      <c r="I169" t="s">
        <v>22</v>
      </c>
      <c r="J169" t="s">
        <v>17</v>
      </c>
      <c r="K169">
        <v>100</v>
      </c>
      <c r="L169">
        <v>111</v>
      </c>
      <c r="M169" t="s">
        <v>212</v>
      </c>
      <c r="N169" t="s">
        <v>213</v>
      </c>
      <c r="O169" t="s">
        <v>521</v>
      </c>
    </row>
    <row r="170" spans="1:15" x14ac:dyDescent="0.3">
      <c r="A170">
        <v>1083014</v>
      </c>
      <c r="B170" t="s">
        <v>233</v>
      </c>
      <c r="C170" t="s">
        <v>209</v>
      </c>
      <c r="D170" t="s">
        <v>209</v>
      </c>
      <c r="E170" t="s">
        <v>210</v>
      </c>
      <c r="G170" t="s">
        <v>228</v>
      </c>
      <c r="H170" t="s">
        <v>22</v>
      </c>
      <c r="I170" t="s">
        <v>22</v>
      </c>
      <c r="J170" t="s">
        <v>17</v>
      </c>
      <c r="K170">
        <v>100</v>
      </c>
      <c r="L170">
        <v>111</v>
      </c>
      <c r="M170" t="s">
        <v>212</v>
      </c>
      <c r="N170" t="s">
        <v>213</v>
      </c>
      <c r="O170" t="s">
        <v>521</v>
      </c>
    </row>
    <row r="171" spans="1:15" x14ac:dyDescent="0.3">
      <c r="A171">
        <v>1083014</v>
      </c>
      <c r="B171" t="s">
        <v>233</v>
      </c>
      <c r="C171" t="s">
        <v>209</v>
      </c>
      <c r="D171" t="s">
        <v>209</v>
      </c>
      <c r="E171" t="s">
        <v>210</v>
      </c>
      <c r="G171" t="s">
        <v>229</v>
      </c>
      <c r="H171" t="s">
        <v>22</v>
      </c>
      <c r="I171" t="s">
        <v>22</v>
      </c>
      <c r="J171" t="s">
        <v>17</v>
      </c>
      <c r="K171">
        <v>100</v>
      </c>
      <c r="L171">
        <v>111</v>
      </c>
      <c r="M171" t="s">
        <v>212</v>
      </c>
      <c r="N171" t="s">
        <v>213</v>
      </c>
      <c r="O171" t="s">
        <v>521</v>
      </c>
    </row>
    <row r="172" spans="1:15" x14ac:dyDescent="0.3">
      <c r="A172">
        <v>1083014</v>
      </c>
      <c r="B172" t="s">
        <v>233</v>
      </c>
      <c r="C172" t="s">
        <v>209</v>
      </c>
      <c r="D172" t="s">
        <v>209</v>
      </c>
      <c r="E172" t="s">
        <v>210</v>
      </c>
      <c r="G172" t="s">
        <v>230</v>
      </c>
      <c r="H172" t="s">
        <v>22</v>
      </c>
      <c r="I172" t="s">
        <v>22</v>
      </c>
      <c r="J172" t="s">
        <v>17</v>
      </c>
      <c r="K172">
        <v>100</v>
      </c>
      <c r="L172">
        <v>111</v>
      </c>
      <c r="M172" t="s">
        <v>212</v>
      </c>
      <c r="N172" t="s">
        <v>213</v>
      </c>
      <c r="O172" t="s">
        <v>521</v>
      </c>
    </row>
    <row r="173" spans="1:15" x14ac:dyDescent="0.3">
      <c r="A173">
        <v>1083014</v>
      </c>
      <c r="B173" t="s">
        <v>233</v>
      </c>
      <c r="C173" t="s">
        <v>209</v>
      </c>
      <c r="D173" t="s">
        <v>209</v>
      </c>
      <c r="E173" t="s">
        <v>210</v>
      </c>
      <c r="G173" t="s">
        <v>231</v>
      </c>
      <c r="H173" t="s">
        <v>22</v>
      </c>
      <c r="I173" t="s">
        <v>22</v>
      </c>
      <c r="J173" t="s">
        <v>17</v>
      </c>
      <c r="K173">
        <v>100</v>
      </c>
      <c r="L173">
        <v>111</v>
      </c>
      <c r="M173" t="s">
        <v>212</v>
      </c>
      <c r="N173" t="s">
        <v>213</v>
      </c>
      <c r="O173" t="s">
        <v>521</v>
      </c>
    </row>
    <row r="174" spans="1:15" x14ac:dyDescent="0.3">
      <c r="A174">
        <v>1083014</v>
      </c>
      <c r="B174" t="s">
        <v>233</v>
      </c>
      <c r="C174" t="s">
        <v>209</v>
      </c>
      <c r="D174" t="s">
        <v>209</v>
      </c>
      <c r="E174" t="s">
        <v>210</v>
      </c>
      <c r="G174" t="s">
        <v>232</v>
      </c>
      <c r="H174" t="s">
        <v>22</v>
      </c>
      <c r="I174" t="s">
        <v>22</v>
      </c>
      <c r="J174" t="s">
        <v>17</v>
      </c>
      <c r="K174">
        <v>100</v>
      </c>
      <c r="L174">
        <v>111</v>
      </c>
      <c r="M174" t="s">
        <v>212</v>
      </c>
      <c r="N174" t="s">
        <v>213</v>
      </c>
      <c r="O174" t="s">
        <v>521</v>
      </c>
    </row>
    <row r="175" spans="1:15" x14ac:dyDescent="0.3">
      <c r="A175">
        <v>1083157</v>
      </c>
      <c r="B175" t="s">
        <v>234</v>
      </c>
      <c r="C175" t="s">
        <v>235</v>
      </c>
      <c r="H175" t="s">
        <v>16</v>
      </c>
      <c r="I175" t="s">
        <v>16</v>
      </c>
      <c r="J175" t="s">
        <v>17</v>
      </c>
      <c r="K175">
        <v>0</v>
      </c>
      <c r="L175">
        <v>0</v>
      </c>
      <c r="O175" t="s">
        <v>521</v>
      </c>
    </row>
    <row r="176" spans="1:15" x14ac:dyDescent="0.3">
      <c r="A176">
        <v>1083157</v>
      </c>
      <c r="B176" t="s">
        <v>234</v>
      </c>
      <c r="C176" t="s">
        <v>236</v>
      </c>
      <c r="H176" t="s">
        <v>16</v>
      </c>
      <c r="I176" t="s">
        <v>16</v>
      </c>
      <c r="J176" t="s">
        <v>17</v>
      </c>
      <c r="K176">
        <v>0</v>
      </c>
      <c r="L176">
        <v>0</v>
      </c>
      <c r="O176" t="s">
        <v>521</v>
      </c>
    </row>
    <row r="177" spans="1:15" x14ac:dyDescent="0.3">
      <c r="A177">
        <v>1083160</v>
      </c>
      <c r="B177" t="s">
        <v>237</v>
      </c>
      <c r="C177" t="s">
        <v>61</v>
      </c>
      <c r="H177" t="s">
        <v>16</v>
      </c>
      <c r="I177" t="s">
        <v>16</v>
      </c>
      <c r="J177" t="s">
        <v>17</v>
      </c>
      <c r="K177">
        <v>0</v>
      </c>
      <c r="L177">
        <v>0</v>
      </c>
      <c r="O177" t="s">
        <v>521</v>
      </c>
    </row>
    <row r="178" spans="1:15" x14ac:dyDescent="0.3">
      <c r="A178">
        <v>1083160</v>
      </c>
      <c r="B178" t="s">
        <v>237</v>
      </c>
      <c r="C178" t="s">
        <v>136</v>
      </c>
      <c r="H178" t="s">
        <v>16</v>
      </c>
      <c r="I178" t="s">
        <v>16</v>
      </c>
      <c r="J178" t="s">
        <v>17</v>
      </c>
      <c r="K178">
        <v>0</v>
      </c>
      <c r="L178">
        <v>0</v>
      </c>
      <c r="O178" t="s">
        <v>521</v>
      </c>
    </row>
    <row r="179" spans="1:15" x14ac:dyDescent="0.3">
      <c r="A179">
        <v>1084520</v>
      </c>
      <c r="B179" t="s">
        <v>238</v>
      </c>
      <c r="C179" t="s">
        <v>239</v>
      </c>
      <c r="D179" t="s">
        <v>239</v>
      </c>
      <c r="E179" t="s">
        <v>240</v>
      </c>
      <c r="H179" t="s">
        <v>22</v>
      </c>
      <c r="I179" t="s">
        <v>22</v>
      </c>
      <c r="J179" t="s">
        <v>17</v>
      </c>
      <c r="K179">
        <v>100</v>
      </c>
      <c r="L179">
        <v>112</v>
      </c>
      <c r="M179" t="s">
        <v>241</v>
      </c>
      <c r="N179" t="s">
        <v>242</v>
      </c>
      <c r="O179" t="s">
        <v>522</v>
      </c>
    </row>
    <row r="180" spans="1:15" x14ac:dyDescent="0.3">
      <c r="A180">
        <v>1084520</v>
      </c>
      <c r="B180" t="s">
        <v>238</v>
      </c>
      <c r="C180" t="s">
        <v>243</v>
      </c>
      <c r="D180" t="s">
        <v>243</v>
      </c>
      <c r="E180" t="s">
        <v>244</v>
      </c>
      <c r="H180" t="s">
        <v>22</v>
      </c>
      <c r="I180" t="s">
        <v>22</v>
      </c>
      <c r="J180" t="s">
        <v>17</v>
      </c>
      <c r="K180">
        <v>100</v>
      </c>
      <c r="L180">
        <v>111</v>
      </c>
      <c r="M180" t="s">
        <v>245</v>
      </c>
      <c r="N180" t="s">
        <v>246</v>
      </c>
      <c r="O180" t="s">
        <v>522</v>
      </c>
    </row>
    <row r="181" spans="1:15" x14ac:dyDescent="0.3">
      <c r="A181">
        <v>1084520</v>
      </c>
      <c r="B181" t="s">
        <v>238</v>
      </c>
      <c r="C181" t="s">
        <v>247</v>
      </c>
      <c r="D181" t="s">
        <v>248</v>
      </c>
      <c r="E181" t="s">
        <v>249</v>
      </c>
      <c r="H181" t="s">
        <v>46</v>
      </c>
      <c r="I181" t="s">
        <v>46</v>
      </c>
      <c r="J181" t="s">
        <v>17</v>
      </c>
      <c r="K181">
        <v>100</v>
      </c>
      <c r="L181">
        <v>50</v>
      </c>
      <c r="M181" t="s">
        <v>250</v>
      </c>
      <c r="N181" t="s">
        <v>251</v>
      </c>
      <c r="O181" t="s">
        <v>522</v>
      </c>
    </row>
    <row r="182" spans="1:15" x14ac:dyDescent="0.3">
      <c r="A182">
        <v>1084520</v>
      </c>
      <c r="B182" t="s">
        <v>238</v>
      </c>
      <c r="C182" t="s">
        <v>252</v>
      </c>
      <c r="D182" t="s">
        <v>252</v>
      </c>
      <c r="E182" t="s">
        <v>253</v>
      </c>
      <c r="H182" t="s">
        <v>22</v>
      </c>
      <c r="I182" t="s">
        <v>22</v>
      </c>
      <c r="J182" t="s">
        <v>17</v>
      </c>
      <c r="K182">
        <v>100</v>
      </c>
      <c r="L182">
        <v>112</v>
      </c>
      <c r="M182" t="s">
        <v>254</v>
      </c>
      <c r="N182" t="s">
        <v>255</v>
      </c>
      <c r="O182" t="s">
        <v>522</v>
      </c>
    </row>
    <row r="183" spans="1:15" x14ac:dyDescent="0.3">
      <c r="A183">
        <v>1084520</v>
      </c>
      <c r="B183" t="s">
        <v>238</v>
      </c>
      <c r="C183" t="s">
        <v>256</v>
      </c>
      <c r="D183" t="s">
        <v>257</v>
      </c>
      <c r="E183" t="s">
        <v>258</v>
      </c>
      <c r="G183" t="s">
        <v>259</v>
      </c>
      <c r="H183" t="s">
        <v>22</v>
      </c>
      <c r="I183" t="s">
        <v>22</v>
      </c>
      <c r="J183" t="s">
        <v>17</v>
      </c>
      <c r="K183">
        <v>93.8</v>
      </c>
      <c r="L183">
        <v>108.2</v>
      </c>
      <c r="O183" t="s">
        <v>521</v>
      </c>
    </row>
    <row r="184" spans="1:15" x14ac:dyDescent="0.3">
      <c r="A184">
        <v>1084520</v>
      </c>
      <c r="B184" t="s">
        <v>238</v>
      </c>
      <c r="C184" t="s">
        <v>256</v>
      </c>
      <c r="D184" t="s">
        <v>257</v>
      </c>
      <c r="E184" t="s">
        <v>258</v>
      </c>
      <c r="G184" t="s">
        <v>260</v>
      </c>
      <c r="H184" t="s">
        <v>22</v>
      </c>
      <c r="I184" t="s">
        <v>22</v>
      </c>
      <c r="J184" t="s">
        <v>17</v>
      </c>
      <c r="K184">
        <v>93.8</v>
      </c>
      <c r="L184">
        <v>108.2</v>
      </c>
      <c r="O184" t="s">
        <v>521</v>
      </c>
    </row>
    <row r="185" spans="1:15" x14ac:dyDescent="0.3">
      <c r="A185">
        <v>1084520</v>
      </c>
      <c r="B185" t="s">
        <v>238</v>
      </c>
      <c r="C185" t="s">
        <v>256</v>
      </c>
      <c r="D185" t="s">
        <v>257</v>
      </c>
      <c r="E185" t="s">
        <v>258</v>
      </c>
      <c r="G185" t="s">
        <v>261</v>
      </c>
      <c r="H185" t="s">
        <v>22</v>
      </c>
      <c r="I185" t="s">
        <v>22</v>
      </c>
      <c r="J185" t="s">
        <v>17</v>
      </c>
      <c r="K185">
        <v>93.8</v>
      </c>
      <c r="L185">
        <v>108.2</v>
      </c>
      <c r="O185" t="s">
        <v>521</v>
      </c>
    </row>
    <row r="186" spans="1:15" x14ac:dyDescent="0.3">
      <c r="A186">
        <v>1084520</v>
      </c>
      <c r="B186" t="s">
        <v>238</v>
      </c>
      <c r="C186" t="s">
        <v>256</v>
      </c>
      <c r="D186" t="s">
        <v>257</v>
      </c>
      <c r="E186" t="s">
        <v>258</v>
      </c>
      <c r="G186" t="s">
        <v>262</v>
      </c>
      <c r="H186" t="s">
        <v>22</v>
      </c>
      <c r="I186" t="s">
        <v>22</v>
      </c>
      <c r="J186" t="s">
        <v>17</v>
      </c>
      <c r="K186">
        <v>93.8</v>
      </c>
      <c r="L186">
        <v>108.2</v>
      </c>
      <c r="O186" t="s">
        <v>521</v>
      </c>
    </row>
    <row r="187" spans="1:15" x14ac:dyDescent="0.3">
      <c r="A187">
        <v>1084520</v>
      </c>
      <c r="B187" t="s">
        <v>238</v>
      </c>
      <c r="C187" t="s">
        <v>256</v>
      </c>
      <c r="D187" t="s">
        <v>257</v>
      </c>
      <c r="E187" t="s">
        <v>258</v>
      </c>
      <c r="G187" t="s">
        <v>263</v>
      </c>
      <c r="H187" t="s">
        <v>22</v>
      </c>
      <c r="I187" t="s">
        <v>22</v>
      </c>
      <c r="J187" t="s">
        <v>17</v>
      </c>
      <c r="K187">
        <v>93.8</v>
      </c>
      <c r="L187">
        <v>108.2</v>
      </c>
      <c r="O187" t="s">
        <v>521</v>
      </c>
    </row>
    <row r="188" spans="1:15" x14ac:dyDescent="0.3">
      <c r="A188">
        <v>1084520</v>
      </c>
      <c r="B188" t="s">
        <v>238</v>
      </c>
      <c r="C188" t="s">
        <v>256</v>
      </c>
      <c r="D188" t="s">
        <v>257</v>
      </c>
      <c r="E188" t="s">
        <v>258</v>
      </c>
      <c r="G188" t="s">
        <v>264</v>
      </c>
      <c r="H188" t="s">
        <v>22</v>
      </c>
      <c r="I188" t="s">
        <v>22</v>
      </c>
      <c r="J188" t="s">
        <v>17</v>
      </c>
      <c r="K188">
        <v>93.8</v>
      </c>
      <c r="L188">
        <v>108.2</v>
      </c>
      <c r="O188" t="s">
        <v>521</v>
      </c>
    </row>
    <row r="189" spans="1:15" x14ac:dyDescent="0.3">
      <c r="A189">
        <v>1084520</v>
      </c>
      <c r="B189" t="s">
        <v>238</v>
      </c>
      <c r="C189" t="s">
        <v>256</v>
      </c>
      <c r="D189" t="s">
        <v>257</v>
      </c>
      <c r="E189" t="s">
        <v>258</v>
      </c>
      <c r="G189" t="s">
        <v>265</v>
      </c>
      <c r="H189" t="s">
        <v>22</v>
      </c>
      <c r="I189" t="s">
        <v>22</v>
      </c>
      <c r="J189" t="s">
        <v>17</v>
      </c>
      <c r="K189">
        <v>93.8</v>
      </c>
      <c r="L189">
        <v>108.2</v>
      </c>
      <c r="O189" t="s">
        <v>521</v>
      </c>
    </row>
    <row r="190" spans="1:15" x14ac:dyDescent="0.3">
      <c r="A190">
        <v>1084520</v>
      </c>
      <c r="B190" t="s">
        <v>238</v>
      </c>
      <c r="C190" t="s">
        <v>256</v>
      </c>
      <c r="D190" t="s">
        <v>257</v>
      </c>
      <c r="E190" t="s">
        <v>258</v>
      </c>
      <c r="G190" t="s">
        <v>266</v>
      </c>
      <c r="H190" t="s">
        <v>22</v>
      </c>
      <c r="I190" t="s">
        <v>22</v>
      </c>
      <c r="J190" t="s">
        <v>17</v>
      </c>
      <c r="K190">
        <v>93.8</v>
      </c>
      <c r="L190">
        <v>108.2</v>
      </c>
      <c r="O190" t="s">
        <v>521</v>
      </c>
    </row>
    <row r="191" spans="1:15" x14ac:dyDescent="0.3">
      <c r="A191">
        <v>1084520</v>
      </c>
      <c r="B191" t="s">
        <v>238</v>
      </c>
      <c r="C191" t="s">
        <v>256</v>
      </c>
      <c r="D191" t="s">
        <v>257</v>
      </c>
      <c r="E191" t="s">
        <v>258</v>
      </c>
      <c r="G191" t="s">
        <v>267</v>
      </c>
      <c r="H191" t="s">
        <v>22</v>
      </c>
      <c r="I191" t="s">
        <v>22</v>
      </c>
      <c r="J191" t="s">
        <v>17</v>
      </c>
      <c r="K191">
        <v>93.8</v>
      </c>
      <c r="L191">
        <v>108.2</v>
      </c>
      <c r="O191" t="s">
        <v>521</v>
      </c>
    </row>
    <row r="192" spans="1:15" x14ac:dyDescent="0.3">
      <c r="A192">
        <v>1084520</v>
      </c>
      <c r="B192" t="s">
        <v>238</v>
      </c>
      <c r="C192" t="s">
        <v>256</v>
      </c>
      <c r="D192" t="s">
        <v>257</v>
      </c>
      <c r="E192" t="s">
        <v>258</v>
      </c>
      <c r="G192" t="s">
        <v>268</v>
      </c>
      <c r="H192" t="s">
        <v>22</v>
      </c>
      <c r="I192" t="s">
        <v>22</v>
      </c>
      <c r="J192" t="s">
        <v>17</v>
      </c>
      <c r="K192">
        <v>93.8</v>
      </c>
      <c r="L192">
        <v>108.2</v>
      </c>
      <c r="O192" t="s">
        <v>521</v>
      </c>
    </row>
    <row r="193" spans="1:15" x14ac:dyDescent="0.3">
      <c r="A193">
        <v>1084520</v>
      </c>
      <c r="B193" t="s">
        <v>238</v>
      </c>
      <c r="C193" t="s">
        <v>256</v>
      </c>
      <c r="D193" t="s">
        <v>257</v>
      </c>
      <c r="E193" t="s">
        <v>258</v>
      </c>
      <c r="G193" t="s">
        <v>269</v>
      </c>
      <c r="H193" t="s">
        <v>22</v>
      </c>
      <c r="I193" t="s">
        <v>22</v>
      </c>
      <c r="J193" t="s">
        <v>17</v>
      </c>
      <c r="K193">
        <v>93.8</v>
      </c>
      <c r="L193">
        <v>108.2</v>
      </c>
      <c r="O193" t="s">
        <v>521</v>
      </c>
    </row>
    <row r="194" spans="1:15" x14ac:dyDescent="0.3">
      <c r="A194">
        <v>1084520</v>
      </c>
      <c r="B194" t="s">
        <v>238</v>
      </c>
      <c r="C194" t="s">
        <v>256</v>
      </c>
      <c r="D194" t="s">
        <v>257</v>
      </c>
      <c r="E194" t="s">
        <v>258</v>
      </c>
      <c r="G194" t="s">
        <v>270</v>
      </c>
      <c r="H194" t="s">
        <v>22</v>
      </c>
      <c r="I194" t="s">
        <v>22</v>
      </c>
      <c r="J194" t="s">
        <v>17</v>
      </c>
      <c r="K194">
        <v>93.8</v>
      </c>
      <c r="L194">
        <v>108.2</v>
      </c>
      <c r="O194" t="s">
        <v>521</v>
      </c>
    </row>
    <row r="195" spans="1:15" x14ac:dyDescent="0.3">
      <c r="A195">
        <v>1084520</v>
      </c>
      <c r="B195" t="s">
        <v>238</v>
      </c>
      <c r="C195" t="s">
        <v>256</v>
      </c>
      <c r="D195" t="s">
        <v>257</v>
      </c>
      <c r="E195" t="s">
        <v>258</v>
      </c>
      <c r="G195" t="s">
        <v>271</v>
      </c>
      <c r="H195" t="s">
        <v>22</v>
      </c>
      <c r="I195" t="s">
        <v>22</v>
      </c>
      <c r="J195" t="s">
        <v>17</v>
      </c>
      <c r="K195">
        <v>93.8</v>
      </c>
      <c r="L195">
        <v>108.2</v>
      </c>
      <c r="O195" t="s">
        <v>521</v>
      </c>
    </row>
    <row r="196" spans="1:15" x14ac:dyDescent="0.3">
      <c r="A196">
        <v>1084520</v>
      </c>
      <c r="B196" t="s">
        <v>238</v>
      </c>
      <c r="C196" t="s">
        <v>256</v>
      </c>
      <c r="D196" t="s">
        <v>257</v>
      </c>
      <c r="E196" t="s">
        <v>258</v>
      </c>
      <c r="G196" t="s">
        <v>272</v>
      </c>
      <c r="H196" t="s">
        <v>22</v>
      </c>
      <c r="I196" t="s">
        <v>22</v>
      </c>
      <c r="J196" t="s">
        <v>17</v>
      </c>
      <c r="K196">
        <v>93.8</v>
      </c>
      <c r="L196">
        <v>108.2</v>
      </c>
      <c r="O196" t="s">
        <v>521</v>
      </c>
    </row>
    <row r="197" spans="1:15" x14ac:dyDescent="0.3">
      <c r="A197">
        <v>1084520</v>
      </c>
      <c r="B197" t="s">
        <v>238</v>
      </c>
      <c r="C197" t="s">
        <v>256</v>
      </c>
      <c r="D197" t="s">
        <v>257</v>
      </c>
      <c r="E197" t="s">
        <v>258</v>
      </c>
      <c r="G197" t="s">
        <v>273</v>
      </c>
      <c r="H197" t="s">
        <v>22</v>
      </c>
      <c r="I197" t="s">
        <v>22</v>
      </c>
      <c r="J197" t="s">
        <v>17</v>
      </c>
      <c r="K197">
        <v>93.8</v>
      </c>
      <c r="L197">
        <v>108.2</v>
      </c>
      <c r="O197" t="s">
        <v>521</v>
      </c>
    </row>
    <row r="198" spans="1:15" x14ac:dyDescent="0.3">
      <c r="A198">
        <v>1084520</v>
      </c>
      <c r="B198" t="s">
        <v>238</v>
      </c>
      <c r="C198" t="s">
        <v>256</v>
      </c>
      <c r="D198" t="s">
        <v>257</v>
      </c>
      <c r="E198" t="s">
        <v>258</v>
      </c>
      <c r="G198" t="s">
        <v>274</v>
      </c>
      <c r="H198" t="s">
        <v>22</v>
      </c>
      <c r="I198" t="s">
        <v>22</v>
      </c>
      <c r="J198" t="s">
        <v>17</v>
      </c>
      <c r="K198">
        <v>93.8</v>
      </c>
      <c r="L198">
        <v>108.2</v>
      </c>
      <c r="O198" t="s">
        <v>521</v>
      </c>
    </row>
    <row r="199" spans="1:15" x14ac:dyDescent="0.3">
      <c r="A199">
        <v>1084520</v>
      </c>
      <c r="B199" t="s">
        <v>238</v>
      </c>
      <c r="C199" t="s">
        <v>256</v>
      </c>
      <c r="D199" t="s">
        <v>257</v>
      </c>
      <c r="E199" t="s">
        <v>258</v>
      </c>
      <c r="G199" t="s">
        <v>275</v>
      </c>
      <c r="H199" t="s">
        <v>22</v>
      </c>
      <c r="I199" t="s">
        <v>22</v>
      </c>
      <c r="J199" t="s">
        <v>17</v>
      </c>
      <c r="K199">
        <v>93.8</v>
      </c>
      <c r="L199">
        <v>108.2</v>
      </c>
      <c r="O199" t="s">
        <v>521</v>
      </c>
    </row>
    <row r="200" spans="1:15" x14ac:dyDescent="0.3">
      <c r="A200">
        <v>1084520</v>
      </c>
      <c r="B200" t="s">
        <v>238</v>
      </c>
      <c r="C200" t="s">
        <v>256</v>
      </c>
      <c r="D200" t="s">
        <v>257</v>
      </c>
      <c r="E200" t="s">
        <v>258</v>
      </c>
      <c r="G200" t="s">
        <v>276</v>
      </c>
      <c r="H200" t="s">
        <v>22</v>
      </c>
      <c r="I200" t="s">
        <v>22</v>
      </c>
      <c r="J200" t="s">
        <v>17</v>
      </c>
      <c r="K200">
        <v>93.8</v>
      </c>
      <c r="L200">
        <v>108.2</v>
      </c>
      <c r="O200" t="s">
        <v>521</v>
      </c>
    </row>
    <row r="201" spans="1:15" x14ac:dyDescent="0.3">
      <c r="A201">
        <v>1084520</v>
      </c>
      <c r="B201" t="s">
        <v>238</v>
      </c>
      <c r="C201" t="s">
        <v>256</v>
      </c>
      <c r="D201" t="s">
        <v>257</v>
      </c>
      <c r="E201" t="s">
        <v>258</v>
      </c>
      <c r="G201" t="s">
        <v>277</v>
      </c>
      <c r="H201" t="s">
        <v>22</v>
      </c>
      <c r="I201" t="s">
        <v>22</v>
      </c>
      <c r="J201" t="s">
        <v>17</v>
      </c>
      <c r="K201">
        <v>93.8</v>
      </c>
      <c r="L201">
        <v>108.2</v>
      </c>
      <c r="O201" t="s">
        <v>521</v>
      </c>
    </row>
    <row r="202" spans="1:15" x14ac:dyDescent="0.3">
      <c r="A202">
        <v>1084520</v>
      </c>
      <c r="B202" t="s">
        <v>238</v>
      </c>
      <c r="C202" t="s">
        <v>256</v>
      </c>
      <c r="D202" t="s">
        <v>257</v>
      </c>
      <c r="E202" t="s">
        <v>258</v>
      </c>
      <c r="G202" t="s">
        <v>278</v>
      </c>
      <c r="H202" t="s">
        <v>22</v>
      </c>
      <c r="I202" t="s">
        <v>22</v>
      </c>
      <c r="J202" t="s">
        <v>17</v>
      </c>
      <c r="K202">
        <v>93.8</v>
      </c>
      <c r="L202">
        <v>108.2</v>
      </c>
      <c r="O202" t="s">
        <v>521</v>
      </c>
    </row>
    <row r="203" spans="1:15" x14ac:dyDescent="0.3">
      <c r="A203">
        <v>1084520</v>
      </c>
      <c r="B203" t="s">
        <v>238</v>
      </c>
      <c r="C203" t="s">
        <v>256</v>
      </c>
      <c r="D203" t="s">
        <v>257</v>
      </c>
      <c r="E203" t="s">
        <v>258</v>
      </c>
      <c r="G203" t="s">
        <v>279</v>
      </c>
      <c r="H203" t="s">
        <v>22</v>
      </c>
      <c r="I203" t="s">
        <v>22</v>
      </c>
      <c r="J203" t="s">
        <v>17</v>
      </c>
      <c r="K203">
        <v>93.8</v>
      </c>
      <c r="L203">
        <v>108.2</v>
      </c>
      <c r="O203" t="s">
        <v>521</v>
      </c>
    </row>
    <row r="204" spans="1:15" x14ac:dyDescent="0.3">
      <c r="A204">
        <v>1084520</v>
      </c>
      <c r="B204" t="s">
        <v>238</v>
      </c>
      <c r="C204" t="s">
        <v>256</v>
      </c>
      <c r="D204" t="s">
        <v>257</v>
      </c>
      <c r="E204" t="s">
        <v>258</v>
      </c>
      <c r="G204" t="s">
        <v>280</v>
      </c>
      <c r="H204" t="s">
        <v>22</v>
      </c>
      <c r="I204" t="s">
        <v>22</v>
      </c>
      <c r="J204" t="s">
        <v>17</v>
      </c>
      <c r="K204">
        <v>93.8</v>
      </c>
      <c r="L204">
        <v>108.2</v>
      </c>
      <c r="O204" t="s">
        <v>521</v>
      </c>
    </row>
    <row r="205" spans="1:15" x14ac:dyDescent="0.3">
      <c r="A205">
        <v>1084520</v>
      </c>
      <c r="B205" t="s">
        <v>238</v>
      </c>
      <c r="C205" t="s">
        <v>256</v>
      </c>
      <c r="D205" t="s">
        <v>257</v>
      </c>
      <c r="E205" t="s">
        <v>258</v>
      </c>
      <c r="G205" t="s">
        <v>281</v>
      </c>
      <c r="H205" t="s">
        <v>22</v>
      </c>
      <c r="I205" t="s">
        <v>22</v>
      </c>
      <c r="J205" t="s">
        <v>17</v>
      </c>
      <c r="K205">
        <v>93.8</v>
      </c>
      <c r="L205">
        <v>108.2</v>
      </c>
      <c r="O205" t="s">
        <v>521</v>
      </c>
    </row>
    <row r="206" spans="1:15" x14ac:dyDescent="0.3">
      <c r="A206">
        <v>1084520</v>
      </c>
      <c r="B206" t="s">
        <v>238</v>
      </c>
      <c r="C206" t="s">
        <v>256</v>
      </c>
      <c r="D206" t="s">
        <v>257</v>
      </c>
      <c r="E206" t="s">
        <v>258</v>
      </c>
      <c r="G206" t="s">
        <v>282</v>
      </c>
      <c r="H206" t="s">
        <v>22</v>
      </c>
      <c r="I206" t="s">
        <v>22</v>
      </c>
      <c r="J206" t="s">
        <v>17</v>
      </c>
      <c r="K206">
        <v>93.8</v>
      </c>
      <c r="L206">
        <v>108.2</v>
      </c>
      <c r="O206" t="s">
        <v>521</v>
      </c>
    </row>
    <row r="207" spans="1:15" x14ac:dyDescent="0.3">
      <c r="A207">
        <v>1084520</v>
      </c>
      <c r="B207" t="s">
        <v>238</v>
      </c>
      <c r="C207" t="s">
        <v>256</v>
      </c>
      <c r="D207" t="s">
        <v>257</v>
      </c>
      <c r="E207" t="s">
        <v>258</v>
      </c>
      <c r="G207" t="s">
        <v>283</v>
      </c>
      <c r="H207" t="s">
        <v>22</v>
      </c>
      <c r="I207" t="s">
        <v>22</v>
      </c>
      <c r="J207" t="s">
        <v>17</v>
      </c>
      <c r="K207">
        <v>93.8</v>
      </c>
      <c r="L207">
        <v>108.2</v>
      </c>
      <c r="O207" t="s">
        <v>521</v>
      </c>
    </row>
    <row r="208" spans="1:15" x14ac:dyDescent="0.3">
      <c r="A208">
        <v>1084520</v>
      </c>
      <c r="B208" t="s">
        <v>238</v>
      </c>
      <c r="C208" t="s">
        <v>256</v>
      </c>
      <c r="D208" t="s">
        <v>257</v>
      </c>
      <c r="E208" t="s">
        <v>258</v>
      </c>
      <c r="G208" t="s">
        <v>284</v>
      </c>
      <c r="H208" t="s">
        <v>22</v>
      </c>
      <c r="I208" t="s">
        <v>22</v>
      </c>
      <c r="J208" t="s">
        <v>17</v>
      </c>
      <c r="K208">
        <v>93.8</v>
      </c>
      <c r="L208">
        <v>108.2</v>
      </c>
      <c r="O208" t="s">
        <v>521</v>
      </c>
    </row>
    <row r="209" spans="1:15" x14ac:dyDescent="0.3">
      <c r="A209">
        <v>1084520</v>
      </c>
      <c r="B209" t="s">
        <v>238</v>
      </c>
      <c r="C209" t="s">
        <v>256</v>
      </c>
      <c r="D209" t="s">
        <v>257</v>
      </c>
      <c r="E209" t="s">
        <v>258</v>
      </c>
      <c r="G209" t="s">
        <v>285</v>
      </c>
      <c r="H209" t="s">
        <v>22</v>
      </c>
      <c r="I209" t="s">
        <v>22</v>
      </c>
      <c r="J209" t="s">
        <v>17</v>
      </c>
      <c r="K209">
        <v>93.8</v>
      </c>
      <c r="L209">
        <v>108.2</v>
      </c>
      <c r="O209" t="s">
        <v>521</v>
      </c>
    </row>
    <row r="210" spans="1:15" x14ac:dyDescent="0.3">
      <c r="A210">
        <v>1084520</v>
      </c>
      <c r="B210" t="s">
        <v>238</v>
      </c>
      <c r="C210" t="s">
        <v>256</v>
      </c>
      <c r="D210" t="s">
        <v>257</v>
      </c>
      <c r="E210" t="s">
        <v>258</v>
      </c>
      <c r="G210" t="s">
        <v>286</v>
      </c>
      <c r="H210" t="s">
        <v>22</v>
      </c>
      <c r="I210" t="s">
        <v>22</v>
      </c>
      <c r="J210" t="s">
        <v>17</v>
      </c>
      <c r="K210">
        <v>93.8</v>
      </c>
      <c r="L210">
        <v>108.2</v>
      </c>
      <c r="O210" t="s">
        <v>521</v>
      </c>
    </row>
    <row r="211" spans="1:15" x14ac:dyDescent="0.3">
      <c r="A211">
        <v>1084520</v>
      </c>
      <c r="B211" t="s">
        <v>238</v>
      </c>
      <c r="C211" t="s">
        <v>256</v>
      </c>
      <c r="D211" t="s">
        <v>257</v>
      </c>
      <c r="E211" t="s">
        <v>258</v>
      </c>
      <c r="G211" t="s">
        <v>287</v>
      </c>
      <c r="H211" t="s">
        <v>22</v>
      </c>
      <c r="I211" t="s">
        <v>22</v>
      </c>
      <c r="J211" t="s">
        <v>17</v>
      </c>
      <c r="K211">
        <v>93.8</v>
      </c>
      <c r="L211">
        <v>108.2</v>
      </c>
      <c r="O211" t="s">
        <v>521</v>
      </c>
    </row>
    <row r="212" spans="1:15" x14ac:dyDescent="0.3">
      <c r="A212">
        <v>1084520</v>
      </c>
      <c r="B212" t="s">
        <v>238</v>
      </c>
      <c r="C212" t="s">
        <v>256</v>
      </c>
      <c r="D212" t="s">
        <v>257</v>
      </c>
      <c r="E212" t="s">
        <v>258</v>
      </c>
      <c r="G212" t="s">
        <v>288</v>
      </c>
      <c r="H212" t="s">
        <v>22</v>
      </c>
      <c r="I212" t="s">
        <v>22</v>
      </c>
      <c r="J212" t="s">
        <v>17</v>
      </c>
      <c r="K212">
        <v>93.8</v>
      </c>
      <c r="L212">
        <v>108.2</v>
      </c>
      <c r="O212" t="s">
        <v>521</v>
      </c>
    </row>
    <row r="213" spans="1:15" x14ac:dyDescent="0.3">
      <c r="A213">
        <v>1084520</v>
      </c>
      <c r="B213" t="s">
        <v>238</v>
      </c>
      <c r="C213" t="s">
        <v>256</v>
      </c>
      <c r="D213" t="s">
        <v>257</v>
      </c>
      <c r="E213" t="s">
        <v>258</v>
      </c>
      <c r="G213" t="s">
        <v>289</v>
      </c>
      <c r="H213" t="s">
        <v>22</v>
      </c>
      <c r="I213" t="s">
        <v>22</v>
      </c>
      <c r="J213" t="s">
        <v>17</v>
      </c>
      <c r="K213">
        <v>93.8</v>
      </c>
      <c r="L213">
        <v>108.2</v>
      </c>
      <c r="O213" t="s">
        <v>521</v>
      </c>
    </row>
    <row r="214" spans="1:15" x14ac:dyDescent="0.3">
      <c r="A214">
        <v>1084520</v>
      </c>
      <c r="B214" t="s">
        <v>238</v>
      </c>
      <c r="C214" t="s">
        <v>256</v>
      </c>
      <c r="D214" t="s">
        <v>257</v>
      </c>
      <c r="E214" t="s">
        <v>258</v>
      </c>
      <c r="G214" t="s">
        <v>290</v>
      </c>
      <c r="H214" t="s">
        <v>22</v>
      </c>
      <c r="I214" t="s">
        <v>22</v>
      </c>
      <c r="J214" t="s">
        <v>17</v>
      </c>
      <c r="K214">
        <v>93.8</v>
      </c>
      <c r="L214">
        <v>108.2</v>
      </c>
      <c r="O214" t="s">
        <v>521</v>
      </c>
    </row>
    <row r="215" spans="1:15" x14ac:dyDescent="0.3">
      <c r="A215">
        <v>1084520</v>
      </c>
      <c r="B215" t="s">
        <v>238</v>
      </c>
      <c r="C215" t="s">
        <v>256</v>
      </c>
      <c r="D215" t="s">
        <v>257</v>
      </c>
      <c r="E215" t="s">
        <v>258</v>
      </c>
      <c r="G215" t="s">
        <v>291</v>
      </c>
      <c r="H215" t="s">
        <v>22</v>
      </c>
      <c r="I215" t="s">
        <v>22</v>
      </c>
      <c r="J215" t="s">
        <v>17</v>
      </c>
      <c r="K215">
        <v>93.8</v>
      </c>
      <c r="L215">
        <v>108.2</v>
      </c>
      <c r="O215" t="s">
        <v>521</v>
      </c>
    </row>
    <row r="216" spans="1:15" x14ac:dyDescent="0.3">
      <c r="A216">
        <v>1084520</v>
      </c>
      <c r="B216" t="s">
        <v>238</v>
      </c>
      <c r="C216" t="s">
        <v>256</v>
      </c>
      <c r="D216" t="s">
        <v>257</v>
      </c>
      <c r="E216" t="s">
        <v>258</v>
      </c>
      <c r="G216" t="s">
        <v>292</v>
      </c>
      <c r="H216" t="s">
        <v>22</v>
      </c>
      <c r="I216" t="s">
        <v>22</v>
      </c>
      <c r="J216" t="s">
        <v>17</v>
      </c>
      <c r="K216">
        <v>93.8</v>
      </c>
      <c r="L216">
        <v>108.2</v>
      </c>
      <c r="O216" t="s">
        <v>521</v>
      </c>
    </row>
    <row r="217" spans="1:15" x14ac:dyDescent="0.3">
      <c r="A217">
        <v>1084520</v>
      </c>
      <c r="B217" t="s">
        <v>238</v>
      </c>
      <c r="C217" t="s">
        <v>256</v>
      </c>
      <c r="D217" t="s">
        <v>257</v>
      </c>
      <c r="E217" t="s">
        <v>258</v>
      </c>
      <c r="G217" t="s">
        <v>293</v>
      </c>
      <c r="H217" t="s">
        <v>22</v>
      </c>
      <c r="I217" t="s">
        <v>22</v>
      </c>
      <c r="J217" t="s">
        <v>17</v>
      </c>
      <c r="K217">
        <v>93.8</v>
      </c>
      <c r="L217">
        <v>108.2</v>
      </c>
      <c r="O217" t="s">
        <v>521</v>
      </c>
    </row>
    <row r="218" spans="1:15" x14ac:dyDescent="0.3">
      <c r="A218">
        <v>1084520</v>
      </c>
      <c r="B218" t="s">
        <v>238</v>
      </c>
      <c r="C218" t="s">
        <v>256</v>
      </c>
      <c r="D218" t="s">
        <v>257</v>
      </c>
      <c r="E218" t="s">
        <v>258</v>
      </c>
      <c r="G218" t="s">
        <v>294</v>
      </c>
      <c r="H218" t="s">
        <v>22</v>
      </c>
      <c r="I218" t="s">
        <v>22</v>
      </c>
      <c r="J218" t="s">
        <v>17</v>
      </c>
      <c r="K218">
        <v>93.8</v>
      </c>
      <c r="L218">
        <v>108.2</v>
      </c>
      <c r="O218" t="s">
        <v>521</v>
      </c>
    </row>
    <row r="219" spans="1:15" x14ac:dyDescent="0.3">
      <c r="A219">
        <v>1084520</v>
      </c>
      <c r="B219" t="s">
        <v>238</v>
      </c>
      <c r="C219" t="s">
        <v>256</v>
      </c>
      <c r="D219" t="s">
        <v>257</v>
      </c>
      <c r="E219" t="s">
        <v>258</v>
      </c>
      <c r="G219" t="s">
        <v>295</v>
      </c>
      <c r="H219" t="s">
        <v>22</v>
      </c>
      <c r="I219" t="s">
        <v>22</v>
      </c>
      <c r="J219" t="s">
        <v>17</v>
      </c>
      <c r="K219">
        <v>93.8</v>
      </c>
      <c r="L219">
        <v>108.2</v>
      </c>
      <c r="O219" t="s">
        <v>521</v>
      </c>
    </row>
    <row r="220" spans="1:15" x14ac:dyDescent="0.3">
      <c r="A220">
        <v>1084520</v>
      </c>
      <c r="B220" t="s">
        <v>238</v>
      </c>
      <c r="C220" t="s">
        <v>256</v>
      </c>
      <c r="D220" t="s">
        <v>257</v>
      </c>
      <c r="E220" t="s">
        <v>258</v>
      </c>
      <c r="G220" t="s">
        <v>296</v>
      </c>
      <c r="H220" t="s">
        <v>22</v>
      </c>
      <c r="I220" t="s">
        <v>22</v>
      </c>
      <c r="J220" t="s">
        <v>17</v>
      </c>
      <c r="K220">
        <v>93.8</v>
      </c>
      <c r="L220">
        <v>108.2</v>
      </c>
      <c r="O220" t="s">
        <v>521</v>
      </c>
    </row>
    <row r="221" spans="1:15" x14ac:dyDescent="0.3">
      <c r="A221">
        <v>1084520</v>
      </c>
      <c r="B221" t="s">
        <v>238</v>
      </c>
      <c r="C221" t="s">
        <v>297</v>
      </c>
      <c r="D221" t="s">
        <v>298</v>
      </c>
      <c r="E221" t="s">
        <v>299</v>
      </c>
      <c r="G221" t="s">
        <v>300</v>
      </c>
      <c r="H221" t="s">
        <v>46</v>
      </c>
      <c r="I221" t="s">
        <v>46</v>
      </c>
      <c r="J221" t="s">
        <v>17</v>
      </c>
      <c r="K221">
        <v>100</v>
      </c>
      <c r="L221">
        <v>50</v>
      </c>
      <c r="O221" t="s">
        <v>521</v>
      </c>
    </row>
    <row r="222" spans="1:15" x14ac:dyDescent="0.3">
      <c r="A222">
        <v>1084520</v>
      </c>
      <c r="B222" t="s">
        <v>238</v>
      </c>
      <c r="C222" t="s">
        <v>297</v>
      </c>
      <c r="D222" t="s">
        <v>298</v>
      </c>
      <c r="E222" t="s">
        <v>299</v>
      </c>
      <c r="G222" t="s">
        <v>301</v>
      </c>
      <c r="H222" t="s">
        <v>46</v>
      </c>
      <c r="I222" t="s">
        <v>46</v>
      </c>
      <c r="J222" t="s">
        <v>17</v>
      </c>
      <c r="K222">
        <v>100</v>
      </c>
      <c r="L222">
        <v>50</v>
      </c>
      <c r="O222" t="s">
        <v>521</v>
      </c>
    </row>
    <row r="223" spans="1:15" x14ac:dyDescent="0.3">
      <c r="A223">
        <v>1084520</v>
      </c>
      <c r="B223" t="s">
        <v>238</v>
      </c>
      <c r="C223" t="s">
        <v>297</v>
      </c>
      <c r="D223" t="s">
        <v>298</v>
      </c>
      <c r="E223" t="s">
        <v>299</v>
      </c>
      <c r="G223" t="s">
        <v>302</v>
      </c>
      <c r="H223" t="s">
        <v>46</v>
      </c>
      <c r="I223" t="s">
        <v>46</v>
      </c>
      <c r="J223" t="s">
        <v>17</v>
      </c>
      <c r="K223">
        <v>100</v>
      </c>
      <c r="L223">
        <v>50</v>
      </c>
      <c r="O223" t="s">
        <v>521</v>
      </c>
    </row>
    <row r="224" spans="1:15" x14ac:dyDescent="0.3">
      <c r="A224">
        <v>1084520</v>
      </c>
      <c r="B224" t="s">
        <v>238</v>
      </c>
      <c r="C224" t="s">
        <v>297</v>
      </c>
      <c r="D224" t="s">
        <v>298</v>
      </c>
      <c r="E224" t="s">
        <v>299</v>
      </c>
      <c r="G224" t="s">
        <v>303</v>
      </c>
      <c r="H224" t="s">
        <v>46</v>
      </c>
      <c r="I224" t="s">
        <v>46</v>
      </c>
      <c r="J224" t="s">
        <v>17</v>
      </c>
      <c r="K224">
        <v>100</v>
      </c>
      <c r="L224">
        <v>50</v>
      </c>
      <c r="O224" t="s">
        <v>521</v>
      </c>
    </row>
    <row r="225" spans="1:15" x14ac:dyDescent="0.3">
      <c r="A225">
        <v>1084520</v>
      </c>
      <c r="B225" t="s">
        <v>238</v>
      </c>
      <c r="C225" t="s">
        <v>297</v>
      </c>
      <c r="D225" t="s">
        <v>298</v>
      </c>
      <c r="E225" t="s">
        <v>299</v>
      </c>
      <c r="G225" t="s">
        <v>304</v>
      </c>
      <c r="H225" t="s">
        <v>46</v>
      </c>
      <c r="I225" t="s">
        <v>46</v>
      </c>
      <c r="J225" t="s">
        <v>17</v>
      </c>
      <c r="K225">
        <v>100</v>
      </c>
      <c r="L225">
        <v>50</v>
      </c>
      <c r="O225" t="s">
        <v>521</v>
      </c>
    </row>
    <row r="226" spans="1:15" x14ac:dyDescent="0.3">
      <c r="A226">
        <v>1084520</v>
      </c>
      <c r="B226" t="s">
        <v>238</v>
      </c>
      <c r="C226" t="s">
        <v>297</v>
      </c>
      <c r="D226" t="s">
        <v>298</v>
      </c>
      <c r="E226" t="s">
        <v>299</v>
      </c>
      <c r="G226" t="s">
        <v>305</v>
      </c>
      <c r="H226" t="s">
        <v>46</v>
      </c>
      <c r="I226" t="s">
        <v>46</v>
      </c>
      <c r="J226" t="s">
        <v>17</v>
      </c>
      <c r="K226">
        <v>100</v>
      </c>
      <c r="L226">
        <v>50</v>
      </c>
      <c r="O226" t="s">
        <v>521</v>
      </c>
    </row>
    <row r="227" spans="1:15" x14ac:dyDescent="0.3">
      <c r="A227">
        <v>1084657</v>
      </c>
      <c r="B227" t="s">
        <v>306</v>
      </c>
      <c r="C227" t="s">
        <v>307</v>
      </c>
      <c r="D227" t="s">
        <v>307</v>
      </c>
      <c r="E227" t="s">
        <v>308</v>
      </c>
      <c r="H227" t="s">
        <v>22</v>
      </c>
      <c r="I227" t="s">
        <v>22</v>
      </c>
      <c r="J227" t="s">
        <v>17</v>
      </c>
      <c r="K227">
        <v>100</v>
      </c>
      <c r="L227">
        <v>112</v>
      </c>
      <c r="M227" t="s">
        <v>196</v>
      </c>
      <c r="N227" t="s">
        <v>197</v>
      </c>
      <c r="O227" t="s">
        <v>522</v>
      </c>
    </row>
    <row r="228" spans="1:15" x14ac:dyDescent="0.3">
      <c r="A228">
        <v>1084657</v>
      </c>
      <c r="B228" t="s">
        <v>306</v>
      </c>
      <c r="C228" t="s">
        <v>309</v>
      </c>
      <c r="D228" t="s">
        <v>309</v>
      </c>
      <c r="E228" t="s">
        <v>310</v>
      </c>
      <c r="H228" t="s">
        <v>22</v>
      </c>
      <c r="I228" t="s">
        <v>22</v>
      </c>
      <c r="J228" t="s">
        <v>17</v>
      </c>
      <c r="K228">
        <v>100</v>
      </c>
      <c r="L228">
        <v>111</v>
      </c>
      <c r="M228" t="s">
        <v>311</v>
      </c>
      <c r="N228" t="s">
        <v>312</v>
      </c>
      <c r="O228" t="s">
        <v>522</v>
      </c>
    </row>
    <row r="229" spans="1:15" x14ac:dyDescent="0.3">
      <c r="A229">
        <v>1084657</v>
      </c>
      <c r="B229" t="s">
        <v>306</v>
      </c>
      <c r="C229" t="s">
        <v>313</v>
      </c>
      <c r="D229" t="s">
        <v>314</v>
      </c>
      <c r="E229" t="s">
        <v>315</v>
      </c>
      <c r="F229">
        <v>119510333</v>
      </c>
      <c r="G229" t="s">
        <v>316</v>
      </c>
      <c r="H229" t="s">
        <v>22</v>
      </c>
      <c r="I229" t="s">
        <v>22</v>
      </c>
      <c r="J229" t="s">
        <v>17</v>
      </c>
      <c r="K229">
        <v>94.1</v>
      </c>
      <c r="L229">
        <v>108.5</v>
      </c>
      <c r="M229" t="s">
        <v>317</v>
      </c>
      <c r="N229" t="s">
        <v>318</v>
      </c>
      <c r="O229" t="s">
        <v>521</v>
      </c>
    </row>
    <row r="230" spans="1:15" x14ac:dyDescent="0.3">
      <c r="A230">
        <v>1084657</v>
      </c>
      <c r="B230" t="s">
        <v>306</v>
      </c>
      <c r="C230" t="s">
        <v>313</v>
      </c>
      <c r="D230" t="s">
        <v>314</v>
      </c>
      <c r="E230" t="s">
        <v>315</v>
      </c>
      <c r="F230">
        <v>119510333</v>
      </c>
      <c r="G230" t="s">
        <v>319</v>
      </c>
      <c r="H230" t="s">
        <v>22</v>
      </c>
      <c r="I230" t="s">
        <v>22</v>
      </c>
      <c r="J230" t="s">
        <v>17</v>
      </c>
      <c r="K230">
        <v>94.1</v>
      </c>
      <c r="L230">
        <v>108.5</v>
      </c>
      <c r="M230" t="s">
        <v>317</v>
      </c>
      <c r="N230" t="s">
        <v>318</v>
      </c>
      <c r="O230" t="s">
        <v>521</v>
      </c>
    </row>
    <row r="231" spans="1:15" x14ac:dyDescent="0.3">
      <c r="A231">
        <v>1084657</v>
      </c>
      <c r="B231" t="s">
        <v>306</v>
      </c>
      <c r="C231" t="s">
        <v>313</v>
      </c>
      <c r="D231" t="s">
        <v>314</v>
      </c>
      <c r="E231" t="s">
        <v>315</v>
      </c>
      <c r="F231">
        <v>119510333</v>
      </c>
      <c r="G231" t="s">
        <v>320</v>
      </c>
      <c r="H231" t="s">
        <v>22</v>
      </c>
      <c r="I231" t="s">
        <v>22</v>
      </c>
      <c r="J231" t="s">
        <v>17</v>
      </c>
      <c r="K231">
        <v>94.1</v>
      </c>
      <c r="L231">
        <v>108.5</v>
      </c>
      <c r="M231" t="s">
        <v>317</v>
      </c>
      <c r="N231" t="s">
        <v>318</v>
      </c>
      <c r="O231" t="s">
        <v>521</v>
      </c>
    </row>
    <row r="232" spans="1:15" x14ac:dyDescent="0.3">
      <c r="A232">
        <v>1084657</v>
      </c>
      <c r="B232" t="s">
        <v>306</v>
      </c>
      <c r="C232" t="s">
        <v>313</v>
      </c>
      <c r="D232" t="s">
        <v>314</v>
      </c>
      <c r="E232" t="s">
        <v>315</v>
      </c>
      <c r="F232">
        <v>119510333</v>
      </c>
      <c r="G232" t="s">
        <v>321</v>
      </c>
      <c r="H232" t="s">
        <v>22</v>
      </c>
      <c r="I232" t="s">
        <v>22</v>
      </c>
      <c r="J232" t="s">
        <v>17</v>
      </c>
      <c r="K232">
        <v>94.1</v>
      </c>
      <c r="L232">
        <v>108.5</v>
      </c>
      <c r="M232" t="s">
        <v>317</v>
      </c>
      <c r="N232" t="s">
        <v>318</v>
      </c>
      <c r="O232" t="s">
        <v>521</v>
      </c>
    </row>
    <row r="233" spans="1:15" x14ac:dyDescent="0.3">
      <c r="A233">
        <v>1084657</v>
      </c>
      <c r="B233" t="s">
        <v>306</v>
      </c>
      <c r="C233" t="s">
        <v>313</v>
      </c>
      <c r="D233" t="s">
        <v>314</v>
      </c>
      <c r="E233" t="s">
        <v>315</v>
      </c>
      <c r="F233">
        <v>119510333</v>
      </c>
      <c r="G233" t="s">
        <v>322</v>
      </c>
      <c r="H233" t="s">
        <v>22</v>
      </c>
      <c r="I233" t="s">
        <v>22</v>
      </c>
      <c r="J233" t="s">
        <v>17</v>
      </c>
      <c r="K233">
        <v>94.1</v>
      </c>
      <c r="L233">
        <v>108.5</v>
      </c>
      <c r="M233" t="s">
        <v>317</v>
      </c>
      <c r="N233" t="s">
        <v>318</v>
      </c>
      <c r="O233" t="s">
        <v>521</v>
      </c>
    </row>
    <row r="234" spans="1:15" x14ac:dyDescent="0.3">
      <c r="A234">
        <v>1084657</v>
      </c>
      <c r="B234" t="s">
        <v>306</v>
      </c>
      <c r="C234" t="s">
        <v>313</v>
      </c>
      <c r="D234" t="s">
        <v>314</v>
      </c>
      <c r="E234" t="s">
        <v>315</v>
      </c>
      <c r="F234">
        <v>119510333</v>
      </c>
      <c r="G234" t="s">
        <v>323</v>
      </c>
      <c r="H234" t="s">
        <v>22</v>
      </c>
      <c r="I234" t="s">
        <v>22</v>
      </c>
      <c r="J234" t="s">
        <v>17</v>
      </c>
      <c r="K234">
        <v>94.1</v>
      </c>
      <c r="L234">
        <v>108.5</v>
      </c>
      <c r="M234" t="s">
        <v>317</v>
      </c>
      <c r="N234" t="s">
        <v>318</v>
      </c>
      <c r="O234" t="s">
        <v>521</v>
      </c>
    </row>
    <row r="235" spans="1:15" x14ac:dyDescent="0.3">
      <c r="A235">
        <v>1084657</v>
      </c>
      <c r="B235" t="s">
        <v>306</v>
      </c>
      <c r="C235" t="s">
        <v>313</v>
      </c>
      <c r="D235" t="s">
        <v>314</v>
      </c>
      <c r="E235" t="s">
        <v>315</v>
      </c>
      <c r="F235">
        <v>119510333</v>
      </c>
      <c r="G235" t="s">
        <v>324</v>
      </c>
      <c r="H235" t="s">
        <v>22</v>
      </c>
      <c r="I235" t="s">
        <v>22</v>
      </c>
      <c r="J235" t="s">
        <v>17</v>
      </c>
      <c r="K235">
        <v>94.1</v>
      </c>
      <c r="L235">
        <v>108.5</v>
      </c>
      <c r="M235" t="s">
        <v>317</v>
      </c>
      <c r="N235" t="s">
        <v>318</v>
      </c>
      <c r="O235" t="s">
        <v>521</v>
      </c>
    </row>
    <row r="236" spans="1:15" x14ac:dyDescent="0.3">
      <c r="A236">
        <v>1084657</v>
      </c>
      <c r="B236" t="s">
        <v>306</v>
      </c>
      <c r="C236" t="s">
        <v>313</v>
      </c>
      <c r="D236" t="s">
        <v>314</v>
      </c>
      <c r="E236" t="s">
        <v>315</v>
      </c>
      <c r="F236">
        <v>119510333</v>
      </c>
      <c r="G236" t="s">
        <v>325</v>
      </c>
      <c r="H236" t="s">
        <v>22</v>
      </c>
      <c r="I236" t="s">
        <v>22</v>
      </c>
      <c r="J236" t="s">
        <v>17</v>
      </c>
      <c r="K236">
        <v>94.1</v>
      </c>
      <c r="L236">
        <v>108.5</v>
      </c>
      <c r="M236" t="s">
        <v>317</v>
      </c>
      <c r="N236" t="s">
        <v>318</v>
      </c>
      <c r="O236" t="s">
        <v>521</v>
      </c>
    </row>
    <row r="237" spans="1:15" x14ac:dyDescent="0.3">
      <c r="A237">
        <v>1084657</v>
      </c>
      <c r="B237" t="s">
        <v>306</v>
      </c>
      <c r="C237" t="s">
        <v>313</v>
      </c>
      <c r="D237" t="s">
        <v>314</v>
      </c>
      <c r="E237" t="s">
        <v>315</v>
      </c>
      <c r="F237">
        <v>119510333</v>
      </c>
      <c r="G237" t="s">
        <v>326</v>
      </c>
      <c r="H237" t="s">
        <v>22</v>
      </c>
      <c r="I237" t="s">
        <v>22</v>
      </c>
      <c r="J237" t="s">
        <v>17</v>
      </c>
      <c r="K237">
        <v>94.1</v>
      </c>
      <c r="L237">
        <v>108.5</v>
      </c>
      <c r="M237" t="s">
        <v>317</v>
      </c>
      <c r="N237" t="s">
        <v>318</v>
      </c>
      <c r="O237" t="s">
        <v>521</v>
      </c>
    </row>
    <row r="238" spans="1:15" x14ac:dyDescent="0.3">
      <c r="A238">
        <v>1084657</v>
      </c>
      <c r="B238" t="s">
        <v>306</v>
      </c>
      <c r="C238" t="s">
        <v>313</v>
      </c>
      <c r="D238" t="s">
        <v>314</v>
      </c>
      <c r="E238" t="s">
        <v>315</v>
      </c>
      <c r="F238">
        <v>119510333</v>
      </c>
      <c r="G238" t="s">
        <v>327</v>
      </c>
      <c r="H238" t="s">
        <v>22</v>
      </c>
      <c r="I238" t="s">
        <v>22</v>
      </c>
      <c r="J238" t="s">
        <v>17</v>
      </c>
      <c r="K238">
        <v>94.1</v>
      </c>
      <c r="L238">
        <v>108.5</v>
      </c>
      <c r="M238" t="s">
        <v>317</v>
      </c>
      <c r="N238" t="s">
        <v>318</v>
      </c>
      <c r="O238" t="s">
        <v>521</v>
      </c>
    </row>
    <row r="239" spans="1:15" x14ac:dyDescent="0.3">
      <c r="A239">
        <v>1084657</v>
      </c>
      <c r="B239" t="s">
        <v>306</v>
      </c>
      <c r="C239" t="s">
        <v>313</v>
      </c>
      <c r="D239" t="s">
        <v>314</v>
      </c>
      <c r="E239" t="s">
        <v>315</v>
      </c>
      <c r="F239">
        <v>119510333</v>
      </c>
      <c r="G239" t="s">
        <v>328</v>
      </c>
      <c r="H239" t="s">
        <v>22</v>
      </c>
      <c r="I239" t="s">
        <v>22</v>
      </c>
      <c r="J239" t="s">
        <v>17</v>
      </c>
      <c r="K239">
        <v>94.1</v>
      </c>
      <c r="L239">
        <v>108.5</v>
      </c>
      <c r="M239" t="s">
        <v>317</v>
      </c>
      <c r="N239" t="s">
        <v>318</v>
      </c>
      <c r="O239" t="s">
        <v>521</v>
      </c>
    </row>
    <row r="240" spans="1:15" x14ac:dyDescent="0.3">
      <c r="A240">
        <v>1084657</v>
      </c>
      <c r="B240" t="s">
        <v>306</v>
      </c>
      <c r="C240" t="s">
        <v>313</v>
      </c>
      <c r="D240" t="s">
        <v>314</v>
      </c>
      <c r="E240" t="s">
        <v>315</v>
      </c>
      <c r="F240">
        <v>119510333</v>
      </c>
      <c r="G240" t="s">
        <v>329</v>
      </c>
      <c r="H240" t="s">
        <v>22</v>
      </c>
      <c r="I240" t="s">
        <v>22</v>
      </c>
      <c r="J240" t="s">
        <v>17</v>
      </c>
      <c r="K240">
        <v>94.1</v>
      </c>
      <c r="L240">
        <v>108.5</v>
      </c>
      <c r="M240" t="s">
        <v>317</v>
      </c>
      <c r="N240" t="s">
        <v>318</v>
      </c>
      <c r="O240" t="s">
        <v>521</v>
      </c>
    </row>
    <row r="241" spans="1:15" x14ac:dyDescent="0.3">
      <c r="A241">
        <v>1084657</v>
      </c>
      <c r="B241" t="s">
        <v>306</v>
      </c>
      <c r="C241" t="s">
        <v>313</v>
      </c>
      <c r="D241" t="s">
        <v>314</v>
      </c>
      <c r="E241" t="s">
        <v>315</v>
      </c>
      <c r="F241">
        <v>119510333</v>
      </c>
      <c r="G241" t="s">
        <v>330</v>
      </c>
      <c r="H241" t="s">
        <v>22</v>
      </c>
      <c r="I241" t="s">
        <v>22</v>
      </c>
      <c r="J241" t="s">
        <v>17</v>
      </c>
      <c r="K241">
        <v>94.1</v>
      </c>
      <c r="L241">
        <v>108.5</v>
      </c>
      <c r="M241" t="s">
        <v>317</v>
      </c>
      <c r="N241" t="s">
        <v>318</v>
      </c>
      <c r="O241" t="s">
        <v>521</v>
      </c>
    </row>
    <row r="242" spans="1:15" x14ac:dyDescent="0.3">
      <c r="A242">
        <v>1084657</v>
      </c>
      <c r="B242" t="s">
        <v>306</v>
      </c>
      <c r="C242" t="s">
        <v>313</v>
      </c>
      <c r="D242" t="s">
        <v>314</v>
      </c>
      <c r="E242" t="s">
        <v>315</v>
      </c>
      <c r="F242">
        <v>119510333</v>
      </c>
      <c r="G242" t="s">
        <v>331</v>
      </c>
      <c r="H242" t="s">
        <v>22</v>
      </c>
      <c r="I242" t="s">
        <v>22</v>
      </c>
      <c r="J242" t="s">
        <v>17</v>
      </c>
      <c r="K242">
        <v>94.1</v>
      </c>
      <c r="L242">
        <v>108.5</v>
      </c>
      <c r="M242" t="s">
        <v>317</v>
      </c>
      <c r="N242" t="s">
        <v>318</v>
      </c>
      <c r="O242" t="s">
        <v>521</v>
      </c>
    </row>
    <row r="243" spans="1:15" x14ac:dyDescent="0.3">
      <c r="A243">
        <v>1084657</v>
      </c>
      <c r="B243" t="s">
        <v>306</v>
      </c>
      <c r="C243" t="s">
        <v>313</v>
      </c>
      <c r="D243" t="s">
        <v>314</v>
      </c>
      <c r="E243" t="s">
        <v>315</v>
      </c>
      <c r="F243">
        <v>119510333</v>
      </c>
      <c r="G243" t="s">
        <v>332</v>
      </c>
      <c r="H243" t="s">
        <v>22</v>
      </c>
      <c r="I243" t="s">
        <v>22</v>
      </c>
      <c r="J243" t="s">
        <v>17</v>
      </c>
      <c r="K243">
        <v>94.1</v>
      </c>
      <c r="L243">
        <v>108.5</v>
      </c>
      <c r="M243" t="s">
        <v>317</v>
      </c>
      <c r="N243" t="s">
        <v>318</v>
      </c>
      <c r="O243" t="s">
        <v>521</v>
      </c>
    </row>
    <row r="244" spans="1:15" x14ac:dyDescent="0.3">
      <c r="A244">
        <v>1084657</v>
      </c>
      <c r="B244" t="s">
        <v>306</v>
      </c>
      <c r="C244" t="s">
        <v>313</v>
      </c>
      <c r="D244" t="s">
        <v>314</v>
      </c>
      <c r="E244" t="s">
        <v>315</v>
      </c>
      <c r="F244">
        <v>119510333</v>
      </c>
      <c r="G244" t="s">
        <v>333</v>
      </c>
      <c r="H244" t="s">
        <v>22</v>
      </c>
      <c r="I244" t="s">
        <v>22</v>
      </c>
      <c r="J244" t="s">
        <v>17</v>
      </c>
      <c r="K244">
        <v>94.1</v>
      </c>
      <c r="L244">
        <v>108.5</v>
      </c>
      <c r="M244" t="s">
        <v>317</v>
      </c>
      <c r="N244" t="s">
        <v>318</v>
      </c>
      <c r="O244" t="s">
        <v>521</v>
      </c>
    </row>
    <row r="245" spans="1:15" x14ac:dyDescent="0.3">
      <c r="A245">
        <v>1084657</v>
      </c>
      <c r="B245" t="s">
        <v>306</v>
      </c>
      <c r="C245" t="s">
        <v>313</v>
      </c>
      <c r="D245" t="s">
        <v>314</v>
      </c>
      <c r="E245" t="s">
        <v>315</v>
      </c>
      <c r="F245">
        <v>119510333</v>
      </c>
      <c r="G245" t="s">
        <v>334</v>
      </c>
      <c r="H245" t="s">
        <v>22</v>
      </c>
      <c r="I245" t="s">
        <v>22</v>
      </c>
      <c r="J245" t="s">
        <v>17</v>
      </c>
      <c r="K245">
        <v>94.1</v>
      </c>
      <c r="L245">
        <v>108.5</v>
      </c>
      <c r="M245" t="s">
        <v>317</v>
      </c>
      <c r="N245" t="s">
        <v>318</v>
      </c>
      <c r="O245" t="s">
        <v>521</v>
      </c>
    </row>
    <row r="246" spans="1:15" x14ac:dyDescent="0.3">
      <c r="A246">
        <v>1084657</v>
      </c>
      <c r="B246" t="s">
        <v>306</v>
      </c>
      <c r="C246" t="s">
        <v>335</v>
      </c>
      <c r="H246" t="s">
        <v>16</v>
      </c>
      <c r="I246" t="s">
        <v>16</v>
      </c>
      <c r="J246" t="s">
        <v>17</v>
      </c>
      <c r="K246">
        <v>0</v>
      </c>
      <c r="L246">
        <v>0</v>
      </c>
      <c r="O246" t="s">
        <v>521</v>
      </c>
    </row>
    <row r="247" spans="1:15" x14ac:dyDescent="0.3">
      <c r="A247">
        <v>1084657</v>
      </c>
      <c r="B247" t="s">
        <v>306</v>
      </c>
      <c r="C247" t="s">
        <v>336</v>
      </c>
      <c r="D247" t="s">
        <v>336</v>
      </c>
      <c r="E247" t="s">
        <v>337</v>
      </c>
      <c r="H247" t="s">
        <v>22</v>
      </c>
      <c r="I247" t="s">
        <v>22</v>
      </c>
      <c r="J247" t="s">
        <v>17</v>
      </c>
      <c r="K247">
        <v>100</v>
      </c>
      <c r="L247">
        <v>112</v>
      </c>
      <c r="M247" t="s">
        <v>338</v>
      </c>
      <c r="N247" t="s">
        <v>339</v>
      </c>
      <c r="O247" t="s">
        <v>522</v>
      </c>
    </row>
    <row r="248" spans="1:15" x14ac:dyDescent="0.3">
      <c r="A248">
        <v>1084678</v>
      </c>
      <c r="B248" t="s">
        <v>340</v>
      </c>
      <c r="C248" t="s">
        <v>185</v>
      </c>
      <c r="H248" t="s">
        <v>16</v>
      </c>
      <c r="I248" t="s">
        <v>16</v>
      </c>
      <c r="J248" t="s">
        <v>17</v>
      </c>
      <c r="K248">
        <v>0</v>
      </c>
      <c r="L248">
        <v>0</v>
      </c>
      <c r="O248" t="s">
        <v>521</v>
      </c>
    </row>
    <row r="249" spans="1:15" x14ac:dyDescent="0.3">
      <c r="A249">
        <v>1084678</v>
      </c>
      <c r="B249" t="s">
        <v>340</v>
      </c>
      <c r="C249" t="s">
        <v>191</v>
      </c>
      <c r="D249" t="s">
        <v>191</v>
      </c>
      <c r="E249" t="s">
        <v>192</v>
      </c>
      <c r="H249" t="s">
        <v>22</v>
      </c>
      <c r="I249" t="s">
        <v>22</v>
      </c>
      <c r="J249" t="s">
        <v>17</v>
      </c>
      <c r="K249">
        <v>100</v>
      </c>
      <c r="L249">
        <v>113</v>
      </c>
      <c r="M249" t="s">
        <v>37</v>
      </c>
      <c r="N249" t="s">
        <v>38</v>
      </c>
      <c r="O249" t="s">
        <v>522</v>
      </c>
    </row>
    <row r="250" spans="1:15" x14ac:dyDescent="0.3">
      <c r="A250">
        <v>1084678</v>
      </c>
      <c r="B250" t="s">
        <v>340</v>
      </c>
      <c r="C250" t="s">
        <v>341</v>
      </c>
      <c r="H250" t="s">
        <v>16</v>
      </c>
      <c r="I250" t="s">
        <v>16</v>
      </c>
      <c r="J250" t="s">
        <v>17</v>
      </c>
      <c r="K250">
        <v>0</v>
      </c>
      <c r="L250">
        <v>0</v>
      </c>
      <c r="O250" t="s">
        <v>521</v>
      </c>
    </row>
    <row r="251" spans="1:15" x14ac:dyDescent="0.3">
      <c r="A251">
        <v>1084678</v>
      </c>
      <c r="B251" t="s">
        <v>340</v>
      </c>
      <c r="C251" t="s">
        <v>342</v>
      </c>
      <c r="H251" t="s">
        <v>16</v>
      </c>
      <c r="I251" t="s">
        <v>16</v>
      </c>
      <c r="J251" t="s">
        <v>17</v>
      </c>
      <c r="K251">
        <v>0</v>
      </c>
      <c r="L251">
        <v>0</v>
      </c>
      <c r="O251" t="s">
        <v>521</v>
      </c>
    </row>
    <row r="252" spans="1:15" x14ac:dyDescent="0.3">
      <c r="A252">
        <v>1084678</v>
      </c>
      <c r="B252" t="s">
        <v>340</v>
      </c>
      <c r="C252" t="s">
        <v>343</v>
      </c>
      <c r="D252" t="s">
        <v>344</v>
      </c>
      <c r="E252" t="s">
        <v>345</v>
      </c>
      <c r="H252" t="s">
        <v>46</v>
      </c>
      <c r="I252" t="s">
        <v>46</v>
      </c>
      <c r="J252" t="s">
        <v>17</v>
      </c>
      <c r="K252">
        <v>100</v>
      </c>
      <c r="L252">
        <v>50</v>
      </c>
      <c r="M252" t="s">
        <v>346</v>
      </c>
      <c r="N252" t="s">
        <v>347</v>
      </c>
      <c r="O252" t="s">
        <v>522</v>
      </c>
    </row>
    <row r="253" spans="1:15" x14ac:dyDescent="0.3">
      <c r="A253">
        <v>1084678</v>
      </c>
      <c r="B253" t="s">
        <v>340</v>
      </c>
      <c r="C253" t="s">
        <v>348</v>
      </c>
      <c r="D253" t="s">
        <v>349</v>
      </c>
      <c r="E253" t="s">
        <v>350</v>
      </c>
      <c r="G253" t="s">
        <v>351</v>
      </c>
      <c r="H253" t="s">
        <v>22</v>
      </c>
      <c r="I253" t="s">
        <v>22</v>
      </c>
      <c r="J253" t="s">
        <v>17</v>
      </c>
      <c r="K253">
        <v>80</v>
      </c>
      <c r="L253">
        <v>102</v>
      </c>
      <c r="O253" t="s">
        <v>521</v>
      </c>
    </row>
    <row r="254" spans="1:15" x14ac:dyDescent="0.3">
      <c r="A254">
        <v>1084678</v>
      </c>
      <c r="B254" t="s">
        <v>340</v>
      </c>
      <c r="C254" t="s">
        <v>348</v>
      </c>
      <c r="D254" t="s">
        <v>349</v>
      </c>
      <c r="E254" t="s">
        <v>350</v>
      </c>
      <c r="G254" t="s">
        <v>352</v>
      </c>
      <c r="H254" t="s">
        <v>22</v>
      </c>
      <c r="I254" t="s">
        <v>22</v>
      </c>
      <c r="J254" t="s">
        <v>17</v>
      </c>
      <c r="K254">
        <v>80</v>
      </c>
      <c r="L254">
        <v>102</v>
      </c>
      <c r="O254" t="s">
        <v>521</v>
      </c>
    </row>
    <row r="255" spans="1:15" x14ac:dyDescent="0.3">
      <c r="A255">
        <v>1084678</v>
      </c>
      <c r="B255" t="s">
        <v>340</v>
      </c>
      <c r="C255" t="s">
        <v>348</v>
      </c>
      <c r="D255" t="s">
        <v>349</v>
      </c>
      <c r="E255" t="s">
        <v>350</v>
      </c>
      <c r="G255" t="s">
        <v>353</v>
      </c>
      <c r="H255" t="s">
        <v>22</v>
      </c>
      <c r="I255" t="s">
        <v>22</v>
      </c>
      <c r="J255" t="s">
        <v>17</v>
      </c>
      <c r="K255">
        <v>80</v>
      </c>
      <c r="L255">
        <v>102</v>
      </c>
      <c r="O255" t="s">
        <v>521</v>
      </c>
    </row>
    <row r="256" spans="1:15" x14ac:dyDescent="0.3">
      <c r="A256">
        <v>1084678</v>
      </c>
      <c r="B256" t="s">
        <v>340</v>
      </c>
      <c r="C256" t="s">
        <v>348</v>
      </c>
      <c r="D256" t="s">
        <v>349</v>
      </c>
      <c r="E256" t="s">
        <v>350</v>
      </c>
      <c r="G256" t="s">
        <v>354</v>
      </c>
      <c r="H256" t="s">
        <v>22</v>
      </c>
      <c r="I256" t="s">
        <v>22</v>
      </c>
      <c r="J256" t="s">
        <v>17</v>
      </c>
      <c r="K256">
        <v>80</v>
      </c>
      <c r="L256">
        <v>102</v>
      </c>
      <c r="O256" t="s">
        <v>521</v>
      </c>
    </row>
    <row r="257" spans="1:15" x14ac:dyDescent="0.3">
      <c r="A257">
        <v>1084678</v>
      </c>
      <c r="B257" t="s">
        <v>340</v>
      </c>
      <c r="C257" t="s">
        <v>348</v>
      </c>
      <c r="D257" t="s">
        <v>349</v>
      </c>
      <c r="E257" t="s">
        <v>350</v>
      </c>
      <c r="G257" t="s">
        <v>355</v>
      </c>
      <c r="H257" t="s">
        <v>22</v>
      </c>
      <c r="I257" t="s">
        <v>22</v>
      </c>
      <c r="J257" t="s">
        <v>17</v>
      </c>
      <c r="K257">
        <v>80</v>
      </c>
      <c r="L257">
        <v>102</v>
      </c>
      <c r="O257" t="s">
        <v>521</v>
      </c>
    </row>
    <row r="258" spans="1:15" x14ac:dyDescent="0.3">
      <c r="A258">
        <v>1084678</v>
      </c>
      <c r="B258" t="s">
        <v>340</v>
      </c>
      <c r="C258" t="s">
        <v>348</v>
      </c>
      <c r="D258" t="s">
        <v>349</v>
      </c>
      <c r="E258" t="s">
        <v>350</v>
      </c>
      <c r="G258" t="s">
        <v>356</v>
      </c>
      <c r="H258" t="s">
        <v>22</v>
      </c>
      <c r="I258" t="s">
        <v>22</v>
      </c>
      <c r="J258" t="s">
        <v>17</v>
      </c>
      <c r="K258">
        <v>80</v>
      </c>
      <c r="L258">
        <v>102</v>
      </c>
      <c r="O258" t="s">
        <v>521</v>
      </c>
    </row>
    <row r="259" spans="1:15" x14ac:dyDescent="0.3">
      <c r="A259">
        <v>1084678</v>
      </c>
      <c r="B259" t="s">
        <v>340</v>
      </c>
      <c r="C259" t="s">
        <v>348</v>
      </c>
      <c r="D259" t="s">
        <v>349</v>
      </c>
      <c r="E259" t="s">
        <v>350</v>
      </c>
      <c r="G259" t="s">
        <v>357</v>
      </c>
      <c r="H259" t="s">
        <v>22</v>
      </c>
      <c r="I259" t="s">
        <v>22</v>
      </c>
      <c r="J259" t="s">
        <v>17</v>
      </c>
      <c r="K259">
        <v>80</v>
      </c>
      <c r="L259">
        <v>102</v>
      </c>
      <c r="O259" t="s">
        <v>521</v>
      </c>
    </row>
    <row r="260" spans="1:15" x14ac:dyDescent="0.3">
      <c r="A260">
        <v>1084678</v>
      </c>
      <c r="B260" t="s">
        <v>340</v>
      </c>
      <c r="C260" t="s">
        <v>348</v>
      </c>
      <c r="D260" t="s">
        <v>349</v>
      </c>
      <c r="E260" t="s">
        <v>350</v>
      </c>
      <c r="G260" t="s">
        <v>358</v>
      </c>
      <c r="H260" t="s">
        <v>22</v>
      </c>
      <c r="I260" t="s">
        <v>22</v>
      </c>
      <c r="J260" t="s">
        <v>17</v>
      </c>
      <c r="K260">
        <v>80</v>
      </c>
      <c r="L260">
        <v>102</v>
      </c>
      <c r="O260" t="s">
        <v>521</v>
      </c>
    </row>
    <row r="261" spans="1:15" x14ac:dyDescent="0.3">
      <c r="A261">
        <v>1086746</v>
      </c>
      <c r="B261" t="s">
        <v>359</v>
      </c>
      <c r="C261" t="s">
        <v>360</v>
      </c>
      <c r="H261" t="s">
        <v>16</v>
      </c>
      <c r="I261" t="s">
        <v>16</v>
      </c>
      <c r="J261" t="s">
        <v>17</v>
      </c>
      <c r="K261">
        <v>0</v>
      </c>
      <c r="L261">
        <v>0</v>
      </c>
      <c r="O261" t="s">
        <v>521</v>
      </c>
    </row>
    <row r="262" spans="1:15" x14ac:dyDescent="0.3">
      <c r="A262">
        <v>1086746</v>
      </c>
      <c r="B262" t="s">
        <v>359</v>
      </c>
      <c r="C262" t="s">
        <v>361</v>
      </c>
      <c r="H262" t="s">
        <v>16</v>
      </c>
      <c r="I262" t="s">
        <v>16</v>
      </c>
      <c r="J262" t="s">
        <v>17</v>
      </c>
      <c r="K262">
        <v>0</v>
      </c>
      <c r="L262">
        <v>0</v>
      </c>
      <c r="O262" t="s">
        <v>521</v>
      </c>
    </row>
    <row r="263" spans="1:15" x14ac:dyDescent="0.3">
      <c r="A263">
        <v>1086746</v>
      </c>
      <c r="B263" t="s">
        <v>359</v>
      </c>
      <c r="C263" t="s">
        <v>362</v>
      </c>
      <c r="H263" t="s">
        <v>16</v>
      </c>
      <c r="I263" t="s">
        <v>16</v>
      </c>
      <c r="J263" t="s">
        <v>17</v>
      </c>
      <c r="K263">
        <v>0</v>
      </c>
      <c r="L263">
        <v>0</v>
      </c>
      <c r="O263" t="s">
        <v>521</v>
      </c>
    </row>
    <row r="264" spans="1:15" x14ac:dyDescent="0.3">
      <c r="A264">
        <v>1086746</v>
      </c>
      <c r="B264" t="s">
        <v>359</v>
      </c>
      <c r="C264" t="s">
        <v>363</v>
      </c>
      <c r="H264" t="s">
        <v>16</v>
      </c>
      <c r="I264" t="s">
        <v>16</v>
      </c>
      <c r="J264" t="s">
        <v>17</v>
      </c>
      <c r="K264">
        <v>0</v>
      </c>
      <c r="L264">
        <v>0</v>
      </c>
      <c r="O264" t="s">
        <v>521</v>
      </c>
    </row>
    <row r="265" spans="1:15" x14ac:dyDescent="0.3">
      <c r="A265">
        <v>1086746</v>
      </c>
      <c r="B265" t="s">
        <v>359</v>
      </c>
      <c r="C265" t="s">
        <v>364</v>
      </c>
      <c r="H265" t="s">
        <v>16</v>
      </c>
      <c r="I265" t="s">
        <v>16</v>
      </c>
      <c r="J265" t="s">
        <v>17</v>
      </c>
      <c r="K265">
        <v>0</v>
      </c>
      <c r="L265">
        <v>0</v>
      </c>
      <c r="O265" t="s">
        <v>521</v>
      </c>
    </row>
    <row r="266" spans="1:15" x14ac:dyDescent="0.3">
      <c r="A266">
        <v>1086746</v>
      </c>
      <c r="B266" t="s">
        <v>359</v>
      </c>
      <c r="C266" t="s">
        <v>365</v>
      </c>
      <c r="H266" t="s">
        <v>16</v>
      </c>
      <c r="I266" t="s">
        <v>16</v>
      </c>
      <c r="J266" t="s">
        <v>17</v>
      </c>
      <c r="K266">
        <v>0</v>
      </c>
      <c r="L266">
        <v>0</v>
      </c>
      <c r="O266" t="s">
        <v>521</v>
      </c>
    </row>
    <row r="267" spans="1:15" x14ac:dyDescent="0.3">
      <c r="A267">
        <v>1086746</v>
      </c>
      <c r="B267" t="s">
        <v>359</v>
      </c>
      <c r="C267" t="s">
        <v>366</v>
      </c>
      <c r="D267" t="s">
        <v>367</v>
      </c>
      <c r="E267" t="s">
        <v>368</v>
      </c>
      <c r="H267" t="s">
        <v>22</v>
      </c>
      <c r="I267" t="s">
        <v>22</v>
      </c>
      <c r="J267" t="s">
        <v>17</v>
      </c>
      <c r="K267">
        <v>87</v>
      </c>
      <c r="L267">
        <v>108.2</v>
      </c>
      <c r="M267" t="s">
        <v>369</v>
      </c>
      <c r="N267" t="s">
        <v>370</v>
      </c>
      <c r="O267" t="s">
        <v>522</v>
      </c>
    </row>
    <row r="268" spans="1:15" x14ac:dyDescent="0.3">
      <c r="A268">
        <v>1086746</v>
      </c>
      <c r="B268" t="s">
        <v>359</v>
      </c>
      <c r="C268" t="s">
        <v>371</v>
      </c>
      <c r="D268" t="s">
        <v>372</v>
      </c>
      <c r="E268" t="s">
        <v>373</v>
      </c>
      <c r="G268" t="s">
        <v>374</v>
      </c>
      <c r="H268" t="s">
        <v>22</v>
      </c>
      <c r="I268" t="s">
        <v>22</v>
      </c>
      <c r="J268" t="s">
        <v>17</v>
      </c>
      <c r="K268">
        <v>83.3</v>
      </c>
      <c r="L268">
        <v>103</v>
      </c>
      <c r="M268" t="s">
        <v>375</v>
      </c>
      <c r="N268" t="s">
        <v>376</v>
      </c>
      <c r="O268" t="s">
        <v>522</v>
      </c>
    </row>
    <row r="269" spans="1:15" x14ac:dyDescent="0.3">
      <c r="A269">
        <v>1086746</v>
      </c>
      <c r="B269" t="s">
        <v>359</v>
      </c>
      <c r="C269" t="s">
        <v>371</v>
      </c>
      <c r="D269" t="s">
        <v>372</v>
      </c>
      <c r="E269" t="s">
        <v>373</v>
      </c>
      <c r="G269" t="s">
        <v>377</v>
      </c>
      <c r="H269" t="s">
        <v>22</v>
      </c>
      <c r="I269" t="s">
        <v>22</v>
      </c>
      <c r="J269" t="s">
        <v>17</v>
      </c>
      <c r="K269">
        <v>83.3</v>
      </c>
      <c r="L269">
        <v>103</v>
      </c>
      <c r="M269" t="s">
        <v>375</v>
      </c>
      <c r="N269" t="s">
        <v>376</v>
      </c>
      <c r="O269" t="s">
        <v>522</v>
      </c>
    </row>
    <row r="270" spans="1:15" x14ac:dyDescent="0.3">
      <c r="A270">
        <v>1086746</v>
      </c>
      <c r="B270" t="s">
        <v>359</v>
      </c>
      <c r="C270" t="s">
        <v>378</v>
      </c>
      <c r="D270" t="s">
        <v>378</v>
      </c>
      <c r="E270" t="s">
        <v>379</v>
      </c>
      <c r="H270" t="s">
        <v>22</v>
      </c>
      <c r="I270" t="s">
        <v>22</v>
      </c>
      <c r="J270" t="s">
        <v>17</v>
      </c>
      <c r="K270">
        <v>100</v>
      </c>
      <c r="L270">
        <v>114</v>
      </c>
      <c r="M270" t="s">
        <v>380</v>
      </c>
      <c r="N270" t="s">
        <v>381</v>
      </c>
      <c r="O270" t="s">
        <v>522</v>
      </c>
    </row>
    <row r="271" spans="1:15" x14ac:dyDescent="0.3">
      <c r="A271">
        <v>1086746</v>
      </c>
      <c r="B271" t="s">
        <v>359</v>
      </c>
      <c r="C271" t="s">
        <v>382</v>
      </c>
      <c r="D271" t="s">
        <v>382</v>
      </c>
      <c r="E271" t="s">
        <v>383</v>
      </c>
      <c r="H271" t="s">
        <v>22</v>
      </c>
      <c r="I271" t="s">
        <v>22</v>
      </c>
      <c r="J271" t="s">
        <v>17</v>
      </c>
      <c r="K271">
        <v>100</v>
      </c>
      <c r="L271">
        <v>115</v>
      </c>
      <c r="M271" t="s">
        <v>241</v>
      </c>
      <c r="N271" t="s">
        <v>242</v>
      </c>
      <c r="O271" t="s">
        <v>522</v>
      </c>
    </row>
    <row r="272" spans="1:15" x14ac:dyDescent="0.3">
      <c r="A272">
        <v>1086746</v>
      </c>
      <c r="B272" t="s">
        <v>359</v>
      </c>
      <c r="C272" t="s">
        <v>384</v>
      </c>
      <c r="D272" t="s">
        <v>384</v>
      </c>
      <c r="E272" t="s">
        <v>385</v>
      </c>
      <c r="H272" t="s">
        <v>22</v>
      </c>
      <c r="I272" t="s">
        <v>22</v>
      </c>
      <c r="J272" t="s">
        <v>17</v>
      </c>
      <c r="K272">
        <v>100</v>
      </c>
      <c r="L272">
        <v>111</v>
      </c>
      <c r="M272" t="s">
        <v>386</v>
      </c>
      <c r="N272" t="s">
        <v>387</v>
      </c>
      <c r="O272" t="s">
        <v>522</v>
      </c>
    </row>
    <row r="273" spans="1:15" x14ac:dyDescent="0.3">
      <c r="A273">
        <v>1086752</v>
      </c>
      <c r="B273" t="s">
        <v>388</v>
      </c>
      <c r="C273" t="s">
        <v>389</v>
      </c>
      <c r="H273" t="s">
        <v>16</v>
      </c>
      <c r="I273" t="s">
        <v>16</v>
      </c>
      <c r="J273" t="s">
        <v>17</v>
      </c>
      <c r="K273">
        <v>0</v>
      </c>
      <c r="L273">
        <v>0</v>
      </c>
      <c r="O273" t="s">
        <v>521</v>
      </c>
    </row>
    <row r="274" spans="1:15" x14ac:dyDescent="0.3">
      <c r="A274">
        <v>1086752</v>
      </c>
      <c r="B274" t="s">
        <v>388</v>
      </c>
      <c r="C274" t="s">
        <v>390</v>
      </c>
      <c r="D274" t="s">
        <v>391</v>
      </c>
      <c r="E274" t="s">
        <v>392</v>
      </c>
      <c r="H274" t="s">
        <v>46</v>
      </c>
      <c r="I274" t="s">
        <v>46</v>
      </c>
      <c r="J274" t="s">
        <v>17</v>
      </c>
      <c r="K274">
        <v>100</v>
      </c>
      <c r="L274">
        <v>50</v>
      </c>
      <c r="O274" t="s">
        <v>521</v>
      </c>
    </row>
    <row r="275" spans="1:15" x14ac:dyDescent="0.3">
      <c r="A275">
        <v>1086752</v>
      </c>
      <c r="B275" t="s">
        <v>388</v>
      </c>
      <c r="C275" t="s">
        <v>393</v>
      </c>
      <c r="H275" t="s">
        <v>16</v>
      </c>
      <c r="I275" t="s">
        <v>16</v>
      </c>
      <c r="J275" t="s">
        <v>17</v>
      </c>
      <c r="K275">
        <v>0</v>
      </c>
      <c r="L275">
        <v>0</v>
      </c>
      <c r="O275" t="s">
        <v>521</v>
      </c>
    </row>
    <row r="276" spans="1:15" x14ac:dyDescent="0.3">
      <c r="A276">
        <v>1086752</v>
      </c>
      <c r="B276" t="s">
        <v>388</v>
      </c>
      <c r="C276" t="s">
        <v>394</v>
      </c>
      <c r="D276" t="s">
        <v>395</v>
      </c>
      <c r="E276" t="s">
        <v>396</v>
      </c>
      <c r="F276" t="s">
        <v>397</v>
      </c>
      <c r="G276" t="s">
        <v>398</v>
      </c>
      <c r="H276" t="s">
        <v>46</v>
      </c>
      <c r="I276" t="s">
        <v>46</v>
      </c>
      <c r="J276" t="s">
        <v>17</v>
      </c>
      <c r="K276">
        <v>100</v>
      </c>
      <c r="L276">
        <v>50</v>
      </c>
      <c r="O276" t="s">
        <v>521</v>
      </c>
    </row>
    <row r="277" spans="1:15" x14ac:dyDescent="0.3">
      <c r="A277">
        <v>1086752</v>
      </c>
      <c r="B277" t="s">
        <v>388</v>
      </c>
      <c r="C277" t="s">
        <v>394</v>
      </c>
      <c r="D277" t="s">
        <v>395</v>
      </c>
      <c r="E277" t="s">
        <v>396</v>
      </c>
      <c r="F277" t="s">
        <v>397</v>
      </c>
      <c r="G277" t="s">
        <v>399</v>
      </c>
      <c r="H277" t="s">
        <v>46</v>
      </c>
      <c r="I277" t="s">
        <v>46</v>
      </c>
      <c r="J277" t="s">
        <v>17</v>
      </c>
      <c r="K277">
        <v>100</v>
      </c>
      <c r="L277">
        <v>50</v>
      </c>
      <c r="O277" t="s">
        <v>521</v>
      </c>
    </row>
    <row r="278" spans="1:15" x14ac:dyDescent="0.3">
      <c r="A278">
        <v>1086752</v>
      </c>
      <c r="B278" t="s">
        <v>388</v>
      </c>
      <c r="C278" t="s">
        <v>394</v>
      </c>
      <c r="D278" t="s">
        <v>395</v>
      </c>
      <c r="E278" t="s">
        <v>396</v>
      </c>
      <c r="F278" t="s">
        <v>397</v>
      </c>
      <c r="G278" t="s">
        <v>400</v>
      </c>
      <c r="H278" t="s">
        <v>46</v>
      </c>
      <c r="I278" t="s">
        <v>46</v>
      </c>
      <c r="J278" t="s">
        <v>17</v>
      </c>
      <c r="K278">
        <v>100</v>
      </c>
      <c r="L278">
        <v>50</v>
      </c>
      <c r="O278" t="s">
        <v>521</v>
      </c>
    </row>
    <row r="279" spans="1:15" x14ac:dyDescent="0.3">
      <c r="A279">
        <v>1086752</v>
      </c>
      <c r="B279" t="s">
        <v>388</v>
      </c>
      <c r="C279" t="s">
        <v>394</v>
      </c>
      <c r="D279" t="s">
        <v>395</v>
      </c>
      <c r="E279" t="s">
        <v>396</v>
      </c>
      <c r="F279" t="s">
        <v>397</v>
      </c>
      <c r="G279" t="s">
        <v>401</v>
      </c>
      <c r="H279" t="s">
        <v>46</v>
      </c>
      <c r="I279" t="s">
        <v>46</v>
      </c>
      <c r="J279" t="s">
        <v>17</v>
      </c>
      <c r="K279">
        <v>100</v>
      </c>
      <c r="L279">
        <v>50</v>
      </c>
      <c r="O279" t="s">
        <v>521</v>
      </c>
    </row>
    <row r="280" spans="1:15" x14ac:dyDescent="0.3">
      <c r="A280">
        <v>1086752</v>
      </c>
      <c r="B280" t="s">
        <v>388</v>
      </c>
      <c r="C280" t="s">
        <v>394</v>
      </c>
      <c r="D280" t="s">
        <v>395</v>
      </c>
      <c r="E280" t="s">
        <v>396</v>
      </c>
      <c r="F280" t="s">
        <v>397</v>
      </c>
      <c r="G280" t="s">
        <v>402</v>
      </c>
      <c r="H280" t="s">
        <v>46</v>
      </c>
      <c r="I280" t="s">
        <v>46</v>
      </c>
      <c r="J280" t="s">
        <v>17</v>
      </c>
      <c r="K280">
        <v>100</v>
      </c>
      <c r="L280">
        <v>50</v>
      </c>
      <c r="O280" t="s">
        <v>521</v>
      </c>
    </row>
    <row r="281" spans="1:15" x14ac:dyDescent="0.3">
      <c r="A281">
        <v>1086752</v>
      </c>
      <c r="B281" t="s">
        <v>388</v>
      </c>
      <c r="C281" t="s">
        <v>394</v>
      </c>
      <c r="D281" t="s">
        <v>395</v>
      </c>
      <c r="E281" t="s">
        <v>396</v>
      </c>
      <c r="F281" t="s">
        <v>397</v>
      </c>
      <c r="G281" t="s">
        <v>403</v>
      </c>
      <c r="H281" t="s">
        <v>46</v>
      </c>
      <c r="I281" t="s">
        <v>46</v>
      </c>
      <c r="J281" t="s">
        <v>17</v>
      </c>
      <c r="K281">
        <v>100</v>
      </c>
      <c r="L281">
        <v>50</v>
      </c>
      <c r="O281" t="s">
        <v>521</v>
      </c>
    </row>
    <row r="282" spans="1:15" x14ac:dyDescent="0.3">
      <c r="A282">
        <v>1086752</v>
      </c>
      <c r="B282" t="s">
        <v>388</v>
      </c>
      <c r="C282" t="s">
        <v>394</v>
      </c>
      <c r="D282" t="s">
        <v>395</v>
      </c>
      <c r="E282" t="s">
        <v>396</v>
      </c>
      <c r="F282" t="s">
        <v>397</v>
      </c>
      <c r="G282" t="s">
        <v>404</v>
      </c>
      <c r="H282" t="s">
        <v>46</v>
      </c>
      <c r="I282" t="s">
        <v>46</v>
      </c>
      <c r="J282" t="s">
        <v>17</v>
      </c>
      <c r="K282">
        <v>100</v>
      </c>
      <c r="L282">
        <v>50</v>
      </c>
      <c r="O282" t="s">
        <v>521</v>
      </c>
    </row>
    <row r="283" spans="1:15" x14ac:dyDescent="0.3">
      <c r="A283">
        <v>1086752</v>
      </c>
      <c r="B283" t="s">
        <v>388</v>
      </c>
      <c r="C283" t="s">
        <v>394</v>
      </c>
      <c r="D283" t="s">
        <v>395</v>
      </c>
      <c r="E283" t="s">
        <v>396</v>
      </c>
      <c r="F283" t="s">
        <v>397</v>
      </c>
      <c r="G283" t="s">
        <v>405</v>
      </c>
      <c r="H283" t="s">
        <v>46</v>
      </c>
      <c r="I283" t="s">
        <v>46</v>
      </c>
      <c r="J283" t="s">
        <v>17</v>
      </c>
      <c r="K283">
        <v>100</v>
      </c>
      <c r="L283">
        <v>50</v>
      </c>
      <c r="O283" t="s">
        <v>521</v>
      </c>
    </row>
    <row r="284" spans="1:15" x14ac:dyDescent="0.3">
      <c r="A284">
        <v>1086752</v>
      </c>
      <c r="B284" t="s">
        <v>388</v>
      </c>
      <c r="C284" t="s">
        <v>394</v>
      </c>
      <c r="D284" t="s">
        <v>395</v>
      </c>
      <c r="E284" t="s">
        <v>396</v>
      </c>
      <c r="F284" t="s">
        <v>397</v>
      </c>
      <c r="G284" t="s">
        <v>406</v>
      </c>
      <c r="H284" t="s">
        <v>46</v>
      </c>
      <c r="I284" t="s">
        <v>46</v>
      </c>
      <c r="J284" t="s">
        <v>17</v>
      </c>
      <c r="K284">
        <v>100</v>
      </c>
      <c r="L284">
        <v>50</v>
      </c>
      <c r="O284" t="s">
        <v>521</v>
      </c>
    </row>
    <row r="285" spans="1:15" x14ac:dyDescent="0.3">
      <c r="A285">
        <v>1086752</v>
      </c>
      <c r="B285" t="s">
        <v>388</v>
      </c>
      <c r="C285" t="s">
        <v>394</v>
      </c>
      <c r="D285" t="s">
        <v>395</v>
      </c>
      <c r="E285" t="s">
        <v>396</v>
      </c>
      <c r="F285" t="s">
        <v>397</v>
      </c>
      <c r="G285" t="s">
        <v>407</v>
      </c>
      <c r="H285" t="s">
        <v>46</v>
      </c>
      <c r="I285" t="s">
        <v>46</v>
      </c>
      <c r="J285" t="s">
        <v>17</v>
      </c>
      <c r="K285">
        <v>100</v>
      </c>
      <c r="L285">
        <v>50</v>
      </c>
      <c r="O285" t="s">
        <v>521</v>
      </c>
    </row>
    <row r="286" spans="1:15" x14ac:dyDescent="0.3">
      <c r="A286">
        <v>1087358</v>
      </c>
      <c r="B286" t="s">
        <v>408</v>
      </c>
      <c r="C286" t="s">
        <v>409</v>
      </c>
      <c r="H286" t="s">
        <v>16</v>
      </c>
      <c r="I286" t="s">
        <v>16</v>
      </c>
      <c r="J286" t="s">
        <v>17</v>
      </c>
      <c r="K286">
        <v>0</v>
      </c>
      <c r="L286">
        <v>0</v>
      </c>
      <c r="O286" t="s">
        <v>521</v>
      </c>
    </row>
    <row r="287" spans="1:15" x14ac:dyDescent="0.3">
      <c r="A287">
        <v>1087358</v>
      </c>
      <c r="B287" t="s">
        <v>408</v>
      </c>
      <c r="C287" t="s">
        <v>410</v>
      </c>
      <c r="H287" t="s">
        <v>16</v>
      </c>
      <c r="I287" t="s">
        <v>16</v>
      </c>
      <c r="J287" t="s">
        <v>17</v>
      </c>
      <c r="K287">
        <v>0</v>
      </c>
      <c r="L287">
        <v>0</v>
      </c>
      <c r="O287" t="s">
        <v>521</v>
      </c>
    </row>
    <row r="288" spans="1:15" x14ac:dyDescent="0.3">
      <c r="A288">
        <v>1087358</v>
      </c>
      <c r="B288" t="s">
        <v>408</v>
      </c>
      <c r="C288" t="s">
        <v>411</v>
      </c>
      <c r="H288" t="s">
        <v>16</v>
      </c>
      <c r="I288" t="s">
        <v>16</v>
      </c>
      <c r="J288" t="s">
        <v>17</v>
      </c>
      <c r="K288">
        <v>0</v>
      </c>
      <c r="L288">
        <v>0</v>
      </c>
      <c r="O288" t="s">
        <v>521</v>
      </c>
    </row>
    <row r="289" spans="1:15" x14ac:dyDescent="0.3">
      <c r="A289">
        <v>1087358</v>
      </c>
      <c r="B289" t="s">
        <v>408</v>
      </c>
      <c r="C289" t="s">
        <v>412</v>
      </c>
      <c r="H289" t="s">
        <v>16</v>
      </c>
      <c r="I289" t="s">
        <v>16</v>
      </c>
      <c r="J289" t="s">
        <v>17</v>
      </c>
      <c r="K289">
        <v>0</v>
      </c>
      <c r="L289">
        <v>0</v>
      </c>
      <c r="O289" t="s">
        <v>521</v>
      </c>
    </row>
    <row r="290" spans="1:15" x14ac:dyDescent="0.3">
      <c r="A290">
        <v>1087358</v>
      </c>
      <c r="B290" t="s">
        <v>408</v>
      </c>
      <c r="C290" t="s">
        <v>413</v>
      </c>
      <c r="D290" t="s">
        <v>414</v>
      </c>
      <c r="E290" t="s">
        <v>415</v>
      </c>
      <c r="H290" t="s">
        <v>46</v>
      </c>
      <c r="I290" t="s">
        <v>46</v>
      </c>
      <c r="J290" t="s">
        <v>17</v>
      </c>
      <c r="K290">
        <v>100</v>
      </c>
      <c r="L290">
        <v>50</v>
      </c>
      <c r="M290" t="s">
        <v>416</v>
      </c>
      <c r="N290" t="s">
        <v>417</v>
      </c>
      <c r="O290" t="s">
        <v>522</v>
      </c>
    </row>
    <row r="291" spans="1:15" x14ac:dyDescent="0.3">
      <c r="A291">
        <v>1087358</v>
      </c>
      <c r="B291" t="s">
        <v>408</v>
      </c>
      <c r="C291" t="s">
        <v>418</v>
      </c>
      <c r="H291" t="s">
        <v>16</v>
      </c>
      <c r="I291" t="s">
        <v>16</v>
      </c>
      <c r="J291" t="s">
        <v>17</v>
      </c>
      <c r="K291">
        <v>0</v>
      </c>
      <c r="L291">
        <v>0</v>
      </c>
      <c r="O291" t="s">
        <v>521</v>
      </c>
    </row>
    <row r="292" spans="1:15" x14ac:dyDescent="0.3">
      <c r="A292">
        <v>1088019</v>
      </c>
      <c r="B292" t="s">
        <v>419</v>
      </c>
      <c r="C292" t="s">
        <v>420</v>
      </c>
      <c r="H292" t="s">
        <v>16</v>
      </c>
      <c r="I292" t="s">
        <v>16</v>
      </c>
      <c r="J292" t="s">
        <v>17</v>
      </c>
      <c r="K292">
        <v>0</v>
      </c>
      <c r="L292">
        <v>0</v>
      </c>
      <c r="O292" t="s">
        <v>521</v>
      </c>
    </row>
    <row r="293" spans="1:15" x14ac:dyDescent="0.3">
      <c r="A293">
        <v>1088019</v>
      </c>
      <c r="B293" t="s">
        <v>419</v>
      </c>
      <c r="C293" t="s">
        <v>421</v>
      </c>
      <c r="H293" t="s">
        <v>16</v>
      </c>
      <c r="I293" t="s">
        <v>16</v>
      </c>
      <c r="J293" t="s">
        <v>17</v>
      </c>
      <c r="K293">
        <v>0</v>
      </c>
      <c r="L293">
        <v>0</v>
      </c>
      <c r="O293" t="s">
        <v>521</v>
      </c>
    </row>
    <row r="294" spans="1:15" x14ac:dyDescent="0.3">
      <c r="A294">
        <v>1088019</v>
      </c>
      <c r="B294" t="s">
        <v>419</v>
      </c>
      <c r="C294" t="s">
        <v>422</v>
      </c>
      <c r="H294" t="s">
        <v>16</v>
      </c>
      <c r="I294" t="s">
        <v>16</v>
      </c>
      <c r="J294" t="s">
        <v>17</v>
      </c>
      <c r="K294">
        <v>0</v>
      </c>
      <c r="L294">
        <v>0</v>
      </c>
      <c r="O294" t="s">
        <v>521</v>
      </c>
    </row>
    <row r="295" spans="1:15" x14ac:dyDescent="0.3">
      <c r="A295">
        <v>1088019</v>
      </c>
      <c r="B295" t="s">
        <v>419</v>
      </c>
      <c r="C295" t="s">
        <v>423</v>
      </c>
      <c r="H295" t="s">
        <v>16</v>
      </c>
      <c r="I295" t="s">
        <v>16</v>
      </c>
      <c r="J295" t="s">
        <v>17</v>
      </c>
      <c r="K295">
        <v>0</v>
      </c>
      <c r="L295">
        <v>0</v>
      </c>
      <c r="O295" t="s">
        <v>521</v>
      </c>
    </row>
    <row r="296" spans="1:15" x14ac:dyDescent="0.3">
      <c r="A296">
        <v>1088019</v>
      </c>
      <c r="B296" t="s">
        <v>419</v>
      </c>
      <c r="C296" t="s">
        <v>424</v>
      </c>
      <c r="D296" t="s">
        <v>425</v>
      </c>
      <c r="E296" t="s">
        <v>426</v>
      </c>
      <c r="G296" t="s">
        <v>427</v>
      </c>
      <c r="H296" t="s">
        <v>46</v>
      </c>
      <c r="I296" t="s">
        <v>46</v>
      </c>
      <c r="J296" t="s">
        <v>17</v>
      </c>
      <c r="K296">
        <v>100</v>
      </c>
      <c r="L296">
        <v>50</v>
      </c>
      <c r="O296" t="s">
        <v>521</v>
      </c>
    </row>
    <row r="297" spans="1:15" x14ac:dyDescent="0.3">
      <c r="A297">
        <v>1088019</v>
      </c>
      <c r="B297" t="s">
        <v>419</v>
      </c>
      <c r="C297" t="s">
        <v>424</v>
      </c>
      <c r="D297" t="s">
        <v>425</v>
      </c>
      <c r="E297" t="s">
        <v>426</v>
      </c>
      <c r="G297" t="s">
        <v>428</v>
      </c>
      <c r="H297" t="s">
        <v>46</v>
      </c>
      <c r="I297" t="s">
        <v>46</v>
      </c>
      <c r="J297" t="s">
        <v>17</v>
      </c>
      <c r="K297">
        <v>100</v>
      </c>
      <c r="L297">
        <v>50</v>
      </c>
      <c r="O297" t="s">
        <v>521</v>
      </c>
    </row>
    <row r="298" spans="1:15" x14ac:dyDescent="0.3">
      <c r="A298">
        <v>1088019</v>
      </c>
      <c r="B298" t="s">
        <v>419</v>
      </c>
      <c r="C298" t="s">
        <v>424</v>
      </c>
      <c r="D298" t="s">
        <v>425</v>
      </c>
      <c r="E298" t="s">
        <v>426</v>
      </c>
      <c r="G298" t="s">
        <v>429</v>
      </c>
      <c r="H298" t="s">
        <v>46</v>
      </c>
      <c r="I298" t="s">
        <v>46</v>
      </c>
      <c r="J298" t="s">
        <v>17</v>
      </c>
      <c r="K298">
        <v>100</v>
      </c>
      <c r="L298">
        <v>50</v>
      </c>
      <c r="O298" t="s">
        <v>521</v>
      </c>
    </row>
    <row r="299" spans="1:15" x14ac:dyDescent="0.3">
      <c r="A299">
        <v>1088019</v>
      </c>
      <c r="B299" t="s">
        <v>419</v>
      </c>
      <c r="C299" t="s">
        <v>424</v>
      </c>
      <c r="D299" t="s">
        <v>425</v>
      </c>
      <c r="E299" t="s">
        <v>426</v>
      </c>
      <c r="G299" t="s">
        <v>430</v>
      </c>
      <c r="H299" t="s">
        <v>46</v>
      </c>
      <c r="I299" t="s">
        <v>46</v>
      </c>
      <c r="J299" t="s">
        <v>17</v>
      </c>
      <c r="K299">
        <v>100</v>
      </c>
      <c r="L299">
        <v>50</v>
      </c>
      <c r="O299" t="s">
        <v>521</v>
      </c>
    </row>
    <row r="300" spans="1:15" x14ac:dyDescent="0.3">
      <c r="A300">
        <v>1088019</v>
      </c>
      <c r="B300" t="s">
        <v>419</v>
      </c>
      <c r="C300" t="s">
        <v>424</v>
      </c>
      <c r="D300" t="s">
        <v>425</v>
      </c>
      <c r="E300" t="s">
        <v>426</v>
      </c>
      <c r="G300" t="s">
        <v>431</v>
      </c>
      <c r="H300" t="s">
        <v>46</v>
      </c>
      <c r="I300" t="s">
        <v>46</v>
      </c>
      <c r="J300" t="s">
        <v>17</v>
      </c>
      <c r="K300">
        <v>100</v>
      </c>
      <c r="L300">
        <v>50</v>
      </c>
      <c r="O300" t="s">
        <v>521</v>
      </c>
    </row>
    <row r="301" spans="1:15" x14ac:dyDescent="0.3">
      <c r="A301">
        <v>1088019</v>
      </c>
      <c r="B301" t="s">
        <v>419</v>
      </c>
      <c r="C301" t="s">
        <v>424</v>
      </c>
      <c r="D301" t="s">
        <v>425</v>
      </c>
      <c r="E301" t="s">
        <v>426</v>
      </c>
      <c r="G301" t="s">
        <v>432</v>
      </c>
      <c r="H301" t="s">
        <v>46</v>
      </c>
      <c r="I301" t="s">
        <v>46</v>
      </c>
      <c r="J301" t="s">
        <v>17</v>
      </c>
      <c r="K301">
        <v>100</v>
      </c>
      <c r="L301">
        <v>50</v>
      </c>
      <c r="O301" t="s">
        <v>521</v>
      </c>
    </row>
    <row r="302" spans="1:15" x14ac:dyDescent="0.3">
      <c r="A302">
        <v>1088019</v>
      </c>
      <c r="B302" t="s">
        <v>419</v>
      </c>
      <c r="C302" t="s">
        <v>424</v>
      </c>
      <c r="D302" t="s">
        <v>425</v>
      </c>
      <c r="E302" t="s">
        <v>426</v>
      </c>
      <c r="G302" t="s">
        <v>433</v>
      </c>
      <c r="H302" t="s">
        <v>46</v>
      </c>
      <c r="I302" t="s">
        <v>46</v>
      </c>
      <c r="J302" t="s">
        <v>17</v>
      </c>
      <c r="K302">
        <v>100</v>
      </c>
      <c r="L302">
        <v>50</v>
      </c>
      <c r="O302" t="s">
        <v>521</v>
      </c>
    </row>
    <row r="303" spans="1:15" x14ac:dyDescent="0.3">
      <c r="A303">
        <v>1088019</v>
      </c>
      <c r="B303" t="s">
        <v>419</v>
      </c>
      <c r="C303" t="s">
        <v>424</v>
      </c>
      <c r="D303" t="s">
        <v>425</v>
      </c>
      <c r="E303" t="s">
        <v>426</v>
      </c>
      <c r="G303" t="s">
        <v>434</v>
      </c>
      <c r="H303" t="s">
        <v>46</v>
      </c>
      <c r="I303" t="s">
        <v>46</v>
      </c>
      <c r="J303" t="s">
        <v>17</v>
      </c>
      <c r="K303">
        <v>100</v>
      </c>
      <c r="L303">
        <v>50</v>
      </c>
      <c r="O303" t="s">
        <v>521</v>
      </c>
    </row>
    <row r="304" spans="1:15" x14ac:dyDescent="0.3">
      <c r="A304">
        <v>1088019</v>
      </c>
      <c r="B304" t="s">
        <v>419</v>
      </c>
      <c r="C304" t="s">
        <v>424</v>
      </c>
      <c r="D304" t="s">
        <v>425</v>
      </c>
      <c r="E304" t="s">
        <v>426</v>
      </c>
      <c r="G304" t="s">
        <v>435</v>
      </c>
      <c r="H304" t="s">
        <v>46</v>
      </c>
      <c r="I304" t="s">
        <v>46</v>
      </c>
      <c r="J304" t="s">
        <v>17</v>
      </c>
      <c r="K304">
        <v>100</v>
      </c>
      <c r="L304">
        <v>50</v>
      </c>
      <c r="O304" t="s">
        <v>521</v>
      </c>
    </row>
    <row r="305" spans="1:15" x14ac:dyDescent="0.3">
      <c r="A305">
        <v>1088019</v>
      </c>
      <c r="B305" t="s">
        <v>419</v>
      </c>
      <c r="C305" t="s">
        <v>424</v>
      </c>
      <c r="D305" t="s">
        <v>425</v>
      </c>
      <c r="E305" t="s">
        <v>426</v>
      </c>
      <c r="G305" t="s">
        <v>436</v>
      </c>
      <c r="H305" t="s">
        <v>46</v>
      </c>
      <c r="I305" t="s">
        <v>46</v>
      </c>
      <c r="J305" t="s">
        <v>17</v>
      </c>
      <c r="K305">
        <v>100</v>
      </c>
      <c r="L305">
        <v>50</v>
      </c>
      <c r="O305" t="s">
        <v>521</v>
      </c>
    </row>
    <row r="306" spans="1:15" x14ac:dyDescent="0.3">
      <c r="A306">
        <v>1088019</v>
      </c>
      <c r="B306" t="s">
        <v>419</v>
      </c>
      <c r="C306" t="s">
        <v>424</v>
      </c>
      <c r="D306" t="s">
        <v>425</v>
      </c>
      <c r="E306" t="s">
        <v>426</v>
      </c>
      <c r="G306" t="s">
        <v>437</v>
      </c>
      <c r="H306" t="s">
        <v>46</v>
      </c>
      <c r="I306" t="s">
        <v>46</v>
      </c>
      <c r="J306" t="s">
        <v>17</v>
      </c>
      <c r="K306">
        <v>100</v>
      </c>
      <c r="L306">
        <v>50</v>
      </c>
      <c r="O306" t="s">
        <v>521</v>
      </c>
    </row>
    <row r="307" spans="1:15" x14ac:dyDescent="0.3">
      <c r="A307">
        <v>1088019</v>
      </c>
      <c r="B307" t="s">
        <v>419</v>
      </c>
      <c r="C307" t="s">
        <v>424</v>
      </c>
      <c r="D307" t="s">
        <v>425</v>
      </c>
      <c r="E307" t="s">
        <v>426</v>
      </c>
      <c r="G307" t="s">
        <v>438</v>
      </c>
      <c r="H307" t="s">
        <v>46</v>
      </c>
      <c r="I307" t="s">
        <v>46</v>
      </c>
      <c r="J307" t="s">
        <v>17</v>
      </c>
      <c r="K307">
        <v>100</v>
      </c>
      <c r="L307">
        <v>50</v>
      </c>
      <c r="O307" t="s">
        <v>521</v>
      </c>
    </row>
    <row r="308" spans="1:15" x14ac:dyDescent="0.3">
      <c r="A308">
        <v>1088019</v>
      </c>
      <c r="B308" t="s">
        <v>419</v>
      </c>
      <c r="C308" t="s">
        <v>424</v>
      </c>
      <c r="D308" t="s">
        <v>425</v>
      </c>
      <c r="E308" t="s">
        <v>426</v>
      </c>
      <c r="G308" t="s">
        <v>439</v>
      </c>
      <c r="H308" t="s">
        <v>46</v>
      </c>
      <c r="I308" t="s">
        <v>46</v>
      </c>
      <c r="J308" t="s">
        <v>17</v>
      </c>
      <c r="K308">
        <v>100</v>
      </c>
      <c r="L308">
        <v>50</v>
      </c>
      <c r="O308" t="s">
        <v>521</v>
      </c>
    </row>
    <row r="309" spans="1:15" x14ac:dyDescent="0.3">
      <c r="A309">
        <v>1088019</v>
      </c>
      <c r="B309" t="s">
        <v>419</v>
      </c>
      <c r="C309" t="s">
        <v>424</v>
      </c>
      <c r="D309" t="s">
        <v>425</v>
      </c>
      <c r="E309" t="s">
        <v>426</v>
      </c>
      <c r="G309" t="s">
        <v>440</v>
      </c>
      <c r="H309" t="s">
        <v>46</v>
      </c>
      <c r="I309" t="s">
        <v>46</v>
      </c>
      <c r="J309" t="s">
        <v>17</v>
      </c>
      <c r="K309">
        <v>100</v>
      </c>
      <c r="L309">
        <v>50</v>
      </c>
      <c r="O309" t="s">
        <v>521</v>
      </c>
    </row>
    <row r="310" spans="1:15" x14ac:dyDescent="0.3">
      <c r="A310">
        <v>1088019</v>
      </c>
      <c r="B310" t="s">
        <v>419</v>
      </c>
      <c r="C310" t="s">
        <v>424</v>
      </c>
      <c r="D310" t="s">
        <v>425</v>
      </c>
      <c r="E310" t="s">
        <v>426</v>
      </c>
      <c r="G310" t="s">
        <v>441</v>
      </c>
      <c r="H310" t="s">
        <v>46</v>
      </c>
      <c r="I310" t="s">
        <v>46</v>
      </c>
      <c r="J310" t="s">
        <v>17</v>
      </c>
      <c r="K310">
        <v>100</v>
      </c>
      <c r="L310">
        <v>50</v>
      </c>
      <c r="O310" t="s">
        <v>521</v>
      </c>
    </row>
    <row r="311" spans="1:15" x14ac:dyDescent="0.3">
      <c r="A311">
        <v>1088019</v>
      </c>
      <c r="B311" t="s">
        <v>419</v>
      </c>
      <c r="C311" t="s">
        <v>424</v>
      </c>
      <c r="D311" t="s">
        <v>425</v>
      </c>
      <c r="E311" t="s">
        <v>426</v>
      </c>
      <c r="G311" t="s">
        <v>442</v>
      </c>
      <c r="H311" t="s">
        <v>46</v>
      </c>
      <c r="I311" t="s">
        <v>46</v>
      </c>
      <c r="J311" t="s">
        <v>17</v>
      </c>
      <c r="K311">
        <v>100</v>
      </c>
      <c r="L311">
        <v>50</v>
      </c>
      <c r="O311" t="s">
        <v>521</v>
      </c>
    </row>
    <row r="312" spans="1:15" x14ac:dyDescent="0.3">
      <c r="A312">
        <v>1088019</v>
      </c>
      <c r="B312" t="s">
        <v>419</v>
      </c>
      <c r="C312" t="s">
        <v>424</v>
      </c>
      <c r="D312" t="s">
        <v>425</v>
      </c>
      <c r="E312" t="s">
        <v>426</v>
      </c>
      <c r="G312" t="s">
        <v>443</v>
      </c>
      <c r="H312" t="s">
        <v>46</v>
      </c>
      <c r="I312" t="s">
        <v>46</v>
      </c>
      <c r="J312" t="s">
        <v>17</v>
      </c>
      <c r="K312">
        <v>100</v>
      </c>
      <c r="L312">
        <v>50</v>
      </c>
      <c r="O312" t="s">
        <v>521</v>
      </c>
    </row>
    <row r="313" spans="1:15" x14ac:dyDescent="0.3">
      <c r="A313">
        <v>1088019</v>
      </c>
      <c r="B313" t="s">
        <v>419</v>
      </c>
      <c r="C313" t="s">
        <v>424</v>
      </c>
      <c r="D313" t="s">
        <v>425</v>
      </c>
      <c r="E313" t="s">
        <v>426</v>
      </c>
      <c r="G313" t="s">
        <v>444</v>
      </c>
      <c r="H313" t="s">
        <v>46</v>
      </c>
      <c r="I313" t="s">
        <v>46</v>
      </c>
      <c r="J313" t="s">
        <v>17</v>
      </c>
      <c r="K313">
        <v>100</v>
      </c>
      <c r="L313">
        <v>50</v>
      </c>
      <c r="O313" t="s">
        <v>521</v>
      </c>
    </row>
    <row r="314" spans="1:15" x14ac:dyDescent="0.3">
      <c r="A314">
        <v>1088019</v>
      </c>
      <c r="B314" t="s">
        <v>419</v>
      </c>
      <c r="C314" t="s">
        <v>445</v>
      </c>
      <c r="D314" t="s">
        <v>446</v>
      </c>
      <c r="E314" t="s">
        <v>447</v>
      </c>
      <c r="H314" t="s">
        <v>46</v>
      </c>
      <c r="I314" t="s">
        <v>46</v>
      </c>
      <c r="J314" t="s">
        <v>17</v>
      </c>
      <c r="K314">
        <v>100</v>
      </c>
      <c r="L314">
        <v>50</v>
      </c>
      <c r="M314" t="s">
        <v>448</v>
      </c>
      <c r="N314" t="s">
        <v>449</v>
      </c>
      <c r="O314" t="s">
        <v>522</v>
      </c>
    </row>
    <row r="315" spans="1:15" x14ac:dyDescent="0.3">
      <c r="A315">
        <v>1088019</v>
      </c>
      <c r="B315" t="s">
        <v>419</v>
      </c>
      <c r="C315" t="s">
        <v>450</v>
      </c>
      <c r="D315" t="s">
        <v>451</v>
      </c>
      <c r="E315" t="s">
        <v>452</v>
      </c>
      <c r="G315" t="s">
        <v>453</v>
      </c>
      <c r="H315" t="s">
        <v>46</v>
      </c>
      <c r="I315" t="s">
        <v>46</v>
      </c>
      <c r="J315" t="s">
        <v>17</v>
      </c>
      <c r="K315">
        <v>100</v>
      </c>
      <c r="L315">
        <v>50</v>
      </c>
      <c r="O315" t="s">
        <v>522</v>
      </c>
    </row>
    <row r="316" spans="1:15" x14ac:dyDescent="0.3">
      <c r="A316">
        <v>1088019</v>
      </c>
      <c r="B316" t="s">
        <v>419</v>
      </c>
      <c r="C316" t="s">
        <v>450</v>
      </c>
      <c r="D316" t="s">
        <v>451</v>
      </c>
      <c r="E316" t="s">
        <v>452</v>
      </c>
      <c r="G316" t="s">
        <v>454</v>
      </c>
      <c r="H316" t="s">
        <v>46</v>
      </c>
      <c r="I316" t="s">
        <v>46</v>
      </c>
      <c r="J316" t="s">
        <v>17</v>
      </c>
      <c r="K316">
        <v>100</v>
      </c>
      <c r="L316">
        <v>50</v>
      </c>
      <c r="O316" t="s">
        <v>522</v>
      </c>
    </row>
    <row r="317" spans="1:15" x14ac:dyDescent="0.3">
      <c r="A317">
        <v>1088019</v>
      </c>
      <c r="B317" t="s">
        <v>419</v>
      </c>
      <c r="C317" t="s">
        <v>455</v>
      </c>
      <c r="D317" t="s">
        <v>456</v>
      </c>
      <c r="E317" t="s">
        <v>457</v>
      </c>
      <c r="G317" t="s">
        <v>458</v>
      </c>
      <c r="H317" t="s">
        <v>46</v>
      </c>
      <c r="I317" t="s">
        <v>46</v>
      </c>
      <c r="J317" t="s">
        <v>17</v>
      </c>
      <c r="K317">
        <v>100</v>
      </c>
      <c r="L317">
        <v>50</v>
      </c>
      <c r="O317" t="s">
        <v>522</v>
      </c>
    </row>
    <row r="318" spans="1:15" x14ac:dyDescent="0.3">
      <c r="A318">
        <v>1088019</v>
      </c>
      <c r="B318" t="s">
        <v>419</v>
      </c>
      <c r="C318" t="s">
        <v>455</v>
      </c>
      <c r="D318" t="s">
        <v>456</v>
      </c>
      <c r="E318" t="s">
        <v>457</v>
      </c>
      <c r="G318" t="s">
        <v>459</v>
      </c>
      <c r="H318" t="s">
        <v>46</v>
      </c>
      <c r="I318" t="s">
        <v>46</v>
      </c>
      <c r="J318" t="s">
        <v>17</v>
      </c>
      <c r="K318">
        <v>100</v>
      </c>
      <c r="L318">
        <v>50</v>
      </c>
      <c r="O318" t="s">
        <v>522</v>
      </c>
    </row>
    <row r="319" spans="1:15" x14ac:dyDescent="0.3">
      <c r="A319">
        <v>1088019</v>
      </c>
      <c r="B319" t="s">
        <v>419</v>
      </c>
      <c r="C319" t="s">
        <v>455</v>
      </c>
      <c r="D319" t="s">
        <v>456</v>
      </c>
      <c r="E319" t="s">
        <v>457</v>
      </c>
      <c r="G319" t="s">
        <v>460</v>
      </c>
      <c r="H319" t="s">
        <v>46</v>
      </c>
      <c r="I319" t="s">
        <v>46</v>
      </c>
      <c r="J319" t="s">
        <v>17</v>
      </c>
      <c r="K319">
        <v>100</v>
      </c>
      <c r="L319">
        <v>50</v>
      </c>
      <c r="O319" t="s">
        <v>522</v>
      </c>
    </row>
    <row r="320" spans="1:15" x14ac:dyDescent="0.3">
      <c r="A320">
        <v>1088019</v>
      </c>
      <c r="B320" t="s">
        <v>419</v>
      </c>
      <c r="C320" t="s">
        <v>455</v>
      </c>
      <c r="D320" t="s">
        <v>456</v>
      </c>
      <c r="E320" t="s">
        <v>457</v>
      </c>
      <c r="G320" t="s">
        <v>461</v>
      </c>
      <c r="H320" t="s">
        <v>46</v>
      </c>
      <c r="I320" t="s">
        <v>46</v>
      </c>
      <c r="J320" t="s">
        <v>17</v>
      </c>
      <c r="K320">
        <v>100</v>
      </c>
      <c r="L320">
        <v>50</v>
      </c>
      <c r="O320" t="s">
        <v>522</v>
      </c>
    </row>
    <row r="321" spans="1:15" x14ac:dyDescent="0.3">
      <c r="A321">
        <v>1088019</v>
      </c>
      <c r="B321" t="s">
        <v>419</v>
      </c>
      <c r="C321" t="s">
        <v>455</v>
      </c>
      <c r="D321" t="s">
        <v>456</v>
      </c>
      <c r="E321" t="s">
        <v>457</v>
      </c>
      <c r="G321" t="s">
        <v>462</v>
      </c>
      <c r="H321" t="s">
        <v>46</v>
      </c>
      <c r="I321" t="s">
        <v>46</v>
      </c>
      <c r="J321" t="s">
        <v>17</v>
      </c>
      <c r="K321">
        <v>100</v>
      </c>
      <c r="L321">
        <v>50</v>
      </c>
      <c r="O321" t="s">
        <v>522</v>
      </c>
    </row>
    <row r="322" spans="1:15" x14ac:dyDescent="0.3">
      <c r="A322">
        <v>1088019</v>
      </c>
      <c r="B322" t="s">
        <v>419</v>
      </c>
      <c r="C322" t="s">
        <v>455</v>
      </c>
      <c r="D322" t="s">
        <v>456</v>
      </c>
      <c r="E322" t="s">
        <v>457</v>
      </c>
      <c r="G322" t="s">
        <v>463</v>
      </c>
      <c r="H322" t="s">
        <v>46</v>
      </c>
      <c r="I322" t="s">
        <v>46</v>
      </c>
      <c r="J322" t="s">
        <v>17</v>
      </c>
      <c r="K322">
        <v>100</v>
      </c>
      <c r="L322">
        <v>50</v>
      </c>
      <c r="O322" t="s">
        <v>522</v>
      </c>
    </row>
    <row r="323" spans="1:15" x14ac:dyDescent="0.3">
      <c r="A323">
        <v>1088019</v>
      </c>
      <c r="B323" t="s">
        <v>419</v>
      </c>
      <c r="C323" t="s">
        <v>455</v>
      </c>
      <c r="D323" t="s">
        <v>456</v>
      </c>
      <c r="E323" t="s">
        <v>457</v>
      </c>
      <c r="G323" t="s">
        <v>464</v>
      </c>
      <c r="H323" t="s">
        <v>46</v>
      </c>
      <c r="I323" t="s">
        <v>46</v>
      </c>
      <c r="J323" t="s">
        <v>17</v>
      </c>
      <c r="K323">
        <v>100</v>
      </c>
      <c r="L323">
        <v>50</v>
      </c>
      <c r="O323" t="s">
        <v>522</v>
      </c>
    </row>
    <row r="324" spans="1:15" x14ac:dyDescent="0.3">
      <c r="A324">
        <v>1088019</v>
      </c>
      <c r="B324" t="s">
        <v>419</v>
      </c>
      <c r="C324" t="s">
        <v>455</v>
      </c>
      <c r="D324" t="s">
        <v>456</v>
      </c>
      <c r="E324" t="s">
        <v>457</v>
      </c>
      <c r="G324" t="s">
        <v>465</v>
      </c>
      <c r="H324" t="s">
        <v>46</v>
      </c>
      <c r="I324" t="s">
        <v>46</v>
      </c>
      <c r="J324" t="s">
        <v>17</v>
      </c>
      <c r="K324">
        <v>100</v>
      </c>
      <c r="L324">
        <v>50</v>
      </c>
      <c r="O324" t="s">
        <v>522</v>
      </c>
    </row>
    <row r="325" spans="1:15" x14ac:dyDescent="0.3">
      <c r="A325">
        <v>1088019</v>
      </c>
      <c r="B325" t="s">
        <v>419</v>
      </c>
      <c r="C325" t="s">
        <v>455</v>
      </c>
      <c r="D325" t="s">
        <v>456</v>
      </c>
      <c r="E325" t="s">
        <v>457</v>
      </c>
      <c r="G325" t="s">
        <v>466</v>
      </c>
      <c r="H325" t="s">
        <v>46</v>
      </c>
      <c r="I325" t="s">
        <v>46</v>
      </c>
      <c r="J325" t="s">
        <v>17</v>
      </c>
      <c r="K325">
        <v>100</v>
      </c>
      <c r="L325">
        <v>50</v>
      </c>
      <c r="O325" t="s">
        <v>522</v>
      </c>
    </row>
    <row r="326" spans="1:15" x14ac:dyDescent="0.3">
      <c r="A326">
        <v>1088019</v>
      </c>
      <c r="B326" t="s">
        <v>419</v>
      </c>
      <c r="C326" t="s">
        <v>455</v>
      </c>
      <c r="D326" t="s">
        <v>456</v>
      </c>
      <c r="E326" t="s">
        <v>457</v>
      </c>
      <c r="G326" t="s">
        <v>467</v>
      </c>
      <c r="H326" t="s">
        <v>46</v>
      </c>
      <c r="I326" t="s">
        <v>46</v>
      </c>
      <c r="J326" t="s">
        <v>17</v>
      </c>
      <c r="K326">
        <v>100</v>
      </c>
      <c r="L326">
        <v>50</v>
      </c>
      <c r="O326" t="s">
        <v>522</v>
      </c>
    </row>
    <row r="327" spans="1:15" x14ac:dyDescent="0.3">
      <c r="A327">
        <v>1088019</v>
      </c>
      <c r="B327" t="s">
        <v>419</v>
      </c>
      <c r="C327" t="s">
        <v>455</v>
      </c>
      <c r="D327" t="s">
        <v>456</v>
      </c>
      <c r="E327" t="s">
        <v>457</v>
      </c>
      <c r="G327" t="s">
        <v>468</v>
      </c>
      <c r="H327" t="s">
        <v>46</v>
      </c>
      <c r="I327" t="s">
        <v>46</v>
      </c>
      <c r="J327" t="s">
        <v>17</v>
      </c>
      <c r="K327">
        <v>100</v>
      </c>
      <c r="L327">
        <v>50</v>
      </c>
      <c r="O327" t="s">
        <v>522</v>
      </c>
    </row>
    <row r="328" spans="1:15" x14ac:dyDescent="0.3">
      <c r="A328">
        <v>1088019</v>
      </c>
      <c r="B328" t="s">
        <v>419</v>
      </c>
      <c r="C328" t="s">
        <v>455</v>
      </c>
      <c r="D328" t="s">
        <v>456</v>
      </c>
      <c r="E328" t="s">
        <v>457</v>
      </c>
      <c r="G328" t="s">
        <v>469</v>
      </c>
      <c r="H328" t="s">
        <v>46</v>
      </c>
      <c r="I328" t="s">
        <v>46</v>
      </c>
      <c r="J328" t="s">
        <v>17</v>
      </c>
      <c r="K328">
        <v>100</v>
      </c>
      <c r="L328">
        <v>50</v>
      </c>
      <c r="O328" t="s">
        <v>522</v>
      </c>
    </row>
    <row r="329" spans="1:15" x14ac:dyDescent="0.3">
      <c r="A329">
        <v>1088019</v>
      </c>
      <c r="B329" t="s">
        <v>419</v>
      </c>
      <c r="C329" t="s">
        <v>455</v>
      </c>
      <c r="D329" t="s">
        <v>456</v>
      </c>
      <c r="E329" t="s">
        <v>457</v>
      </c>
      <c r="G329" t="s">
        <v>470</v>
      </c>
      <c r="H329" t="s">
        <v>46</v>
      </c>
      <c r="I329" t="s">
        <v>46</v>
      </c>
      <c r="J329" t="s">
        <v>17</v>
      </c>
      <c r="K329">
        <v>100</v>
      </c>
      <c r="L329">
        <v>50</v>
      </c>
      <c r="O329" t="s">
        <v>522</v>
      </c>
    </row>
    <row r="330" spans="1:15" x14ac:dyDescent="0.3">
      <c r="A330">
        <v>1088019</v>
      </c>
      <c r="B330" t="s">
        <v>419</v>
      </c>
      <c r="C330" t="s">
        <v>471</v>
      </c>
      <c r="D330" t="s">
        <v>472</v>
      </c>
      <c r="E330" t="s">
        <v>473</v>
      </c>
      <c r="F330" t="s">
        <v>474</v>
      </c>
      <c r="G330" t="s">
        <v>475</v>
      </c>
      <c r="H330" t="s">
        <v>46</v>
      </c>
      <c r="I330" t="s">
        <v>46</v>
      </c>
      <c r="J330" t="s">
        <v>17</v>
      </c>
      <c r="K330">
        <v>100</v>
      </c>
      <c r="L330">
        <v>50</v>
      </c>
      <c r="O330" t="s">
        <v>521</v>
      </c>
    </row>
    <row r="331" spans="1:15" x14ac:dyDescent="0.3">
      <c r="A331">
        <v>1088019</v>
      </c>
      <c r="B331" t="s">
        <v>419</v>
      </c>
      <c r="C331" t="s">
        <v>471</v>
      </c>
      <c r="D331" t="s">
        <v>472</v>
      </c>
      <c r="E331" t="s">
        <v>473</v>
      </c>
      <c r="F331" t="s">
        <v>474</v>
      </c>
      <c r="G331" t="s">
        <v>476</v>
      </c>
      <c r="H331" t="s">
        <v>46</v>
      </c>
      <c r="I331" t="s">
        <v>46</v>
      </c>
      <c r="J331" t="s">
        <v>17</v>
      </c>
      <c r="K331">
        <v>100</v>
      </c>
      <c r="L331">
        <v>50</v>
      </c>
      <c r="O331" t="s">
        <v>521</v>
      </c>
    </row>
    <row r="332" spans="1:15" x14ac:dyDescent="0.3">
      <c r="A332">
        <v>1088019</v>
      </c>
      <c r="B332" t="s">
        <v>419</v>
      </c>
      <c r="C332" t="s">
        <v>471</v>
      </c>
      <c r="D332" t="s">
        <v>472</v>
      </c>
      <c r="E332" t="s">
        <v>473</v>
      </c>
      <c r="F332" t="s">
        <v>474</v>
      </c>
      <c r="G332" t="s">
        <v>477</v>
      </c>
      <c r="H332" t="s">
        <v>46</v>
      </c>
      <c r="I332" t="s">
        <v>46</v>
      </c>
      <c r="J332" t="s">
        <v>17</v>
      </c>
      <c r="K332">
        <v>100</v>
      </c>
      <c r="L332">
        <v>50</v>
      </c>
      <c r="O332" t="s">
        <v>521</v>
      </c>
    </row>
    <row r="333" spans="1:15" x14ac:dyDescent="0.3">
      <c r="A333">
        <v>1088019</v>
      </c>
      <c r="B333" t="s">
        <v>419</v>
      </c>
      <c r="C333" t="s">
        <v>471</v>
      </c>
      <c r="D333" t="s">
        <v>472</v>
      </c>
      <c r="E333" t="s">
        <v>473</v>
      </c>
      <c r="F333" t="s">
        <v>474</v>
      </c>
      <c r="G333" t="s">
        <v>478</v>
      </c>
      <c r="H333" t="s">
        <v>46</v>
      </c>
      <c r="I333" t="s">
        <v>46</v>
      </c>
      <c r="J333" t="s">
        <v>17</v>
      </c>
      <c r="K333">
        <v>100</v>
      </c>
      <c r="L333">
        <v>50</v>
      </c>
      <c r="O333" t="s">
        <v>521</v>
      </c>
    </row>
    <row r="334" spans="1:15" x14ac:dyDescent="0.3">
      <c r="A334">
        <v>1088019</v>
      </c>
      <c r="B334" t="s">
        <v>419</v>
      </c>
      <c r="C334" t="s">
        <v>471</v>
      </c>
      <c r="D334" t="s">
        <v>472</v>
      </c>
      <c r="E334" t="s">
        <v>473</v>
      </c>
      <c r="F334" t="s">
        <v>474</v>
      </c>
      <c r="G334" t="s">
        <v>479</v>
      </c>
      <c r="H334" t="s">
        <v>46</v>
      </c>
      <c r="I334" t="s">
        <v>46</v>
      </c>
      <c r="J334" t="s">
        <v>17</v>
      </c>
      <c r="K334">
        <v>100</v>
      </c>
      <c r="L334">
        <v>50</v>
      </c>
      <c r="O334" t="s">
        <v>521</v>
      </c>
    </row>
    <row r="335" spans="1:15" x14ac:dyDescent="0.3">
      <c r="A335">
        <v>1088019</v>
      </c>
      <c r="B335" t="s">
        <v>419</v>
      </c>
      <c r="C335" t="s">
        <v>471</v>
      </c>
      <c r="D335" t="s">
        <v>472</v>
      </c>
      <c r="E335" t="s">
        <v>473</v>
      </c>
      <c r="F335" t="s">
        <v>474</v>
      </c>
      <c r="G335" t="s">
        <v>480</v>
      </c>
      <c r="H335" t="s">
        <v>46</v>
      </c>
      <c r="I335" t="s">
        <v>46</v>
      </c>
      <c r="J335" t="s">
        <v>17</v>
      </c>
      <c r="K335">
        <v>100</v>
      </c>
      <c r="L335">
        <v>50</v>
      </c>
      <c r="O335" t="s">
        <v>521</v>
      </c>
    </row>
    <row r="336" spans="1:15" x14ac:dyDescent="0.3">
      <c r="A336">
        <v>1088019</v>
      </c>
      <c r="B336" t="s">
        <v>419</v>
      </c>
      <c r="C336" t="s">
        <v>471</v>
      </c>
      <c r="D336" t="s">
        <v>472</v>
      </c>
      <c r="E336" t="s">
        <v>473</v>
      </c>
      <c r="F336" t="s">
        <v>474</v>
      </c>
      <c r="G336" t="s">
        <v>481</v>
      </c>
      <c r="H336" t="s">
        <v>46</v>
      </c>
      <c r="I336" t="s">
        <v>46</v>
      </c>
      <c r="J336" t="s">
        <v>17</v>
      </c>
      <c r="K336">
        <v>100</v>
      </c>
      <c r="L336">
        <v>50</v>
      </c>
      <c r="O336" t="s">
        <v>521</v>
      </c>
    </row>
    <row r="337" spans="1:15" x14ac:dyDescent="0.3">
      <c r="A337">
        <v>1088019</v>
      </c>
      <c r="B337" t="s">
        <v>419</v>
      </c>
      <c r="C337" t="s">
        <v>482</v>
      </c>
      <c r="D337" t="s">
        <v>483</v>
      </c>
      <c r="E337" t="s">
        <v>484</v>
      </c>
      <c r="F337">
        <v>119788740</v>
      </c>
      <c r="G337" t="s">
        <v>485</v>
      </c>
      <c r="H337" t="s">
        <v>46</v>
      </c>
      <c r="I337" t="s">
        <v>46</v>
      </c>
      <c r="J337" t="s">
        <v>17</v>
      </c>
      <c r="K337">
        <v>100</v>
      </c>
      <c r="L337">
        <v>50</v>
      </c>
      <c r="O337" t="s">
        <v>521</v>
      </c>
    </row>
    <row r="338" spans="1:15" x14ac:dyDescent="0.3">
      <c r="A338">
        <v>1088019</v>
      </c>
      <c r="B338" t="s">
        <v>419</v>
      </c>
      <c r="C338" t="s">
        <v>482</v>
      </c>
      <c r="D338" t="s">
        <v>483</v>
      </c>
      <c r="E338" t="s">
        <v>484</v>
      </c>
      <c r="F338">
        <v>119788740</v>
      </c>
      <c r="G338" t="s">
        <v>486</v>
      </c>
      <c r="H338" t="s">
        <v>46</v>
      </c>
      <c r="I338" t="s">
        <v>46</v>
      </c>
      <c r="J338" t="s">
        <v>17</v>
      </c>
      <c r="K338">
        <v>100</v>
      </c>
      <c r="L338">
        <v>50</v>
      </c>
      <c r="O338" t="s">
        <v>521</v>
      </c>
    </row>
    <row r="339" spans="1:15" x14ac:dyDescent="0.3">
      <c r="A339">
        <v>1088019</v>
      </c>
      <c r="B339" t="s">
        <v>419</v>
      </c>
      <c r="C339" t="s">
        <v>482</v>
      </c>
      <c r="D339" t="s">
        <v>483</v>
      </c>
      <c r="E339" t="s">
        <v>484</v>
      </c>
      <c r="F339">
        <v>119788740</v>
      </c>
      <c r="G339" t="s">
        <v>487</v>
      </c>
      <c r="H339" t="s">
        <v>46</v>
      </c>
      <c r="I339" t="s">
        <v>46</v>
      </c>
      <c r="J339" t="s">
        <v>17</v>
      </c>
      <c r="K339">
        <v>100</v>
      </c>
      <c r="L339">
        <v>50</v>
      </c>
      <c r="O339" t="s">
        <v>521</v>
      </c>
    </row>
    <row r="340" spans="1:15" x14ac:dyDescent="0.3">
      <c r="A340">
        <v>1088019</v>
      </c>
      <c r="B340" t="s">
        <v>419</v>
      </c>
      <c r="C340" t="s">
        <v>482</v>
      </c>
      <c r="D340" t="s">
        <v>483</v>
      </c>
      <c r="E340" t="s">
        <v>484</v>
      </c>
      <c r="F340">
        <v>119788740</v>
      </c>
      <c r="G340" t="s">
        <v>488</v>
      </c>
      <c r="H340" t="s">
        <v>46</v>
      </c>
      <c r="I340" t="s">
        <v>46</v>
      </c>
      <c r="J340" t="s">
        <v>17</v>
      </c>
      <c r="K340">
        <v>100</v>
      </c>
      <c r="L340">
        <v>50</v>
      </c>
      <c r="O340" t="s">
        <v>521</v>
      </c>
    </row>
    <row r="341" spans="1:15" x14ac:dyDescent="0.3">
      <c r="A341">
        <v>1088019</v>
      </c>
      <c r="B341" t="s">
        <v>419</v>
      </c>
      <c r="C341" t="s">
        <v>482</v>
      </c>
      <c r="D341" t="s">
        <v>483</v>
      </c>
      <c r="E341" t="s">
        <v>484</v>
      </c>
      <c r="F341">
        <v>119788740</v>
      </c>
      <c r="G341" t="s">
        <v>489</v>
      </c>
      <c r="H341" t="s">
        <v>46</v>
      </c>
      <c r="I341" t="s">
        <v>46</v>
      </c>
      <c r="J341" t="s">
        <v>17</v>
      </c>
      <c r="K341">
        <v>100</v>
      </c>
      <c r="L341">
        <v>50</v>
      </c>
      <c r="O341" t="s">
        <v>521</v>
      </c>
    </row>
    <row r="342" spans="1:15" x14ac:dyDescent="0.3">
      <c r="A342">
        <v>1088019</v>
      </c>
      <c r="B342" t="s">
        <v>419</v>
      </c>
      <c r="C342" t="s">
        <v>482</v>
      </c>
      <c r="D342" t="s">
        <v>483</v>
      </c>
      <c r="E342" t="s">
        <v>484</v>
      </c>
      <c r="F342">
        <v>119788740</v>
      </c>
      <c r="G342" t="s">
        <v>490</v>
      </c>
      <c r="H342" t="s">
        <v>46</v>
      </c>
      <c r="I342" t="s">
        <v>46</v>
      </c>
      <c r="J342" t="s">
        <v>17</v>
      </c>
      <c r="K342">
        <v>100</v>
      </c>
      <c r="L342">
        <v>50</v>
      </c>
      <c r="O342" t="s">
        <v>521</v>
      </c>
    </row>
    <row r="343" spans="1:15" x14ac:dyDescent="0.3">
      <c r="A343">
        <v>1088019</v>
      </c>
      <c r="B343" t="s">
        <v>419</v>
      </c>
      <c r="C343" t="s">
        <v>482</v>
      </c>
      <c r="D343" t="s">
        <v>483</v>
      </c>
      <c r="E343" t="s">
        <v>484</v>
      </c>
      <c r="F343">
        <v>119788740</v>
      </c>
      <c r="G343" t="s">
        <v>491</v>
      </c>
      <c r="H343" t="s">
        <v>46</v>
      </c>
      <c r="I343" t="s">
        <v>46</v>
      </c>
      <c r="J343" t="s">
        <v>17</v>
      </c>
      <c r="K343">
        <v>100</v>
      </c>
      <c r="L343">
        <v>50</v>
      </c>
      <c r="O343" t="s">
        <v>521</v>
      </c>
    </row>
    <row r="344" spans="1:15" x14ac:dyDescent="0.3">
      <c r="A344">
        <v>1088019</v>
      </c>
      <c r="B344" t="s">
        <v>419</v>
      </c>
      <c r="C344" t="s">
        <v>482</v>
      </c>
      <c r="D344" t="s">
        <v>483</v>
      </c>
      <c r="E344" t="s">
        <v>484</v>
      </c>
      <c r="F344">
        <v>119788740</v>
      </c>
      <c r="G344" t="s">
        <v>492</v>
      </c>
      <c r="H344" t="s">
        <v>46</v>
      </c>
      <c r="I344" t="s">
        <v>46</v>
      </c>
      <c r="J344" t="s">
        <v>17</v>
      </c>
      <c r="K344">
        <v>100</v>
      </c>
      <c r="L344">
        <v>50</v>
      </c>
      <c r="O344" t="s">
        <v>521</v>
      </c>
    </row>
    <row r="345" spans="1:15" x14ac:dyDescent="0.3">
      <c r="A345">
        <v>1088019</v>
      </c>
      <c r="B345" t="s">
        <v>419</v>
      </c>
      <c r="C345" t="s">
        <v>482</v>
      </c>
      <c r="D345" t="s">
        <v>483</v>
      </c>
      <c r="E345" t="s">
        <v>484</v>
      </c>
      <c r="F345">
        <v>119788740</v>
      </c>
      <c r="G345" t="s">
        <v>493</v>
      </c>
      <c r="H345" t="s">
        <v>46</v>
      </c>
      <c r="I345" t="s">
        <v>46</v>
      </c>
      <c r="J345" t="s">
        <v>17</v>
      </c>
      <c r="K345">
        <v>100</v>
      </c>
      <c r="L345">
        <v>50</v>
      </c>
      <c r="O345" t="s">
        <v>521</v>
      </c>
    </row>
    <row r="346" spans="1:15" x14ac:dyDescent="0.3">
      <c r="A346">
        <v>1088019</v>
      </c>
      <c r="B346" t="s">
        <v>419</v>
      </c>
      <c r="C346" t="s">
        <v>482</v>
      </c>
      <c r="D346" t="s">
        <v>483</v>
      </c>
      <c r="E346" t="s">
        <v>484</v>
      </c>
      <c r="F346">
        <v>119788740</v>
      </c>
      <c r="G346" t="s">
        <v>494</v>
      </c>
      <c r="H346" t="s">
        <v>46</v>
      </c>
      <c r="I346" t="s">
        <v>46</v>
      </c>
      <c r="J346" t="s">
        <v>17</v>
      </c>
      <c r="K346">
        <v>100</v>
      </c>
      <c r="L346">
        <v>50</v>
      </c>
      <c r="O346" t="s">
        <v>521</v>
      </c>
    </row>
    <row r="347" spans="1:15" x14ac:dyDescent="0.3">
      <c r="A347">
        <v>1088019</v>
      </c>
      <c r="B347" t="s">
        <v>419</v>
      </c>
      <c r="C347" t="s">
        <v>482</v>
      </c>
      <c r="D347" t="s">
        <v>483</v>
      </c>
      <c r="E347" t="s">
        <v>484</v>
      </c>
      <c r="F347">
        <v>119788740</v>
      </c>
      <c r="G347" t="s">
        <v>495</v>
      </c>
      <c r="H347" t="s">
        <v>46</v>
      </c>
      <c r="I347" t="s">
        <v>46</v>
      </c>
      <c r="J347" t="s">
        <v>17</v>
      </c>
      <c r="K347">
        <v>100</v>
      </c>
      <c r="L347">
        <v>50</v>
      </c>
      <c r="O347" t="s">
        <v>521</v>
      </c>
    </row>
    <row r="348" spans="1:15" x14ac:dyDescent="0.3">
      <c r="A348">
        <v>1088019</v>
      </c>
      <c r="B348" t="s">
        <v>419</v>
      </c>
      <c r="C348" t="s">
        <v>482</v>
      </c>
      <c r="D348" t="s">
        <v>483</v>
      </c>
      <c r="E348" t="s">
        <v>484</v>
      </c>
      <c r="F348">
        <v>119788740</v>
      </c>
      <c r="G348" t="s">
        <v>496</v>
      </c>
      <c r="H348" t="s">
        <v>46</v>
      </c>
      <c r="I348" t="s">
        <v>46</v>
      </c>
      <c r="J348" t="s">
        <v>17</v>
      </c>
      <c r="K348">
        <v>100</v>
      </c>
      <c r="L348">
        <v>50</v>
      </c>
      <c r="O348" t="s">
        <v>521</v>
      </c>
    </row>
    <row r="349" spans="1:15" x14ac:dyDescent="0.3">
      <c r="A349">
        <v>1088019</v>
      </c>
      <c r="B349" t="s">
        <v>419</v>
      </c>
      <c r="C349" t="s">
        <v>482</v>
      </c>
      <c r="D349" t="s">
        <v>483</v>
      </c>
      <c r="E349" t="s">
        <v>484</v>
      </c>
      <c r="F349">
        <v>119788740</v>
      </c>
      <c r="G349" t="s">
        <v>497</v>
      </c>
      <c r="H349" t="s">
        <v>46</v>
      </c>
      <c r="I349" t="s">
        <v>46</v>
      </c>
      <c r="J349" t="s">
        <v>17</v>
      </c>
      <c r="K349">
        <v>100</v>
      </c>
      <c r="L349">
        <v>50</v>
      </c>
      <c r="O349" t="s">
        <v>521</v>
      </c>
    </row>
    <row r="350" spans="1:15" x14ac:dyDescent="0.3">
      <c r="A350">
        <v>1088019</v>
      </c>
      <c r="B350" t="s">
        <v>419</v>
      </c>
      <c r="C350" t="s">
        <v>482</v>
      </c>
      <c r="D350" t="s">
        <v>483</v>
      </c>
      <c r="E350" t="s">
        <v>484</v>
      </c>
      <c r="F350">
        <v>119788740</v>
      </c>
      <c r="G350" t="s">
        <v>498</v>
      </c>
      <c r="H350" t="s">
        <v>46</v>
      </c>
      <c r="I350" t="s">
        <v>46</v>
      </c>
      <c r="J350" t="s">
        <v>17</v>
      </c>
      <c r="K350">
        <v>100</v>
      </c>
      <c r="L350">
        <v>50</v>
      </c>
      <c r="O350" t="s">
        <v>521</v>
      </c>
    </row>
    <row r="351" spans="1:15" x14ac:dyDescent="0.3">
      <c r="A351">
        <v>1088019</v>
      </c>
      <c r="B351" t="s">
        <v>419</v>
      </c>
      <c r="C351" t="s">
        <v>482</v>
      </c>
      <c r="D351" t="s">
        <v>483</v>
      </c>
      <c r="E351" t="s">
        <v>484</v>
      </c>
      <c r="F351">
        <v>119788740</v>
      </c>
      <c r="G351" t="s">
        <v>499</v>
      </c>
      <c r="H351" t="s">
        <v>46</v>
      </c>
      <c r="I351" t="s">
        <v>46</v>
      </c>
      <c r="J351" t="s">
        <v>17</v>
      </c>
      <c r="K351">
        <v>100</v>
      </c>
      <c r="L351">
        <v>50</v>
      </c>
      <c r="O351" t="s">
        <v>521</v>
      </c>
    </row>
    <row r="352" spans="1:15" x14ac:dyDescent="0.3">
      <c r="A352">
        <v>1088019</v>
      </c>
      <c r="B352" t="s">
        <v>419</v>
      </c>
      <c r="C352" t="s">
        <v>482</v>
      </c>
      <c r="D352" t="s">
        <v>483</v>
      </c>
      <c r="E352" t="s">
        <v>484</v>
      </c>
      <c r="F352">
        <v>119788740</v>
      </c>
      <c r="G352" t="s">
        <v>500</v>
      </c>
      <c r="H352" t="s">
        <v>46</v>
      </c>
      <c r="I352" t="s">
        <v>46</v>
      </c>
      <c r="J352" t="s">
        <v>17</v>
      </c>
      <c r="K352">
        <v>100</v>
      </c>
      <c r="L352">
        <v>50</v>
      </c>
      <c r="O352" t="s">
        <v>521</v>
      </c>
    </row>
    <row r="353" spans="1:15" x14ac:dyDescent="0.3">
      <c r="A353">
        <v>1088019</v>
      </c>
      <c r="B353" t="s">
        <v>419</v>
      </c>
      <c r="C353" t="s">
        <v>482</v>
      </c>
      <c r="D353" t="s">
        <v>483</v>
      </c>
      <c r="E353" t="s">
        <v>484</v>
      </c>
      <c r="F353">
        <v>119788740</v>
      </c>
      <c r="G353" t="s">
        <v>501</v>
      </c>
      <c r="H353" t="s">
        <v>46</v>
      </c>
      <c r="I353" t="s">
        <v>46</v>
      </c>
      <c r="J353" t="s">
        <v>17</v>
      </c>
      <c r="K353">
        <v>100</v>
      </c>
      <c r="L353">
        <v>50</v>
      </c>
      <c r="O353" t="s">
        <v>521</v>
      </c>
    </row>
    <row r="354" spans="1:15" x14ac:dyDescent="0.3">
      <c r="A354">
        <v>1088019</v>
      </c>
      <c r="B354" t="s">
        <v>419</v>
      </c>
      <c r="C354" t="s">
        <v>482</v>
      </c>
      <c r="D354" t="s">
        <v>483</v>
      </c>
      <c r="E354" t="s">
        <v>484</v>
      </c>
      <c r="F354">
        <v>119788740</v>
      </c>
      <c r="G354" t="s">
        <v>502</v>
      </c>
      <c r="H354" t="s">
        <v>46</v>
      </c>
      <c r="I354" t="s">
        <v>46</v>
      </c>
      <c r="J354" t="s">
        <v>17</v>
      </c>
      <c r="K354">
        <v>100</v>
      </c>
      <c r="L354">
        <v>50</v>
      </c>
      <c r="O354" t="s">
        <v>521</v>
      </c>
    </row>
    <row r="355" spans="1:15" x14ac:dyDescent="0.3">
      <c r="A355">
        <v>1088019</v>
      </c>
      <c r="B355" t="s">
        <v>419</v>
      </c>
      <c r="C355" t="s">
        <v>482</v>
      </c>
      <c r="D355" t="s">
        <v>483</v>
      </c>
      <c r="E355" t="s">
        <v>484</v>
      </c>
      <c r="F355">
        <v>119788740</v>
      </c>
      <c r="G355" t="s">
        <v>503</v>
      </c>
      <c r="H355" t="s">
        <v>46</v>
      </c>
      <c r="I355" t="s">
        <v>46</v>
      </c>
      <c r="J355" t="s">
        <v>17</v>
      </c>
      <c r="K355">
        <v>100</v>
      </c>
      <c r="L355">
        <v>50</v>
      </c>
      <c r="O355" t="s">
        <v>521</v>
      </c>
    </row>
    <row r="356" spans="1:15" x14ac:dyDescent="0.3">
      <c r="A356">
        <v>1088019</v>
      </c>
      <c r="B356" t="s">
        <v>419</v>
      </c>
      <c r="C356" t="s">
        <v>482</v>
      </c>
      <c r="D356" t="s">
        <v>483</v>
      </c>
      <c r="E356" t="s">
        <v>484</v>
      </c>
      <c r="F356">
        <v>119788740</v>
      </c>
      <c r="G356" t="s">
        <v>504</v>
      </c>
      <c r="H356" t="s">
        <v>46</v>
      </c>
      <c r="I356" t="s">
        <v>46</v>
      </c>
      <c r="J356" t="s">
        <v>17</v>
      </c>
      <c r="K356">
        <v>100</v>
      </c>
      <c r="L356">
        <v>50</v>
      </c>
      <c r="O356" t="s">
        <v>521</v>
      </c>
    </row>
    <row r="357" spans="1:15" x14ac:dyDescent="0.3">
      <c r="A357">
        <v>1088019</v>
      </c>
      <c r="B357" t="s">
        <v>419</v>
      </c>
      <c r="C357" t="s">
        <v>482</v>
      </c>
      <c r="D357" t="s">
        <v>483</v>
      </c>
      <c r="E357" t="s">
        <v>484</v>
      </c>
      <c r="F357">
        <v>119788740</v>
      </c>
      <c r="G357" t="s">
        <v>505</v>
      </c>
      <c r="H357" t="s">
        <v>46</v>
      </c>
      <c r="I357" t="s">
        <v>46</v>
      </c>
      <c r="J357" t="s">
        <v>17</v>
      </c>
      <c r="K357">
        <v>100</v>
      </c>
      <c r="L357">
        <v>50</v>
      </c>
      <c r="O357" t="s">
        <v>521</v>
      </c>
    </row>
    <row r="358" spans="1:15" x14ac:dyDescent="0.3">
      <c r="A358">
        <v>1088019</v>
      </c>
      <c r="B358" t="s">
        <v>419</v>
      </c>
      <c r="C358" t="s">
        <v>482</v>
      </c>
      <c r="D358" t="s">
        <v>483</v>
      </c>
      <c r="E358" t="s">
        <v>484</v>
      </c>
      <c r="F358">
        <v>119788740</v>
      </c>
      <c r="G358" t="s">
        <v>506</v>
      </c>
      <c r="H358" t="s">
        <v>46</v>
      </c>
      <c r="I358" t="s">
        <v>46</v>
      </c>
      <c r="J358" t="s">
        <v>17</v>
      </c>
      <c r="K358">
        <v>100</v>
      </c>
      <c r="L358">
        <v>50</v>
      </c>
      <c r="O358" t="s">
        <v>521</v>
      </c>
    </row>
    <row r="359" spans="1:15" x14ac:dyDescent="0.3">
      <c r="A359">
        <v>1088019</v>
      </c>
      <c r="B359" t="s">
        <v>419</v>
      </c>
      <c r="C359" t="s">
        <v>482</v>
      </c>
      <c r="D359" t="s">
        <v>483</v>
      </c>
      <c r="E359" t="s">
        <v>484</v>
      </c>
      <c r="F359">
        <v>119788740</v>
      </c>
      <c r="G359" t="s">
        <v>507</v>
      </c>
      <c r="H359" t="s">
        <v>46</v>
      </c>
      <c r="I359" t="s">
        <v>46</v>
      </c>
      <c r="J359" t="s">
        <v>17</v>
      </c>
      <c r="K359">
        <v>100</v>
      </c>
      <c r="L359">
        <v>50</v>
      </c>
      <c r="O359" t="s">
        <v>521</v>
      </c>
    </row>
    <row r="360" spans="1:15" x14ac:dyDescent="0.3">
      <c r="A360">
        <v>1088019</v>
      </c>
      <c r="B360" t="s">
        <v>419</v>
      </c>
      <c r="C360" t="s">
        <v>482</v>
      </c>
      <c r="D360" t="s">
        <v>483</v>
      </c>
      <c r="E360" t="s">
        <v>484</v>
      </c>
      <c r="F360">
        <v>119788740</v>
      </c>
      <c r="G360" t="s">
        <v>508</v>
      </c>
      <c r="H360" t="s">
        <v>46</v>
      </c>
      <c r="I360" t="s">
        <v>46</v>
      </c>
      <c r="J360" t="s">
        <v>17</v>
      </c>
      <c r="K360">
        <v>100</v>
      </c>
      <c r="L360">
        <v>50</v>
      </c>
      <c r="O360" t="s">
        <v>521</v>
      </c>
    </row>
    <row r="361" spans="1:15" x14ac:dyDescent="0.3">
      <c r="A361">
        <v>1088019</v>
      </c>
      <c r="B361" t="s">
        <v>419</v>
      </c>
      <c r="C361" t="s">
        <v>482</v>
      </c>
      <c r="D361" t="s">
        <v>483</v>
      </c>
      <c r="E361" t="s">
        <v>484</v>
      </c>
      <c r="F361">
        <v>119788740</v>
      </c>
      <c r="G361" t="s">
        <v>509</v>
      </c>
      <c r="H361" t="s">
        <v>46</v>
      </c>
      <c r="I361" t="s">
        <v>46</v>
      </c>
      <c r="J361" t="s">
        <v>17</v>
      </c>
      <c r="K361">
        <v>100</v>
      </c>
      <c r="L361">
        <v>50</v>
      </c>
      <c r="O361" t="s">
        <v>521</v>
      </c>
    </row>
    <row r="362" spans="1:15" x14ac:dyDescent="0.3">
      <c r="A362">
        <v>1088019</v>
      </c>
      <c r="B362" t="s">
        <v>419</v>
      </c>
      <c r="C362" t="s">
        <v>482</v>
      </c>
      <c r="D362" t="s">
        <v>483</v>
      </c>
      <c r="E362" t="s">
        <v>484</v>
      </c>
      <c r="F362">
        <v>119788740</v>
      </c>
      <c r="G362" t="s">
        <v>510</v>
      </c>
      <c r="H362" t="s">
        <v>46</v>
      </c>
      <c r="I362" t="s">
        <v>46</v>
      </c>
      <c r="J362" t="s">
        <v>17</v>
      </c>
      <c r="K362">
        <v>100</v>
      </c>
      <c r="L362">
        <v>50</v>
      </c>
      <c r="O362" t="s">
        <v>521</v>
      </c>
    </row>
    <row r="363" spans="1:15" x14ac:dyDescent="0.3">
      <c r="A363">
        <v>1088019</v>
      </c>
      <c r="B363" t="s">
        <v>419</v>
      </c>
      <c r="C363" t="s">
        <v>482</v>
      </c>
      <c r="D363" t="s">
        <v>483</v>
      </c>
      <c r="E363" t="s">
        <v>484</v>
      </c>
      <c r="F363">
        <v>119788740</v>
      </c>
      <c r="G363" t="s">
        <v>511</v>
      </c>
      <c r="H363" t="s">
        <v>46</v>
      </c>
      <c r="I363" t="s">
        <v>46</v>
      </c>
      <c r="J363" t="s">
        <v>17</v>
      </c>
      <c r="K363">
        <v>100</v>
      </c>
      <c r="L363">
        <v>50</v>
      </c>
      <c r="O363" t="s">
        <v>521</v>
      </c>
    </row>
    <row r="364" spans="1:15" x14ac:dyDescent="0.3">
      <c r="A364">
        <v>1088019</v>
      </c>
      <c r="B364" t="s">
        <v>419</v>
      </c>
      <c r="C364" t="s">
        <v>482</v>
      </c>
      <c r="D364" t="s">
        <v>483</v>
      </c>
      <c r="E364" t="s">
        <v>484</v>
      </c>
      <c r="F364">
        <v>119788740</v>
      </c>
      <c r="G364" t="s">
        <v>512</v>
      </c>
      <c r="H364" t="s">
        <v>46</v>
      </c>
      <c r="I364" t="s">
        <v>46</v>
      </c>
      <c r="J364" t="s">
        <v>17</v>
      </c>
      <c r="K364">
        <v>100</v>
      </c>
      <c r="L364">
        <v>50</v>
      </c>
      <c r="O364" t="s">
        <v>521</v>
      </c>
    </row>
    <row r="365" spans="1:15" x14ac:dyDescent="0.3">
      <c r="A365">
        <v>1088019</v>
      </c>
      <c r="B365" t="s">
        <v>419</v>
      </c>
      <c r="C365" t="s">
        <v>482</v>
      </c>
      <c r="D365" t="s">
        <v>483</v>
      </c>
      <c r="E365" t="s">
        <v>484</v>
      </c>
      <c r="F365">
        <v>119788740</v>
      </c>
      <c r="G365" t="s">
        <v>513</v>
      </c>
      <c r="H365" t="s">
        <v>46</v>
      </c>
      <c r="I365" t="s">
        <v>46</v>
      </c>
      <c r="J365" t="s">
        <v>17</v>
      </c>
      <c r="K365">
        <v>100</v>
      </c>
      <c r="L365">
        <v>50</v>
      </c>
      <c r="O365" t="s">
        <v>521</v>
      </c>
    </row>
    <row r="366" spans="1:15" x14ac:dyDescent="0.3">
      <c r="A366">
        <v>1088019</v>
      </c>
      <c r="B366" t="s">
        <v>419</v>
      </c>
      <c r="C366" t="s">
        <v>482</v>
      </c>
      <c r="D366" t="s">
        <v>483</v>
      </c>
      <c r="E366" t="s">
        <v>484</v>
      </c>
      <c r="F366">
        <v>119788740</v>
      </c>
      <c r="G366" t="s">
        <v>514</v>
      </c>
      <c r="H366" t="s">
        <v>46</v>
      </c>
      <c r="I366" t="s">
        <v>46</v>
      </c>
      <c r="J366" t="s">
        <v>17</v>
      </c>
      <c r="K366">
        <v>100</v>
      </c>
      <c r="L366">
        <v>50</v>
      </c>
      <c r="O366" t="s">
        <v>521</v>
      </c>
    </row>
    <row r="367" spans="1:15" x14ac:dyDescent="0.3">
      <c r="A367">
        <v>1088019</v>
      </c>
      <c r="B367" t="s">
        <v>419</v>
      </c>
      <c r="C367" t="s">
        <v>482</v>
      </c>
      <c r="D367" t="s">
        <v>483</v>
      </c>
      <c r="E367" t="s">
        <v>484</v>
      </c>
      <c r="F367">
        <v>119788740</v>
      </c>
      <c r="G367" t="s">
        <v>515</v>
      </c>
      <c r="H367" t="s">
        <v>46</v>
      </c>
      <c r="I367" t="s">
        <v>46</v>
      </c>
      <c r="J367" t="s">
        <v>17</v>
      </c>
      <c r="K367">
        <v>100</v>
      </c>
      <c r="L367">
        <v>50</v>
      </c>
      <c r="O367" t="s">
        <v>521</v>
      </c>
    </row>
    <row r="368" spans="1:15" x14ac:dyDescent="0.3">
      <c r="A368">
        <v>1088019</v>
      </c>
      <c r="B368" t="s">
        <v>419</v>
      </c>
      <c r="C368" t="s">
        <v>482</v>
      </c>
      <c r="D368" t="s">
        <v>483</v>
      </c>
      <c r="E368" t="s">
        <v>484</v>
      </c>
      <c r="F368">
        <v>119788740</v>
      </c>
      <c r="G368" t="s">
        <v>516</v>
      </c>
      <c r="H368" t="s">
        <v>46</v>
      </c>
      <c r="I368" t="s">
        <v>46</v>
      </c>
      <c r="J368" t="s">
        <v>17</v>
      </c>
      <c r="K368">
        <v>100</v>
      </c>
      <c r="L368">
        <v>50</v>
      </c>
      <c r="O368" t="s">
        <v>521</v>
      </c>
    </row>
    <row r="369" spans="1:15" x14ac:dyDescent="0.3">
      <c r="A369">
        <v>1088019</v>
      </c>
      <c r="B369" t="s">
        <v>419</v>
      </c>
      <c r="C369" t="s">
        <v>482</v>
      </c>
      <c r="D369" t="s">
        <v>483</v>
      </c>
      <c r="E369" t="s">
        <v>484</v>
      </c>
      <c r="F369">
        <v>119788740</v>
      </c>
      <c r="G369" t="s">
        <v>517</v>
      </c>
      <c r="H369" t="s">
        <v>46</v>
      </c>
      <c r="I369" t="s">
        <v>46</v>
      </c>
      <c r="J369" t="s">
        <v>17</v>
      </c>
      <c r="K369">
        <v>100</v>
      </c>
      <c r="L369">
        <v>50</v>
      </c>
      <c r="O369" t="s">
        <v>521</v>
      </c>
    </row>
    <row r="370" spans="1:15" x14ac:dyDescent="0.3">
      <c r="A370">
        <v>1088019</v>
      </c>
      <c r="B370" t="s">
        <v>419</v>
      </c>
      <c r="C370" t="s">
        <v>482</v>
      </c>
      <c r="D370" t="s">
        <v>483</v>
      </c>
      <c r="E370" t="s">
        <v>484</v>
      </c>
      <c r="F370">
        <v>119788740</v>
      </c>
      <c r="G370" t="s">
        <v>518</v>
      </c>
      <c r="H370" t="s">
        <v>46</v>
      </c>
      <c r="I370" t="s">
        <v>46</v>
      </c>
      <c r="J370" t="s">
        <v>17</v>
      </c>
      <c r="K370">
        <v>100</v>
      </c>
      <c r="L370">
        <v>50</v>
      </c>
      <c r="O370" t="s">
        <v>521</v>
      </c>
    </row>
    <row r="371" spans="1:15" x14ac:dyDescent="0.3">
      <c r="A371">
        <v>1088019</v>
      </c>
      <c r="B371" t="s">
        <v>419</v>
      </c>
      <c r="C371" t="s">
        <v>482</v>
      </c>
      <c r="D371" t="s">
        <v>483</v>
      </c>
      <c r="E371" t="s">
        <v>484</v>
      </c>
      <c r="F371">
        <v>119788740</v>
      </c>
      <c r="G371" t="s">
        <v>519</v>
      </c>
      <c r="H371" t="s">
        <v>46</v>
      </c>
      <c r="I371" t="s">
        <v>46</v>
      </c>
      <c r="J371" t="s">
        <v>17</v>
      </c>
      <c r="K371">
        <v>100</v>
      </c>
      <c r="L371">
        <v>50</v>
      </c>
      <c r="O371" t="s">
        <v>521</v>
      </c>
    </row>
  </sheetData>
  <autoFilter ref="A1:Q371" xr:uid="{FCFBF9E5-3600-44BA-AFA0-9406E99D1C18}"/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7AAB923-77C3-4D0B-A0EC-9B68CEA25F9F}">
  <dimension ref="A1:AF389"/>
  <sheetViews>
    <sheetView topLeftCell="N1" workbookViewId="0">
      <selection activeCell="Y7" sqref="Y7:Z7"/>
    </sheetView>
  </sheetViews>
  <sheetFormatPr defaultRowHeight="14.4" x14ac:dyDescent="0.3"/>
  <cols>
    <col min="2" max="2" width="13.77734375" customWidth="1"/>
    <col min="3" max="3" width="23.77734375" customWidth="1"/>
    <col min="4" max="4" width="18" customWidth="1"/>
    <col min="5" max="5" width="11.21875" customWidth="1"/>
    <col min="6" max="6" width="12.5546875" customWidth="1"/>
    <col min="7" max="7" width="110.6640625" customWidth="1"/>
    <col min="8" max="8" width="14.88671875" hidden="1" customWidth="1"/>
    <col min="9" max="9" width="10.88671875" hidden="1" customWidth="1"/>
    <col min="10" max="10" width="8.77734375" hidden="1" customWidth="1"/>
    <col min="11" max="11" width="10.6640625" customWidth="1"/>
    <col min="12" max="12" width="11.44140625" customWidth="1"/>
    <col min="13" max="14" width="8.77734375" customWidth="1"/>
    <col min="15" max="15" width="17.88671875" customWidth="1"/>
    <col min="16" max="16" width="11.109375" customWidth="1"/>
    <col min="19" max="20" width="14" customWidth="1"/>
    <col min="29" max="29" width="10.88671875" customWidth="1"/>
  </cols>
  <sheetData>
    <row r="1" spans="1:32" x14ac:dyDescent="0.3">
      <c r="A1" t="s">
        <v>0</v>
      </c>
      <c r="B1" t="s">
        <v>1</v>
      </c>
      <c r="C1" t="s">
        <v>2</v>
      </c>
      <c r="D1" t="s">
        <v>3</v>
      </c>
      <c r="E1" t="s">
        <v>4</v>
      </c>
      <c r="F1" t="s">
        <v>5</v>
      </c>
      <c r="G1" t="s">
        <v>6</v>
      </c>
      <c r="H1" t="s">
        <v>7</v>
      </c>
      <c r="I1" t="s">
        <v>8</v>
      </c>
      <c r="J1" t="s">
        <v>9</v>
      </c>
      <c r="K1" t="s">
        <v>10</v>
      </c>
      <c r="L1" t="s">
        <v>11</v>
      </c>
      <c r="M1" t="s">
        <v>12</v>
      </c>
      <c r="N1" t="s">
        <v>13</v>
      </c>
      <c r="O1" s="10" t="s">
        <v>556</v>
      </c>
      <c r="S1" t="s">
        <v>557</v>
      </c>
      <c r="T1" t="s">
        <v>558</v>
      </c>
    </row>
    <row r="2" spans="1:32" x14ac:dyDescent="0.3">
      <c r="A2">
        <v>1002652</v>
      </c>
      <c r="B2" t="s">
        <v>559</v>
      </c>
      <c r="C2" t="s">
        <v>560</v>
      </c>
      <c r="H2" t="s">
        <v>16</v>
      </c>
      <c r="I2" t="s">
        <v>16</v>
      </c>
      <c r="J2" t="s">
        <v>17</v>
      </c>
      <c r="K2">
        <v>0</v>
      </c>
      <c r="L2">
        <v>0</v>
      </c>
      <c r="O2" s="11"/>
      <c r="P2" t="s">
        <v>561</v>
      </c>
      <c r="Q2" t="s">
        <v>53</v>
      </c>
      <c r="S2" t="str">
        <f>LOWER(TRIM(CLEAN(Q2)))</f>
        <v>yes</v>
      </c>
      <c r="T2" t="str">
        <f>IF(S2="","",LOWER(TRIM(S2)))</f>
        <v>yes</v>
      </c>
    </row>
    <row r="3" spans="1:32" x14ac:dyDescent="0.3">
      <c r="A3">
        <v>1002652</v>
      </c>
      <c r="B3" t="s">
        <v>559</v>
      </c>
      <c r="C3" t="s">
        <v>562</v>
      </c>
      <c r="D3" t="s">
        <v>563</v>
      </c>
      <c r="E3" t="s">
        <v>564</v>
      </c>
      <c r="G3" t="s">
        <v>565</v>
      </c>
      <c r="H3" t="s">
        <v>46</v>
      </c>
      <c r="I3" t="s">
        <v>46</v>
      </c>
      <c r="J3" t="s">
        <v>17</v>
      </c>
      <c r="K3">
        <v>100</v>
      </c>
      <c r="L3">
        <v>50</v>
      </c>
      <c r="O3" s="12"/>
      <c r="Q3" t="s">
        <v>53</v>
      </c>
      <c r="S3" t="str">
        <f t="shared" ref="S3:S66" si="0">LOWER(TRIM(CLEAN(Q3)))</f>
        <v>yes</v>
      </c>
      <c r="T3" t="str">
        <f t="shared" ref="T3:T66" si="1">IF(S3="","",LOWER(TRIM(S3)))</f>
        <v>yes</v>
      </c>
    </row>
    <row r="4" spans="1:32" x14ac:dyDescent="0.3">
      <c r="A4">
        <v>1002652</v>
      </c>
      <c r="B4" t="s">
        <v>559</v>
      </c>
      <c r="C4" t="s">
        <v>562</v>
      </c>
      <c r="D4" t="s">
        <v>563</v>
      </c>
      <c r="E4" t="s">
        <v>564</v>
      </c>
      <c r="G4" t="s">
        <v>566</v>
      </c>
      <c r="H4" t="s">
        <v>46</v>
      </c>
      <c r="I4" t="s">
        <v>46</v>
      </c>
      <c r="J4" t="s">
        <v>17</v>
      </c>
      <c r="K4">
        <v>100</v>
      </c>
      <c r="L4">
        <v>50</v>
      </c>
      <c r="O4" s="12"/>
      <c r="Q4" t="s">
        <v>53</v>
      </c>
      <c r="S4" t="str">
        <f t="shared" si="0"/>
        <v>yes</v>
      </c>
      <c r="T4" t="str">
        <f t="shared" si="1"/>
        <v>yes</v>
      </c>
      <c r="U4" s="2"/>
      <c r="V4" s="2"/>
    </row>
    <row r="5" spans="1:32" x14ac:dyDescent="0.3">
      <c r="A5">
        <v>1002652</v>
      </c>
      <c r="B5" t="s">
        <v>559</v>
      </c>
      <c r="C5" t="s">
        <v>562</v>
      </c>
      <c r="D5" t="s">
        <v>563</v>
      </c>
      <c r="E5" t="s">
        <v>564</v>
      </c>
      <c r="G5" t="s">
        <v>567</v>
      </c>
      <c r="H5" t="s">
        <v>46</v>
      </c>
      <c r="I5" t="s">
        <v>46</v>
      </c>
      <c r="J5" t="s">
        <v>17</v>
      </c>
      <c r="K5">
        <v>100</v>
      </c>
      <c r="L5">
        <v>50</v>
      </c>
      <c r="O5" s="12"/>
      <c r="Q5" t="s">
        <v>53</v>
      </c>
      <c r="S5" t="str">
        <f t="shared" si="0"/>
        <v>yes</v>
      </c>
      <c r="T5" t="str">
        <f t="shared" si="1"/>
        <v>yes</v>
      </c>
      <c r="V5" s="2"/>
    </row>
    <row r="6" spans="1:32" ht="57.6" x14ac:dyDescent="0.3">
      <c r="A6">
        <v>1002652</v>
      </c>
      <c r="B6" t="s">
        <v>559</v>
      </c>
      <c r="C6" t="s">
        <v>562</v>
      </c>
      <c r="D6" t="s">
        <v>563</v>
      </c>
      <c r="E6" t="s">
        <v>564</v>
      </c>
      <c r="G6" t="s">
        <v>568</v>
      </c>
      <c r="H6" t="s">
        <v>46</v>
      </c>
      <c r="I6" t="s">
        <v>46</v>
      </c>
      <c r="J6" t="s">
        <v>17</v>
      </c>
      <c r="K6">
        <v>100</v>
      </c>
      <c r="L6">
        <v>50</v>
      </c>
      <c r="O6" s="12"/>
      <c r="Q6" t="s">
        <v>53</v>
      </c>
      <c r="S6" t="str">
        <f t="shared" si="0"/>
        <v>yes</v>
      </c>
      <c r="T6" t="str">
        <f t="shared" si="1"/>
        <v>yes</v>
      </c>
      <c r="U6" s="5" t="s">
        <v>555</v>
      </c>
      <c r="V6" s="5" t="s">
        <v>554</v>
      </c>
      <c r="W6" s="5" t="s">
        <v>538</v>
      </c>
      <c r="X6" s="5" t="s">
        <v>539</v>
      </c>
      <c r="Y6" s="5" t="s">
        <v>540</v>
      </c>
      <c r="Z6" s="5" t="s">
        <v>542</v>
      </c>
      <c r="AA6" s="5" t="s">
        <v>544</v>
      </c>
      <c r="AB6" s="5" t="s">
        <v>545</v>
      </c>
      <c r="AC6" s="5" t="s">
        <v>541</v>
      </c>
      <c r="AD6" s="5" t="s">
        <v>543</v>
      </c>
      <c r="AE6" s="5" t="s">
        <v>546</v>
      </c>
      <c r="AF6" s="5" t="s">
        <v>547</v>
      </c>
    </row>
    <row r="7" spans="1:32" x14ac:dyDescent="0.3">
      <c r="A7">
        <v>1002652</v>
      </c>
      <c r="B7" t="s">
        <v>559</v>
      </c>
      <c r="C7" t="s">
        <v>562</v>
      </c>
      <c r="D7" t="s">
        <v>563</v>
      </c>
      <c r="E7" t="s">
        <v>564</v>
      </c>
      <c r="G7" t="s">
        <v>569</v>
      </c>
      <c r="H7" t="s">
        <v>46</v>
      </c>
      <c r="I7" t="s">
        <v>46</v>
      </c>
      <c r="J7" t="s">
        <v>17</v>
      </c>
      <c r="K7">
        <v>100</v>
      </c>
      <c r="L7">
        <v>50</v>
      </c>
      <c r="O7" s="12"/>
      <c r="Q7" t="s">
        <v>53</v>
      </c>
      <c r="S7" t="str">
        <f t="shared" si="0"/>
        <v>yes</v>
      </c>
      <c r="T7" t="str">
        <f t="shared" si="1"/>
        <v>yes</v>
      </c>
      <c r="U7" s="6" t="s">
        <v>553</v>
      </c>
      <c r="V7" s="6" t="s">
        <v>548</v>
      </c>
      <c r="W7" s="9">
        <v>20</v>
      </c>
      <c r="X7" s="9" cm="1">
        <f t="array" ref="X7">COUNTA(_xlfn.UNIQUE(_xlfn._xlws.FILTER(C2:C389, C2:C389&lt;&gt;"")))</f>
        <v>93</v>
      </c>
      <c r="Y7" s="9" cm="1">
        <f t="array" ref="Y7">COUNTA(_xlfn.UNIQUE(_xlfn._xlws.FILTER(C2:C389 &amp; E2:E389, T2:T389="yes")))</f>
        <v>67</v>
      </c>
      <c r="Z7" s="9" cm="1">
        <f t="array" ref="Z7">COUNTA(_xlfn.UNIQUE(_xlfn._xlws.FILTER(C2:C389 &amp; E2:E389, T2:T389="wrong")))</f>
        <v>26</v>
      </c>
      <c r="AA7" s="9" cm="1">
        <f t="array" ref="AA7">COUNTA(_xlfn.UNIQUE(_xlfn._xlws.FILTER(E2:E389, E2:E389&lt;&gt;"")))</f>
        <v>43</v>
      </c>
      <c r="AB7" s="9" cm="1">
        <f t="array" ref="AB7">COUNTA(_xlfn.UNIQUE(_xlfn._xlws.FILTER(F2:F389, F2:F389&lt;&gt;"")))</f>
        <v>7</v>
      </c>
      <c r="AC7" s="13">
        <f>Y7 / (Y7 + Z7)</f>
        <v>0.72043010752688175</v>
      </c>
      <c r="AD7" s="13">
        <f>Z7 / (Y7 + Z7)</f>
        <v>0.27956989247311825</v>
      </c>
      <c r="AE7" s="13">
        <f>AA7 / X7</f>
        <v>0.46236559139784944</v>
      </c>
      <c r="AF7" s="13">
        <f>AB7 / X7</f>
        <v>7.5268817204301078E-2</v>
      </c>
    </row>
    <row r="8" spans="1:32" x14ac:dyDescent="0.3">
      <c r="A8">
        <v>1002652</v>
      </c>
      <c r="B8" t="s">
        <v>559</v>
      </c>
      <c r="C8" t="s">
        <v>562</v>
      </c>
      <c r="D8" t="s">
        <v>563</v>
      </c>
      <c r="E8" t="s">
        <v>564</v>
      </c>
      <c r="G8" t="s">
        <v>570</v>
      </c>
      <c r="H8" t="s">
        <v>46</v>
      </c>
      <c r="I8" t="s">
        <v>46</v>
      </c>
      <c r="J8" t="s">
        <v>17</v>
      </c>
      <c r="K8">
        <v>100</v>
      </c>
      <c r="L8">
        <v>50</v>
      </c>
      <c r="O8" s="12"/>
      <c r="Q8" t="s">
        <v>53</v>
      </c>
      <c r="S8" t="str">
        <f t="shared" si="0"/>
        <v>yes</v>
      </c>
      <c r="T8" t="str">
        <f t="shared" si="1"/>
        <v>yes</v>
      </c>
    </row>
    <row r="9" spans="1:32" x14ac:dyDescent="0.3">
      <c r="A9">
        <v>1002652</v>
      </c>
      <c r="B9" t="s">
        <v>559</v>
      </c>
      <c r="C9" t="s">
        <v>562</v>
      </c>
      <c r="D9" t="s">
        <v>563</v>
      </c>
      <c r="E9" t="s">
        <v>564</v>
      </c>
      <c r="G9" t="s">
        <v>571</v>
      </c>
      <c r="H9" t="s">
        <v>46</v>
      </c>
      <c r="I9" t="s">
        <v>46</v>
      </c>
      <c r="J9" t="s">
        <v>17</v>
      </c>
      <c r="K9">
        <v>100</v>
      </c>
      <c r="L9">
        <v>50</v>
      </c>
      <c r="O9" s="12"/>
      <c r="Q9" t="s">
        <v>53</v>
      </c>
      <c r="S9" t="str">
        <f t="shared" si="0"/>
        <v>yes</v>
      </c>
      <c r="T9" t="str">
        <f t="shared" si="1"/>
        <v>yes</v>
      </c>
    </row>
    <row r="10" spans="1:32" x14ac:dyDescent="0.3">
      <c r="A10">
        <v>1002652</v>
      </c>
      <c r="B10" t="s">
        <v>559</v>
      </c>
      <c r="C10" t="s">
        <v>562</v>
      </c>
      <c r="D10" t="s">
        <v>563</v>
      </c>
      <c r="E10" t="s">
        <v>564</v>
      </c>
      <c r="G10" t="s">
        <v>572</v>
      </c>
      <c r="H10" t="s">
        <v>46</v>
      </c>
      <c r="I10" t="s">
        <v>46</v>
      </c>
      <c r="J10" t="s">
        <v>17</v>
      </c>
      <c r="K10">
        <v>100</v>
      </c>
      <c r="L10">
        <v>50</v>
      </c>
      <c r="O10" s="12"/>
      <c r="Q10" t="s">
        <v>53</v>
      </c>
      <c r="S10" t="str">
        <f t="shared" si="0"/>
        <v>yes</v>
      </c>
      <c r="T10" t="str">
        <f t="shared" si="1"/>
        <v>yes</v>
      </c>
    </row>
    <row r="11" spans="1:32" x14ac:dyDescent="0.3">
      <c r="A11">
        <v>1002652</v>
      </c>
      <c r="B11" t="s">
        <v>559</v>
      </c>
      <c r="C11" t="s">
        <v>562</v>
      </c>
      <c r="D11" t="s">
        <v>563</v>
      </c>
      <c r="E11" t="s">
        <v>564</v>
      </c>
      <c r="G11" t="s">
        <v>573</v>
      </c>
      <c r="H11" t="s">
        <v>46</v>
      </c>
      <c r="I11" t="s">
        <v>46</v>
      </c>
      <c r="J11" t="s">
        <v>17</v>
      </c>
      <c r="K11">
        <v>100</v>
      </c>
      <c r="L11">
        <v>50</v>
      </c>
      <c r="O11" s="12"/>
      <c r="Q11" t="s">
        <v>53</v>
      </c>
      <c r="S11" t="str">
        <f t="shared" si="0"/>
        <v>yes</v>
      </c>
      <c r="T11" t="str">
        <f t="shared" si="1"/>
        <v>yes</v>
      </c>
    </row>
    <row r="12" spans="1:32" x14ac:dyDescent="0.3">
      <c r="A12">
        <v>1002652</v>
      </c>
      <c r="B12" t="s">
        <v>559</v>
      </c>
      <c r="C12" t="s">
        <v>562</v>
      </c>
      <c r="D12" t="s">
        <v>563</v>
      </c>
      <c r="E12" t="s">
        <v>564</v>
      </c>
      <c r="G12" t="s">
        <v>574</v>
      </c>
      <c r="H12" t="s">
        <v>46</v>
      </c>
      <c r="I12" t="s">
        <v>46</v>
      </c>
      <c r="J12" t="s">
        <v>17</v>
      </c>
      <c r="K12">
        <v>100</v>
      </c>
      <c r="L12">
        <v>50</v>
      </c>
      <c r="O12" s="12"/>
      <c r="Q12" t="s">
        <v>53</v>
      </c>
      <c r="S12" t="str">
        <f t="shared" si="0"/>
        <v>yes</v>
      </c>
      <c r="T12" t="str">
        <f t="shared" si="1"/>
        <v>yes</v>
      </c>
    </row>
    <row r="13" spans="1:32" x14ac:dyDescent="0.3">
      <c r="A13">
        <v>1002652</v>
      </c>
      <c r="B13" t="s">
        <v>559</v>
      </c>
      <c r="C13" t="s">
        <v>562</v>
      </c>
      <c r="D13" t="s">
        <v>563</v>
      </c>
      <c r="E13" t="s">
        <v>564</v>
      </c>
      <c r="G13" t="s">
        <v>575</v>
      </c>
      <c r="H13" t="s">
        <v>46</v>
      </c>
      <c r="I13" t="s">
        <v>46</v>
      </c>
      <c r="J13" t="s">
        <v>17</v>
      </c>
      <c r="K13">
        <v>100</v>
      </c>
      <c r="L13">
        <v>50</v>
      </c>
      <c r="O13" s="12"/>
      <c r="Q13" t="s">
        <v>53</v>
      </c>
      <c r="S13" t="str">
        <f t="shared" si="0"/>
        <v>yes</v>
      </c>
      <c r="T13" t="str">
        <f t="shared" si="1"/>
        <v>yes</v>
      </c>
    </row>
    <row r="14" spans="1:32" x14ac:dyDescent="0.3">
      <c r="A14">
        <v>1002652</v>
      </c>
      <c r="B14" t="s">
        <v>559</v>
      </c>
      <c r="C14" t="s">
        <v>562</v>
      </c>
      <c r="D14" t="s">
        <v>563</v>
      </c>
      <c r="E14" t="s">
        <v>564</v>
      </c>
      <c r="G14" t="s">
        <v>576</v>
      </c>
      <c r="H14" t="s">
        <v>46</v>
      </c>
      <c r="I14" t="s">
        <v>46</v>
      </c>
      <c r="J14" t="s">
        <v>17</v>
      </c>
      <c r="K14">
        <v>100</v>
      </c>
      <c r="L14">
        <v>50</v>
      </c>
      <c r="O14" s="12"/>
      <c r="Q14" t="s">
        <v>53</v>
      </c>
      <c r="S14" t="str">
        <f t="shared" si="0"/>
        <v>yes</v>
      </c>
      <c r="T14" t="str">
        <f t="shared" si="1"/>
        <v>yes</v>
      </c>
    </row>
    <row r="15" spans="1:32" x14ac:dyDescent="0.3">
      <c r="A15">
        <v>1002652</v>
      </c>
      <c r="B15" t="s">
        <v>559</v>
      </c>
      <c r="C15" t="s">
        <v>562</v>
      </c>
      <c r="D15" t="s">
        <v>563</v>
      </c>
      <c r="E15" t="s">
        <v>564</v>
      </c>
      <c r="G15" t="s">
        <v>577</v>
      </c>
      <c r="H15" t="s">
        <v>46</v>
      </c>
      <c r="I15" t="s">
        <v>46</v>
      </c>
      <c r="J15" t="s">
        <v>17</v>
      </c>
      <c r="K15">
        <v>100</v>
      </c>
      <c r="L15">
        <v>50</v>
      </c>
      <c r="O15" s="12"/>
      <c r="Q15" t="s">
        <v>53</v>
      </c>
      <c r="S15" t="str">
        <f t="shared" si="0"/>
        <v>yes</v>
      </c>
      <c r="T15" t="str">
        <f t="shared" si="1"/>
        <v>yes</v>
      </c>
    </row>
    <row r="16" spans="1:32" x14ac:dyDescent="0.3">
      <c r="A16">
        <v>1002652</v>
      </c>
      <c r="B16" t="s">
        <v>559</v>
      </c>
      <c r="C16" t="s">
        <v>562</v>
      </c>
      <c r="D16" t="s">
        <v>563</v>
      </c>
      <c r="E16" t="s">
        <v>564</v>
      </c>
      <c r="G16" t="s">
        <v>578</v>
      </c>
      <c r="H16" t="s">
        <v>46</v>
      </c>
      <c r="I16" t="s">
        <v>46</v>
      </c>
      <c r="J16" t="s">
        <v>17</v>
      </c>
      <c r="K16">
        <v>100</v>
      </c>
      <c r="L16">
        <v>50</v>
      </c>
      <c r="O16" s="12"/>
      <c r="Q16" t="s">
        <v>53</v>
      </c>
      <c r="S16" t="str">
        <f t="shared" si="0"/>
        <v>yes</v>
      </c>
      <c r="T16" t="str">
        <f t="shared" si="1"/>
        <v>yes</v>
      </c>
    </row>
    <row r="17" spans="1:20" x14ac:dyDescent="0.3">
      <c r="A17">
        <v>1002652</v>
      </c>
      <c r="B17" t="s">
        <v>559</v>
      </c>
      <c r="C17" t="s">
        <v>562</v>
      </c>
      <c r="D17" t="s">
        <v>563</v>
      </c>
      <c r="E17" t="s">
        <v>564</v>
      </c>
      <c r="G17" t="s">
        <v>579</v>
      </c>
      <c r="H17" t="s">
        <v>46</v>
      </c>
      <c r="I17" t="s">
        <v>46</v>
      </c>
      <c r="J17" t="s">
        <v>17</v>
      </c>
      <c r="K17">
        <v>100</v>
      </c>
      <c r="L17">
        <v>50</v>
      </c>
      <c r="O17" s="12"/>
      <c r="Q17" t="s">
        <v>53</v>
      </c>
      <c r="S17" t="str">
        <f t="shared" si="0"/>
        <v>yes</v>
      </c>
      <c r="T17" t="str">
        <f t="shared" si="1"/>
        <v>yes</v>
      </c>
    </row>
    <row r="18" spans="1:20" x14ac:dyDescent="0.3">
      <c r="A18">
        <v>1002652</v>
      </c>
      <c r="B18" t="s">
        <v>559</v>
      </c>
      <c r="C18" t="s">
        <v>562</v>
      </c>
      <c r="D18" t="s">
        <v>563</v>
      </c>
      <c r="E18" t="s">
        <v>564</v>
      </c>
      <c r="G18" t="s">
        <v>580</v>
      </c>
      <c r="H18" t="s">
        <v>46</v>
      </c>
      <c r="I18" t="s">
        <v>46</v>
      </c>
      <c r="J18" t="s">
        <v>17</v>
      </c>
      <c r="K18">
        <v>100</v>
      </c>
      <c r="L18">
        <v>50</v>
      </c>
      <c r="O18" s="12"/>
      <c r="Q18" t="s">
        <v>53</v>
      </c>
      <c r="S18" t="str">
        <f t="shared" si="0"/>
        <v>yes</v>
      </c>
      <c r="T18" t="str">
        <f t="shared" si="1"/>
        <v>yes</v>
      </c>
    </row>
    <row r="19" spans="1:20" x14ac:dyDescent="0.3">
      <c r="A19">
        <v>1002652</v>
      </c>
      <c r="B19" t="s">
        <v>559</v>
      </c>
      <c r="C19" t="s">
        <v>562</v>
      </c>
      <c r="D19" t="s">
        <v>563</v>
      </c>
      <c r="E19" t="s">
        <v>564</v>
      </c>
      <c r="G19" t="s">
        <v>581</v>
      </c>
      <c r="H19" t="s">
        <v>46</v>
      </c>
      <c r="I19" t="s">
        <v>46</v>
      </c>
      <c r="J19" t="s">
        <v>17</v>
      </c>
      <c r="K19">
        <v>100</v>
      </c>
      <c r="L19">
        <v>50</v>
      </c>
      <c r="O19" s="12"/>
      <c r="Q19" t="s">
        <v>53</v>
      </c>
      <c r="S19" t="str">
        <f t="shared" si="0"/>
        <v>yes</v>
      </c>
      <c r="T19" t="str">
        <f t="shared" si="1"/>
        <v>yes</v>
      </c>
    </row>
    <row r="20" spans="1:20" x14ac:dyDescent="0.3">
      <c r="A20">
        <v>1002652</v>
      </c>
      <c r="B20" t="s">
        <v>559</v>
      </c>
      <c r="C20" t="s">
        <v>562</v>
      </c>
      <c r="D20" t="s">
        <v>563</v>
      </c>
      <c r="E20" t="s">
        <v>564</v>
      </c>
      <c r="G20" t="s">
        <v>582</v>
      </c>
      <c r="H20" t="s">
        <v>46</v>
      </c>
      <c r="I20" t="s">
        <v>46</v>
      </c>
      <c r="J20" t="s">
        <v>17</v>
      </c>
      <c r="K20">
        <v>100</v>
      </c>
      <c r="L20">
        <v>50</v>
      </c>
      <c r="O20" s="12"/>
      <c r="Q20" t="s">
        <v>53</v>
      </c>
      <c r="S20" t="str">
        <f t="shared" si="0"/>
        <v>yes</v>
      </c>
      <c r="T20" t="str">
        <f t="shared" si="1"/>
        <v>yes</v>
      </c>
    </row>
    <row r="21" spans="1:20" x14ac:dyDescent="0.3">
      <c r="A21">
        <v>1002652</v>
      </c>
      <c r="B21" t="s">
        <v>559</v>
      </c>
      <c r="C21" t="s">
        <v>562</v>
      </c>
      <c r="D21" t="s">
        <v>563</v>
      </c>
      <c r="E21" t="s">
        <v>564</v>
      </c>
      <c r="G21" t="s">
        <v>583</v>
      </c>
      <c r="H21" t="s">
        <v>46</v>
      </c>
      <c r="I21" t="s">
        <v>46</v>
      </c>
      <c r="J21" t="s">
        <v>17</v>
      </c>
      <c r="K21">
        <v>100</v>
      </c>
      <c r="L21">
        <v>50</v>
      </c>
      <c r="O21" s="12"/>
      <c r="Q21" t="s">
        <v>53</v>
      </c>
      <c r="S21" t="str">
        <f t="shared" si="0"/>
        <v>yes</v>
      </c>
      <c r="T21" t="str">
        <f t="shared" si="1"/>
        <v>yes</v>
      </c>
    </row>
    <row r="22" spans="1:20" x14ac:dyDescent="0.3">
      <c r="A22">
        <v>1002652</v>
      </c>
      <c r="B22" t="s">
        <v>559</v>
      </c>
      <c r="C22" t="s">
        <v>562</v>
      </c>
      <c r="D22" t="s">
        <v>563</v>
      </c>
      <c r="E22" t="s">
        <v>564</v>
      </c>
      <c r="G22" t="s">
        <v>584</v>
      </c>
      <c r="H22" t="s">
        <v>46</v>
      </c>
      <c r="I22" t="s">
        <v>46</v>
      </c>
      <c r="J22" t="s">
        <v>17</v>
      </c>
      <c r="K22">
        <v>100</v>
      </c>
      <c r="L22">
        <v>50</v>
      </c>
      <c r="O22" s="12"/>
      <c r="Q22" t="s">
        <v>53</v>
      </c>
      <c r="S22" t="str">
        <f t="shared" si="0"/>
        <v>yes</v>
      </c>
      <c r="T22" t="str">
        <f t="shared" si="1"/>
        <v>yes</v>
      </c>
    </row>
    <row r="23" spans="1:20" x14ac:dyDescent="0.3">
      <c r="A23">
        <v>1002652</v>
      </c>
      <c r="B23" t="s">
        <v>559</v>
      </c>
      <c r="C23" t="s">
        <v>585</v>
      </c>
      <c r="H23" t="s">
        <v>16</v>
      </c>
      <c r="I23" t="s">
        <v>16</v>
      </c>
      <c r="J23" t="s">
        <v>53</v>
      </c>
      <c r="K23">
        <v>0</v>
      </c>
      <c r="L23">
        <v>0</v>
      </c>
      <c r="O23" s="12"/>
      <c r="Q23" t="s">
        <v>53</v>
      </c>
      <c r="S23" t="str">
        <f t="shared" si="0"/>
        <v>yes</v>
      </c>
      <c r="T23" t="str">
        <f t="shared" si="1"/>
        <v>yes</v>
      </c>
    </row>
    <row r="24" spans="1:20" x14ac:dyDescent="0.3">
      <c r="A24">
        <v>1002652</v>
      </c>
      <c r="B24" t="s">
        <v>559</v>
      </c>
      <c r="C24" t="s">
        <v>586</v>
      </c>
      <c r="H24" t="s">
        <v>16</v>
      </c>
      <c r="I24" t="s">
        <v>16</v>
      </c>
      <c r="J24" t="s">
        <v>17</v>
      </c>
      <c r="K24">
        <v>0</v>
      </c>
      <c r="L24">
        <v>0</v>
      </c>
      <c r="O24" s="12"/>
      <c r="Q24" t="s">
        <v>53</v>
      </c>
      <c r="S24" t="str">
        <f t="shared" si="0"/>
        <v>yes</v>
      </c>
      <c r="T24" t="str">
        <f t="shared" si="1"/>
        <v>yes</v>
      </c>
    </row>
    <row r="25" spans="1:20" x14ac:dyDescent="0.3">
      <c r="A25">
        <v>1015767</v>
      </c>
      <c r="B25" t="s">
        <v>587</v>
      </c>
      <c r="C25" t="s">
        <v>588</v>
      </c>
      <c r="H25" t="s">
        <v>16</v>
      </c>
      <c r="I25" t="s">
        <v>16</v>
      </c>
      <c r="J25" t="s">
        <v>17</v>
      </c>
      <c r="K25">
        <v>0</v>
      </c>
      <c r="L25">
        <v>0</v>
      </c>
      <c r="O25" s="12"/>
      <c r="Q25" t="s">
        <v>53</v>
      </c>
      <c r="S25" t="str">
        <f t="shared" si="0"/>
        <v>yes</v>
      </c>
      <c r="T25" t="str">
        <f t="shared" si="1"/>
        <v>yes</v>
      </c>
    </row>
    <row r="26" spans="1:20" x14ac:dyDescent="0.3">
      <c r="A26">
        <v>1015767</v>
      </c>
      <c r="B26" t="s">
        <v>587</v>
      </c>
      <c r="C26" t="s">
        <v>589</v>
      </c>
      <c r="D26" t="s">
        <v>590</v>
      </c>
      <c r="E26" t="s">
        <v>591</v>
      </c>
      <c r="H26" t="s">
        <v>22</v>
      </c>
      <c r="I26" t="s">
        <v>22</v>
      </c>
      <c r="J26" t="s">
        <v>17</v>
      </c>
      <c r="K26">
        <v>95.5</v>
      </c>
      <c r="L26">
        <v>107.3</v>
      </c>
      <c r="O26" s="14"/>
      <c r="P26" t="s">
        <v>592</v>
      </c>
      <c r="Q26" t="s">
        <v>593</v>
      </c>
      <c r="S26" t="str">
        <f t="shared" si="0"/>
        <v>wrong</v>
      </c>
      <c r="T26" t="str">
        <f>IF(S26="","",LOWER(TRIM(S26)))</f>
        <v>wrong</v>
      </c>
    </row>
    <row r="27" spans="1:20" x14ac:dyDescent="0.3">
      <c r="A27">
        <v>1015767</v>
      </c>
      <c r="B27" t="s">
        <v>587</v>
      </c>
      <c r="C27" t="s">
        <v>594</v>
      </c>
      <c r="H27" t="s">
        <v>16</v>
      </c>
      <c r="I27" t="s">
        <v>16</v>
      </c>
      <c r="J27" t="s">
        <v>17</v>
      </c>
      <c r="K27">
        <v>0</v>
      </c>
      <c r="L27">
        <v>0</v>
      </c>
      <c r="O27" s="12"/>
      <c r="Q27" t="s">
        <v>53</v>
      </c>
      <c r="S27" t="str">
        <f t="shared" si="0"/>
        <v>yes</v>
      </c>
      <c r="T27" t="str">
        <f t="shared" si="1"/>
        <v>yes</v>
      </c>
    </row>
    <row r="28" spans="1:20" x14ac:dyDescent="0.3">
      <c r="A28">
        <v>1015767</v>
      </c>
      <c r="B28" t="s">
        <v>587</v>
      </c>
      <c r="C28" t="s">
        <v>595</v>
      </c>
      <c r="D28" t="s">
        <v>596</v>
      </c>
      <c r="E28" t="s">
        <v>597</v>
      </c>
      <c r="G28" t="s">
        <v>598</v>
      </c>
      <c r="H28" t="s">
        <v>22</v>
      </c>
      <c r="I28" t="s">
        <v>22</v>
      </c>
      <c r="J28" t="s">
        <v>17</v>
      </c>
      <c r="K28">
        <v>95.7</v>
      </c>
      <c r="L28">
        <v>113.4</v>
      </c>
      <c r="O28" s="15"/>
      <c r="Q28" t="s">
        <v>53</v>
      </c>
      <c r="S28" t="str">
        <f>LOWER(TRIM(CLEAN(Q28)))</f>
        <v>yes</v>
      </c>
      <c r="T28" t="str">
        <f t="shared" si="1"/>
        <v>yes</v>
      </c>
    </row>
    <row r="29" spans="1:20" x14ac:dyDescent="0.3">
      <c r="A29">
        <v>1015767</v>
      </c>
      <c r="B29" t="s">
        <v>587</v>
      </c>
      <c r="C29" t="s">
        <v>595</v>
      </c>
      <c r="D29" t="s">
        <v>596</v>
      </c>
      <c r="E29" t="s">
        <v>597</v>
      </c>
      <c r="G29" t="s">
        <v>599</v>
      </c>
      <c r="H29" t="s">
        <v>22</v>
      </c>
      <c r="I29" t="s">
        <v>22</v>
      </c>
      <c r="J29" t="s">
        <v>17</v>
      </c>
      <c r="K29">
        <v>95.7</v>
      </c>
      <c r="L29">
        <v>113.4</v>
      </c>
      <c r="O29" s="12"/>
      <c r="Q29" t="s">
        <v>53</v>
      </c>
      <c r="S29" t="str">
        <f t="shared" si="0"/>
        <v>yes</v>
      </c>
      <c r="T29" t="str">
        <f t="shared" si="1"/>
        <v>yes</v>
      </c>
    </row>
    <row r="30" spans="1:20" x14ac:dyDescent="0.3">
      <c r="A30">
        <v>1015767</v>
      </c>
      <c r="B30" t="s">
        <v>587</v>
      </c>
      <c r="C30" t="s">
        <v>595</v>
      </c>
      <c r="D30" t="s">
        <v>596</v>
      </c>
      <c r="E30" t="s">
        <v>597</v>
      </c>
      <c r="G30" t="s">
        <v>600</v>
      </c>
      <c r="H30" t="s">
        <v>22</v>
      </c>
      <c r="I30" t="s">
        <v>22</v>
      </c>
      <c r="J30" t="s">
        <v>17</v>
      </c>
      <c r="K30">
        <v>95.7</v>
      </c>
      <c r="L30">
        <v>113.4</v>
      </c>
      <c r="O30" s="15"/>
      <c r="Q30" t="s">
        <v>53</v>
      </c>
      <c r="S30" t="str">
        <f t="shared" si="0"/>
        <v>yes</v>
      </c>
      <c r="T30" t="str">
        <f t="shared" si="1"/>
        <v>yes</v>
      </c>
    </row>
    <row r="31" spans="1:20" x14ac:dyDescent="0.3">
      <c r="A31">
        <v>1015767</v>
      </c>
      <c r="B31" t="s">
        <v>587</v>
      </c>
      <c r="C31" t="s">
        <v>595</v>
      </c>
      <c r="D31" t="s">
        <v>596</v>
      </c>
      <c r="E31" t="s">
        <v>597</v>
      </c>
      <c r="G31" t="s">
        <v>601</v>
      </c>
      <c r="H31" t="s">
        <v>22</v>
      </c>
      <c r="I31" t="s">
        <v>22</v>
      </c>
      <c r="J31" t="s">
        <v>17</v>
      </c>
      <c r="K31">
        <v>95.7</v>
      </c>
      <c r="L31">
        <v>113.4</v>
      </c>
      <c r="O31" s="12"/>
      <c r="Q31" t="s">
        <v>53</v>
      </c>
      <c r="S31" t="str">
        <f t="shared" si="0"/>
        <v>yes</v>
      </c>
      <c r="T31" t="str">
        <f t="shared" si="1"/>
        <v>yes</v>
      </c>
    </row>
    <row r="32" spans="1:20" x14ac:dyDescent="0.3">
      <c r="A32">
        <v>1015767</v>
      </c>
      <c r="B32" t="s">
        <v>587</v>
      </c>
      <c r="C32" t="s">
        <v>595</v>
      </c>
      <c r="D32" t="s">
        <v>596</v>
      </c>
      <c r="E32" t="s">
        <v>597</v>
      </c>
      <c r="G32" t="s">
        <v>602</v>
      </c>
      <c r="H32" t="s">
        <v>22</v>
      </c>
      <c r="I32" t="s">
        <v>22</v>
      </c>
      <c r="J32" t="s">
        <v>17</v>
      </c>
      <c r="K32">
        <v>95.7</v>
      </c>
      <c r="L32">
        <v>113.4</v>
      </c>
      <c r="O32" s="15"/>
      <c r="Q32" t="s">
        <v>53</v>
      </c>
      <c r="S32" t="str">
        <f t="shared" si="0"/>
        <v>yes</v>
      </c>
      <c r="T32" t="str">
        <f t="shared" si="1"/>
        <v>yes</v>
      </c>
    </row>
    <row r="33" spans="1:20" x14ac:dyDescent="0.3">
      <c r="A33">
        <v>1015767</v>
      </c>
      <c r="B33" t="s">
        <v>587</v>
      </c>
      <c r="C33" t="s">
        <v>595</v>
      </c>
      <c r="D33" t="s">
        <v>596</v>
      </c>
      <c r="E33" t="s">
        <v>597</v>
      </c>
      <c r="G33" t="s">
        <v>603</v>
      </c>
      <c r="H33" t="s">
        <v>22</v>
      </c>
      <c r="I33" t="s">
        <v>22</v>
      </c>
      <c r="J33" t="s">
        <v>17</v>
      </c>
      <c r="K33">
        <v>95.7</v>
      </c>
      <c r="L33">
        <v>113.4</v>
      </c>
      <c r="O33" s="12"/>
      <c r="Q33" t="s">
        <v>53</v>
      </c>
      <c r="S33" t="str">
        <f t="shared" si="0"/>
        <v>yes</v>
      </c>
      <c r="T33" t="str">
        <f t="shared" si="1"/>
        <v>yes</v>
      </c>
    </row>
    <row r="34" spans="1:20" x14ac:dyDescent="0.3">
      <c r="A34">
        <v>1015767</v>
      </c>
      <c r="B34" t="s">
        <v>587</v>
      </c>
      <c r="C34" t="s">
        <v>595</v>
      </c>
      <c r="D34" t="s">
        <v>596</v>
      </c>
      <c r="E34" t="s">
        <v>597</v>
      </c>
      <c r="G34" t="s">
        <v>604</v>
      </c>
      <c r="H34" t="s">
        <v>22</v>
      </c>
      <c r="I34" t="s">
        <v>22</v>
      </c>
      <c r="J34" t="s">
        <v>17</v>
      </c>
      <c r="K34">
        <v>95.7</v>
      </c>
      <c r="L34">
        <v>113.4</v>
      </c>
      <c r="O34" s="16"/>
      <c r="Q34" t="s">
        <v>53</v>
      </c>
      <c r="S34" t="str">
        <f t="shared" si="0"/>
        <v>yes</v>
      </c>
      <c r="T34" t="str">
        <f t="shared" si="1"/>
        <v>yes</v>
      </c>
    </row>
    <row r="35" spans="1:20" x14ac:dyDescent="0.3">
      <c r="A35">
        <v>1015767</v>
      </c>
      <c r="B35" t="s">
        <v>587</v>
      </c>
      <c r="C35" t="s">
        <v>595</v>
      </c>
      <c r="D35" t="s">
        <v>596</v>
      </c>
      <c r="E35" t="s">
        <v>597</v>
      </c>
      <c r="G35" t="s">
        <v>605</v>
      </c>
      <c r="H35" t="s">
        <v>22</v>
      </c>
      <c r="I35" t="s">
        <v>22</v>
      </c>
      <c r="J35" t="s">
        <v>17</v>
      </c>
      <c r="K35">
        <v>95.7</v>
      </c>
      <c r="L35">
        <v>113.4</v>
      </c>
      <c r="O35" s="12"/>
      <c r="Q35" t="s">
        <v>53</v>
      </c>
      <c r="S35" t="str">
        <f t="shared" si="0"/>
        <v>yes</v>
      </c>
      <c r="T35" t="str">
        <f t="shared" si="1"/>
        <v>yes</v>
      </c>
    </row>
    <row r="36" spans="1:20" x14ac:dyDescent="0.3">
      <c r="A36">
        <v>1015767</v>
      </c>
      <c r="B36" t="s">
        <v>587</v>
      </c>
      <c r="C36" t="s">
        <v>595</v>
      </c>
      <c r="D36" t="s">
        <v>596</v>
      </c>
      <c r="E36" t="s">
        <v>597</v>
      </c>
      <c r="G36" t="s">
        <v>606</v>
      </c>
      <c r="H36" t="s">
        <v>22</v>
      </c>
      <c r="I36" t="s">
        <v>22</v>
      </c>
      <c r="J36" t="s">
        <v>17</v>
      </c>
      <c r="K36">
        <v>95.7</v>
      </c>
      <c r="L36">
        <v>113.4</v>
      </c>
      <c r="O36" s="16"/>
      <c r="Q36" t="s">
        <v>53</v>
      </c>
      <c r="S36" t="str">
        <f t="shared" si="0"/>
        <v>yes</v>
      </c>
      <c r="T36" t="str">
        <f t="shared" si="1"/>
        <v>yes</v>
      </c>
    </row>
    <row r="37" spans="1:20" x14ac:dyDescent="0.3">
      <c r="A37">
        <v>1015767</v>
      </c>
      <c r="B37" t="s">
        <v>587</v>
      </c>
      <c r="C37" t="s">
        <v>595</v>
      </c>
      <c r="D37" t="s">
        <v>596</v>
      </c>
      <c r="E37" t="s">
        <v>597</v>
      </c>
      <c r="G37" t="s">
        <v>607</v>
      </c>
      <c r="H37" t="s">
        <v>22</v>
      </c>
      <c r="I37" t="s">
        <v>22</v>
      </c>
      <c r="J37" t="s">
        <v>17</v>
      </c>
      <c r="K37">
        <v>95.7</v>
      </c>
      <c r="L37">
        <v>113.4</v>
      </c>
      <c r="O37" s="12"/>
      <c r="Q37" t="s">
        <v>53</v>
      </c>
      <c r="S37" t="str">
        <f t="shared" si="0"/>
        <v>yes</v>
      </c>
      <c r="T37" t="str">
        <f t="shared" si="1"/>
        <v>yes</v>
      </c>
    </row>
    <row r="38" spans="1:20" x14ac:dyDescent="0.3">
      <c r="A38">
        <v>1015767</v>
      </c>
      <c r="B38" t="s">
        <v>587</v>
      </c>
      <c r="C38" t="s">
        <v>595</v>
      </c>
      <c r="D38" t="s">
        <v>596</v>
      </c>
      <c r="E38" t="s">
        <v>597</v>
      </c>
      <c r="G38" t="s">
        <v>608</v>
      </c>
      <c r="H38" t="s">
        <v>22</v>
      </c>
      <c r="I38" t="s">
        <v>22</v>
      </c>
      <c r="J38" t="s">
        <v>17</v>
      </c>
      <c r="K38">
        <v>95.7</v>
      </c>
      <c r="L38">
        <v>113.4</v>
      </c>
      <c r="O38" s="16"/>
      <c r="Q38" t="s">
        <v>53</v>
      </c>
      <c r="S38" t="str">
        <f t="shared" si="0"/>
        <v>yes</v>
      </c>
      <c r="T38" t="str">
        <f t="shared" si="1"/>
        <v>yes</v>
      </c>
    </row>
    <row r="39" spans="1:20" x14ac:dyDescent="0.3">
      <c r="A39">
        <v>1015767</v>
      </c>
      <c r="B39" t="s">
        <v>587</v>
      </c>
      <c r="C39" t="s">
        <v>595</v>
      </c>
      <c r="D39" t="s">
        <v>596</v>
      </c>
      <c r="E39" t="s">
        <v>597</v>
      </c>
      <c r="G39" t="s">
        <v>609</v>
      </c>
      <c r="H39" t="s">
        <v>22</v>
      </c>
      <c r="I39" t="s">
        <v>22</v>
      </c>
      <c r="J39" t="s">
        <v>17</v>
      </c>
      <c r="K39">
        <v>95.7</v>
      </c>
      <c r="L39">
        <v>113.4</v>
      </c>
      <c r="O39" s="12"/>
      <c r="Q39" t="s">
        <v>53</v>
      </c>
      <c r="S39" t="str">
        <f t="shared" si="0"/>
        <v>yes</v>
      </c>
      <c r="T39" t="str">
        <f t="shared" si="1"/>
        <v>yes</v>
      </c>
    </row>
    <row r="40" spans="1:20" x14ac:dyDescent="0.3">
      <c r="A40">
        <v>1015767</v>
      </c>
      <c r="B40" t="s">
        <v>587</v>
      </c>
      <c r="C40" t="s">
        <v>595</v>
      </c>
      <c r="D40" t="s">
        <v>596</v>
      </c>
      <c r="E40" t="s">
        <v>597</v>
      </c>
      <c r="G40" t="s">
        <v>610</v>
      </c>
      <c r="H40" t="s">
        <v>22</v>
      </c>
      <c r="I40" t="s">
        <v>22</v>
      </c>
      <c r="J40" t="s">
        <v>17</v>
      </c>
      <c r="K40">
        <v>95.7</v>
      </c>
      <c r="L40">
        <v>113.4</v>
      </c>
      <c r="O40" s="16"/>
      <c r="Q40" t="s">
        <v>53</v>
      </c>
      <c r="S40" t="str">
        <f t="shared" si="0"/>
        <v>yes</v>
      </c>
      <c r="T40" t="str">
        <f t="shared" si="1"/>
        <v>yes</v>
      </c>
    </row>
    <row r="41" spans="1:20" x14ac:dyDescent="0.3">
      <c r="A41">
        <v>1015767</v>
      </c>
      <c r="B41" t="s">
        <v>587</v>
      </c>
      <c r="C41" t="s">
        <v>595</v>
      </c>
      <c r="D41" t="s">
        <v>596</v>
      </c>
      <c r="E41" t="s">
        <v>597</v>
      </c>
      <c r="G41" t="s">
        <v>611</v>
      </c>
      <c r="H41" t="s">
        <v>22</v>
      </c>
      <c r="I41" t="s">
        <v>22</v>
      </c>
      <c r="J41" t="s">
        <v>17</v>
      </c>
      <c r="K41">
        <v>95.7</v>
      </c>
      <c r="L41">
        <v>113.4</v>
      </c>
      <c r="O41" s="12"/>
      <c r="Q41" t="s">
        <v>53</v>
      </c>
      <c r="S41" t="str">
        <f t="shared" si="0"/>
        <v>yes</v>
      </c>
      <c r="T41" t="str">
        <f t="shared" si="1"/>
        <v>yes</v>
      </c>
    </row>
    <row r="42" spans="1:20" x14ac:dyDescent="0.3">
      <c r="A42">
        <v>1015767</v>
      </c>
      <c r="B42" t="s">
        <v>587</v>
      </c>
      <c r="C42" t="s">
        <v>595</v>
      </c>
      <c r="D42" t="s">
        <v>596</v>
      </c>
      <c r="E42" t="s">
        <v>597</v>
      </c>
      <c r="G42" t="s">
        <v>612</v>
      </c>
      <c r="H42" t="s">
        <v>22</v>
      </c>
      <c r="I42" t="s">
        <v>22</v>
      </c>
      <c r="J42" t="s">
        <v>17</v>
      </c>
      <c r="K42">
        <v>95.7</v>
      </c>
      <c r="L42">
        <v>113.4</v>
      </c>
      <c r="O42" s="16"/>
      <c r="Q42" t="s">
        <v>53</v>
      </c>
      <c r="S42" t="str">
        <f t="shared" si="0"/>
        <v>yes</v>
      </c>
      <c r="T42" t="str">
        <f t="shared" si="1"/>
        <v>yes</v>
      </c>
    </row>
    <row r="43" spans="1:20" x14ac:dyDescent="0.3">
      <c r="A43">
        <v>1015767</v>
      </c>
      <c r="B43" t="s">
        <v>587</v>
      </c>
      <c r="C43" t="s">
        <v>595</v>
      </c>
      <c r="D43" t="s">
        <v>596</v>
      </c>
      <c r="E43" t="s">
        <v>597</v>
      </c>
      <c r="G43" t="s">
        <v>613</v>
      </c>
      <c r="H43" t="s">
        <v>22</v>
      </c>
      <c r="I43" t="s">
        <v>22</v>
      </c>
      <c r="J43" t="s">
        <v>17</v>
      </c>
      <c r="K43">
        <v>95.7</v>
      </c>
      <c r="L43">
        <v>113.4</v>
      </c>
      <c r="O43" s="12"/>
      <c r="Q43" t="s">
        <v>53</v>
      </c>
      <c r="S43" t="str">
        <f t="shared" si="0"/>
        <v>yes</v>
      </c>
      <c r="T43" t="str">
        <f t="shared" si="1"/>
        <v>yes</v>
      </c>
    </row>
    <row r="44" spans="1:20" x14ac:dyDescent="0.3">
      <c r="A44">
        <v>1015767</v>
      </c>
      <c r="B44" t="s">
        <v>587</v>
      </c>
      <c r="C44" t="s">
        <v>595</v>
      </c>
      <c r="D44" t="s">
        <v>596</v>
      </c>
      <c r="E44" t="s">
        <v>597</v>
      </c>
      <c r="G44" t="s">
        <v>614</v>
      </c>
      <c r="H44" t="s">
        <v>22</v>
      </c>
      <c r="I44" t="s">
        <v>22</v>
      </c>
      <c r="J44" t="s">
        <v>17</v>
      </c>
      <c r="K44">
        <v>95.7</v>
      </c>
      <c r="L44">
        <v>113.4</v>
      </c>
      <c r="O44" s="16"/>
      <c r="Q44" t="s">
        <v>53</v>
      </c>
      <c r="S44" t="str">
        <f t="shared" si="0"/>
        <v>yes</v>
      </c>
      <c r="T44" t="str">
        <f t="shared" si="1"/>
        <v>yes</v>
      </c>
    </row>
    <row r="45" spans="1:20" x14ac:dyDescent="0.3">
      <c r="A45">
        <v>1015767</v>
      </c>
      <c r="B45" t="s">
        <v>587</v>
      </c>
      <c r="C45" t="s">
        <v>595</v>
      </c>
      <c r="D45" t="s">
        <v>596</v>
      </c>
      <c r="E45" t="s">
        <v>597</v>
      </c>
      <c r="G45" t="s">
        <v>615</v>
      </c>
      <c r="H45" t="s">
        <v>22</v>
      </c>
      <c r="I45" t="s">
        <v>22</v>
      </c>
      <c r="J45" t="s">
        <v>17</v>
      </c>
      <c r="K45">
        <v>95.7</v>
      </c>
      <c r="L45">
        <v>113.4</v>
      </c>
      <c r="O45" s="12"/>
      <c r="Q45" t="s">
        <v>53</v>
      </c>
      <c r="S45" t="str">
        <f t="shared" si="0"/>
        <v>yes</v>
      </c>
      <c r="T45" t="str">
        <f t="shared" si="1"/>
        <v>yes</v>
      </c>
    </row>
    <row r="46" spans="1:20" x14ac:dyDescent="0.3">
      <c r="A46">
        <v>1061949</v>
      </c>
      <c r="B46" t="s">
        <v>616</v>
      </c>
      <c r="C46" t="s">
        <v>617</v>
      </c>
      <c r="H46" t="s">
        <v>16</v>
      </c>
      <c r="I46" t="s">
        <v>16</v>
      </c>
      <c r="J46" t="s">
        <v>17</v>
      </c>
      <c r="K46">
        <v>0</v>
      </c>
      <c r="L46">
        <v>0</v>
      </c>
      <c r="O46" s="12"/>
      <c r="Q46" t="s">
        <v>53</v>
      </c>
      <c r="S46" t="str">
        <f t="shared" si="0"/>
        <v>yes</v>
      </c>
      <c r="T46" t="str">
        <f t="shared" si="1"/>
        <v>yes</v>
      </c>
    </row>
    <row r="47" spans="1:20" x14ac:dyDescent="0.3">
      <c r="A47">
        <v>1061949</v>
      </c>
      <c r="B47" t="s">
        <v>616</v>
      </c>
      <c r="C47" t="s">
        <v>618</v>
      </c>
      <c r="D47" t="s">
        <v>619</v>
      </c>
      <c r="E47" t="s">
        <v>620</v>
      </c>
      <c r="G47" t="s">
        <v>621</v>
      </c>
      <c r="H47" t="s">
        <v>46</v>
      </c>
      <c r="I47" t="s">
        <v>46</v>
      </c>
      <c r="J47" t="s">
        <v>17</v>
      </c>
      <c r="K47">
        <v>100</v>
      </c>
      <c r="L47">
        <v>80</v>
      </c>
      <c r="M47" t="s">
        <v>622</v>
      </c>
      <c r="N47" t="s">
        <v>623</v>
      </c>
      <c r="O47" s="16"/>
      <c r="Q47" t="s">
        <v>53</v>
      </c>
      <c r="S47" t="str">
        <f t="shared" si="0"/>
        <v>yes</v>
      </c>
      <c r="T47" t="str">
        <f t="shared" si="1"/>
        <v>yes</v>
      </c>
    </row>
    <row r="48" spans="1:20" x14ac:dyDescent="0.3">
      <c r="A48">
        <v>1061949</v>
      </c>
      <c r="B48" t="s">
        <v>616</v>
      </c>
      <c r="C48" t="s">
        <v>618</v>
      </c>
      <c r="D48" t="s">
        <v>619</v>
      </c>
      <c r="E48" t="s">
        <v>620</v>
      </c>
      <c r="G48" t="s">
        <v>624</v>
      </c>
      <c r="H48" t="s">
        <v>46</v>
      </c>
      <c r="I48" t="s">
        <v>46</v>
      </c>
      <c r="J48" t="s">
        <v>17</v>
      </c>
      <c r="K48">
        <v>100</v>
      </c>
      <c r="L48">
        <v>80</v>
      </c>
      <c r="M48" t="s">
        <v>622</v>
      </c>
      <c r="N48" t="s">
        <v>623</v>
      </c>
      <c r="O48" s="12"/>
      <c r="Q48" t="s">
        <v>53</v>
      </c>
      <c r="S48" t="str">
        <f>LOWER(TRIM(CLEAN(Q48)))</f>
        <v>yes</v>
      </c>
      <c r="T48" t="str">
        <f t="shared" si="1"/>
        <v>yes</v>
      </c>
    </row>
    <row r="49" spans="1:20" x14ac:dyDescent="0.3">
      <c r="A49">
        <v>1061949</v>
      </c>
      <c r="B49" t="s">
        <v>616</v>
      </c>
      <c r="C49" t="s">
        <v>618</v>
      </c>
      <c r="D49" t="s">
        <v>619</v>
      </c>
      <c r="E49" t="s">
        <v>620</v>
      </c>
      <c r="G49" t="s">
        <v>625</v>
      </c>
      <c r="H49" t="s">
        <v>46</v>
      </c>
      <c r="I49" t="s">
        <v>46</v>
      </c>
      <c r="J49" t="s">
        <v>17</v>
      </c>
      <c r="K49">
        <v>100</v>
      </c>
      <c r="L49">
        <v>80</v>
      </c>
      <c r="M49" t="s">
        <v>622</v>
      </c>
      <c r="N49" t="s">
        <v>623</v>
      </c>
      <c r="O49" s="16"/>
      <c r="Q49" t="s">
        <v>53</v>
      </c>
      <c r="S49" t="str">
        <f t="shared" si="0"/>
        <v>yes</v>
      </c>
      <c r="T49" t="str">
        <f t="shared" si="1"/>
        <v>yes</v>
      </c>
    </row>
    <row r="50" spans="1:20" x14ac:dyDescent="0.3">
      <c r="A50">
        <v>1061949</v>
      </c>
      <c r="B50" t="s">
        <v>616</v>
      </c>
      <c r="C50" t="s">
        <v>618</v>
      </c>
      <c r="D50" t="s">
        <v>619</v>
      </c>
      <c r="E50" t="s">
        <v>620</v>
      </c>
      <c r="G50" t="s">
        <v>626</v>
      </c>
      <c r="H50" t="s">
        <v>46</v>
      </c>
      <c r="I50" t="s">
        <v>46</v>
      </c>
      <c r="J50" t="s">
        <v>17</v>
      </c>
      <c r="K50">
        <v>100</v>
      </c>
      <c r="L50">
        <v>80</v>
      </c>
      <c r="M50" t="s">
        <v>622</v>
      </c>
      <c r="N50" t="s">
        <v>623</v>
      </c>
      <c r="O50" s="12"/>
      <c r="Q50" t="s">
        <v>53</v>
      </c>
      <c r="S50" t="str">
        <f t="shared" si="0"/>
        <v>yes</v>
      </c>
      <c r="T50" t="str">
        <f>IF(S50="","",LOWER(TRIM(S50)))</f>
        <v>yes</v>
      </c>
    </row>
    <row r="51" spans="1:20" x14ac:dyDescent="0.3">
      <c r="A51">
        <v>1061949</v>
      </c>
      <c r="B51" t="s">
        <v>616</v>
      </c>
      <c r="C51" t="s">
        <v>627</v>
      </c>
      <c r="H51" t="s">
        <v>16</v>
      </c>
      <c r="I51" t="s">
        <v>16</v>
      </c>
      <c r="J51" t="s">
        <v>17</v>
      </c>
      <c r="K51">
        <v>0</v>
      </c>
      <c r="L51">
        <v>0</v>
      </c>
      <c r="O51" s="12"/>
      <c r="Q51" t="s">
        <v>53</v>
      </c>
      <c r="S51" t="str">
        <f t="shared" si="0"/>
        <v>yes</v>
      </c>
      <c r="T51" t="str">
        <f t="shared" si="1"/>
        <v>yes</v>
      </c>
    </row>
    <row r="52" spans="1:20" x14ac:dyDescent="0.3">
      <c r="A52">
        <v>1061949</v>
      </c>
      <c r="B52" t="s">
        <v>616</v>
      </c>
      <c r="C52" t="s">
        <v>628</v>
      </c>
      <c r="D52" t="s">
        <v>629</v>
      </c>
      <c r="E52" t="s">
        <v>630</v>
      </c>
      <c r="H52" t="s">
        <v>46</v>
      </c>
      <c r="I52" t="s">
        <v>46</v>
      </c>
      <c r="J52" t="s">
        <v>17</v>
      </c>
      <c r="K52">
        <v>100</v>
      </c>
      <c r="L52">
        <v>50</v>
      </c>
      <c r="M52" t="s">
        <v>631</v>
      </c>
      <c r="N52" t="s">
        <v>632</v>
      </c>
      <c r="O52" s="14"/>
      <c r="Q52" t="s">
        <v>633</v>
      </c>
      <c r="S52" t="str">
        <f t="shared" si="0"/>
        <v>wrong</v>
      </c>
      <c r="T52" t="str">
        <f t="shared" si="1"/>
        <v>wrong</v>
      </c>
    </row>
    <row r="53" spans="1:20" x14ac:dyDescent="0.3">
      <c r="A53">
        <v>1064345</v>
      </c>
      <c r="B53" t="s">
        <v>634</v>
      </c>
      <c r="C53" t="s">
        <v>635</v>
      </c>
      <c r="D53" t="s">
        <v>635</v>
      </c>
      <c r="E53" t="s">
        <v>636</v>
      </c>
      <c r="H53" t="s">
        <v>22</v>
      </c>
      <c r="I53" t="s">
        <v>22</v>
      </c>
      <c r="J53" t="s">
        <v>17</v>
      </c>
      <c r="K53">
        <v>100</v>
      </c>
      <c r="L53">
        <v>112</v>
      </c>
      <c r="M53" t="s">
        <v>241</v>
      </c>
      <c r="N53" t="s">
        <v>242</v>
      </c>
      <c r="O53" s="14"/>
      <c r="Q53" t="s">
        <v>593</v>
      </c>
      <c r="S53" t="str">
        <f t="shared" si="0"/>
        <v>wrong</v>
      </c>
      <c r="T53" t="str">
        <f t="shared" si="1"/>
        <v>wrong</v>
      </c>
    </row>
    <row r="54" spans="1:20" x14ac:dyDescent="0.3">
      <c r="A54">
        <v>1064345</v>
      </c>
      <c r="B54" t="s">
        <v>634</v>
      </c>
      <c r="C54" t="s">
        <v>637</v>
      </c>
      <c r="D54" t="s">
        <v>638</v>
      </c>
      <c r="E54" t="s">
        <v>639</v>
      </c>
      <c r="H54" t="s">
        <v>22</v>
      </c>
      <c r="I54" t="s">
        <v>22</v>
      </c>
      <c r="J54" t="s">
        <v>17</v>
      </c>
      <c r="K54">
        <v>90</v>
      </c>
      <c r="L54">
        <v>105</v>
      </c>
      <c r="O54" s="14"/>
      <c r="P54" t="s">
        <v>640</v>
      </c>
      <c r="Q54" t="s">
        <v>593</v>
      </c>
      <c r="S54" t="str">
        <f t="shared" si="0"/>
        <v>wrong</v>
      </c>
      <c r="T54" t="str">
        <f t="shared" si="1"/>
        <v>wrong</v>
      </c>
    </row>
    <row r="55" spans="1:20" x14ac:dyDescent="0.3">
      <c r="A55">
        <v>1064345</v>
      </c>
      <c r="B55" t="s">
        <v>634</v>
      </c>
      <c r="C55" t="s">
        <v>641</v>
      </c>
      <c r="D55" t="s">
        <v>641</v>
      </c>
      <c r="E55" t="s">
        <v>642</v>
      </c>
      <c r="H55" t="s">
        <v>22</v>
      </c>
      <c r="I55" t="s">
        <v>22</v>
      </c>
      <c r="J55" t="s">
        <v>17</v>
      </c>
      <c r="K55">
        <v>100</v>
      </c>
      <c r="L55">
        <v>112</v>
      </c>
      <c r="M55" t="s">
        <v>245</v>
      </c>
      <c r="N55" t="s">
        <v>246</v>
      </c>
      <c r="O55" s="14"/>
      <c r="P55" t="s">
        <v>643</v>
      </c>
      <c r="Q55" t="s">
        <v>593</v>
      </c>
      <c r="S55" t="str">
        <f t="shared" si="0"/>
        <v>wrong</v>
      </c>
      <c r="T55" t="str">
        <f t="shared" si="1"/>
        <v>wrong</v>
      </c>
    </row>
    <row r="56" spans="1:20" x14ac:dyDescent="0.3">
      <c r="A56">
        <v>1064345</v>
      </c>
      <c r="B56" t="s">
        <v>634</v>
      </c>
      <c r="C56" t="s">
        <v>644</v>
      </c>
      <c r="D56" t="s">
        <v>644</v>
      </c>
      <c r="E56" t="s">
        <v>645</v>
      </c>
      <c r="H56" t="s">
        <v>22</v>
      </c>
      <c r="I56" t="s">
        <v>22</v>
      </c>
      <c r="J56" t="s">
        <v>17</v>
      </c>
      <c r="K56">
        <v>100</v>
      </c>
      <c r="L56">
        <v>110</v>
      </c>
      <c r="M56" t="s">
        <v>646</v>
      </c>
      <c r="N56" t="s">
        <v>647</v>
      </c>
      <c r="O56" s="14"/>
      <c r="Q56" t="s">
        <v>593</v>
      </c>
      <c r="S56" t="str">
        <f t="shared" si="0"/>
        <v>wrong</v>
      </c>
      <c r="T56" t="str">
        <f t="shared" si="1"/>
        <v>wrong</v>
      </c>
    </row>
    <row r="57" spans="1:20" x14ac:dyDescent="0.3">
      <c r="A57">
        <v>1064345</v>
      </c>
      <c r="B57" t="s">
        <v>634</v>
      </c>
      <c r="C57" t="s">
        <v>648</v>
      </c>
      <c r="D57" t="s">
        <v>648</v>
      </c>
      <c r="E57" t="s">
        <v>649</v>
      </c>
      <c r="H57" t="s">
        <v>22</v>
      </c>
      <c r="I57" t="s">
        <v>22</v>
      </c>
      <c r="J57" t="s">
        <v>17</v>
      </c>
      <c r="K57">
        <v>100</v>
      </c>
      <c r="L57">
        <v>112</v>
      </c>
      <c r="M57" t="s">
        <v>650</v>
      </c>
      <c r="N57" t="s">
        <v>651</v>
      </c>
      <c r="O57" s="14"/>
      <c r="P57" t="s">
        <v>652</v>
      </c>
      <c r="Q57" t="s">
        <v>593</v>
      </c>
      <c r="S57" t="str">
        <f t="shared" si="0"/>
        <v>wrong</v>
      </c>
      <c r="T57" t="str">
        <f t="shared" si="1"/>
        <v>wrong</v>
      </c>
    </row>
    <row r="58" spans="1:20" x14ac:dyDescent="0.3">
      <c r="A58">
        <v>1068317</v>
      </c>
      <c r="B58" t="s">
        <v>653</v>
      </c>
      <c r="C58" t="s">
        <v>654</v>
      </c>
      <c r="D58" t="s">
        <v>654</v>
      </c>
      <c r="E58" t="s">
        <v>655</v>
      </c>
      <c r="H58" t="s">
        <v>22</v>
      </c>
      <c r="I58" t="s">
        <v>22</v>
      </c>
      <c r="J58" t="s">
        <v>17</v>
      </c>
      <c r="K58">
        <v>100</v>
      </c>
      <c r="L58">
        <v>110</v>
      </c>
      <c r="O58" s="14"/>
      <c r="P58" t="s">
        <v>656</v>
      </c>
      <c r="Q58" t="s">
        <v>593</v>
      </c>
      <c r="S58" t="str">
        <f t="shared" si="0"/>
        <v>wrong</v>
      </c>
      <c r="T58" t="str">
        <f t="shared" si="1"/>
        <v>wrong</v>
      </c>
    </row>
    <row r="59" spans="1:20" x14ac:dyDescent="0.3">
      <c r="A59">
        <v>1068317</v>
      </c>
      <c r="B59" t="s">
        <v>653</v>
      </c>
      <c r="C59" t="s">
        <v>657</v>
      </c>
      <c r="D59" t="s">
        <v>658</v>
      </c>
      <c r="E59" t="s">
        <v>659</v>
      </c>
      <c r="H59" t="s">
        <v>22</v>
      </c>
      <c r="I59" t="s">
        <v>22</v>
      </c>
      <c r="J59" t="s">
        <v>17</v>
      </c>
      <c r="K59">
        <v>87.5</v>
      </c>
      <c r="L59">
        <v>52.5</v>
      </c>
      <c r="M59" t="s">
        <v>660</v>
      </c>
      <c r="N59" t="s">
        <v>661</v>
      </c>
      <c r="O59" s="14"/>
      <c r="P59" t="s">
        <v>662</v>
      </c>
      <c r="Q59" t="s">
        <v>593</v>
      </c>
      <c r="S59" t="str">
        <f t="shared" si="0"/>
        <v>wrong</v>
      </c>
      <c r="T59" t="str">
        <f t="shared" si="1"/>
        <v>wrong</v>
      </c>
    </row>
    <row r="60" spans="1:20" x14ac:dyDescent="0.3">
      <c r="A60">
        <v>1068317</v>
      </c>
      <c r="B60" t="s">
        <v>653</v>
      </c>
      <c r="C60" t="s">
        <v>663</v>
      </c>
      <c r="H60" t="s">
        <v>16</v>
      </c>
      <c r="I60" t="s">
        <v>16</v>
      </c>
      <c r="J60" t="s">
        <v>17</v>
      </c>
      <c r="K60">
        <v>0</v>
      </c>
      <c r="L60">
        <v>0</v>
      </c>
      <c r="O60" s="12"/>
      <c r="Q60" t="s">
        <v>53</v>
      </c>
      <c r="S60" t="str">
        <f t="shared" si="0"/>
        <v>yes</v>
      </c>
      <c r="T60" t="str">
        <f t="shared" si="1"/>
        <v>yes</v>
      </c>
    </row>
    <row r="61" spans="1:20" x14ac:dyDescent="0.3">
      <c r="A61">
        <v>1068317</v>
      </c>
      <c r="B61" t="s">
        <v>653</v>
      </c>
      <c r="C61" t="s">
        <v>664</v>
      </c>
      <c r="D61" t="s">
        <v>665</v>
      </c>
      <c r="E61" t="s">
        <v>666</v>
      </c>
      <c r="G61" t="s">
        <v>667</v>
      </c>
      <c r="H61" t="s">
        <v>22</v>
      </c>
      <c r="I61" t="s">
        <v>22</v>
      </c>
      <c r="J61" t="s">
        <v>17</v>
      </c>
      <c r="K61">
        <v>90</v>
      </c>
      <c r="L61">
        <v>111</v>
      </c>
      <c r="O61" s="12"/>
      <c r="P61" t="s">
        <v>668</v>
      </c>
      <c r="Q61" t="s">
        <v>53</v>
      </c>
      <c r="S61" t="str">
        <f t="shared" si="0"/>
        <v>yes</v>
      </c>
      <c r="T61" t="str">
        <f t="shared" si="1"/>
        <v>yes</v>
      </c>
    </row>
    <row r="62" spans="1:20" x14ac:dyDescent="0.3">
      <c r="A62">
        <v>1068317</v>
      </c>
      <c r="B62" t="s">
        <v>653</v>
      </c>
      <c r="C62" t="s">
        <v>664</v>
      </c>
      <c r="D62" t="s">
        <v>665</v>
      </c>
      <c r="E62" t="s">
        <v>666</v>
      </c>
      <c r="G62" t="s">
        <v>669</v>
      </c>
      <c r="H62" t="s">
        <v>22</v>
      </c>
      <c r="I62" t="s">
        <v>22</v>
      </c>
      <c r="J62" t="s">
        <v>17</v>
      </c>
      <c r="K62">
        <v>90</v>
      </c>
      <c r="L62">
        <v>111</v>
      </c>
      <c r="O62" s="16"/>
      <c r="Q62" t="s">
        <v>53</v>
      </c>
      <c r="S62" t="str">
        <f t="shared" si="0"/>
        <v>yes</v>
      </c>
      <c r="T62" t="str">
        <f t="shared" si="1"/>
        <v>yes</v>
      </c>
    </row>
    <row r="63" spans="1:20" x14ac:dyDescent="0.3">
      <c r="A63">
        <v>1068317</v>
      </c>
      <c r="B63" t="s">
        <v>653</v>
      </c>
      <c r="C63" t="s">
        <v>664</v>
      </c>
      <c r="D63" t="s">
        <v>665</v>
      </c>
      <c r="E63" t="s">
        <v>666</v>
      </c>
      <c r="G63" t="s">
        <v>670</v>
      </c>
      <c r="H63" t="s">
        <v>22</v>
      </c>
      <c r="I63" t="s">
        <v>22</v>
      </c>
      <c r="J63" t="s">
        <v>17</v>
      </c>
      <c r="K63">
        <v>90</v>
      </c>
      <c r="L63">
        <v>111</v>
      </c>
      <c r="O63" s="12"/>
      <c r="Q63" t="s">
        <v>53</v>
      </c>
      <c r="S63" t="str">
        <f>LOWER(TRIM(CLEAN(Q63)))</f>
        <v>yes</v>
      </c>
      <c r="T63" t="str">
        <f t="shared" si="1"/>
        <v>yes</v>
      </c>
    </row>
    <row r="64" spans="1:20" x14ac:dyDescent="0.3">
      <c r="A64">
        <v>1068317</v>
      </c>
      <c r="B64" t="s">
        <v>653</v>
      </c>
      <c r="C64" t="s">
        <v>664</v>
      </c>
      <c r="D64" t="s">
        <v>665</v>
      </c>
      <c r="E64" t="s">
        <v>666</v>
      </c>
      <c r="G64" t="s">
        <v>671</v>
      </c>
      <c r="H64" t="s">
        <v>22</v>
      </c>
      <c r="I64" t="s">
        <v>22</v>
      </c>
      <c r="J64" t="s">
        <v>17</v>
      </c>
      <c r="K64">
        <v>90</v>
      </c>
      <c r="L64">
        <v>111</v>
      </c>
      <c r="O64" s="16"/>
      <c r="Q64" t="s">
        <v>53</v>
      </c>
      <c r="S64" t="str">
        <f t="shared" si="0"/>
        <v>yes</v>
      </c>
      <c r="T64" t="str">
        <f t="shared" si="1"/>
        <v>yes</v>
      </c>
    </row>
    <row r="65" spans="1:20" x14ac:dyDescent="0.3">
      <c r="A65">
        <v>1068317</v>
      </c>
      <c r="B65" t="s">
        <v>653</v>
      </c>
      <c r="C65" t="s">
        <v>672</v>
      </c>
      <c r="D65" t="s">
        <v>672</v>
      </c>
      <c r="E65" t="s">
        <v>673</v>
      </c>
      <c r="H65" t="s">
        <v>22</v>
      </c>
      <c r="I65" t="s">
        <v>22</v>
      </c>
      <c r="J65" t="s">
        <v>17</v>
      </c>
      <c r="K65">
        <v>100</v>
      </c>
      <c r="L65">
        <v>113</v>
      </c>
      <c r="M65" t="s">
        <v>674</v>
      </c>
      <c r="N65" t="s">
        <v>675</v>
      </c>
      <c r="O65" s="14"/>
      <c r="Q65" t="s">
        <v>633</v>
      </c>
      <c r="S65" t="str">
        <f t="shared" si="0"/>
        <v>wrong</v>
      </c>
      <c r="T65" t="str">
        <f t="shared" si="1"/>
        <v>wrong</v>
      </c>
    </row>
    <row r="66" spans="1:20" x14ac:dyDescent="0.3">
      <c r="A66">
        <v>1068317</v>
      </c>
      <c r="B66" t="s">
        <v>653</v>
      </c>
      <c r="C66" t="s">
        <v>676</v>
      </c>
      <c r="D66" t="s">
        <v>676</v>
      </c>
      <c r="E66" t="s">
        <v>677</v>
      </c>
      <c r="H66" t="s">
        <v>22</v>
      </c>
      <c r="I66" t="s">
        <v>22</v>
      </c>
      <c r="J66" t="s">
        <v>17</v>
      </c>
      <c r="K66">
        <v>100</v>
      </c>
      <c r="L66">
        <v>112</v>
      </c>
      <c r="M66" t="s">
        <v>338</v>
      </c>
      <c r="N66" t="s">
        <v>339</v>
      </c>
      <c r="O66" s="14"/>
      <c r="P66" t="s">
        <v>652</v>
      </c>
      <c r="Q66" t="s">
        <v>593</v>
      </c>
      <c r="S66" t="str">
        <f t="shared" si="0"/>
        <v>wrong</v>
      </c>
      <c r="T66" t="str">
        <f t="shared" si="1"/>
        <v>wrong</v>
      </c>
    </row>
    <row r="67" spans="1:20" x14ac:dyDescent="0.3">
      <c r="A67">
        <v>1068317</v>
      </c>
      <c r="B67" t="s">
        <v>653</v>
      </c>
      <c r="C67" t="s">
        <v>678</v>
      </c>
      <c r="D67" t="s">
        <v>527</v>
      </c>
      <c r="E67" t="s">
        <v>679</v>
      </c>
      <c r="G67" t="s">
        <v>680</v>
      </c>
      <c r="H67" t="s">
        <v>46</v>
      </c>
      <c r="I67" t="s">
        <v>46</v>
      </c>
      <c r="J67" t="s">
        <v>17</v>
      </c>
      <c r="K67">
        <v>100</v>
      </c>
      <c r="L67">
        <v>50</v>
      </c>
      <c r="O67" s="12"/>
      <c r="Q67" t="s">
        <v>53</v>
      </c>
      <c r="S67" t="str">
        <f t="shared" ref="S67:S78" si="2">LOWER(TRIM(CLEAN(Q67)))</f>
        <v>yes</v>
      </c>
      <c r="T67" t="str">
        <f t="shared" ref="T67:T71" si="3">IF(S67="","",LOWER(TRIM(S67)))</f>
        <v>yes</v>
      </c>
    </row>
    <row r="68" spans="1:20" x14ac:dyDescent="0.3">
      <c r="A68">
        <v>1068317</v>
      </c>
      <c r="B68" t="s">
        <v>653</v>
      </c>
      <c r="C68" t="s">
        <v>678</v>
      </c>
      <c r="D68" t="s">
        <v>527</v>
      </c>
      <c r="E68" t="s">
        <v>679</v>
      </c>
      <c r="G68" t="s">
        <v>681</v>
      </c>
      <c r="H68" t="s">
        <v>46</v>
      </c>
      <c r="I68" t="s">
        <v>46</v>
      </c>
      <c r="J68" t="s">
        <v>17</v>
      </c>
      <c r="K68">
        <v>100</v>
      </c>
      <c r="L68">
        <v>50</v>
      </c>
      <c r="O68" s="16"/>
      <c r="Q68" t="s">
        <v>53</v>
      </c>
      <c r="S68" t="str">
        <f t="shared" si="2"/>
        <v>yes</v>
      </c>
      <c r="T68" t="str">
        <f t="shared" si="3"/>
        <v>yes</v>
      </c>
    </row>
    <row r="69" spans="1:20" x14ac:dyDescent="0.3">
      <c r="A69">
        <v>1068317</v>
      </c>
      <c r="B69" t="s">
        <v>653</v>
      </c>
      <c r="C69" t="s">
        <v>678</v>
      </c>
      <c r="D69" t="s">
        <v>527</v>
      </c>
      <c r="E69" t="s">
        <v>679</v>
      </c>
      <c r="G69" t="s">
        <v>682</v>
      </c>
      <c r="H69" t="s">
        <v>46</v>
      </c>
      <c r="I69" t="s">
        <v>46</v>
      </c>
      <c r="J69" t="s">
        <v>17</v>
      </c>
      <c r="K69">
        <v>100</v>
      </c>
      <c r="L69">
        <v>50</v>
      </c>
      <c r="O69" s="12"/>
      <c r="Q69" t="s">
        <v>53</v>
      </c>
      <c r="S69" t="str">
        <f t="shared" si="2"/>
        <v>yes</v>
      </c>
      <c r="T69" t="str">
        <f t="shared" si="3"/>
        <v>yes</v>
      </c>
    </row>
    <row r="70" spans="1:20" x14ac:dyDescent="0.3">
      <c r="A70">
        <v>1068317</v>
      </c>
      <c r="B70" t="s">
        <v>653</v>
      </c>
      <c r="C70" t="s">
        <v>678</v>
      </c>
      <c r="D70" t="s">
        <v>527</v>
      </c>
      <c r="E70" t="s">
        <v>679</v>
      </c>
      <c r="G70" t="s">
        <v>683</v>
      </c>
      <c r="H70" t="s">
        <v>46</v>
      </c>
      <c r="I70" t="s">
        <v>46</v>
      </c>
      <c r="J70" t="s">
        <v>17</v>
      </c>
      <c r="K70">
        <v>100</v>
      </c>
      <c r="L70">
        <v>50</v>
      </c>
      <c r="O70" s="16"/>
      <c r="Q70" t="s">
        <v>53</v>
      </c>
      <c r="S70" t="str">
        <f t="shared" si="2"/>
        <v>yes</v>
      </c>
      <c r="T70" t="str">
        <f t="shared" si="3"/>
        <v>yes</v>
      </c>
    </row>
    <row r="71" spans="1:20" x14ac:dyDescent="0.3">
      <c r="A71">
        <v>1068317</v>
      </c>
      <c r="B71" t="s">
        <v>653</v>
      </c>
      <c r="C71" t="s">
        <v>678</v>
      </c>
      <c r="D71" t="s">
        <v>527</v>
      </c>
      <c r="E71" t="s">
        <v>679</v>
      </c>
      <c r="G71" t="s">
        <v>684</v>
      </c>
      <c r="H71" t="s">
        <v>46</v>
      </c>
      <c r="I71" t="s">
        <v>46</v>
      </c>
      <c r="J71" t="s">
        <v>17</v>
      </c>
      <c r="K71">
        <v>100</v>
      </c>
      <c r="L71">
        <v>50</v>
      </c>
      <c r="O71" s="12"/>
      <c r="Q71" t="s">
        <v>53</v>
      </c>
      <c r="S71" t="str">
        <f t="shared" si="2"/>
        <v>yes</v>
      </c>
      <c r="T71" t="str">
        <f t="shared" si="3"/>
        <v>yes</v>
      </c>
    </row>
    <row r="72" spans="1:20" x14ac:dyDescent="0.3">
      <c r="A72">
        <v>1068317</v>
      </c>
      <c r="B72" t="s">
        <v>653</v>
      </c>
      <c r="C72" t="s">
        <v>678</v>
      </c>
      <c r="D72" t="s">
        <v>527</v>
      </c>
      <c r="E72" t="s">
        <v>679</v>
      </c>
      <c r="G72" t="s">
        <v>685</v>
      </c>
      <c r="H72" t="s">
        <v>46</v>
      </c>
      <c r="I72" t="s">
        <v>46</v>
      </c>
      <c r="J72" t="s">
        <v>17</v>
      </c>
      <c r="K72">
        <v>100</v>
      </c>
      <c r="L72">
        <v>50</v>
      </c>
      <c r="O72" s="16"/>
      <c r="Q72" t="s">
        <v>53</v>
      </c>
      <c r="S72" t="str">
        <f t="shared" si="2"/>
        <v>yes</v>
      </c>
      <c r="T72" t="str">
        <f>IF(S72="","",LOWER(TRIM(S72)))</f>
        <v>yes</v>
      </c>
    </row>
    <row r="73" spans="1:20" x14ac:dyDescent="0.3">
      <c r="A73">
        <v>1068317</v>
      </c>
      <c r="B73" t="s">
        <v>653</v>
      </c>
      <c r="C73" t="s">
        <v>678</v>
      </c>
      <c r="D73" t="s">
        <v>527</v>
      </c>
      <c r="E73" t="s">
        <v>679</v>
      </c>
      <c r="G73" t="s">
        <v>686</v>
      </c>
      <c r="H73" t="s">
        <v>46</v>
      </c>
      <c r="I73" t="s">
        <v>46</v>
      </c>
      <c r="J73" t="s">
        <v>17</v>
      </c>
      <c r="K73">
        <v>100</v>
      </c>
      <c r="L73">
        <v>50</v>
      </c>
      <c r="O73" s="12"/>
      <c r="Q73" t="s">
        <v>53</v>
      </c>
      <c r="S73" t="str">
        <f t="shared" si="2"/>
        <v>yes</v>
      </c>
      <c r="T73" t="str">
        <f t="shared" ref="T73:T102" si="4">IF(S73="","",LOWER(TRIM(S73)))</f>
        <v>yes</v>
      </c>
    </row>
    <row r="74" spans="1:20" ht="13.5" customHeight="1" x14ac:dyDescent="0.3">
      <c r="A74">
        <v>1081822</v>
      </c>
      <c r="B74" t="s">
        <v>687</v>
      </c>
      <c r="C74" t="s">
        <v>688</v>
      </c>
      <c r="H74" t="s">
        <v>16</v>
      </c>
      <c r="I74" t="s">
        <v>16</v>
      </c>
      <c r="J74" t="s">
        <v>17</v>
      </c>
      <c r="K74">
        <v>0</v>
      </c>
      <c r="L74">
        <v>0</v>
      </c>
      <c r="O74" s="12"/>
      <c r="Q74" t="s">
        <v>53</v>
      </c>
      <c r="S74" t="str">
        <f t="shared" si="2"/>
        <v>yes</v>
      </c>
      <c r="T74" t="str">
        <f t="shared" si="4"/>
        <v>yes</v>
      </c>
    </row>
    <row r="75" spans="1:20" x14ac:dyDescent="0.3">
      <c r="A75">
        <v>1081822</v>
      </c>
      <c r="B75" t="s">
        <v>687</v>
      </c>
      <c r="C75" t="s">
        <v>689</v>
      </c>
      <c r="H75" t="s">
        <v>16</v>
      </c>
      <c r="I75" t="s">
        <v>16</v>
      </c>
      <c r="J75" t="s">
        <v>17</v>
      </c>
      <c r="K75">
        <v>0</v>
      </c>
      <c r="L75">
        <v>0</v>
      </c>
      <c r="O75" s="12"/>
      <c r="Q75" t="s">
        <v>53</v>
      </c>
      <c r="S75" t="str">
        <f t="shared" si="2"/>
        <v>yes</v>
      </c>
      <c r="T75" t="str">
        <f t="shared" si="4"/>
        <v>yes</v>
      </c>
    </row>
    <row r="76" spans="1:20" x14ac:dyDescent="0.3">
      <c r="A76">
        <v>1081822</v>
      </c>
      <c r="B76" t="s">
        <v>687</v>
      </c>
      <c r="C76" t="s">
        <v>690</v>
      </c>
      <c r="H76" t="s">
        <v>16</v>
      </c>
      <c r="I76" t="s">
        <v>16</v>
      </c>
      <c r="J76" t="s">
        <v>17</v>
      </c>
      <c r="K76">
        <v>0</v>
      </c>
      <c r="L76">
        <v>0</v>
      </c>
      <c r="O76" s="12"/>
      <c r="Q76" t="s">
        <v>53</v>
      </c>
      <c r="S76" t="str">
        <f t="shared" si="2"/>
        <v>yes</v>
      </c>
      <c r="T76" t="str">
        <f t="shared" si="4"/>
        <v>yes</v>
      </c>
    </row>
    <row r="77" spans="1:20" x14ac:dyDescent="0.3">
      <c r="A77">
        <v>1081822</v>
      </c>
      <c r="B77" t="s">
        <v>687</v>
      </c>
      <c r="C77" t="s">
        <v>691</v>
      </c>
      <c r="H77" t="s">
        <v>16</v>
      </c>
      <c r="I77" t="s">
        <v>16</v>
      </c>
      <c r="J77" t="s">
        <v>17</v>
      </c>
      <c r="K77">
        <v>0</v>
      </c>
      <c r="L77">
        <v>0</v>
      </c>
      <c r="O77" s="12"/>
      <c r="Q77" t="s">
        <v>53</v>
      </c>
      <c r="S77" t="str">
        <f t="shared" si="2"/>
        <v>yes</v>
      </c>
      <c r="T77" t="str">
        <f t="shared" si="4"/>
        <v>yes</v>
      </c>
    </row>
    <row r="78" spans="1:20" x14ac:dyDescent="0.3">
      <c r="A78">
        <v>1081822</v>
      </c>
      <c r="B78" t="s">
        <v>687</v>
      </c>
      <c r="C78" t="s">
        <v>692</v>
      </c>
      <c r="D78" t="s">
        <v>693</v>
      </c>
      <c r="E78" t="s">
        <v>694</v>
      </c>
      <c r="H78" t="s">
        <v>46</v>
      </c>
      <c r="I78" t="s">
        <v>46</v>
      </c>
      <c r="J78" t="s">
        <v>17</v>
      </c>
      <c r="K78">
        <v>100</v>
      </c>
      <c r="L78">
        <v>50</v>
      </c>
      <c r="M78" t="s">
        <v>695</v>
      </c>
      <c r="N78" t="s">
        <v>696</v>
      </c>
      <c r="O78" s="12"/>
      <c r="Q78" t="s">
        <v>53</v>
      </c>
      <c r="S78" t="str">
        <f t="shared" si="2"/>
        <v>yes</v>
      </c>
      <c r="T78" t="str">
        <f t="shared" si="4"/>
        <v>yes</v>
      </c>
    </row>
    <row r="79" spans="1:20" x14ac:dyDescent="0.3">
      <c r="A79">
        <v>1081825</v>
      </c>
      <c r="B79" t="s">
        <v>697</v>
      </c>
      <c r="C79" t="s">
        <v>698</v>
      </c>
      <c r="H79" t="s">
        <v>16</v>
      </c>
      <c r="I79" t="s">
        <v>16</v>
      </c>
      <c r="J79" t="s">
        <v>17</v>
      </c>
      <c r="K79">
        <v>0</v>
      </c>
      <c r="L79">
        <v>0</v>
      </c>
      <c r="O79" s="12"/>
      <c r="Q79" t="s">
        <v>53</v>
      </c>
      <c r="S79" t="str">
        <f>LOWER(TRIM(CLEAN(Q79)))</f>
        <v>yes</v>
      </c>
      <c r="T79" t="str">
        <f t="shared" si="4"/>
        <v>yes</v>
      </c>
    </row>
    <row r="80" spans="1:20" x14ac:dyDescent="0.3">
      <c r="A80">
        <v>1081825</v>
      </c>
      <c r="B80" t="s">
        <v>697</v>
      </c>
      <c r="C80" t="s">
        <v>699</v>
      </c>
      <c r="H80" t="s">
        <v>16</v>
      </c>
      <c r="I80" t="s">
        <v>16</v>
      </c>
      <c r="J80" t="s">
        <v>17</v>
      </c>
      <c r="K80">
        <v>0</v>
      </c>
      <c r="L80">
        <v>0</v>
      </c>
      <c r="O80" s="12"/>
      <c r="Q80" t="s">
        <v>53</v>
      </c>
      <c r="S80" t="str">
        <f t="shared" ref="S80:S99" si="5">LOWER(TRIM(CLEAN(Q80)))</f>
        <v>yes</v>
      </c>
      <c r="T80" t="str">
        <f t="shared" si="4"/>
        <v>yes</v>
      </c>
    </row>
    <row r="81" spans="1:20" x14ac:dyDescent="0.3">
      <c r="A81">
        <v>1081825</v>
      </c>
      <c r="B81" t="s">
        <v>697</v>
      </c>
      <c r="C81" t="s">
        <v>700</v>
      </c>
      <c r="H81" t="s">
        <v>16</v>
      </c>
      <c r="I81" t="s">
        <v>16</v>
      </c>
      <c r="J81" t="s">
        <v>17</v>
      </c>
      <c r="K81">
        <v>0</v>
      </c>
      <c r="L81">
        <v>0</v>
      </c>
      <c r="O81" s="12"/>
      <c r="Q81" t="s">
        <v>53</v>
      </c>
      <c r="S81" t="str">
        <f t="shared" si="5"/>
        <v>yes</v>
      </c>
      <c r="T81" t="str">
        <f t="shared" si="4"/>
        <v>yes</v>
      </c>
    </row>
    <row r="82" spans="1:20" x14ac:dyDescent="0.3">
      <c r="A82">
        <v>1081825</v>
      </c>
      <c r="B82" t="s">
        <v>697</v>
      </c>
      <c r="C82" t="s">
        <v>701</v>
      </c>
      <c r="D82" t="s">
        <v>701</v>
      </c>
      <c r="E82" t="s">
        <v>702</v>
      </c>
      <c r="F82" s="17" t="s">
        <v>703</v>
      </c>
      <c r="H82" t="s">
        <v>22</v>
      </c>
      <c r="I82" t="s">
        <v>22</v>
      </c>
      <c r="J82" t="s">
        <v>17</v>
      </c>
      <c r="K82">
        <v>100</v>
      </c>
      <c r="L82">
        <v>112</v>
      </c>
      <c r="M82" t="s">
        <v>704</v>
      </c>
      <c r="N82" t="s">
        <v>705</v>
      </c>
      <c r="O82" s="12"/>
      <c r="Q82" t="s">
        <v>53</v>
      </c>
      <c r="S82" t="str">
        <f t="shared" si="5"/>
        <v>yes</v>
      </c>
      <c r="T82" t="str">
        <f t="shared" si="4"/>
        <v>yes</v>
      </c>
    </row>
    <row r="83" spans="1:20" x14ac:dyDescent="0.3">
      <c r="A83">
        <v>1081825</v>
      </c>
      <c r="B83" t="s">
        <v>697</v>
      </c>
      <c r="C83" t="s">
        <v>706</v>
      </c>
      <c r="H83" t="s">
        <v>16</v>
      </c>
      <c r="I83" t="s">
        <v>16</v>
      </c>
      <c r="J83" t="s">
        <v>17</v>
      </c>
      <c r="K83">
        <v>0</v>
      </c>
      <c r="L83">
        <v>0</v>
      </c>
      <c r="O83" s="12"/>
      <c r="Q83" t="s">
        <v>53</v>
      </c>
      <c r="S83" t="str">
        <f t="shared" si="5"/>
        <v>yes</v>
      </c>
      <c r="T83" t="str">
        <f t="shared" si="4"/>
        <v>yes</v>
      </c>
    </row>
    <row r="84" spans="1:20" x14ac:dyDescent="0.3">
      <c r="A84">
        <v>1081825</v>
      </c>
      <c r="B84" t="s">
        <v>697</v>
      </c>
      <c r="C84" t="s">
        <v>707</v>
      </c>
      <c r="H84" t="s">
        <v>16</v>
      </c>
      <c r="I84" t="s">
        <v>16</v>
      </c>
      <c r="J84" t="s">
        <v>17</v>
      </c>
      <c r="K84">
        <v>0</v>
      </c>
      <c r="L84">
        <v>0</v>
      </c>
      <c r="O84" s="12"/>
      <c r="Q84" t="s">
        <v>53</v>
      </c>
      <c r="S84" t="str">
        <f t="shared" si="5"/>
        <v>yes</v>
      </c>
      <c r="T84" t="str">
        <f t="shared" si="4"/>
        <v>yes</v>
      </c>
    </row>
    <row r="85" spans="1:20" x14ac:dyDescent="0.3">
      <c r="A85">
        <v>1081825</v>
      </c>
      <c r="B85" t="s">
        <v>697</v>
      </c>
      <c r="C85" t="s">
        <v>708</v>
      </c>
      <c r="D85" t="s">
        <v>709</v>
      </c>
      <c r="E85" t="s">
        <v>710</v>
      </c>
      <c r="G85" t="s">
        <v>711</v>
      </c>
      <c r="H85" t="s">
        <v>22</v>
      </c>
      <c r="I85" t="s">
        <v>22</v>
      </c>
      <c r="J85" t="s">
        <v>17</v>
      </c>
      <c r="K85">
        <v>91.7</v>
      </c>
      <c r="L85">
        <v>111</v>
      </c>
      <c r="O85" s="12"/>
      <c r="Q85" t="s">
        <v>53</v>
      </c>
      <c r="S85" t="str">
        <f t="shared" si="5"/>
        <v>yes</v>
      </c>
      <c r="T85" t="str">
        <f t="shared" si="4"/>
        <v>yes</v>
      </c>
    </row>
    <row r="86" spans="1:20" x14ac:dyDescent="0.3">
      <c r="A86">
        <v>1081825</v>
      </c>
      <c r="B86" t="s">
        <v>697</v>
      </c>
      <c r="C86" t="s">
        <v>708</v>
      </c>
      <c r="D86" t="s">
        <v>709</v>
      </c>
      <c r="E86" t="s">
        <v>710</v>
      </c>
      <c r="G86" t="s">
        <v>712</v>
      </c>
      <c r="H86" t="s">
        <v>22</v>
      </c>
      <c r="I86" t="s">
        <v>22</v>
      </c>
      <c r="J86" t="s">
        <v>17</v>
      </c>
      <c r="K86">
        <v>91.7</v>
      </c>
      <c r="L86">
        <v>111</v>
      </c>
      <c r="O86" s="12"/>
      <c r="Q86" t="s">
        <v>53</v>
      </c>
      <c r="S86" t="str">
        <f t="shared" si="5"/>
        <v>yes</v>
      </c>
      <c r="T86" t="str">
        <f t="shared" si="4"/>
        <v>yes</v>
      </c>
    </row>
    <row r="87" spans="1:20" x14ac:dyDescent="0.3">
      <c r="A87">
        <v>1081825</v>
      </c>
      <c r="B87" t="s">
        <v>697</v>
      </c>
      <c r="C87" t="s">
        <v>708</v>
      </c>
      <c r="D87" t="s">
        <v>709</v>
      </c>
      <c r="E87" t="s">
        <v>710</v>
      </c>
      <c r="G87" t="s">
        <v>713</v>
      </c>
      <c r="H87" t="s">
        <v>22</v>
      </c>
      <c r="I87" t="s">
        <v>22</v>
      </c>
      <c r="J87" t="s">
        <v>17</v>
      </c>
      <c r="K87">
        <v>91.7</v>
      </c>
      <c r="L87">
        <v>111</v>
      </c>
      <c r="O87" s="12"/>
      <c r="Q87" t="s">
        <v>53</v>
      </c>
      <c r="S87" t="str">
        <f t="shared" si="5"/>
        <v>yes</v>
      </c>
      <c r="T87" t="str">
        <f t="shared" si="4"/>
        <v>yes</v>
      </c>
    </row>
    <row r="88" spans="1:20" x14ac:dyDescent="0.3">
      <c r="A88">
        <v>1081825</v>
      </c>
      <c r="B88" t="s">
        <v>697</v>
      </c>
      <c r="C88" t="s">
        <v>708</v>
      </c>
      <c r="D88" t="s">
        <v>709</v>
      </c>
      <c r="E88" t="s">
        <v>710</v>
      </c>
      <c r="G88" t="s">
        <v>714</v>
      </c>
      <c r="H88" t="s">
        <v>22</v>
      </c>
      <c r="I88" t="s">
        <v>22</v>
      </c>
      <c r="J88" t="s">
        <v>17</v>
      </c>
      <c r="K88">
        <v>91.7</v>
      </c>
      <c r="L88">
        <v>111</v>
      </c>
      <c r="O88" s="12"/>
      <c r="Q88" t="s">
        <v>53</v>
      </c>
      <c r="S88" t="str">
        <f t="shared" si="5"/>
        <v>yes</v>
      </c>
      <c r="T88" t="str">
        <f t="shared" si="4"/>
        <v>yes</v>
      </c>
    </row>
    <row r="89" spans="1:20" x14ac:dyDescent="0.3">
      <c r="A89">
        <v>1081825</v>
      </c>
      <c r="B89" t="s">
        <v>697</v>
      </c>
      <c r="C89" t="s">
        <v>708</v>
      </c>
      <c r="D89" t="s">
        <v>709</v>
      </c>
      <c r="E89" t="s">
        <v>710</v>
      </c>
      <c r="G89" t="s">
        <v>715</v>
      </c>
      <c r="H89" t="s">
        <v>22</v>
      </c>
      <c r="I89" t="s">
        <v>22</v>
      </c>
      <c r="J89" t="s">
        <v>17</v>
      </c>
      <c r="K89">
        <v>91.7</v>
      </c>
      <c r="L89">
        <v>111</v>
      </c>
      <c r="O89" s="12"/>
      <c r="Q89" t="s">
        <v>53</v>
      </c>
      <c r="S89" t="str">
        <f t="shared" si="5"/>
        <v>yes</v>
      </c>
      <c r="T89" t="str">
        <f t="shared" si="4"/>
        <v>yes</v>
      </c>
    </row>
    <row r="90" spans="1:20" x14ac:dyDescent="0.3">
      <c r="A90">
        <v>1082459</v>
      </c>
      <c r="B90" t="s">
        <v>716</v>
      </c>
      <c r="C90" t="s">
        <v>717</v>
      </c>
      <c r="D90" t="s">
        <v>718</v>
      </c>
      <c r="E90" t="s">
        <v>719</v>
      </c>
      <c r="G90" t="s">
        <v>720</v>
      </c>
      <c r="H90" t="s">
        <v>22</v>
      </c>
      <c r="I90" t="s">
        <v>22</v>
      </c>
      <c r="J90" t="s">
        <v>17</v>
      </c>
      <c r="K90">
        <v>90.9</v>
      </c>
      <c r="L90">
        <v>113.5</v>
      </c>
      <c r="O90" s="12"/>
      <c r="Q90" t="s">
        <v>53</v>
      </c>
      <c r="S90" t="str">
        <f t="shared" si="5"/>
        <v>yes</v>
      </c>
      <c r="T90" t="str">
        <f t="shared" si="4"/>
        <v>yes</v>
      </c>
    </row>
    <row r="91" spans="1:20" x14ac:dyDescent="0.3">
      <c r="A91">
        <v>1082459</v>
      </c>
      <c r="B91" t="s">
        <v>716</v>
      </c>
      <c r="C91" t="s">
        <v>717</v>
      </c>
      <c r="D91" t="s">
        <v>718</v>
      </c>
      <c r="E91" t="s">
        <v>719</v>
      </c>
      <c r="G91" t="s">
        <v>721</v>
      </c>
      <c r="H91" t="s">
        <v>22</v>
      </c>
      <c r="I91" t="s">
        <v>22</v>
      </c>
      <c r="J91" t="s">
        <v>17</v>
      </c>
      <c r="K91">
        <v>90.9</v>
      </c>
      <c r="L91">
        <v>113.5</v>
      </c>
      <c r="O91" s="12"/>
      <c r="Q91" t="s">
        <v>53</v>
      </c>
      <c r="S91" t="str">
        <f t="shared" si="5"/>
        <v>yes</v>
      </c>
      <c r="T91" t="str">
        <f t="shared" si="4"/>
        <v>yes</v>
      </c>
    </row>
    <row r="92" spans="1:20" x14ac:dyDescent="0.3">
      <c r="A92">
        <v>1082459</v>
      </c>
      <c r="B92" t="s">
        <v>716</v>
      </c>
      <c r="C92" t="s">
        <v>717</v>
      </c>
      <c r="D92" t="s">
        <v>718</v>
      </c>
      <c r="E92" t="s">
        <v>719</v>
      </c>
      <c r="G92" t="s">
        <v>722</v>
      </c>
      <c r="H92" t="s">
        <v>22</v>
      </c>
      <c r="I92" t="s">
        <v>22</v>
      </c>
      <c r="J92" t="s">
        <v>17</v>
      </c>
      <c r="K92">
        <v>90.9</v>
      </c>
      <c r="L92">
        <v>113.5</v>
      </c>
      <c r="O92" s="12"/>
      <c r="Q92" t="s">
        <v>53</v>
      </c>
      <c r="S92" t="str">
        <f t="shared" si="5"/>
        <v>yes</v>
      </c>
      <c r="T92" t="str">
        <f t="shared" si="4"/>
        <v>yes</v>
      </c>
    </row>
    <row r="93" spans="1:20" x14ac:dyDescent="0.3">
      <c r="A93">
        <v>1082459</v>
      </c>
      <c r="B93" t="s">
        <v>716</v>
      </c>
      <c r="C93" t="s">
        <v>717</v>
      </c>
      <c r="D93" t="s">
        <v>718</v>
      </c>
      <c r="E93" t="s">
        <v>719</v>
      </c>
      <c r="G93" t="s">
        <v>723</v>
      </c>
      <c r="H93" t="s">
        <v>22</v>
      </c>
      <c r="I93" t="s">
        <v>22</v>
      </c>
      <c r="J93" t="s">
        <v>17</v>
      </c>
      <c r="K93">
        <v>90.9</v>
      </c>
      <c r="L93">
        <v>113.5</v>
      </c>
      <c r="O93" s="12"/>
      <c r="Q93" t="s">
        <v>53</v>
      </c>
      <c r="S93" t="str">
        <f t="shared" si="5"/>
        <v>yes</v>
      </c>
      <c r="T93" t="str">
        <f t="shared" si="4"/>
        <v>yes</v>
      </c>
    </row>
    <row r="94" spans="1:20" x14ac:dyDescent="0.3">
      <c r="A94">
        <v>1082459</v>
      </c>
      <c r="B94" t="s">
        <v>716</v>
      </c>
      <c r="C94" t="s">
        <v>717</v>
      </c>
      <c r="D94" t="s">
        <v>718</v>
      </c>
      <c r="E94" t="s">
        <v>719</v>
      </c>
      <c r="G94" t="s">
        <v>724</v>
      </c>
      <c r="H94" t="s">
        <v>22</v>
      </c>
      <c r="I94" t="s">
        <v>22</v>
      </c>
      <c r="J94" t="s">
        <v>17</v>
      </c>
      <c r="K94">
        <v>90.9</v>
      </c>
      <c r="L94">
        <v>113.5</v>
      </c>
      <c r="O94" s="12"/>
      <c r="Q94" t="s">
        <v>53</v>
      </c>
      <c r="S94" t="str">
        <f t="shared" si="5"/>
        <v>yes</v>
      </c>
      <c r="T94" t="str">
        <f t="shared" si="4"/>
        <v>yes</v>
      </c>
    </row>
    <row r="95" spans="1:20" x14ac:dyDescent="0.3">
      <c r="A95">
        <v>1082459</v>
      </c>
      <c r="B95" t="s">
        <v>716</v>
      </c>
      <c r="C95" t="s">
        <v>717</v>
      </c>
      <c r="D95" t="s">
        <v>718</v>
      </c>
      <c r="E95" t="s">
        <v>719</v>
      </c>
      <c r="G95" t="s">
        <v>725</v>
      </c>
      <c r="H95" t="s">
        <v>22</v>
      </c>
      <c r="I95" t="s">
        <v>22</v>
      </c>
      <c r="J95" t="s">
        <v>17</v>
      </c>
      <c r="K95">
        <v>90.9</v>
      </c>
      <c r="L95">
        <v>113.5</v>
      </c>
      <c r="O95" s="12"/>
      <c r="Q95" t="s">
        <v>53</v>
      </c>
      <c r="S95" t="str">
        <f t="shared" si="5"/>
        <v>yes</v>
      </c>
      <c r="T95" t="str">
        <f t="shared" si="4"/>
        <v>yes</v>
      </c>
    </row>
    <row r="96" spans="1:20" x14ac:dyDescent="0.3">
      <c r="A96">
        <v>1082459</v>
      </c>
      <c r="B96" t="s">
        <v>716</v>
      </c>
      <c r="C96" t="s">
        <v>717</v>
      </c>
      <c r="D96" t="s">
        <v>718</v>
      </c>
      <c r="E96" t="s">
        <v>719</v>
      </c>
      <c r="G96" t="s">
        <v>726</v>
      </c>
      <c r="H96" t="s">
        <v>22</v>
      </c>
      <c r="I96" t="s">
        <v>22</v>
      </c>
      <c r="J96" t="s">
        <v>17</v>
      </c>
      <c r="K96">
        <v>90.9</v>
      </c>
      <c r="L96">
        <v>113.5</v>
      </c>
      <c r="O96" s="12"/>
      <c r="Q96" t="s">
        <v>53</v>
      </c>
      <c r="S96" t="str">
        <f t="shared" si="5"/>
        <v>yes</v>
      </c>
      <c r="T96" t="str">
        <f>IF(S96="","",LOWER(TRIM(S96)))</f>
        <v>yes</v>
      </c>
    </row>
    <row r="97" spans="1:20" x14ac:dyDescent="0.3">
      <c r="A97">
        <v>1082459</v>
      </c>
      <c r="B97" t="s">
        <v>716</v>
      </c>
      <c r="C97" t="s">
        <v>717</v>
      </c>
      <c r="D97" t="s">
        <v>718</v>
      </c>
      <c r="E97" t="s">
        <v>719</v>
      </c>
      <c r="G97" t="s">
        <v>727</v>
      </c>
      <c r="H97" t="s">
        <v>22</v>
      </c>
      <c r="I97" t="s">
        <v>22</v>
      </c>
      <c r="J97" t="s">
        <v>17</v>
      </c>
      <c r="K97">
        <v>90.9</v>
      </c>
      <c r="L97">
        <v>113.5</v>
      </c>
      <c r="O97" s="12"/>
      <c r="Q97" t="s">
        <v>53</v>
      </c>
      <c r="S97" t="str">
        <f t="shared" si="5"/>
        <v>yes</v>
      </c>
      <c r="T97" t="str">
        <f t="shared" si="4"/>
        <v>yes</v>
      </c>
    </row>
    <row r="98" spans="1:20" x14ac:dyDescent="0.3">
      <c r="A98">
        <v>1082459</v>
      </c>
      <c r="B98" t="s">
        <v>716</v>
      </c>
      <c r="C98" t="s">
        <v>717</v>
      </c>
      <c r="D98" t="s">
        <v>718</v>
      </c>
      <c r="E98" t="s">
        <v>719</v>
      </c>
      <c r="G98" t="s">
        <v>728</v>
      </c>
      <c r="H98" t="s">
        <v>22</v>
      </c>
      <c r="I98" t="s">
        <v>22</v>
      </c>
      <c r="J98" t="s">
        <v>17</v>
      </c>
      <c r="K98">
        <v>90.9</v>
      </c>
      <c r="L98">
        <v>113.5</v>
      </c>
      <c r="O98" s="12"/>
      <c r="Q98" t="s">
        <v>53</v>
      </c>
      <c r="S98" t="str">
        <f t="shared" si="5"/>
        <v>yes</v>
      </c>
      <c r="T98" t="str">
        <f t="shared" si="4"/>
        <v>yes</v>
      </c>
    </row>
    <row r="99" spans="1:20" x14ac:dyDescent="0.3">
      <c r="A99">
        <v>1082459</v>
      </c>
      <c r="B99" t="s">
        <v>716</v>
      </c>
      <c r="C99" t="s">
        <v>717</v>
      </c>
      <c r="D99" t="s">
        <v>718</v>
      </c>
      <c r="E99" t="s">
        <v>719</v>
      </c>
      <c r="G99" t="s">
        <v>729</v>
      </c>
      <c r="H99" t="s">
        <v>22</v>
      </c>
      <c r="I99" t="s">
        <v>22</v>
      </c>
      <c r="J99" t="s">
        <v>17</v>
      </c>
      <c r="K99">
        <v>90.9</v>
      </c>
      <c r="L99">
        <v>113.5</v>
      </c>
      <c r="O99" s="12"/>
      <c r="Q99" t="s">
        <v>53</v>
      </c>
      <c r="S99" t="str">
        <f t="shared" si="5"/>
        <v>yes</v>
      </c>
      <c r="T99" t="str">
        <f t="shared" si="4"/>
        <v>yes</v>
      </c>
    </row>
    <row r="100" spans="1:20" x14ac:dyDescent="0.3">
      <c r="A100">
        <v>1082459</v>
      </c>
      <c r="B100" t="s">
        <v>716</v>
      </c>
      <c r="C100" t="s">
        <v>717</v>
      </c>
      <c r="D100" t="s">
        <v>718</v>
      </c>
      <c r="E100" t="s">
        <v>719</v>
      </c>
      <c r="G100" t="s">
        <v>730</v>
      </c>
      <c r="H100" t="s">
        <v>22</v>
      </c>
      <c r="I100" t="s">
        <v>22</v>
      </c>
      <c r="J100" t="s">
        <v>17</v>
      </c>
      <c r="K100">
        <v>90.9</v>
      </c>
      <c r="L100">
        <v>113.5</v>
      </c>
      <c r="O100" s="12"/>
      <c r="Q100" t="s">
        <v>53</v>
      </c>
      <c r="S100" t="str">
        <f>LOWER(TRIM(CLEAN(Q100)))</f>
        <v>yes</v>
      </c>
      <c r="T100" t="str">
        <f t="shared" si="4"/>
        <v>yes</v>
      </c>
    </row>
    <row r="101" spans="1:20" x14ac:dyDescent="0.3">
      <c r="A101">
        <v>1082459</v>
      </c>
      <c r="B101" t="s">
        <v>716</v>
      </c>
      <c r="C101" t="s">
        <v>717</v>
      </c>
      <c r="D101" t="s">
        <v>718</v>
      </c>
      <c r="E101" t="s">
        <v>719</v>
      </c>
      <c r="G101" t="s">
        <v>731</v>
      </c>
      <c r="H101" t="s">
        <v>22</v>
      </c>
      <c r="I101" t="s">
        <v>22</v>
      </c>
      <c r="J101" t="s">
        <v>17</v>
      </c>
      <c r="K101">
        <v>90.9</v>
      </c>
      <c r="L101">
        <v>113.5</v>
      </c>
      <c r="O101" s="12"/>
      <c r="Q101" t="s">
        <v>53</v>
      </c>
      <c r="S101" t="str">
        <f t="shared" ref="S101:S117" si="6">LOWER(TRIM(CLEAN(Q101)))</f>
        <v>yes</v>
      </c>
      <c r="T101" t="str">
        <f t="shared" si="4"/>
        <v>yes</v>
      </c>
    </row>
    <row r="102" spans="1:20" x14ac:dyDescent="0.3">
      <c r="A102">
        <v>1082459</v>
      </c>
      <c r="B102" t="s">
        <v>716</v>
      </c>
      <c r="C102" t="s">
        <v>717</v>
      </c>
      <c r="D102" t="s">
        <v>718</v>
      </c>
      <c r="E102" t="s">
        <v>719</v>
      </c>
      <c r="G102" t="s">
        <v>732</v>
      </c>
      <c r="H102" t="s">
        <v>22</v>
      </c>
      <c r="I102" t="s">
        <v>22</v>
      </c>
      <c r="J102" t="s">
        <v>17</v>
      </c>
      <c r="K102">
        <v>90.9</v>
      </c>
      <c r="L102">
        <v>113.5</v>
      </c>
      <c r="O102" s="12"/>
      <c r="Q102" t="s">
        <v>53</v>
      </c>
      <c r="S102" t="str">
        <f t="shared" si="6"/>
        <v>yes</v>
      </c>
      <c r="T102" t="str">
        <f t="shared" si="4"/>
        <v>yes</v>
      </c>
    </row>
    <row r="103" spans="1:20" x14ac:dyDescent="0.3">
      <c r="A103">
        <v>1082459</v>
      </c>
      <c r="B103" t="s">
        <v>716</v>
      </c>
      <c r="C103" t="s">
        <v>717</v>
      </c>
      <c r="D103" t="s">
        <v>718</v>
      </c>
      <c r="E103" t="s">
        <v>719</v>
      </c>
      <c r="G103" t="s">
        <v>733</v>
      </c>
      <c r="H103" t="s">
        <v>22</v>
      </c>
      <c r="I103" t="s">
        <v>22</v>
      </c>
      <c r="J103" t="s">
        <v>17</v>
      </c>
      <c r="K103">
        <v>90.9</v>
      </c>
      <c r="L103">
        <v>113.5</v>
      </c>
      <c r="O103" s="12"/>
      <c r="Q103" t="s">
        <v>53</v>
      </c>
      <c r="S103" t="str">
        <f t="shared" si="6"/>
        <v>yes</v>
      </c>
      <c r="T103" t="str">
        <f>IF(S103="","",LOWER(TRIM(S103)))</f>
        <v>yes</v>
      </c>
    </row>
    <row r="104" spans="1:20" x14ac:dyDescent="0.3">
      <c r="A104">
        <v>1082459</v>
      </c>
      <c r="B104" t="s">
        <v>716</v>
      </c>
      <c r="C104" t="s">
        <v>717</v>
      </c>
      <c r="D104" t="s">
        <v>718</v>
      </c>
      <c r="E104" t="s">
        <v>719</v>
      </c>
      <c r="G104" t="s">
        <v>734</v>
      </c>
      <c r="H104" t="s">
        <v>22</v>
      </c>
      <c r="I104" t="s">
        <v>22</v>
      </c>
      <c r="J104" t="s">
        <v>17</v>
      </c>
      <c r="K104">
        <v>90.9</v>
      </c>
      <c r="L104">
        <v>113.5</v>
      </c>
      <c r="O104" s="12"/>
      <c r="Q104" t="s">
        <v>53</v>
      </c>
      <c r="S104" t="str">
        <f t="shared" si="6"/>
        <v>yes</v>
      </c>
      <c r="T104" t="str">
        <f t="shared" ref="T104:T135" si="7">IF(S104="","",LOWER(TRIM(S104)))</f>
        <v>yes</v>
      </c>
    </row>
    <row r="105" spans="1:20" x14ac:dyDescent="0.3">
      <c r="A105">
        <v>1082459</v>
      </c>
      <c r="B105" t="s">
        <v>716</v>
      </c>
      <c r="C105" t="s">
        <v>717</v>
      </c>
      <c r="D105" t="s">
        <v>718</v>
      </c>
      <c r="E105" t="s">
        <v>719</v>
      </c>
      <c r="G105" t="s">
        <v>735</v>
      </c>
      <c r="H105" t="s">
        <v>22</v>
      </c>
      <c r="I105" t="s">
        <v>22</v>
      </c>
      <c r="J105" t="s">
        <v>17</v>
      </c>
      <c r="K105">
        <v>90.9</v>
      </c>
      <c r="L105">
        <v>113.5</v>
      </c>
      <c r="O105" s="12"/>
      <c r="Q105" t="s">
        <v>53</v>
      </c>
      <c r="S105" t="str">
        <f t="shared" si="6"/>
        <v>yes</v>
      </c>
      <c r="T105" t="str">
        <f t="shared" si="7"/>
        <v>yes</v>
      </c>
    </row>
    <row r="106" spans="1:20" x14ac:dyDescent="0.3">
      <c r="A106">
        <v>1082459</v>
      </c>
      <c r="B106" t="s">
        <v>716</v>
      </c>
      <c r="C106" t="s">
        <v>717</v>
      </c>
      <c r="D106" t="s">
        <v>718</v>
      </c>
      <c r="E106" t="s">
        <v>719</v>
      </c>
      <c r="G106" t="s">
        <v>736</v>
      </c>
      <c r="H106" t="s">
        <v>22</v>
      </c>
      <c r="I106" t="s">
        <v>22</v>
      </c>
      <c r="J106" t="s">
        <v>17</v>
      </c>
      <c r="K106">
        <v>90.9</v>
      </c>
      <c r="L106">
        <v>113.5</v>
      </c>
      <c r="O106" s="12"/>
      <c r="Q106" t="s">
        <v>53</v>
      </c>
      <c r="S106" t="str">
        <f t="shared" si="6"/>
        <v>yes</v>
      </c>
      <c r="T106" t="str">
        <f t="shared" si="7"/>
        <v>yes</v>
      </c>
    </row>
    <row r="107" spans="1:20" x14ac:dyDescent="0.3">
      <c r="A107">
        <v>1082459</v>
      </c>
      <c r="B107" t="s">
        <v>716</v>
      </c>
      <c r="C107" t="s">
        <v>717</v>
      </c>
      <c r="D107" t="s">
        <v>718</v>
      </c>
      <c r="E107" t="s">
        <v>719</v>
      </c>
      <c r="G107" t="s">
        <v>737</v>
      </c>
      <c r="H107" t="s">
        <v>22</v>
      </c>
      <c r="I107" t="s">
        <v>22</v>
      </c>
      <c r="J107" t="s">
        <v>17</v>
      </c>
      <c r="K107">
        <v>90.9</v>
      </c>
      <c r="L107">
        <v>113.5</v>
      </c>
      <c r="O107" s="12"/>
      <c r="Q107" t="s">
        <v>53</v>
      </c>
      <c r="S107" t="str">
        <f t="shared" si="6"/>
        <v>yes</v>
      </c>
      <c r="T107" t="str">
        <f t="shared" si="7"/>
        <v>yes</v>
      </c>
    </row>
    <row r="108" spans="1:20" x14ac:dyDescent="0.3">
      <c r="A108">
        <v>1082459</v>
      </c>
      <c r="B108" t="s">
        <v>716</v>
      </c>
      <c r="C108" t="s">
        <v>717</v>
      </c>
      <c r="D108" t="s">
        <v>718</v>
      </c>
      <c r="E108" t="s">
        <v>719</v>
      </c>
      <c r="G108" t="s">
        <v>738</v>
      </c>
      <c r="H108" t="s">
        <v>22</v>
      </c>
      <c r="I108" t="s">
        <v>22</v>
      </c>
      <c r="J108" t="s">
        <v>17</v>
      </c>
      <c r="K108">
        <v>90.9</v>
      </c>
      <c r="L108">
        <v>113.5</v>
      </c>
      <c r="O108" s="12"/>
      <c r="Q108" t="s">
        <v>53</v>
      </c>
      <c r="S108" t="str">
        <f t="shared" si="6"/>
        <v>yes</v>
      </c>
      <c r="T108" t="str">
        <f t="shared" si="7"/>
        <v>yes</v>
      </c>
    </row>
    <row r="109" spans="1:20" x14ac:dyDescent="0.3">
      <c r="A109">
        <v>1082459</v>
      </c>
      <c r="B109" t="s">
        <v>716</v>
      </c>
      <c r="C109" t="s">
        <v>717</v>
      </c>
      <c r="D109" t="s">
        <v>718</v>
      </c>
      <c r="E109" t="s">
        <v>719</v>
      </c>
      <c r="G109" t="s">
        <v>739</v>
      </c>
      <c r="H109" t="s">
        <v>22</v>
      </c>
      <c r="I109" t="s">
        <v>22</v>
      </c>
      <c r="J109" t="s">
        <v>17</v>
      </c>
      <c r="K109">
        <v>90.9</v>
      </c>
      <c r="L109">
        <v>113.5</v>
      </c>
      <c r="O109" s="12"/>
      <c r="Q109" t="s">
        <v>53</v>
      </c>
      <c r="S109" t="str">
        <f t="shared" si="6"/>
        <v>yes</v>
      </c>
      <c r="T109" t="str">
        <f t="shared" si="7"/>
        <v>yes</v>
      </c>
    </row>
    <row r="110" spans="1:20" x14ac:dyDescent="0.3">
      <c r="A110">
        <v>1082459</v>
      </c>
      <c r="B110" t="s">
        <v>716</v>
      </c>
      <c r="C110" t="s">
        <v>717</v>
      </c>
      <c r="D110" t="s">
        <v>718</v>
      </c>
      <c r="E110" t="s">
        <v>719</v>
      </c>
      <c r="G110" t="s">
        <v>740</v>
      </c>
      <c r="H110" t="s">
        <v>22</v>
      </c>
      <c r="I110" t="s">
        <v>22</v>
      </c>
      <c r="J110" t="s">
        <v>17</v>
      </c>
      <c r="K110">
        <v>90.9</v>
      </c>
      <c r="L110">
        <v>113.5</v>
      </c>
      <c r="O110" s="12"/>
      <c r="Q110" t="s">
        <v>53</v>
      </c>
      <c r="S110" t="str">
        <f t="shared" si="6"/>
        <v>yes</v>
      </c>
      <c r="T110" t="str">
        <f t="shared" si="7"/>
        <v>yes</v>
      </c>
    </row>
    <row r="111" spans="1:20" x14ac:dyDescent="0.3">
      <c r="A111">
        <v>1082459</v>
      </c>
      <c r="B111" t="s">
        <v>716</v>
      </c>
      <c r="C111" t="s">
        <v>717</v>
      </c>
      <c r="D111" t="s">
        <v>718</v>
      </c>
      <c r="E111" t="s">
        <v>719</v>
      </c>
      <c r="G111" t="s">
        <v>741</v>
      </c>
      <c r="H111" t="s">
        <v>22</v>
      </c>
      <c r="I111" t="s">
        <v>22</v>
      </c>
      <c r="J111" t="s">
        <v>17</v>
      </c>
      <c r="K111">
        <v>90.9</v>
      </c>
      <c r="L111">
        <v>113.5</v>
      </c>
      <c r="O111" s="12"/>
      <c r="Q111" t="s">
        <v>53</v>
      </c>
      <c r="S111" t="str">
        <f t="shared" si="6"/>
        <v>yes</v>
      </c>
      <c r="T111" t="str">
        <f t="shared" si="7"/>
        <v>yes</v>
      </c>
    </row>
    <row r="112" spans="1:20" x14ac:dyDescent="0.3">
      <c r="A112">
        <v>1082459</v>
      </c>
      <c r="B112" t="s">
        <v>716</v>
      </c>
      <c r="C112" t="s">
        <v>717</v>
      </c>
      <c r="D112" t="s">
        <v>718</v>
      </c>
      <c r="E112" t="s">
        <v>719</v>
      </c>
      <c r="G112" t="s">
        <v>742</v>
      </c>
      <c r="H112" t="s">
        <v>22</v>
      </c>
      <c r="I112" t="s">
        <v>22</v>
      </c>
      <c r="J112" t="s">
        <v>17</v>
      </c>
      <c r="K112">
        <v>90.9</v>
      </c>
      <c r="L112">
        <v>113.5</v>
      </c>
      <c r="O112" s="12"/>
      <c r="Q112" t="s">
        <v>53</v>
      </c>
      <c r="S112" t="str">
        <f t="shared" si="6"/>
        <v>yes</v>
      </c>
      <c r="T112" t="str">
        <f t="shared" si="7"/>
        <v>yes</v>
      </c>
    </row>
    <row r="113" spans="1:20" x14ac:dyDescent="0.3">
      <c r="A113">
        <v>1082459</v>
      </c>
      <c r="B113" t="s">
        <v>716</v>
      </c>
      <c r="C113" t="s">
        <v>717</v>
      </c>
      <c r="D113" t="s">
        <v>718</v>
      </c>
      <c r="E113" t="s">
        <v>719</v>
      </c>
      <c r="G113" t="s">
        <v>743</v>
      </c>
      <c r="H113" t="s">
        <v>22</v>
      </c>
      <c r="I113" t="s">
        <v>22</v>
      </c>
      <c r="J113" t="s">
        <v>17</v>
      </c>
      <c r="K113">
        <v>90.9</v>
      </c>
      <c r="L113">
        <v>113.5</v>
      </c>
      <c r="O113" s="12"/>
      <c r="Q113" t="s">
        <v>53</v>
      </c>
      <c r="S113" t="str">
        <f t="shared" si="6"/>
        <v>yes</v>
      </c>
      <c r="T113" t="str">
        <f t="shared" si="7"/>
        <v>yes</v>
      </c>
    </row>
    <row r="114" spans="1:20" x14ac:dyDescent="0.3">
      <c r="A114">
        <v>1082459</v>
      </c>
      <c r="B114" t="s">
        <v>716</v>
      </c>
      <c r="C114" t="s">
        <v>717</v>
      </c>
      <c r="D114" t="s">
        <v>718</v>
      </c>
      <c r="E114" t="s">
        <v>719</v>
      </c>
      <c r="G114" t="s">
        <v>744</v>
      </c>
      <c r="H114" t="s">
        <v>22</v>
      </c>
      <c r="I114" t="s">
        <v>22</v>
      </c>
      <c r="J114" t="s">
        <v>17</v>
      </c>
      <c r="K114">
        <v>90.9</v>
      </c>
      <c r="L114">
        <v>113.5</v>
      </c>
      <c r="O114" s="12"/>
      <c r="Q114" t="s">
        <v>53</v>
      </c>
      <c r="S114" t="str">
        <f t="shared" si="6"/>
        <v>yes</v>
      </c>
      <c r="T114" t="str">
        <f t="shared" si="7"/>
        <v>yes</v>
      </c>
    </row>
    <row r="115" spans="1:20" x14ac:dyDescent="0.3">
      <c r="A115">
        <v>1082459</v>
      </c>
      <c r="B115" t="s">
        <v>716</v>
      </c>
      <c r="C115" t="s">
        <v>745</v>
      </c>
      <c r="D115" t="s">
        <v>746</v>
      </c>
      <c r="E115" t="s">
        <v>747</v>
      </c>
      <c r="G115" t="s">
        <v>748</v>
      </c>
      <c r="H115" t="s">
        <v>22</v>
      </c>
      <c r="I115" t="s">
        <v>22</v>
      </c>
      <c r="J115" t="s">
        <v>17</v>
      </c>
      <c r="K115">
        <v>91.7</v>
      </c>
      <c r="L115">
        <v>114</v>
      </c>
      <c r="M115" t="s">
        <v>749</v>
      </c>
      <c r="N115" t="s">
        <v>750</v>
      </c>
      <c r="O115" s="12"/>
      <c r="P115" t="s">
        <v>751</v>
      </c>
      <c r="Q115" t="s">
        <v>53</v>
      </c>
      <c r="S115" t="str">
        <f t="shared" si="6"/>
        <v>yes</v>
      </c>
      <c r="T115" t="str">
        <f t="shared" si="7"/>
        <v>yes</v>
      </c>
    </row>
    <row r="116" spans="1:20" x14ac:dyDescent="0.3">
      <c r="A116">
        <v>1082459</v>
      </c>
      <c r="B116" t="s">
        <v>716</v>
      </c>
      <c r="C116" t="s">
        <v>745</v>
      </c>
      <c r="D116" t="s">
        <v>746</v>
      </c>
      <c r="E116" t="s">
        <v>747</v>
      </c>
      <c r="G116" t="s">
        <v>752</v>
      </c>
      <c r="H116" t="s">
        <v>22</v>
      </c>
      <c r="I116" t="s">
        <v>22</v>
      </c>
      <c r="J116" t="s">
        <v>17</v>
      </c>
      <c r="K116">
        <v>91.7</v>
      </c>
      <c r="L116">
        <v>114</v>
      </c>
      <c r="M116" t="s">
        <v>749</v>
      </c>
      <c r="N116" t="s">
        <v>750</v>
      </c>
      <c r="O116" s="12"/>
      <c r="Q116" t="s">
        <v>53</v>
      </c>
      <c r="S116" t="str">
        <f t="shared" si="6"/>
        <v>yes</v>
      </c>
      <c r="T116" t="str">
        <f t="shared" si="7"/>
        <v>yes</v>
      </c>
    </row>
    <row r="117" spans="1:20" x14ac:dyDescent="0.3">
      <c r="A117">
        <v>1082459</v>
      </c>
      <c r="B117" t="s">
        <v>716</v>
      </c>
      <c r="C117" t="s">
        <v>745</v>
      </c>
      <c r="D117" t="s">
        <v>746</v>
      </c>
      <c r="E117" t="s">
        <v>747</v>
      </c>
      <c r="G117" t="s">
        <v>753</v>
      </c>
      <c r="H117" t="s">
        <v>22</v>
      </c>
      <c r="I117" t="s">
        <v>22</v>
      </c>
      <c r="J117" t="s">
        <v>17</v>
      </c>
      <c r="K117">
        <v>91.7</v>
      </c>
      <c r="L117">
        <v>114</v>
      </c>
      <c r="M117" t="s">
        <v>749</v>
      </c>
      <c r="N117" t="s">
        <v>750</v>
      </c>
      <c r="O117" s="12"/>
      <c r="Q117" t="s">
        <v>53</v>
      </c>
      <c r="S117" t="str">
        <f t="shared" si="6"/>
        <v>yes</v>
      </c>
      <c r="T117" t="str">
        <f t="shared" si="7"/>
        <v>yes</v>
      </c>
    </row>
    <row r="118" spans="1:20" x14ac:dyDescent="0.3">
      <c r="A118">
        <v>1082459</v>
      </c>
      <c r="B118" t="s">
        <v>716</v>
      </c>
      <c r="C118" t="s">
        <v>745</v>
      </c>
      <c r="D118" t="s">
        <v>746</v>
      </c>
      <c r="E118" t="s">
        <v>747</v>
      </c>
      <c r="G118" t="s">
        <v>754</v>
      </c>
      <c r="H118" t="s">
        <v>22</v>
      </c>
      <c r="I118" t="s">
        <v>22</v>
      </c>
      <c r="J118" t="s">
        <v>17</v>
      </c>
      <c r="K118">
        <v>91.7</v>
      </c>
      <c r="L118">
        <v>114</v>
      </c>
      <c r="M118" t="s">
        <v>749</v>
      </c>
      <c r="N118" t="s">
        <v>750</v>
      </c>
      <c r="O118" s="12"/>
      <c r="Q118" t="s">
        <v>53</v>
      </c>
      <c r="S118" t="str">
        <f>LOWER(TRIM(CLEAN(Q118)))</f>
        <v>yes</v>
      </c>
      <c r="T118" t="str">
        <f t="shared" si="7"/>
        <v>yes</v>
      </c>
    </row>
    <row r="119" spans="1:20" x14ac:dyDescent="0.3">
      <c r="A119">
        <v>1082459</v>
      </c>
      <c r="B119" t="s">
        <v>716</v>
      </c>
      <c r="C119" t="s">
        <v>745</v>
      </c>
      <c r="D119" t="s">
        <v>746</v>
      </c>
      <c r="E119" t="s">
        <v>747</v>
      </c>
      <c r="G119" t="s">
        <v>755</v>
      </c>
      <c r="H119" t="s">
        <v>22</v>
      </c>
      <c r="I119" t="s">
        <v>22</v>
      </c>
      <c r="J119" t="s">
        <v>17</v>
      </c>
      <c r="K119">
        <v>91.7</v>
      </c>
      <c r="L119">
        <v>114</v>
      </c>
      <c r="M119" t="s">
        <v>749</v>
      </c>
      <c r="N119" t="s">
        <v>750</v>
      </c>
      <c r="O119" s="12"/>
      <c r="P119" t="s">
        <v>751</v>
      </c>
      <c r="Q119" t="s">
        <v>53</v>
      </c>
      <c r="S119" t="str">
        <f t="shared" ref="S119:S136" si="8">LOWER(TRIM(CLEAN(Q119)))</f>
        <v>yes</v>
      </c>
      <c r="T119" t="str">
        <f t="shared" si="7"/>
        <v>yes</v>
      </c>
    </row>
    <row r="120" spans="1:20" x14ac:dyDescent="0.3">
      <c r="A120">
        <v>1082459</v>
      </c>
      <c r="B120" t="s">
        <v>716</v>
      </c>
      <c r="C120" t="s">
        <v>756</v>
      </c>
      <c r="D120" t="s">
        <v>757</v>
      </c>
      <c r="E120" t="s">
        <v>758</v>
      </c>
      <c r="G120" t="s">
        <v>759</v>
      </c>
      <c r="H120" t="s">
        <v>46</v>
      </c>
      <c r="I120" t="s">
        <v>46</v>
      </c>
      <c r="J120" t="s">
        <v>17</v>
      </c>
      <c r="K120">
        <v>100</v>
      </c>
      <c r="L120">
        <v>50</v>
      </c>
      <c r="O120" s="12"/>
      <c r="P120" t="s">
        <v>760</v>
      </c>
      <c r="Q120" t="s">
        <v>53</v>
      </c>
      <c r="S120" t="str">
        <f t="shared" si="8"/>
        <v>yes</v>
      </c>
      <c r="T120" t="str">
        <f t="shared" si="7"/>
        <v>yes</v>
      </c>
    </row>
    <row r="121" spans="1:20" x14ac:dyDescent="0.3">
      <c r="A121">
        <v>1082459</v>
      </c>
      <c r="B121" t="s">
        <v>716</v>
      </c>
      <c r="C121" t="s">
        <v>756</v>
      </c>
      <c r="D121" t="s">
        <v>757</v>
      </c>
      <c r="E121" t="s">
        <v>758</v>
      </c>
      <c r="G121" t="s">
        <v>761</v>
      </c>
      <c r="H121" t="s">
        <v>46</v>
      </c>
      <c r="I121" t="s">
        <v>46</v>
      </c>
      <c r="J121" t="s">
        <v>17</v>
      </c>
      <c r="K121">
        <v>100</v>
      </c>
      <c r="L121">
        <v>50</v>
      </c>
      <c r="O121" s="12"/>
      <c r="Q121" t="s">
        <v>53</v>
      </c>
      <c r="S121" t="str">
        <f t="shared" si="8"/>
        <v>yes</v>
      </c>
      <c r="T121" t="str">
        <f t="shared" si="7"/>
        <v>yes</v>
      </c>
    </row>
    <row r="122" spans="1:20" x14ac:dyDescent="0.3">
      <c r="A122">
        <v>1082459</v>
      </c>
      <c r="B122" t="s">
        <v>716</v>
      </c>
      <c r="C122" t="s">
        <v>756</v>
      </c>
      <c r="D122" t="s">
        <v>757</v>
      </c>
      <c r="E122" t="s">
        <v>758</v>
      </c>
      <c r="G122" t="s">
        <v>762</v>
      </c>
      <c r="H122" t="s">
        <v>46</v>
      </c>
      <c r="I122" t="s">
        <v>46</v>
      </c>
      <c r="J122" t="s">
        <v>17</v>
      </c>
      <c r="K122">
        <v>100</v>
      </c>
      <c r="L122">
        <v>50</v>
      </c>
      <c r="O122" s="12"/>
      <c r="Q122" t="s">
        <v>53</v>
      </c>
      <c r="S122" t="str">
        <f t="shared" si="8"/>
        <v>yes</v>
      </c>
      <c r="T122" t="str">
        <f t="shared" si="7"/>
        <v>yes</v>
      </c>
    </row>
    <row r="123" spans="1:20" x14ac:dyDescent="0.3">
      <c r="A123">
        <v>1082459</v>
      </c>
      <c r="B123" t="s">
        <v>716</v>
      </c>
      <c r="C123" t="s">
        <v>756</v>
      </c>
      <c r="D123" t="s">
        <v>757</v>
      </c>
      <c r="E123" t="s">
        <v>758</v>
      </c>
      <c r="G123" t="s">
        <v>763</v>
      </c>
      <c r="H123" t="s">
        <v>46</v>
      </c>
      <c r="I123" t="s">
        <v>46</v>
      </c>
      <c r="J123" t="s">
        <v>17</v>
      </c>
      <c r="K123">
        <v>100</v>
      </c>
      <c r="L123">
        <v>50</v>
      </c>
      <c r="O123" s="12"/>
      <c r="Q123" t="s">
        <v>53</v>
      </c>
      <c r="S123" t="str">
        <f t="shared" si="8"/>
        <v>yes</v>
      </c>
      <c r="T123" t="str">
        <f t="shared" si="7"/>
        <v>yes</v>
      </c>
    </row>
    <row r="124" spans="1:20" x14ac:dyDescent="0.3">
      <c r="A124">
        <v>1082459</v>
      </c>
      <c r="B124" t="s">
        <v>716</v>
      </c>
      <c r="C124" t="s">
        <v>756</v>
      </c>
      <c r="D124" t="s">
        <v>757</v>
      </c>
      <c r="E124" t="s">
        <v>758</v>
      </c>
      <c r="G124" t="s">
        <v>764</v>
      </c>
      <c r="H124" t="s">
        <v>46</v>
      </c>
      <c r="I124" t="s">
        <v>46</v>
      </c>
      <c r="J124" t="s">
        <v>17</v>
      </c>
      <c r="K124">
        <v>100</v>
      </c>
      <c r="L124">
        <v>50</v>
      </c>
      <c r="O124" s="12"/>
      <c r="Q124" t="s">
        <v>53</v>
      </c>
      <c r="S124" t="str">
        <f t="shared" si="8"/>
        <v>yes</v>
      </c>
      <c r="T124" t="str">
        <f t="shared" si="7"/>
        <v>yes</v>
      </c>
    </row>
    <row r="125" spans="1:20" x14ac:dyDescent="0.3">
      <c r="A125">
        <v>1082459</v>
      </c>
      <c r="B125" t="s">
        <v>716</v>
      </c>
      <c r="C125" t="s">
        <v>756</v>
      </c>
      <c r="D125" t="s">
        <v>757</v>
      </c>
      <c r="E125" t="s">
        <v>758</v>
      </c>
      <c r="G125" t="s">
        <v>765</v>
      </c>
      <c r="H125" t="s">
        <v>46</v>
      </c>
      <c r="I125" t="s">
        <v>46</v>
      </c>
      <c r="J125" t="s">
        <v>17</v>
      </c>
      <c r="K125">
        <v>100</v>
      </c>
      <c r="L125">
        <v>50</v>
      </c>
      <c r="O125" s="12"/>
      <c r="Q125" t="s">
        <v>53</v>
      </c>
      <c r="S125" t="str">
        <f t="shared" si="8"/>
        <v>yes</v>
      </c>
      <c r="T125" t="str">
        <f t="shared" si="7"/>
        <v>yes</v>
      </c>
    </row>
    <row r="126" spans="1:20" x14ac:dyDescent="0.3">
      <c r="A126">
        <v>1082459</v>
      </c>
      <c r="B126" t="s">
        <v>716</v>
      </c>
      <c r="C126" t="s">
        <v>756</v>
      </c>
      <c r="D126" t="s">
        <v>757</v>
      </c>
      <c r="E126" t="s">
        <v>758</v>
      </c>
      <c r="G126" t="s">
        <v>766</v>
      </c>
      <c r="H126" t="s">
        <v>46</v>
      </c>
      <c r="I126" t="s">
        <v>46</v>
      </c>
      <c r="J126" t="s">
        <v>17</v>
      </c>
      <c r="K126">
        <v>100</v>
      </c>
      <c r="L126">
        <v>50</v>
      </c>
      <c r="O126" s="12"/>
      <c r="Q126" t="s">
        <v>53</v>
      </c>
      <c r="S126" t="str">
        <f t="shared" si="8"/>
        <v>yes</v>
      </c>
      <c r="T126" t="str">
        <f t="shared" si="7"/>
        <v>yes</v>
      </c>
    </row>
    <row r="127" spans="1:20" x14ac:dyDescent="0.3">
      <c r="A127">
        <v>1082459</v>
      </c>
      <c r="B127" t="s">
        <v>716</v>
      </c>
      <c r="C127" t="s">
        <v>756</v>
      </c>
      <c r="D127" t="s">
        <v>757</v>
      </c>
      <c r="E127" t="s">
        <v>758</v>
      </c>
      <c r="G127" t="s">
        <v>767</v>
      </c>
      <c r="H127" t="s">
        <v>46</v>
      </c>
      <c r="I127" t="s">
        <v>46</v>
      </c>
      <c r="J127" t="s">
        <v>17</v>
      </c>
      <c r="K127">
        <v>100</v>
      </c>
      <c r="L127">
        <v>50</v>
      </c>
      <c r="O127" s="12"/>
      <c r="Q127" t="s">
        <v>53</v>
      </c>
      <c r="S127" t="str">
        <f t="shared" si="8"/>
        <v>yes</v>
      </c>
      <c r="T127" t="str">
        <f>IF(S127="","",LOWER(TRIM(S127)))</f>
        <v>yes</v>
      </c>
    </row>
    <row r="128" spans="1:20" x14ac:dyDescent="0.3">
      <c r="A128">
        <v>1082459</v>
      </c>
      <c r="B128" t="s">
        <v>716</v>
      </c>
      <c r="C128" t="s">
        <v>768</v>
      </c>
      <c r="D128" t="s">
        <v>769</v>
      </c>
      <c r="E128" t="s">
        <v>770</v>
      </c>
      <c r="G128" t="s">
        <v>771</v>
      </c>
      <c r="H128" t="s">
        <v>22</v>
      </c>
      <c r="I128" t="s">
        <v>22</v>
      </c>
      <c r="J128" t="s">
        <v>17</v>
      </c>
      <c r="K128">
        <v>90</v>
      </c>
      <c r="L128">
        <v>108</v>
      </c>
      <c r="M128" t="s">
        <v>772</v>
      </c>
      <c r="N128" t="s">
        <v>773</v>
      </c>
      <c r="O128" s="12"/>
      <c r="P128" t="s">
        <v>760</v>
      </c>
      <c r="Q128" t="s">
        <v>53</v>
      </c>
      <c r="S128" t="str">
        <f t="shared" si="8"/>
        <v>yes</v>
      </c>
      <c r="T128" t="str">
        <f t="shared" si="7"/>
        <v>yes</v>
      </c>
    </row>
    <row r="129" spans="1:20" x14ac:dyDescent="0.3">
      <c r="A129">
        <v>1082459</v>
      </c>
      <c r="B129" t="s">
        <v>716</v>
      </c>
      <c r="C129" t="s">
        <v>774</v>
      </c>
      <c r="H129" t="s">
        <v>16</v>
      </c>
      <c r="I129" t="s">
        <v>16</v>
      </c>
      <c r="J129" t="s">
        <v>17</v>
      </c>
      <c r="K129">
        <v>0</v>
      </c>
      <c r="L129">
        <v>0</v>
      </c>
      <c r="O129" s="12"/>
      <c r="Q129" t="s">
        <v>53</v>
      </c>
      <c r="S129" t="str">
        <f t="shared" si="8"/>
        <v>yes</v>
      </c>
      <c r="T129" t="str">
        <f t="shared" si="7"/>
        <v>yes</v>
      </c>
    </row>
    <row r="130" spans="1:20" x14ac:dyDescent="0.3">
      <c r="A130">
        <v>1082502</v>
      </c>
      <c r="B130" t="s">
        <v>775</v>
      </c>
      <c r="C130" t="s">
        <v>691</v>
      </c>
      <c r="H130" t="s">
        <v>16</v>
      </c>
      <c r="I130" t="s">
        <v>16</v>
      </c>
      <c r="J130" t="s">
        <v>17</v>
      </c>
      <c r="K130">
        <v>0</v>
      </c>
      <c r="L130">
        <v>0</v>
      </c>
      <c r="O130" s="12"/>
      <c r="Q130" t="s">
        <v>53</v>
      </c>
      <c r="S130" t="str">
        <f t="shared" si="8"/>
        <v>yes</v>
      </c>
      <c r="T130" t="str">
        <f t="shared" si="7"/>
        <v>yes</v>
      </c>
    </row>
    <row r="131" spans="1:20" x14ac:dyDescent="0.3">
      <c r="A131">
        <v>1082502</v>
      </c>
      <c r="B131" t="s">
        <v>775</v>
      </c>
      <c r="C131" t="s">
        <v>776</v>
      </c>
      <c r="H131" t="s">
        <v>16</v>
      </c>
      <c r="I131" t="s">
        <v>16</v>
      </c>
      <c r="J131" t="s">
        <v>17</v>
      </c>
      <c r="K131">
        <v>0</v>
      </c>
      <c r="L131">
        <v>0</v>
      </c>
      <c r="O131" s="12"/>
      <c r="P131" t="s">
        <v>777</v>
      </c>
      <c r="Q131" t="s">
        <v>53</v>
      </c>
      <c r="S131" t="str">
        <f t="shared" si="8"/>
        <v>yes</v>
      </c>
      <c r="T131" t="str">
        <f t="shared" si="7"/>
        <v>yes</v>
      </c>
    </row>
    <row r="132" spans="1:20" x14ac:dyDescent="0.3">
      <c r="A132">
        <v>1082502</v>
      </c>
      <c r="B132" t="s">
        <v>775</v>
      </c>
      <c r="C132" t="s">
        <v>690</v>
      </c>
      <c r="H132" t="s">
        <v>16</v>
      </c>
      <c r="I132" t="s">
        <v>16</v>
      </c>
      <c r="J132" t="s">
        <v>17</v>
      </c>
      <c r="K132">
        <v>0</v>
      </c>
      <c r="L132">
        <v>0</v>
      </c>
      <c r="O132" s="12"/>
      <c r="Q132" t="s">
        <v>53</v>
      </c>
      <c r="S132" t="str">
        <f t="shared" si="8"/>
        <v>yes</v>
      </c>
      <c r="T132" t="str">
        <f t="shared" si="7"/>
        <v>yes</v>
      </c>
    </row>
    <row r="133" spans="1:20" x14ac:dyDescent="0.3">
      <c r="A133">
        <v>1082502</v>
      </c>
      <c r="B133" t="s">
        <v>775</v>
      </c>
      <c r="C133" t="s">
        <v>692</v>
      </c>
      <c r="D133" t="s">
        <v>693</v>
      </c>
      <c r="E133" t="s">
        <v>694</v>
      </c>
      <c r="H133" t="s">
        <v>46</v>
      </c>
      <c r="I133" t="s">
        <v>46</v>
      </c>
      <c r="J133" t="s">
        <v>17</v>
      </c>
      <c r="K133">
        <v>100</v>
      </c>
      <c r="L133">
        <v>50</v>
      </c>
      <c r="M133" t="s">
        <v>695</v>
      </c>
      <c r="N133" t="s">
        <v>696</v>
      </c>
      <c r="O133" s="12"/>
      <c r="P133" t="s">
        <v>778</v>
      </c>
      <c r="Q133" t="s">
        <v>53</v>
      </c>
      <c r="S133" t="str">
        <f t="shared" si="8"/>
        <v>yes</v>
      </c>
      <c r="T133" t="str">
        <f t="shared" si="7"/>
        <v>yes</v>
      </c>
    </row>
    <row r="134" spans="1:20" x14ac:dyDescent="0.3">
      <c r="A134">
        <v>1082502</v>
      </c>
      <c r="B134" t="s">
        <v>775</v>
      </c>
      <c r="C134" t="s">
        <v>688</v>
      </c>
      <c r="H134" t="s">
        <v>16</v>
      </c>
      <c r="I134" t="s">
        <v>16</v>
      </c>
      <c r="J134" t="s">
        <v>17</v>
      </c>
      <c r="K134">
        <v>0</v>
      </c>
      <c r="L134">
        <v>0</v>
      </c>
      <c r="O134" s="12"/>
      <c r="Q134" t="s">
        <v>53</v>
      </c>
      <c r="S134" t="str">
        <f t="shared" si="8"/>
        <v>yes</v>
      </c>
      <c r="T134" t="str">
        <f t="shared" si="7"/>
        <v>yes</v>
      </c>
    </row>
    <row r="135" spans="1:20" x14ac:dyDescent="0.3">
      <c r="A135">
        <v>1082504</v>
      </c>
      <c r="B135" t="s">
        <v>779</v>
      </c>
      <c r="C135" t="s">
        <v>780</v>
      </c>
      <c r="H135" t="s">
        <v>16</v>
      </c>
      <c r="I135" t="s">
        <v>16</v>
      </c>
      <c r="J135" t="s">
        <v>17</v>
      </c>
      <c r="K135">
        <v>0</v>
      </c>
      <c r="L135">
        <v>0</v>
      </c>
      <c r="O135" s="12"/>
      <c r="Q135" t="s">
        <v>53</v>
      </c>
      <c r="S135" t="str">
        <f t="shared" si="8"/>
        <v>yes</v>
      </c>
      <c r="T135" t="str">
        <f t="shared" si="7"/>
        <v>yes</v>
      </c>
    </row>
    <row r="136" spans="1:20" x14ac:dyDescent="0.3">
      <c r="A136">
        <v>1082504</v>
      </c>
      <c r="B136" t="s">
        <v>779</v>
      </c>
      <c r="C136" t="s">
        <v>781</v>
      </c>
      <c r="D136" t="s">
        <v>782</v>
      </c>
      <c r="E136" t="s">
        <v>783</v>
      </c>
      <c r="H136" t="s">
        <v>46</v>
      </c>
      <c r="I136" t="s">
        <v>46</v>
      </c>
      <c r="J136" t="s">
        <v>17</v>
      </c>
      <c r="K136">
        <v>100</v>
      </c>
      <c r="L136">
        <v>50</v>
      </c>
      <c r="M136" t="s">
        <v>182</v>
      </c>
      <c r="N136" t="s">
        <v>183</v>
      </c>
      <c r="O136" s="14"/>
      <c r="P136" t="s">
        <v>784</v>
      </c>
      <c r="Q136" t="s">
        <v>593</v>
      </c>
      <c r="S136" t="str">
        <f t="shared" si="8"/>
        <v>wrong</v>
      </c>
      <c r="T136" t="str">
        <f>IF(S136="","",LOWER(TRIM(S136)))</f>
        <v>wrong</v>
      </c>
    </row>
    <row r="137" spans="1:20" x14ac:dyDescent="0.3">
      <c r="A137">
        <v>1082504</v>
      </c>
      <c r="B137" t="s">
        <v>779</v>
      </c>
      <c r="C137" t="s">
        <v>785</v>
      </c>
      <c r="D137" t="s">
        <v>786</v>
      </c>
      <c r="E137" t="s">
        <v>787</v>
      </c>
      <c r="G137" t="s">
        <v>788</v>
      </c>
      <c r="H137" t="s">
        <v>22</v>
      </c>
      <c r="I137" t="s">
        <v>22</v>
      </c>
      <c r="J137" t="s">
        <v>17</v>
      </c>
      <c r="K137">
        <v>88.9</v>
      </c>
      <c r="L137">
        <v>105.3</v>
      </c>
      <c r="M137" t="s">
        <v>789</v>
      </c>
      <c r="N137" t="s">
        <v>790</v>
      </c>
      <c r="O137" s="14"/>
      <c r="P137" t="s">
        <v>791</v>
      </c>
      <c r="Q137" t="s">
        <v>593</v>
      </c>
      <c r="S137" t="str">
        <f>LOWER(TRIM(CLEAN(Q137)))</f>
        <v>wrong</v>
      </c>
      <c r="T137" t="str">
        <f t="shared" ref="T137:T155" si="9">IF(S137="","",LOWER(TRIM(S137)))</f>
        <v>wrong</v>
      </c>
    </row>
    <row r="138" spans="1:20" x14ac:dyDescent="0.3">
      <c r="A138">
        <v>1082504</v>
      </c>
      <c r="B138" t="s">
        <v>779</v>
      </c>
      <c r="C138" t="s">
        <v>785</v>
      </c>
      <c r="D138" t="s">
        <v>786</v>
      </c>
      <c r="E138" t="s">
        <v>787</v>
      </c>
      <c r="G138" t="s">
        <v>792</v>
      </c>
      <c r="H138" t="s">
        <v>22</v>
      </c>
      <c r="I138" t="s">
        <v>22</v>
      </c>
      <c r="J138" t="s">
        <v>17</v>
      </c>
      <c r="K138">
        <v>88.9</v>
      </c>
      <c r="L138">
        <v>105.3</v>
      </c>
      <c r="M138" t="s">
        <v>789</v>
      </c>
      <c r="N138" t="s">
        <v>790</v>
      </c>
      <c r="O138" s="14"/>
      <c r="Q138" t="s">
        <v>593</v>
      </c>
      <c r="S138" t="str">
        <f t="shared" ref="S138:S157" si="10">LOWER(TRIM(CLEAN(Q138)))</f>
        <v>wrong</v>
      </c>
      <c r="T138" t="str">
        <f t="shared" si="9"/>
        <v>wrong</v>
      </c>
    </row>
    <row r="139" spans="1:20" x14ac:dyDescent="0.3">
      <c r="A139">
        <v>1082504</v>
      </c>
      <c r="B139" t="s">
        <v>779</v>
      </c>
      <c r="C139" t="s">
        <v>785</v>
      </c>
      <c r="D139" t="s">
        <v>786</v>
      </c>
      <c r="E139" t="s">
        <v>787</v>
      </c>
      <c r="G139" t="s">
        <v>793</v>
      </c>
      <c r="H139" t="s">
        <v>22</v>
      </c>
      <c r="I139" t="s">
        <v>22</v>
      </c>
      <c r="J139" t="s">
        <v>17</v>
      </c>
      <c r="K139">
        <v>88.9</v>
      </c>
      <c r="L139">
        <v>105.3</v>
      </c>
      <c r="M139" t="s">
        <v>789</v>
      </c>
      <c r="N139" t="s">
        <v>790</v>
      </c>
      <c r="O139" s="14"/>
      <c r="Q139" t="s">
        <v>593</v>
      </c>
      <c r="S139" t="str">
        <f t="shared" si="10"/>
        <v>wrong</v>
      </c>
      <c r="T139" t="str">
        <f t="shared" si="9"/>
        <v>wrong</v>
      </c>
    </row>
    <row r="140" spans="1:20" x14ac:dyDescent="0.3">
      <c r="A140">
        <v>1082504</v>
      </c>
      <c r="B140" t="s">
        <v>779</v>
      </c>
      <c r="C140" t="s">
        <v>785</v>
      </c>
      <c r="D140" t="s">
        <v>786</v>
      </c>
      <c r="E140" t="s">
        <v>787</v>
      </c>
      <c r="G140" t="s">
        <v>794</v>
      </c>
      <c r="H140" t="s">
        <v>22</v>
      </c>
      <c r="I140" t="s">
        <v>22</v>
      </c>
      <c r="J140" t="s">
        <v>17</v>
      </c>
      <c r="K140">
        <v>88.9</v>
      </c>
      <c r="L140">
        <v>105.3</v>
      </c>
      <c r="M140" t="s">
        <v>789</v>
      </c>
      <c r="N140" t="s">
        <v>790</v>
      </c>
      <c r="O140" s="14"/>
      <c r="Q140" t="s">
        <v>593</v>
      </c>
      <c r="S140" t="str">
        <f t="shared" si="10"/>
        <v>wrong</v>
      </c>
      <c r="T140" t="str">
        <f t="shared" si="9"/>
        <v>wrong</v>
      </c>
    </row>
    <row r="141" spans="1:20" x14ac:dyDescent="0.3">
      <c r="A141">
        <v>1082504</v>
      </c>
      <c r="B141" t="s">
        <v>779</v>
      </c>
      <c r="C141" t="s">
        <v>785</v>
      </c>
      <c r="D141" t="s">
        <v>786</v>
      </c>
      <c r="E141" t="s">
        <v>787</v>
      </c>
      <c r="G141" t="s">
        <v>795</v>
      </c>
      <c r="H141" t="s">
        <v>22</v>
      </c>
      <c r="I141" t="s">
        <v>22</v>
      </c>
      <c r="J141" t="s">
        <v>17</v>
      </c>
      <c r="K141">
        <v>88.9</v>
      </c>
      <c r="L141">
        <v>105.3</v>
      </c>
      <c r="M141" t="s">
        <v>789</v>
      </c>
      <c r="N141" t="s">
        <v>790</v>
      </c>
      <c r="O141" s="14"/>
      <c r="Q141" t="s">
        <v>593</v>
      </c>
      <c r="S141" t="str">
        <f t="shared" si="10"/>
        <v>wrong</v>
      </c>
      <c r="T141" t="str">
        <f t="shared" si="9"/>
        <v>wrong</v>
      </c>
    </row>
    <row r="142" spans="1:20" x14ac:dyDescent="0.3">
      <c r="A142">
        <v>1082504</v>
      </c>
      <c r="B142" t="s">
        <v>779</v>
      </c>
      <c r="C142" t="s">
        <v>785</v>
      </c>
      <c r="D142" t="s">
        <v>786</v>
      </c>
      <c r="E142" t="s">
        <v>787</v>
      </c>
      <c r="G142" t="s">
        <v>796</v>
      </c>
      <c r="H142" t="s">
        <v>22</v>
      </c>
      <c r="I142" t="s">
        <v>22</v>
      </c>
      <c r="J142" t="s">
        <v>17</v>
      </c>
      <c r="K142">
        <v>88.9</v>
      </c>
      <c r="L142">
        <v>105.3</v>
      </c>
      <c r="M142" t="s">
        <v>789</v>
      </c>
      <c r="N142" t="s">
        <v>790</v>
      </c>
      <c r="O142" s="14"/>
      <c r="Q142" t="s">
        <v>593</v>
      </c>
      <c r="S142" t="str">
        <f t="shared" si="10"/>
        <v>wrong</v>
      </c>
      <c r="T142" t="str">
        <f t="shared" si="9"/>
        <v>wrong</v>
      </c>
    </row>
    <row r="143" spans="1:20" x14ac:dyDescent="0.3">
      <c r="A143">
        <v>1082504</v>
      </c>
      <c r="B143" t="s">
        <v>779</v>
      </c>
      <c r="C143" t="s">
        <v>785</v>
      </c>
      <c r="D143" t="s">
        <v>786</v>
      </c>
      <c r="E143" t="s">
        <v>787</v>
      </c>
      <c r="G143" t="s">
        <v>797</v>
      </c>
      <c r="H143" t="s">
        <v>22</v>
      </c>
      <c r="I143" t="s">
        <v>22</v>
      </c>
      <c r="J143" t="s">
        <v>17</v>
      </c>
      <c r="K143">
        <v>88.9</v>
      </c>
      <c r="L143">
        <v>105.3</v>
      </c>
      <c r="M143" t="s">
        <v>789</v>
      </c>
      <c r="N143" t="s">
        <v>790</v>
      </c>
      <c r="O143" s="14"/>
      <c r="Q143" t="s">
        <v>593</v>
      </c>
      <c r="S143" t="str">
        <f t="shared" si="10"/>
        <v>wrong</v>
      </c>
      <c r="T143" t="str">
        <f t="shared" si="9"/>
        <v>wrong</v>
      </c>
    </row>
    <row r="144" spans="1:20" x14ac:dyDescent="0.3">
      <c r="A144">
        <v>1082504</v>
      </c>
      <c r="B144" t="s">
        <v>779</v>
      </c>
      <c r="C144" t="s">
        <v>785</v>
      </c>
      <c r="D144" t="s">
        <v>786</v>
      </c>
      <c r="E144" t="s">
        <v>787</v>
      </c>
      <c r="G144" t="s">
        <v>798</v>
      </c>
      <c r="H144" t="s">
        <v>22</v>
      </c>
      <c r="I144" t="s">
        <v>22</v>
      </c>
      <c r="J144" t="s">
        <v>17</v>
      </c>
      <c r="K144">
        <v>88.9</v>
      </c>
      <c r="L144">
        <v>105.3</v>
      </c>
      <c r="M144" t="s">
        <v>789</v>
      </c>
      <c r="N144" t="s">
        <v>790</v>
      </c>
      <c r="O144" s="14"/>
      <c r="Q144" t="s">
        <v>593</v>
      </c>
      <c r="S144" t="str">
        <f t="shared" si="10"/>
        <v>wrong</v>
      </c>
      <c r="T144" t="str">
        <f t="shared" si="9"/>
        <v>wrong</v>
      </c>
    </row>
    <row r="145" spans="1:20" x14ac:dyDescent="0.3">
      <c r="A145">
        <v>1082504</v>
      </c>
      <c r="B145" t="s">
        <v>779</v>
      </c>
      <c r="C145" t="s">
        <v>785</v>
      </c>
      <c r="D145" t="s">
        <v>786</v>
      </c>
      <c r="E145" t="s">
        <v>787</v>
      </c>
      <c r="G145" t="s">
        <v>799</v>
      </c>
      <c r="H145" t="s">
        <v>22</v>
      </c>
      <c r="I145" t="s">
        <v>22</v>
      </c>
      <c r="J145" t="s">
        <v>17</v>
      </c>
      <c r="K145">
        <v>88.9</v>
      </c>
      <c r="L145">
        <v>105.3</v>
      </c>
      <c r="M145" t="s">
        <v>789</v>
      </c>
      <c r="N145" t="s">
        <v>790</v>
      </c>
      <c r="O145" s="14"/>
      <c r="Q145" t="s">
        <v>593</v>
      </c>
      <c r="S145" t="str">
        <f t="shared" si="10"/>
        <v>wrong</v>
      </c>
      <c r="T145" t="str">
        <f t="shared" si="9"/>
        <v>wrong</v>
      </c>
    </row>
    <row r="146" spans="1:20" x14ac:dyDescent="0.3">
      <c r="A146">
        <v>1082504</v>
      </c>
      <c r="B146" t="s">
        <v>779</v>
      </c>
      <c r="C146" t="s">
        <v>785</v>
      </c>
      <c r="D146" t="s">
        <v>786</v>
      </c>
      <c r="E146" t="s">
        <v>787</v>
      </c>
      <c r="G146" t="s">
        <v>800</v>
      </c>
      <c r="H146" t="s">
        <v>22</v>
      </c>
      <c r="I146" t="s">
        <v>22</v>
      </c>
      <c r="J146" t="s">
        <v>17</v>
      </c>
      <c r="K146">
        <v>88.9</v>
      </c>
      <c r="L146">
        <v>105.3</v>
      </c>
      <c r="M146" t="s">
        <v>789</v>
      </c>
      <c r="N146" t="s">
        <v>790</v>
      </c>
      <c r="O146" s="14"/>
      <c r="Q146" t="s">
        <v>593</v>
      </c>
      <c r="S146" t="str">
        <f t="shared" si="10"/>
        <v>wrong</v>
      </c>
      <c r="T146" t="str">
        <f t="shared" si="9"/>
        <v>wrong</v>
      </c>
    </row>
    <row r="147" spans="1:20" x14ac:dyDescent="0.3">
      <c r="A147">
        <v>1082504</v>
      </c>
      <c r="B147" t="s">
        <v>779</v>
      </c>
      <c r="C147" t="s">
        <v>785</v>
      </c>
      <c r="D147" t="s">
        <v>786</v>
      </c>
      <c r="E147" t="s">
        <v>787</v>
      </c>
      <c r="G147" t="s">
        <v>801</v>
      </c>
      <c r="H147" t="s">
        <v>22</v>
      </c>
      <c r="I147" t="s">
        <v>22</v>
      </c>
      <c r="J147" t="s">
        <v>17</v>
      </c>
      <c r="K147">
        <v>88.9</v>
      </c>
      <c r="L147">
        <v>105.3</v>
      </c>
      <c r="M147" t="s">
        <v>789</v>
      </c>
      <c r="N147" t="s">
        <v>790</v>
      </c>
      <c r="O147" s="14"/>
      <c r="Q147" t="s">
        <v>593</v>
      </c>
      <c r="S147" t="str">
        <f t="shared" si="10"/>
        <v>wrong</v>
      </c>
      <c r="T147" t="str">
        <f t="shared" si="9"/>
        <v>wrong</v>
      </c>
    </row>
    <row r="148" spans="1:20" x14ac:dyDescent="0.3">
      <c r="A148">
        <v>1082504</v>
      </c>
      <c r="B148" t="s">
        <v>779</v>
      </c>
      <c r="C148" t="s">
        <v>785</v>
      </c>
      <c r="D148" t="s">
        <v>786</v>
      </c>
      <c r="E148" t="s">
        <v>787</v>
      </c>
      <c r="G148" t="s">
        <v>802</v>
      </c>
      <c r="H148" t="s">
        <v>22</v>
      </c>
      <c r="I148" t="s">
        <v>22</v>
      </c>
      <c r="J148" t="s">
        <v>17</v>
      </c>
      <c r="K148">
        <v>88.9</v>
      </c>
      <c r="L148">
        <v>105.3</v>
      </c>
      <c r="M148" t="s">
        <v>789</v>
      </c>
      <c r="N148" t="s">
        <v>790</v>
      </c>
      <c r="O148" s="14"/>
      <c r="Q148" t="s">
        <v>593</v>
      </c>
      <c r="S148" t="str">
        <f t="shared" si="10"/>
        <v>wrong</v>
      </c>
      <c r="T148" t="str">
        <f t="shared" si="9"/>
        <v>wrong</v>
      </c>
    </row>
    <row r="149" spans="1:20" x14ac:dyDescent="0.3">
      <c r="A149">
        <v>1082504</v>
      </c>
      <c r="B149" t="s">
        <v>779</v>
      </c>
      <c r="C149" t="s">
        <v>785</v>
      </c>
      <c r="D149" t="s">
        <v>786</v>
      </c>
      <c r="E149" t="s">
        <v>787</v>
      </c>
      <c r="G149" t="s">
        <v>803</v>
      </c>
      <c r="H149" t="s">
        <v>22</v>
      </c>
      <c r="I149" t="s">
        <v>22</v>
      </c>
      <c r="J149" t="s">
        <v>17</v>
      </c>
      <c r="K149">
        <v>88.9</v>
      </c>
      <c r="L149">
        <v>105.3</v>
      </c>
      <c r="M149" t="s">
        <v>789</v>
      </c>
      <c r="N149" t="s">
        <v>790</v>
      </c>
      <c r="O149" s="14"/>
      <c r="Q149" t="s">
        <v>593</v>
      </c>
      <c r="S149" t="str">
        <f t="shared" si="10"/>
        <v>wrong</v>
      </c>
      <c r="T149" t="str">
        <f t="shared" si="9"/>
        <v>wrong</v>
      </c>
    </row>
    <row r="150" spans="1:20" x14ac:dyDescent="0.3">
      <c r="A150">
        <v>1082504</v>
      </c>
      <c r="B150" t="s">
        <v>779</v>
      </c>
      <c r="C150" t="s">
        <v>785</v>
      </c>
      <c r="D150" t="s">
        <v>786</v>
      </c>
      <c r="E150" t="s">
        <v>787</v>
      </c>
      <c r="G150" t="s">
        <v>804</v>
      </c>
      <c r="H150" t="s">
        <v>22</v>
      </c>
      <c r="I150" t="s">
        <v>22</v>
      </c>
      <c r="J150" t="s">
        <v>17</v>
      </c>
      <c r="K150">
        <v>88.9</v>
      </c>
      <c r="L150">
        <v>105.3</v>
      </c>
      <c r="M150" t="s">
        <v>789</v>
      </c>
      <c r="N150" t="s">
        <v>790</v>
      </c>
      <c r="O150" s="14"/>
      <c r="Q150" t="s">
        <v>593</v>
      </c>
      <c r="S150" t="str">
        <f t="shared" si="10"/>
        <v>wrong</v>
      </c>
      <c r="T150" t="str">
        <f t="shared" si="9"/>
        <v>wrong</v>
      </c>
    </row>
    <row r="151" spans="1:20" x14ac:dyDescent="0.3">
      <c r="A151">
        <v>1082504</v>
      </c>
      <c r="B151" t="s">
        <v>779</v>
      </c>
      <c r="C151" t="s">
        <v>785</v>
      </c>
      <c r="D151" t="s">
        <v>786</v>
      </c>
      <c r="E151" t="s">
        <v>787</v>
      </c>
      <c r="G151" t="s">
        <v>805</v>
      </c>
      <c r="H151" t="s">
        <v>22</v>
      </c>
      <c r="I151" t="s">
        <v>22</v>
      </c>
      <c r="J151" t="s">
        <v>17</v>
      </c>
      <c r="K151">
        <v>88.9</v>
      </c>
      <c r="L151">
        <v>105.3</v>
      </c>
      <c r="M151" t="s">
        <v>789</v>
      </c>
      <c r="N151" t="s">
        <v>790</v>
      </c>
      <c r="O151" s="14"/>
      <c r="Q151" t="s">
        <v>593</v>
      </c>
      <c r="S151" t="str">
        <f t="shared" si="10"/>
        <v>wrong</v>
      </c>
      <c r="T151" t="str">
        <f t="shared" si="9"/>
        <v>wrong</v>
      </c>
    </row>
    <row r="152" spans="1:20" x14ac:dyDescent="0.3">
      <c r="A152">
        <v>1082504</v>
      </c>
      <c r="B152" t="s">
        <v>779</v>
      </c>
      <c r="C152" t="s">
        <v>785</v>
      </c>
      <c r="D152" t="s">
        <v>786</v>
      </c>
      <c r="E152" t="s">
        <v>787</v>
      </c>
      <c r="G152" t="s">
        <v>806</v>
      </c>
      <c r="H152" t="s">
        <v>22</v>
      </c>
      <c r="I152" t="s">
        <v>22</v>
      </c>
      <c r="J152" t="s">
        <v>17</v>
      </c>
      <c r="K152">
        <v>88.9</v>
      </c>
      <c r="L152">
        <v>105.3</v>
      </c>
      <c r="M152" t="s">
        <v>789</v>
      </c>
      <c r="N152" t="s">
        <v>790</v>
      </c>
      <c r="O152" s="14"/>
      <c r="Q152" t="s">
        <v>593</v>
      </c>
      <c r="S152" t="str">
        <f t="shared" si="10"/>
        <v>wrong</v>
      </c>
      <c r="T152" t="str">
        <f t="shared" si="9"/>
        <v>wrong</v>
      </c>
    </row>
    <row r="153" spans="1:20" x14ac:dyDescent="0.3">
      <c r="A153">
        <v>1082504</v>
      </c>
      <c r="B153" t="s">
        <v>779</v>
      </c>
      <c r="C153" t="s">
        <v>785</v>
      </c>
      <c r="D153" t="s">
        <v>786</v>
      </c>
      <c r="E153" t="s">
        <v>787</v>
      </c>
      <c r="G153" t="s">
        <v>807</v>
      </c>
      <c r="H153" t="s">
        <v>22</v>
      </c>
      <c r="I153" t="s">
        <v>22</v>
      </c>
      <c r="J153" t="s">
        <v>17</v>
      </c>
      <c r="K153">
        <v>88.9</v>
      </c>
      <c r="L153">
        <v>105.3</v>
      </c>
      <c r="M153" t="s">
        <v>789</v>
      </c>
      <c r="N153" t="s">
        <v>790</v>
      </c>
      <c r="O153" s="14"/>
      <c r="Q153" t="s">
        <v>593</v>
      </c>
      <c r="S153" t="str">
        <f t="shared" si="10"/>
        <v>wrong</v>
      </c>
      <c r="T153" t="str">
        <f t="shared" si="9"/>
        <v>wrong</v>
      </c>
    </row>
    <row r="154" spans="1:20" x14ac:dyDescent="0.3">
      <c r="A154">
        <v>1082504</v>
      </c>
      <c r="B154" t="s">
        <v>779</v>
      </c>
      <c r="C154" t="s">
        <v>785</v>
      </c>
      <c r="D154" t="s">
        <v>786</v>
      </c>
      <c r="E154" t="s">
        <v>787</v>
      </c>
      <c r="G154" t="s">
        <v>808</v>
      </c>
      <c r="H154" t="s">
        <v>22</v>
      </c>
      <c r="I154" t="s">
        <v>22</v>
      </c>
      <c r="J154" t="s">
        <v>17</v>
      </c>
      <c r="K154">
        <v>88.9</v>
      </c>
      <c r="L154">
        <v>105.3</v>
      </c>
      <c r="M154" t="s">
        <v>789</v>
      </c>
      <c r="N154" t="s">
        <v>790</v>
      </c>
      <c r="O154" s="14"/>
      <c r="Q154" t="s">
        <v>593</v>
      </c>
      <c r="S154" t="str">
        <f t="shared" si="10"/>
        <v>wrong</v>
      </c>
      <c r="T154" t="str">
        <f t="shared" si="9"/>
        <v>wrong</v>
      </c>
    </row>
    <row r="155" spans="1:20" x14ac:dyDescent="0.3">
      <c r="A155">
        <v>1082504</v>
      </c>
      <c r="B155" t="s">
        <v>779</v>
      </c>
      <c r="C155" t="s">
        <v>785</v>
      </c>
      <c r="D155" t="s">
        <v>786</v>
      </c>
      <c r="E155" t="s">
        <v>787</v>
      </c>
      <c r="G155" t="s">
        <v>809</v>
      </c>
      <c r="H155" t="s">
        <v>22</v>
      </c>
      <c r="I155" t="s">
        <v>22</v>
      </c>
      <c r="J155" t="s">
        <v>17</v>
      </c>
      <c r="K155">
        <v>88.9</v>
      </c>
      <c r="L155">
        <v>105.3</v>
      </c>
      <c r="M155" t="s">
        <v>789</v>
      </c>
      <c r="N155" t="s">
        <v>790</v>
      </c>
      <c r="O155" s="14"/>
      <c r="Q155" t="s">
        <v>593</v>
      </c>
      <c r="S155" t="str">
        <f t="shared" si="10"/>
        <v>wrong</v>
      </c>
      <c r="T155" t="str">
        <f t="shared" si="9"/>
        <v>wrong</v>
      </c>
    </row>
    <row r="156" spans="1:20" x14ac:dyDescent="0.3">
      <c r="A156">
        <v>1082504</v>
      </c>
      <c r="B156" t="s">
        <v>779</v>
      </c>
      <c r="C156" t="s">
        <v>785</v>
      </c>
      <c r="D156" t="s">
        <v>786</v>
      </c>
      <c r="E156" t="s">
        <v>787</v>
      </c>
      <c r="G156" t="s">
        <v>810</v>
      </c>
      <c r="H156" t="s">
        <v>22</v>
      </c>
      <c r="I156" t="s">
        <v>22</v>
      </c>
      <c r="J156" t="s">
        <v>17</v>
      </c>
      <c r="K156">
        <v>88.9</v>
      </c>
      <c r="L156">
        <v>105.3</v>
      </c>
      <c r="M156" t="s">
        <v>789</v>
      </c>
      <c r="N156" t="s">
        <v>790</v>
      </c>
      <c r="O156" s="14"/>
      <c r="Q156" t="s">
        <v>593</v>
      </c>
      <c r="S156" t="str">
        <f t="shared" si="10"/>
        <v>wrong</v>
      </c>
      <c r="T156" t="str">
        <f>IF(S156="","",LOWER(TRIM(S156)))</f>
        <v>wrong</v>
      </c>
    </row>
    <row r="157" spans="1:20" x14ac:dyDescent="0.3">
      <c r="A157">
        <v>1082504</v>
      </c>
      <c r="B157" t="s">
        <v>779</v>
      </c>
      <c r="C157" t="s">
        <v>785</v>
      </c>
      <c r="D157" t="s">
        <v>786</v>
      </c>
      <c r="E157" t="s">
        <v>787</v>
      </c>
      <c r="G157" t="s">
        <v>811</v>
      </c>
      <c r="H157" t="s">
        <v>22</v>
      </c>
      <c r="I157" t="s">
        <v>22</v>
      </c>
      <c r="J157" t="s">
        <v>17</v>
      </c>
      <c r="K157">
        <v>88.9</v>
      </c>
      <c r="L157">
        <v>105.3</v>
      </c>
      <c r="M157" t="s">
        <v>789</v>
      </c>
      <c r="N157" t="s">
        <v>790</v>
      </c>
      <c r="O157" s="14"/>
      <c r="Q157" t="s">
        <v>593</v>
      </c>
      <c r="S157" t="str">
        <f t="shared" si="10"/>
        <v>wrong</v>
      </c>
      <c r="T157" t="str">
        <f t="shared" ref="T157:T207" si="11">IF(S157="","",LOWER(TRIM(S157)))</f>
        <v>wrong</v>
      </c>
    </row>
    <row r="158" spans="1:20" x14ac:dyDescent="0.3">
      <c r="A158">
        <v>1082504</v>
      </c>
      <c r="B158" t="s">
        <v>779</v>
      </c>
      <c r="C158" t="s">
        <v>812</v>
      </c>
      <c r="D158" t="s">
        <v>812</v>
      </c>
      <c r="E158" t="s">
        <v>813</v>
      </c>
      <c r="H158" t="s">
        <v>22</v>
      </c>
      <c r="I158" t="s">
        <v>22</v>
      </c>
      <c r="J158" t="s">
        <v>17</v>
      </c>
      <c r="K158">
        <v>100</v>
      </c>
      <c r="L158">
        <v>142</v>
      </c>
      <c r="M158" t="s">
        <v>814</v>
      </c>
      <c r="N158" t="s">
        <v>815</v>
      </c>
      <c r="O158" s="14"/>
      <c r="P158" t="s">
        <v>816</v>
      </c>
      <c r="Q158" t="s">
        <v>593</v>
      </c>
      <c r="S158" t="str">
        <f>LOWER(TRIM(CLEAN(Q158)))</f>
        <v>wrong</v>
      </c>
      <c r="T158" t="str">
        <f t="shared" si="11"/>
        <v>wrong</v>
      </c>
    </row>
    <row r="159" spans="1:20" x14ac:dyDescent="0.3">
      <c r="A159">
        <v>1082504</v>
      </c>
      <c r="B159" t="s">
        <v>779</v>
      </c>
      <c r="C159" t="s">
        <v>817</v>
      </c>
      <c r="H159" t="s">
        <v>16</v>
      </c>
      <c r="I159" t="s">
        <v>16</v>
      </c>
      <c r="J159" t="s">
        <v>17</v>
      </c>
      <c r="K159">
        <v>0</v>
      </c>
      <c r="L159">
        <v>0</v>
      </c>
      <c r="O159" s="12"/>
      <c r="Q159" t="s">
        <v>53</v>
      </c>
      <c r="S159" t="str">
        <f t="shared" ref="S159:S207" si="12">LOWER(TRIM(CLEAN(Q159)))</f>
        <v>yes</v>
      </c>
      <c r="T159" t="str">
        <f t="shared" si="11"/>
        <v>yes</v>
      </c>
    </row>
    <row r="160" spans="1:20" x14ac:dyDescent="0.3">
      <c r="A160">
        <v>1082513</v>
      </c>
      <c r="B160" t="s">
        <v>818</v>
      </c>
      <c r="C160" t="s">
        <v>776</v>
      </c>
      <c r="H160" t="s">
        <v>16</v>
      </c>
      <c r="I160" t="s">
        <v>16</v>
      </c>
      <c r="J160" t="s">
        <v>17</v>
      </c>
      <c r="K160">
        <v>0</v>
      </c>
      <c r="L160">
        <v>0</v>
      </c>
      <c r="O160" s="12"/>
      <c r="Q160" t="s">
        <v>53</v>
      </c>
      <c r="S160" t="str">
        <f t="shared" si="12"/>
        <v>yes</v>
      </c>
      <c r="T160" t="str">
        <f t="shared" si="11"/>
        <v>yes</v>
      </c>
    </row>
    <row r="161" spans="1:20" x14ac:dyDescent="0.3">
      <c r="A161">
        <v>1082513</v>
      </c>
      <c r="B161" t="s">
        <v>818</v>
      </c>
      <c r="C161" t="s">
        <v>819</v>
      </c>
      <c r="D161" t="s">
        <v>820</v>
      </c>
      <c r="E161" t="s">
        <v>821</v>
      </c>
      <c r="G161" t="s">
        <v>822</v>
      </c>
      <c r="H161" t="s">
        <v>22</v>
      </c>
      <c r="I161" t="s">
        <v>22</v>
      </c>
      <c r="J161" t="s">
        <v>17</v>
      </c>
      <c r="K161">
        <v>88.9</v>
      </c>
      <c r="L161">
        <v>111.3</v>
      </c>
      <c r="O161" s="12"/>
      <c r="P161" t="s">
        <v>823</v>
      </c>
      <c r="Q161" t="s">
        <v>53</v>
      </c>
      <c r="S161" t="str">
        <f t="shared" si="12"/>
        <v>yes</v>
      </c>
      <c r="T161" t="str">
        <f t="shared" si="11"/>
        <v>yes</v>
      </c>
    </row>
    <row r="162" spans="1:20" x14ac:dyDescent="0.3">
      <c r="A162">
        <v>1082513</v>
      </c>
      <c r="B162" t="s">
        <v>818</v>
      </c>
      <c r="C162" t="s">
        <v>819</v>
      </c>
      <c r="D162" t="s">
        <v>820</v>
      </c>
      <c r="E162" t="s">
        <v>821</v>
      </c>
      <c r="G162" t="s">
        <v>824</v>
      </c>
      <c r="H162" t="s">
        <v>22</v>
      </c>
      <c r="I162" t="s">
        <v>22</v>
      </c>
      <c r="J162" t="s">
        <v>17</v>
      </c>
      <c r="K162">
        <v>88.9</v>
      </c>
      <c r="L162">
        <v>111.3</v>
      </c>
      <c r="O162" s="12"/>
      <c r="Q162" t="s">
        <v>53</v>
      </c>
      <c r="S162" t="str">
        <f t="shared" si="12"/>
        <v>yes</v>
      </c>
      <c r="T162" t="str">
        <f t="shared" si="11"/>
        <v>yes</v>
      </c>
    </row>
    <row r="163" spans="1:20" x14ac:dyDescent="0.3">
      <c r="A163">
        <v>1082513</v>
      </c>
      <c r="B163" t="s">
        <v>818</v>
      </c>
      <c r="C163" t="s">
        <v>819</v>
      </c>
      <c r="D163" t="s">
        <v>820</v>
      </c>
      <c r="E163" t="s">
        <v>821</v>
      </c>
      <c r="G163" t="s">
        <v>825</v>
      </c>
      <c r="H163" t="s">
        <v>22</v>
      </c>
      <c r="I163" t="s">
        <v>22</v>
      </c>
      <c r="J163" t="s">
        <v>17</v>
      </c>
      <c r="K163">
        <v>88.9</v>
      </c>
      <c r="L163">
        <v>111.3</v>
      </c>
      <c r="O163" s="12"/>
      <c r="Q163" t="s">
        <v>53</v>
      </c>
      <c r="S163" t="str">
        <f t="shared" si="12"/>
        <v>yes</v>
      </c>
      <c r="T163" t="str">
        <f t="shared" si="11"/>
        <v>yes</v>
      </c>
    </row>
    <row r="164" spans="1:20" x14ac:dyDescent="0.3">
      <c r="A164">
        <v>1082513</v>
      </c>
      <c r="B164" t="s">
        <v>818</v>
      </c>
      <c r="C164" t="s">
        <v>819</v>
      </c>
      <c r="D164" t="s">
        <v>820</v>
      </c>
      <c r="E164" t="s">
        <v>821</v>
      </c>
      <c r="G164" t="s">
        <v>826</v>
      </c>
      <c r="H164" t="s">
        <v>22</v>
      </c>
      <c r="I164" t="s">
        <v>22</v>
      </c>
      <c r="J164" t="s">
        <v>17</v>
      </c>
      <c r="K164">
        <v>88.9</v>
      </c>
      <c r="L164">
        <v>111.3</v>
      </c>
      <c r="O164" s="12"/>
      <c r="Q164" t="s">
        <v>53</v>
      </c>
      <c r="S164" t="str">
        <f t="shared" si="12"/>
        <v>yes</v>
      </c>
      <c r="T164" t="str">
        <f t="shared" si="11"/>
        <v>yes</v>
      </c>
    </row>
    <row r="165" spans="1:20" x14ac:dyDescent="0.3">
      <c r="A165">
        <v>1082513</v>
      </c>
      <c r="B165" t="s">
        <v>818</v>
      </c>
      <c r="C165" t="s">
        <v>819</v>
      </c>
      <c r="D165" t="s">
        <v>820</v>
      </c>
      <c r="E165" t="s">
        <v>821</v>
      </c>
      <c r="G165" t="s">
        <v>827</v>
      </c>
      <c r="H165" t="s">
        <v>22</v>
      </c>
      <c r="I165" t="s">
        <v>22</v>
      </c>
      <c r="J165" t="s">
        <v>17</v>
      </c>
      <c r="K165">
        <v>88.9</v>
      </c>
      <c r="L165">
        <v>111.3</v>
      </c>
      <c r="O165" s="12"/>
      <c r="Q165" t="s">
        <v>53</v>
      </c>
      <c r="S165" t="str">
        <f t="shared" si="12"/>
        <v>yes</v>
      </c>
      <c r="T165" t="str">
        <f t="shared" si="11"/>
        <v>yes</v>
      </c>
    </row>
    <row r="166" spans="1:20" x14ac:dyDescent="0.3">
      <c r="A166">
        <v>1082513</v>
      </c>
      <c r="B166" t="s">
        <v>818</v>
      </c>
      <c r="C166" t="s">
        <v>819</v>
      </c>
      <c r="D166" t="s">
        <v>820</v>
      </c>
      <c r="E166" t="s">
        <v>821</v>
      </c>
      <c r="G166" t="s">
        <v>828</v>
      </c>
      <c r="H166" t="s">
        <v>22</v>
      </c>
      <c r="I166" t="s">
        <v>22</v>
      </c>
      <c r="J166" t="s">
        <v>17</v>
      </c>
      <c r="K166">
        <v>88.9</v>
      </c>
      <c r="L166">
        <v>111.3</v>
      </c>
      <c r="O166" s="12"/>
      <c r="Q166" t="s">
        <v>53</v>
      </c>
      <c r="S166" t="str">
        <f t="shared" si="12"/>
        <v>yes</v>
      </c>
      <c r="T166" t="str">
        <f t="shared" si="11"/>
        <v>yes</v>
      </c>
    </row>
    <row r="167" spans="1:20" x14ac:dyDescent="0.3">
      <c r="A167">
        <v>1082513</v>
      </c>
      <c r="B167" t="s">
        <v>818</v>
      </c>
      <c r="C167" t="s">
        <v>819</v>
      </c>
      <c r="D167" t="s">
        <v>820</v>
      </c>
      <c r="E167" t="s">
        <v>821</v>
      </c>
      <c r="G167" t="s">
        <v>829</v>
      </c>
      <c r="H167" t="s">
        <v>22</v>
      </c>
      <c r="I167" t="s">
        <v>22</v>
      </c>
      <c r="J167" t="s">
        <v>17</v>
      </c>
      <c r="K167">
        <v>88.9</v>
      </c>
      <c r="L167">
        <v>111.3</v>
      </c>
      <c r="O167" s="12"/>
      <c r="Q167" t="s">
        <v>53</v>
      </c>
      <c r="S167" t="str">
        <f t="shared" si="12"/>
        <v>yes</v>
      </c>
      <c r="T167" t="str">
        <f t="shared" si="11"/>
        <v>yes</v>
      </c>
    </row>
    <row r="168" spans="1:20" x14ac:dyDescent="0.3">
      <c r="A168">
        <v>1082513</v>
      </c>
      <c r="B168" t="s">
        <v>818</v>
      </c>
      <c r="C168" t="s">
        <v>819</v>
      </c>
      <c r="D168" t="s">
        <v>820</v>
      </c>
      <c r="E168" t="s">
        <v>821</v>
      </c>
      <c r="G168" t="s">
        <v>830</v>
      </c>
      <c r="H168" t="s">
        <v>22</v>
      </c>
      <c r="I168" t="s">
        <v>22</v>
      </c>
      <c r="J168" t="s">
        <v>17</v>
      </c>
      <c r="K168">
        <v>88.9</v>
      </c>
      <c r="L168">
        <v>111.3</v>
      </c>
      <c r="O168" s="12"/>
      <c r="Q168" t="s">
        <v>53</v>
      </c>
      <c r="S168" t="str">
        <f t="shared" si="12"/>
        <v>yes</v>
      </c>
      <c r="T168" t="str">
        <f t="shared" si="11"/>
        <v>yes</v>
      </c>
    </row>
    <row r="169" spans="1:20" x14ac:dyDescent="0.3">
      <c r="A169">
        <v>1082513</v>
      </c>
      <c r="B169" t="s">
        <v>818</v>
      </c>
      <c r="C169" t="s">
        <v>819</v>
      </c>
      <c r="D169" t="s">
        <v>820</v>
      </c>
      <c r="E169" t="s">
        <v>821</v>
      </c>
      <c r="G169" t="s">
        <v>831</v>
      </c>
      <c r="H169" t="s">
        <v>22</v>
      </c>
      <c r="I169" t="s">
        <v>22</v>
      </c>
      <c r="J169" t="s">
        <v>17</v>
      </c>
      <c r="K169">
        <v>88.9</v>
      </c>
      <c r="L169">
        <v>111.3</v>
      </c>
      <c r="O169" s="12"/>
      <c r="Q169" t="s">
        <v>53</v>
      </c>
      <c r="S169" t="str">
        <f t="shared" si="12"/>
        <v>yes</v>
      </c>
      <c r="T169" t="str">
        <f t="shared" si="11"/>
        <v>yes</v>
      </c>
    </row>
    <row r="170" spans="1:20" x14ac:dyDescent="0.3">
      <c r="A170">
        <v>1082513</v>
      </c>
      <c r="B170" t="s">
        <v>818</v>
      </c>
      <c r="C170" t="s">
        <v>819</v>
      </c>
      <c r="D170" t="s">
        <v>820</v>
      </c>
      <c r="E170" t="s">
        <v>821</v>
      </c>
      <c r="G170" t="s">
        <v>832</v>
      </c>
      <c r="H170" t="s">
        <v>22</v>
      </c>
      <c r="I170" t="s">
        <v>22</v>
      </c>
      <c r="J170" t="s">
        <v>17</v>
      </c>
      <c r="K170">
        <v>88.9</v>
      </c>
      <c r="L170">
        <v>111.3</v>
      </c>
      <c r="O170" s="12"/>
      <c r="Q170" t="s">
        <v>53</v>
      </c>
      <c r="S170" t="str">
        <f t="shared" si="12"/>
        <v>yes</v>
      </c>
      <c r="T170" t="str">
        <f t="shared" si="11"/>
        <v>yes</v>
      </c>
    </row>
    <row r="171" spans="1:20" x14ac:dyDescent="0.3">
      <c r="A171">
        <v>1082513</v>
      </c>
      <c r="B171" t="s">
        <v>818</v>
      </c>
      <c r="C171" t="s">
        <v>819</v>
      </c>
      <c r="D171" t="s">
        <v>820</v>
      </c>
      <c r="E171" t="s">
        <v>821</v>
      </c>
      <c r="G171" t="s">
        <v>833</v>
      </c>
      <c r="H171" t="s">
        <v>22</v>
      </c>
      <c r="I171" t="s">
        <v>22</v>
      </c>
      <c r="J171" t="s">
        <v>17</v>
      </c>
      <c r="K171">
        <v>88.9</v>
      </c>
      <c r="L171">
        <v>111.3</v>
      </c>
      <c r="O171" s="12"/>
      <c r="Q171" t="s">
        <v>53</v>
      </c>
      <c r="S171" t="str">
        <f t="shared" si="12"/>
        <v>yes</v>
      </c>
      <c r="T171" t="str">
        <f t="shared" si="11"/>
        <v>yes</v>
      </c>
    </row>
    <row r="172" spans="1:20" x14ac:dyDescent="0.3">
      <c r="A172">
        <v>1082513</v>
      </c>
      <c r="B172" t="s">
        <v>818</v>
      </c>
      <c r="C172" t="s">
        <v>819</v>
      </c>
      <c r="D172" t="s">
        <v>820</v>
      </c>
      <c r="E172" t="s">
        <v>821</v>
      </c>
      <c r="G172" t="s">
        <v>834</v>
      </c>
      <c r="H172" t="s">
        <v>22</v>
      </c>
      <c r="I172" t="s">
        <v>22</v>
      </c>
      <c r="J172" t="s">
        <v>17</v>
      </c>
      <c r="K172">
        <v>88.9</v>
      </c>
      <c r="L172">
        <v>111.3</v>
      </c>
      <c r="O172" s="12"/>
      <c r="Q172" t="s">
        <v>53</v>
      </c>
      <c r="S172" t="str">
        <f t="shared" si="12"/>
        <v>yes</v>
      </c>
      <c r="T172" t="str">
        <f t="shared" si="11"/>
        <v>yes</v>
      </c>
    </row>
    <row r="173" spans="1:20" x14ac:dyDescent="0.3">
      <c r="A173">
        <v>1082513</v>
      </c>
      <c r="B173" t="s">
        <v>818</v>
      </c>
      <c r="C173" t="s">
        <v>835</v>
      </c>
      <c r="H173" t="s">
        <v>16</v>
      </c>
      <c r="I173" t="s">
        <v>16</v>
      </c>
      <c r="J173" t="s">
        <v>17</v>
      </c>
      <c r="K173">
        <v>0</v>
      </c>
      <c r="L173">
        <v>0</v>
      </c>
      <c r="O173" s="12"/>
      <c r="Q173" t="s">
        <v>53</v>
      </c>
      <c r="S173" t="str">
        <f t="shared" si="12"/>
        <v>yes</v>
      </c>
      <c r="T173" t="str">
        <f t="shared" si="11"/>
        <v>yes</v>
      </c>
    </row>
    <row r="174" spans="1:20" x14ac:dyDescent="0.3">
      <c r="A174">
        <v>1082513</v>
      </c>
      <c r="B174" t="s">
        <v>818</v>
      </c>
      <c r="C174" t="s">
        <v>688</v>
      </c>
      <c r="H174" t="s">
        <v>16</v>
      </c>
      <c r="I174" t="s">
        <v>16</v>
      </c>
      <c r="J174" t="s">
        <v>17</v>
      </c>
      <c r="K174">
        <v>0</v>
      </c>
      <c r="L174">
        <v>0</v>
      </c>
      <c r="O174" s="12"/>
      <c r="Q174" t="s">
        <v>53</v>
      </c>
      <c r="S174" t="str">
        <f t="shared" si="12"/>
        <v>yes</v>
      </c>
      <c r="T174" t="str">
        <f t="shared" si="11"/>
        <v>yes</v>
      </c>
    </row>
    <row r="175" spans="1:20" x14ac:dyDescent="0.3">
      <c r="A175">
        <v>1082513</v>
      </c>
      <c r="B175" t="s">
        <v>818</v>
      </c>
      <c r="C175" t="s">
        <v>836</v>
      </c>
      <c r="D175" t="s">
        <v>837</v>
      </c>
      <c r="E175" t="s">
        <v>838</v>
      </c>
      <c r="F175" s="17" t="s">
        <v>839</v>
      </c>
      <c r="G175" t="s">
        <v>840</v>
      </c>
      <c r="H175" t="s">
        <v>22</v>
      </c>
      <c r="I175" t="s">
        <v>22</v>
      </c>
      <c r="J175" t="s">
        <v>17</v>
      </c>
      <c r="K175">
        <v>82.4</v>
      </c>
      <c r="L175">
        <v>102.4</v>
      </c>
      <c r="O175" s="12"/>
      <c r="P175" t="s">
        <v>751</v>
      </c>
      <c r="Q175" t="s">
        <v>53</v>
      </c>
      <c r="S175" t="str">
        <f t="shared" si="12"/>
        <v>yes</v>
      </c>
      <c r="T175" t="str">
        <f t="shared" si="11"/>
        <v>yes</v>
      </c>
    </row>
    <row r="176" spans="1:20" x14ac:dyDescent="0.3">
      <c r="A176">
        <v>1082513</v>
      </c>
      <c r="B176" t="s">
        <v>818</v>
      </c>
      <c r="C176" t="s">
        <v>836</v>
      </c>
      <c r="D176" t="s">
        <v>837</v>
      </c>
      <c r="E176" t="s">
        <v>838</v>
      </c>
      <c r="F176" s="17" t="s">
        <v>839</v>
      </c>
      <c r="G176" t="s">
        <v>841</v>
      </c>
      <c r="H176" t="s">
        <v>22</v>
      </c>
      <c r="I176" t="s">
        <v>22</v>
      </c>
      <c r="J176" t="s">
        <v>17</v>
      </c>
      <c r="K176">
        <v>82.4</v>
      </c>
      <c r="L176">
        <v>102.4</v>
      </c>
      <c r="O176" s="12"/>
      <c r="Q176" t="s">
        <v>53</v>
      </c>
      <c r="S176" t="str">
        <f t="shared" si="12"/>
        <v>yes</v>
      </c>
      <c r="T176" t="str">
        <f t="shared" si="11"/>
        <v>yes</v>
      </c>
    </row>
    <row r="177" spans="1:20" x14ac:dyDescent="0.3">
      <c r="A177">
        <v>1082513</v>
      </c>
      <c r="B177" t="s">
        <v>818</v>
      </c>
      <c r="C177" t="s">
        <v>836</v>
      </c>
      <c r="D177" t="s">
        <v>837</v>
      </c>
      <c r="E177" t="s">
        <v>838</v>
      </c>
      <c r="F177" s="17" t="s">
        <v>839</v>
      </c>
      <c r="G177" t="s">
        <v>842</v>
      </c>
      <c r="H177" t="s">
        <v>22</v>
      </c>
      <c r="I177" t="s">
        <v>22</v>
      </c>
      <c r="J177" t="s">
        <v>17</v>
      </c>
      <c r="K177">
        <v>82.4</v>
      </c>
      <c r="L177">
        <v>102.4</v>
      </c>
      <c r="O177" s="12"/>
      <c r="Q177" t="s">
        <v>53</v>
      </c>
      <c r="S177" t="str">
        <f t="shared" si="12"/>
        <v>yes</v>
      </c>
      <c r="T177" t="str">
        <f t="shared" si="11"/>
        <v>yes</v>
      </c>
    </row>
    <row r="178" spans="1:20" x14ac:dyDescent="0.3">
      <c r="A178">
        <v>1082513</v>
      </c>
      <c r="B178" t="s">
        <v>818</v>
      </c>
      <c r="C178" t="s">
        <v>836</v>
      </c>
      <c r="D178" t="s">
        <v>837</v>
      </c>
      <c r="E178" t="s">
        <v>838</v>
      </c>
      <c r="F178" s="17" t="s">
        <v>839</v>
      </c>
      <c r="G178" t="s">
        <v>843</v>
      </c>
      <c r="H178" t="s">
        <v>22</v>
      </c>
      <c r="I178" t="s">
        <v>22</v>
      </c>
      <c r="J178" t="s">
        <v>17</v>
      </c>
      <c r="K178">
        <v>82.4</v>
      </c>
      <c r="L178">
        <v>102.4</v>
      </c>
      <c r="O178" s="12"/>
      <c r="Q178" t="s">
        <v>53</v>
      </c>
      <c r="S178" t="str">
        <f t="shared" si="12"/>
        <v>yes</v>
      </c>
      <c r="T178" t="str">
        <f t="shared" si="11"/>
        <v>yes</v>
      </c>
    </row>
    <row r="179" spans="1:20" x14ac:dyDescent="0.3">
      <c r="A179">
        <v>1082513</v>
      </c>
      <c r="B179" t="s">
        <v>818</v>
      </c>
      <c r="C179" t="s">
        <v>701</v>
      </c>
      <c r="D179" t="s">
        <v>701</v>
      </c>
      <c r="E179" t="s">
        <v>702</v>
      </c>
      <c r="F179" s="17" t="s">
        <v>703</v>
      </c>
      <c r="H179" t="s">
        <v>22</v>
      </c>
      <c r="I179" t="s">
        <v>22</v>
      </c>
      <c r="J179" t="s">
        <v>17</v>
      </c>
      <c r="K179">
        <v>100</v>
      </c>
      <c r="L179">
        <v>113</v>
      </c>
      <c r="M179" t="s">
        <v>704</v>
      </c>
      <c r="N179" t="s">
        <v>705</v>
      </c>
      <c r="O179" s="12"/>
      <c r="Q179" t="s">
        <v>53</v>
      </c>
      <c r="S179" t="str">
        <f t="shared" si="12"/>
        <v>yes</v>
      </c>
      <c r="T179" t="str">
        <f t="shared" si="11"/>
        <v>yes</v>
      </c>
    </row>
    <row r="180" spans="1:20" x14ac:dyDescent="0.3">
      <c r="A180">
        <v>1082533</v>
      </c>
      <c r="B180" t="s">
        <v>844</v>
      </c>
      <c r="C180" t="s">
        <v>699</v>
      </c>
      <c r="H180" t="s">
        <v>16</v>
      </c>
      <c r="I180" t="s">
        <v>16</v>
      </c>
      <c r="J180" t="s">
        <v>17</v>
      </c>
      <c r="K180">
        <v>0</v>
      </c>
      <c r="L180">
        <v>0</v>
      </c>
      <c r="O180" s="12"/>
      <c r="Q180" t="s">
        <v>53</v>
      </c>
      <c r="S180" t="str">
        <f t="shared" si="12"/>
        <v>yes</v>
      </c>
      <c r="T180" t="str">
        <f>IF(S180="","",LOWER(TRIM(S180)))</f>
        <v>yes</v>
      </c>
    </row>
    <row r="181" spans="1:20" x14ac:dyDescent="0.3">
      <c r="A181">
        <v>1082533</v>
      </c>
      <c r="B181" t="s">
        <v>844</v>
      </c>
      <c r="C181" t="s">
        <v>707</v>
      </c>
      <c r="H181" t="s">
        <v>16</v>
      </c>
      <c r="I181" t="s">
        <v>16</v>
      </c>
      <c r="J181" t="s">
        <v>17</v>
      </c>
      <c r="K181">
        <v>0</v>
      </c>
      <c r="L181">
        <v>0</v>
      </c>
      <c r="O181" s="12"/>
      <c r="Q181" t="s">
        <v>53</v>
      </c>
      <c r="S181" t="str">
        <f t="shared" si="12"/>
        <v>yes</v>
      </c>
      <c r="T181" t="str">
        <f t="shared" si="11"/>
        <v>yes</v>
      </c>
    </row>
    <row r="182" spans="1:20" x14ac:dyDescent="0.3">
      <c r="A182">
        <v>1082533</v>
      </c>
      <c r="B182" t="s">
        <v>844</v>
      </c>
      <c r="C182" t="s">
        <v>717</v>
      </c>
      <c r="D182" t="s">
        <v>718</v>
      </c>
      <c r="E182" t="s">
        <v>719</v>
      </c>
      <c r="G182" t="s">
        <v>720</v>
      </c>
      <c r="H182" t="s">
        <v>22</v>
      </c>
      <c r="I182" t="s">
        <v>22</v>
      </c>
      <c r="J182" t="s">
        <v>17</v>
      </c>
      <c r="K182">
        <v>90.9</v>
      </c>
      <c r="L182">
        <v>114.5</v>
      </c>
      <c r="O182" s="12"/>
      <c r="P182" t="s">
        <v>751</v>
      </c>
      <c r="Q182" t="s">
        <v>53</v>
      </c>
      <c r="S182" t="str">
        <f t="shared" si="12"/>
        <v>yes</v>
      </c>
      <c r="T182" t="str">
        <f t="shared" si="11"/>
        <v>yes</v>
      </c>
    </row>
    <row r="183" spans="1:20" x14ac:dyDescent="0.3">
      <c r="A183">
        <v>1082533</v>
      </c>
      <c r="B183" t="s">
        <v>844</v>
      </c>
      <c r="C183" t="s">
        <v>717</v>
      </c>
      <c r="D183" t="s">
        <v>718</v>
      </c>
      <c r="E183" t="s">
        <v>719</v>
      </c>
      <c r="G183" t="s">
        <v>721</v>
      </c>
      <c r="H183" t="s">
        <v>22</v>
      </c>
      <c r="I183" t="s">
        <v>22</v>
      </c>
      <c r="J183" t="s">
        <v>17</v>
      </c>
      <c r="K183">
        <v>90.9</v>
      </c>
      <c r="L183">
        <v>114.5</v>
      </c>
      <c r="O183" s="12"/>
      <c r="Q183" t="s">
        <v>53</v>
      </c>
      <c r="S183" t="str">
        <f t="shared" si="12"/>
        <v>yes</v>
      </c>
      <c r="T183" t="str">
        <f t="shared" si="11"/>
        <v>yes</v>
      </c>
    </row>
    <row r="184" spans="1:20" x14ac:dyDescent="0.3">
      <c r="A184">
        <v>1082533</v>
      </c>
      <c r="B184" t="s">
        <v>844</v>
      </c>
      <c r="C184" t="s">
        <v>717</v>
      </c>
      <c r="D184" t="s">
        <v>718</v>
      </c>
      <c r="E184" t="s">
        <v>719</v>
      </c>
      <c r="G184" t="s">
        <v>722</v>
      </c>
      <c r="H184" t="s">
        <v>22</v>
      </c>
      <c r="I184" t="s">
        <v>22</v>
      </c>
      <c r="J184" t="s">
        <v>17</v>
      </c>
      <c r="K184">
        <v>90.9</v>
      </c>
      <c r="L184">
        <v>114.5</v>
      </c>
      <c r="O184" s="12"/>
      <c r="Q184" t="s">
        <v>53</v>
      </c>
      <c r="S184" t="str">
        <f>LOWER(TRIM(CLEAN(Q184)))</f>
        <v>yes</v>
      </c>
      <c r="T184" t="str">
        <f t="shared" si="11"/>
        <v>yes</v>
      </c>
    </row>
    <row r="185" spans="1:20" x14ac:dyDescent="0.3">
      <c r="A185">
        <v>1082533</v>
      </c>
      <c r="B185" t="s">
        <v>844</v>
      </c>
      <c r="C185" t="s">
        <v>717</v>
      </c>
      <c r="D185" t="s">
        <v>718</v>
      </c>
      <c r="E185" t="s">
        <v>719</v>
      </c>
      <c r="G185" t="s">
        <v>723</v>
      </c>
      <c r="H185" t="s">
        <v>22</v>
      </c>
      <c r="I185" t="s">
        <v>22</v>
      </c>
      <c r="J185" t="s">
        <v>17</v>
      </c>
      <c r="K185">
        <v>90.9</v>
      </c>
      <c r="L185">
        <v>114.5</v>
      </c>
      <c r="O185" s="12"/>
      <c r="Q185" t="s">
        <v>53</v>
      </c>
      <c r="S185" t="str">
        <f t="shared" si="12"/>
        <v>yes</v>
      </c>
      <c r="T185" t="str">
        <f t="shared" si="11"/>
        <v>yes</v>
      </c>
    </row>
    <row r="186" spans="1:20" x14ac:dyDescent="0.3">
      <c r="A186">
        <v>1082533</v>
      </c>
      <c r="B186" t="s">
        <v>844</v>
      </c>
      <c r="C186" t="s">
        <v>717</v>
      </c>
      <c r="D186" t="s">
        <v>718</v>
      </c>
      <c r="E186" t="s">
        <v>719</v>
      </c>
      <c r="G186" t="s">
        <v>724</v>
      </c>
      <c r="H186" t="s">
        <v>22</v>
      </c>
      <c r="I186" t="s">
        <v>22</v>
      </c>
      <c r="J186" t="s">
        <v>17</v>
      </c>
      <c r="K186">
        <v>90.9</v>
      </c>
      <c r="L186">
        <v>114.5</v>
      </c>
      <c r="O186" s="12"/>
      <c r="Q186" t="s">
        <v>53</v>
      </c>
      <c r="S186" t="str">
        <f t="shared" si="12"/>
        <v>yes</v>
      </c>
      <c r="T186" t="str">
        <f t="shared" si="11"/>
        <v>yes</v>
      </c>
    </row>
    <row r="187" spans="1:20" x14ac:dyDescent="0.3">
      <c r="A187">
        <v>1082533</v>
      </c>
      <c r="B187" t="s">
        <v>844</v>
      </c>
      <c r="C187" t="s">
        <v>717</v>
      </c>
      <c r="D187" t="s">
        <v>718</v>
      </c>
      <c r="E187" t="s">
        <v>719</v>
      </c>
      <c r="G187" t="s">
        <v>725</v>
      </c>
      <c r="H187" t="s">
        <v>22</v>
      </c>
      <c r="I187" t="s">
        <v>22</v>
      </c>
      <c r="J187" t="s">
        <v>17</v>
      </c>
      <c r="K187">
        <v>90.9</v>
      </c>
      <c r="L187">
        <v>114.5</v>
      </c>
      <c r="O187" s="12"/>
      <c r="Q187" t="s">
        <v>53</v>
      </c>
      <c r="S187" t="str">
        <f t="shared" si="12"/>
        <v>yes</v>
      </c>
      <c r="T187" t="str">
        <f t="shared" si="11"/>
        <v>yes</v>
      </c>
    </row>
    <row r="188" spans="1:20" x14ac:dyDescent="0.3">
      <c r="A188">
        <v>1082533</v>
      </c>
      <c r="B188" t="s">
        <v>844</v>
      </c>
      <c r="C188" t="s">
        <v>717</v>
      </c>
      <c r="D188" t="s">
        <v>718</v>
      </c>
      <c r="E188" t="s">
        <v>719</v>
      </c>
      <c r="G188" t="s">
        <v>726</v>
      </c>
      <c r="H188" t="s">
        <v>22</v>
      </c>
      <c r="I188" t="s">
        <v>22</v>
      </c>
      <c r="J188" t="s">
        <v>17</v>
      </c>
      <c r="K188">
        <v>90.9</v>
      </c>
      <c r="L188">
        <v>114.5</v>
      </c>
      <c r="O188" s="12"/>
      <c r="Q188" t="s">
        <v>53</v>
      </c>
      <c r="S188" t="str">
        <f t="shared" si="12"/>
        <v>yes</v>
      </c>
      <c r="T188" t="str">
        <f t="shared" si="11"/>
        <v>yes</v>
      </c>
    </row>
    <row r="189" spans="1:20" x14ac:dyDescent="0.3">
      <c r="A189">
        <v>1082533</v>
      </c>
      <c r="B189" t="s">
        <v>844</v>
      </c>
      <c r="C189" t="s">
        <v>717</v>
      </c>
      <c r="D189" t="s">
        <v>718</v>
      </c>
      <c r="E189" t="s">
        <v>719</v>
      </c>
      <c r="G189" t="s">
        <v>727</v>
      </c>
      <c r="H189" t="s">
        <v>22</v>
      </c>
      <c r="I189" t="s">
        <v>22</v>
      </c>
      <c r="J189" t="s">
        <v>17</v>
      </c>
      <c r="K189">
        <v>90.9</v>
      </c>
      <c r="L189">
        <v>114.5</v>
      </c>
      <c r="O189" s="12"/>
      <c r="Q189" t="s">
        <v>53</v>
      </c>
      <c r="S189" t="str">
        <f t="shared" si="12"/>
        <v>yes</v>
      </c>
      <c r="T189" t="str">
        <f t="shared" si="11"/>
        <v>yes</v>
      </c>
    </row>
    <row r="190" spans="1:20" x14ac:dyDescent="0.3">
      <c r="A190">
        <v>1082533</v>
      </c>
      <c r="B190" t="s">
        <v>844</v>
      </c>
      <c r="C190" t="s">
        <v>717</v>
      </c>
      <c r="D190" t="s">
        <v>718</v>
      </c>
      <c r="E190" t="s">
        <v>719</v>
      </c>
      <c r="G190" t="s">
        <v>728</v>
      </c>
      <c r="H190" t="s">
        <v>22</v>
      </c>
      <c r="I190" t="s">
        <v>22</v>
      </c>
      <c r="J190" t="s">
        <v>17</v>
      </c>
      <c r="K190">
        <v>90.9</v>
      </c>
      <c r="L190">
        <v>114.5</v>
      </c>
      <c r="O190" s="12"/>
      <c r="Q190" t="s">
        <v>53</v>
      </c>
      <c r="S190" t="str">
        <f t="shared" si="12"/>
        <v>yes</v>
      </c>
      <c r="T190" t="str">
        <f t="shared" si="11"/>
        <v>yes</v>
      </c>
    </row>
    <row r="191" spans="1:20" x14ac:dyDescent="0.3">
      <c r="A191">
        <v>1082533</v>
      </c>
      <c r="B191" t="s">
        <v>844</v>
      </c>
      <c r="C191" t="s">
        <v>717</v>
      </c>
      <c r="D191" t="s">
        <v>718</v>
      </c>
      <c r="E191" t="s">
        <v>719</v>
      </c>
      <c r="G191" t="s">
        <v>729</v>
      </c>
      <c r="H191" t="s">
        <v>22</v>
      </c>
      <c r="I191" t="s">
        <v>22</v>
      </c>
      <c r="J191" t="s">
        <v>17</v>
      </c>
      <c r="K191">
        <v>90.9</v>
      </c>
      <c r="L191">
        <v>114.5</v>
      </c>
      <c r="O191" s="12"/>
      <c r="Q191" t="s">
        <v>53</v>
      </c>
      <c r="S191" t="str">
        <f t="shared" si="12"/>
        <v>yes</v>
      </c>
      <c r="T191" t="str">
        <f t="shared" si="11"/>
        <v>yes</v>
      </c>
    </row>
    <row r="192" spans="1:20" x14ac:dyDescent="0.3">
      <c r="A192">
        <v>1082533</v>
      </c>
      <c r="B192" t="s">
        <v>844</v>
      </c>
      <c r="C192" t="s">
        <v>717</v>
      </c>
      <c r="D192" t="s">
        <v>718</v>
      </c>
      <c r="E192" t="s">
        <v>719</v>
      </c>
      <c r="G192" t="s">
        <v>730</v>
      </c>
      <c r="H192" t="s">
        <v>22</v>
      </c>
      <c r="I192" t="s">
        <v>22</v>
      </c>
      <c r="J192" t="s">
        <v>17</v>
      </c>
      <c r="K192">
        <v>90.9</v>
      </c>
      <c r="L192">
        <v>114.5</v>
      </c>
      <c r="O192" s="12"/>
      <c r="Q192" t="s">
        <v>53</v>
      </c>
      <c r="S192" t="str">
        <f t="shared" si="12"/>
        <v>yes</v>
      </c>
      <c r="T192" t="str">
        <f t="shared" si="11"/>
        <v>yes</v>
      </c>
    </row>
    <row r="193" spans="1:20" x14ac:dyDescent="0.3">
      <c r="A193">
        <v>1082533</v>
      </c>
      <c r="B193" t="s">
        <v>844</v>
      </c>
      <c r="C193" t="s">
        <v>717</v>
      </c>
      <c r="D193" t="s">
        <v>718</v>
      </c>
      <c r="E193" t="s">
        <v>719</v>
      </c>
      <c r="G193" t="s">
        <v>731</v>
      </c>
      <c r="H193" t="s">
        <v>22</v>
      </c>
      <c r="I193" t="s">
        <v>22</v>
      </c>
      <c r="J193" t="s">
        <v>17</v>
      </c>
      <c r="K193">
        <v>90.9</v>
      </c>
      <c r="L193">
        <v>114.5</v>
      </c>
      <c r="O193" s="12"/>
      <c r="Q193" t="s">
        <v>53</v>
      </c>
      <c r="S193" t="str">
        <f t="shared" si="12"/>
        <v>yes</v>
      </c>
      <c r="T193" t="str">
        <f t="shared" si="11"/>
        <v>yes</v>
      </c>
    </row>
    <row r="194" spans="1:20" x14ac:dyDescent="0.3">
      <c r="A194">
        <v>1082533</v>
      </c>
      <c r="B194" t="s">
        <v>844</v>
      </c>
      <c r="C194" t="s">
        <v>717</v>
      </c>
      <c r="D194" t="s">
        <v>718</v>
      </c>
      <c r="E194" t="s">
        <v>719</v>
      </c>
      <c r="G194" t="s">
        <v>732</v>
      </c>
      <c r="H194" t="s">
        <v>22</v>
      </c>
      <c r="I194" t="s">
        <v>22</v>
      </c>
      <c r="J194" t="s">
        <v>17</v>
      </c>
      <c r="K194">
        <v>90.9</v>
      </c>
      <c r="L194">
        <v>114.5</v>
      </c>
      <c r="O194" s="12"/>
      <c r="Q194" t="s">
        <v>53</v>
      </c>
      <c r="S194" t="str">
        <f t="shared" si="12"/>
        <v>yes</v>
      </c>
      <c r="T194" t="str">
        <f t="shared" si="11"/>
        <v>yes</v>
      </c>
    </row>
    <row r="195" spans="1:20" x14ac:dyDescent="0.3">
      <c r="A195">
        <v>1082533</v>
      </c>
      <c r="B195" t="s">
        <v>844</v>
      </c>
      <c r="C195" t="s">
        <v>717</v>
      </c>
      <c r="D195" t="s">
        <v>718</v>
      </c>
      <c r="E195" t="s">
        <v>719</v>
      </c>
      <c r="G195" t="s">
        <v>733</v>
      </c>
      <c r="H195" t="s">
        <v>22</v>
      </c>
      <c r="I195" t="s">
        <v>22</v>
      </c>
      <c r="J195" t="s">
        <v>17</v>
      </c>
      <c r="K195">
        <v>90.9</v>
      </c>
      <c r="L195">
        <v>114.5</v>
      </c>
      <c r="O195" s="12"/>
      <c r="Q195" t="s">
        <v>53</v>
      </c>
      <c r="S195" t="str">
        <f t="shared" si="12"/>
        <v>yes</v>
      </c>
      <c r="T195" t="str">
        <f t="shared" si="11"/>
        <v>yes</v>
      </c>
    </row>
    <row r="196" spans="1:20" x14ac:dyDescent="0.3">
      <c r="A196">
        <v>1082533</v>
      </c>
      <c r="B196" t="s">
        <v>844</v>
      </c>
      <c r="C196" t="s">
        <v>717</v>
      </c>
      <c r="D196" t="s">
        <v>718</v>
      </c>
      <c r="E196" t="s">
        <v>719</v>
      </c>
      <c r="G196" t="s">
        <v>734</v>
      </c>
      <c r="H196" t="s">
        <v>22</v>
      </c>
      <c r="I196" t="s">
        <v>22</v>
      </c>
      <c r="J196" t="s">
        <v>17</v>
      </c>
      <c r="K196">
        <v>90.9</v>
      </c>
      <c r="L196">
        <v>114.5</v>
      </c>
      <c r="O196" s="12"/>
      <c r="Q196" t="s">
        <v>53</v>
      </c>
      <c r="S196" t="str">
        <f t="shared" si="12"/>
        <v>yes</v>
      </c>
      <c r="T196" t="str">
        <f t="shared" si="11"/>
        <v>yes</v>
      </c>
    </row>
    <row r="197" spans="1:20" x14ac:dyDescent="0.3">
      <c r="A197">
        <v>1082533</v>
      </c>
      <c r="B197" t="s">
        <v>844</v>
      </c>
      <c r="C197" t="s">
        <v>717</v>
      </c>
      <c r="D197" t="s">
        <v>718</v>
      </c>
      <c r="E197" t="s">
        <v>719</v>
      </c>
      <c r="G197" t="s">
        <v>735</v>
      </c>
      <c r="H197" t="s">
        <v>22</v>
      </c>
      <c r="I197" t="s">
        <v>22</v>
      </c>
      <c r="J197" t="s">
        <v>17</v>
      </c>
      <c r="K197">
        <v>90.9</v>
      </c>
      <c r="L197">
        <v>114.5</v>
      </c>
      <c r="O197" s="12"/>
      <c r="Q197" t="s">
        <v>53</v>
      </c>
      <c r="S197" t="str">
        <f t="shared" si="12"/>
        <v>yes</v>
      </c>
      <c r="T197" t="str">
        <f t="shared" si="11"/>
        <v>yes</v>
      </c>
    </row>
    <row r="198" spans="1:20" x14ac:dyDescent="0.3">
      <c r="A198">
        <v>1082533</v>
      </c>
      <c r="B198" t="s">
        <v>844</v>
      </c>
      <c r="C198" t="s">
        <v>717</v>
      </c>
      <c r="D198" t="s">
        <v>718</v>
      </c>
      <c r="E198" t="s">
        <v>719</v>
      </c>
      <c r="G198" t="s">
        <v>736</v>
      </c>
      <c r="H198" t="s">
        <v>22</v>
      </c>
      <c r="I198" t="s">
        <v>22</v>
      </c>
      <c r="J198" t="s">
        <v>17</v>
      </c>
      <c r="K198">
        <v>90.9</v>
      </c>
      <c r="L198">
        <v>114.5</v>
      </c>
      <c r="O198" s="12"/>
      <c r="Q198" t="s">
        <v>53</v>
      </c>
      <c r="S198" t="str">
        <f t="shared" si="12"/>
        <v>yes</v>
      </c>
      <c r="T198" t="str">
        <f t="shared" si="11"/>
        <v>yes</v>
      </c>
    </row>
    <row r="199" spans="1:20" x14ac:dyDescent="0.3">
      <c r="A199">
        <v>1082533</v>
      </c>
      <c r="B199" t="s">
        <v>844</v>
      </c>
      <c r="C199" t="s">
        <v>717</v>
      </c>
      <c r="D199" t="s">
        <v>718</v>
      </c>
      <c r="E199" t="s">
        <v>719</v>
      </c>
      <c r="G199" t="s">
        <v>737</v>
      </c>
      <c r="H199" t="s">
        <v>22</v>
      </c>
      <c r="I199" t="s">
        <v>22</v>
      </c>
      <c r="J199" t="s">
        <v>17</v>
      </c>
      <c r="K199">
        <v>90.9</v>
      </c>
      <c r="L199">
        <v>114.5</v>
      </c>
      <c r="O199" s="12"/>
      <c r="Q199" t="s">
        <v>53</v>
      </c>
      <c r="S199" t="str">
        <f t="shared" si="12"/>
        <v>yes</v>
      </c>
      <c r="T199" t="str">
        <f t="shared" si="11"/>
        <v>yes</v>
      </c>
    </row>
    <row r="200" spans="1:20" x14ac:dyDescent="0.3">
      <c r="A200">
        <v>1082533</v>
      </c>
      <c r="B200" t="s">
        <v>844</v>
      </c>
      <c r="C200" t="s">
        <v>717</v>
      </c>
      <c r="D200" t="s">
        <v>718</v>
      </c>
      <c r="E200" t="s">
        <v>719</v>
      </c>
      <c r="G200" t="s">
        <v>738</v>
      </c>
      <c r="H200" t="s">
        <v>22</v>
      </c>
      <c r="I200" t="s">
        <v>22</v>
      </c>
      <c r="J200" t="s">
        <v>17</v>
      </c>
      <c r="K200">
        <v>90.9</v>
      </c>
      <c r="L200">
        <v>114.5</v>
      </c>
      <c r="O200" s="12"/>
      <c r="Q200" t="s">
        <v>53</v>
      </c>
      <c r="S200" t="str">
        <f t="shared" si="12"/>
        <v>yes</v>
      </c>
      <c r="T200" t="str">
        <f t="shared" si="11"/>
        <v>yes</v>
      </c>
    </row>
    <row r="201" spans="1:20" x14ac:dyDescent="0.3">
      <c r="A201">
        <v>1082533</v>
      </c>
      <c r="B201" t="s">
        <v>844</v>
      </c>
      <c r="C201" t="s">
        <v>717</v>
      </c>
      <c r="D201" t="s">
        <v>718</v>
      </c>
      <c r="E201" t="s">
        <v>719</v>
      </c>
      <c r="G201" t="s">
        <v>739</v>
      </c>
      <c r="H201" t="s">
        <v>22</v>
      </c>
      <c r="I201" t="s">
        <v>22</v>
      </c>
      <c r="J201" t="s">
        <v>17</v>
      </c>
      <c r="K201">
        <v>90.9</v>
      </c>
      <c r="L201">
        <v>114.5</v>
      </c>
      <c r="O201" s="12"/>
      <c r="Q201" t="s">
        <v>53</v>
      </c>
      <c r="S201" t="str">
        <f t="shared" si="12"/>
        <v>yes</v>
      </c>
      <c r="T201" t="str">
        <f t="shared" si="11"/>
        <v>yes</v>
      </c>
    </row>
    <row r="202" spans="1:20" x14ac:dyDescent="0.3">
      <c r="A202">
        <v>1082533</v>
      </c>
      <c r="B202" t="s">
        <v>844</v>
      </c>
      <c r="C202" t="s">
        <v>717</v>
      </c>
      <c r="D202" t="s">
        <v>718</v>
      </c>
      <c r="E202" t="s">
        <v>719</v>
      </c>
      <c r="G202" t="s">
        <v>740</v>
      </c>
      <c r="H202" t="s">
        <v>22</v>
      </c>
      <c r="I202" t="s">
        <v>22</v>
      </c>
      <c r="J202" t="s">
        <v>17</v>
      </c>
      <c r="K202">
        <v>90.9</v>
      </c>
      <c r="L202">
        <v>114.5</v>
      </c>
      <c r="O202" s="12"/>
      <c r="Q202" t="s">
        <v>53</v>
      </c>
      <c r="S202" t="str">
        <f t="shared" si="12"/>
        <v>yes</v>
      </c>
      <c r="T202" t="str">
        <f t="shared" si="11"/>
        <v>yes</v>
      </c>
    </row>
    <row r="203" spans="1:20" x14ac:dyDescent="0.3">
      <c r="A203">
        <v>1082533</v>
      </c>
      <c r="B203" t="s">
        <v>844</v>
      </c>
      <c r="C203" t="s">
        <v>717</v>
      </c>
      <c r="D203" t="s">
        <v>718</v>
      </c>
      <c r="E203" t="s">
        <v>719</v>
      </c>
      <c r="G203" t="s">
        <v>741</v>
      </c>
      <c r="H203" t="s">
        <v>22</v>
      </c>
      <c r="I203" t="s">
        <v>22</v>
      </c>
      <c r="J203" t="s">
        <v>17</v>
      </c>
      <c r="K203">
        <v>90.9</v>
      </c>
      <c r="L203">
        <v>114.5</v>
      </c>
      <c r="O203" s="12"/>
      <c r="Q203" t="s">
        <v>53</v>
      </c>
      <c r="S203" t="str">
        <f t="shared" si="12"/>
        <v>yes</v>
      </c>
      <c r="T203" t="str">
        <f t="shared" si="11"/>
        <v>yes</v>
      </c>
    </row>
    <row r="204" spans="1:20" x14ac:dyDescent="0.3">
      <c r="A204">
        <v>1082533</v>
      </c>
      <c r="B204" t="s">
        <v>844</v>
      </c>
      <c r="C204" t="s">
        <v>717</v>
      </c>
      <c r="D204" t="s">
        <v>718</v>
      </c>
      <c r="E204" t="s">
        <v>719</v>
      </c>
      <c r="G204" t="s">
        <v>742</v>
      </c>
      <c r="H204" t="s">
        <v>22</v>
      </c>
      <c r="I204" t="s">
        <v>22</v>
      </c>
      <c r="J204" t="s">
        <v>17</v>
      </c>
      <c r="K204">
        <v>90.9</v>
      </c>
      <c r="L204">
        <v>114.5</v>
      </c>
      <c r="O204" s="12"/>
      <c r="Q204" t="s">
        <v>53</v>
      </c>
      <c r="S204" t="str">
        <f>LOWER(TRIM(CLEAN(Q204)))</f>
        <v>yes</v>
      </c>
      <c r="T204" t="str">
        <f>IF(S204="","",LOWER(TRIM(S204)))</f>
        <v>yes</v>
      </c>
    </row>
    <row r="205" spans="1:20" x14ac:dyDescent="0.3">
      <c r="A205">
        <v>1082533</v>
      </c>
      <c r="B205" t="s">
        <v>844</v>
      </c>
      <c r="C205" t="s">
        <v>717</v>
      </c>
      <c r="D205" t="s">
        <v>718</v>
      </c>
      <c r="E205" t="s">
        <v>719</v>
      </c>
      <c r="G205" t="s">
        <v>743</v>
      </c>
      <c r="H205" t="s">
        <v>22</v>
      </c>
      <c r="I205" t="s">
        <v>22</v>
      </c>
      <c r="J205" t="s">
        <v>17</v>
      </c>
      <c r="K205">
        <v>90.9</v>
      </c>
      <c r="L205">
        <v>114.5</v>
      </c>
      <c r="O205" s="12"/>
      <c r="P205" t="s">
        <v>751</v>
      </c>
      <c r="Q205" t="s">
        <v>53</v>
      </c>
      <c r="S205" t="str">
        <f t="shared" si="12"/>
        <v>yes</v>
      </c>
      <c r="T205" t="str">
        <f t="shared" si="11"/>
        <v>yes</v>
      </c>
    </row>
    <row r="206" spans="1:20" x14ac:dyDescent="0.3">
      <c r="A206">
        <v>1082533</v>
      </c>
      <c r="B206" t="s">
        <v>844</v>
      </c>
      <c r="C206" t="s">
        <v>717</v>
      </c>
      <c r="D206" t="s">
        <v>718</v>
      </c>
      <c r="E206" t="s">
        <v>719</v>
      </c>
      <c r="G206" t="s">
        <v>744</v>
      </c>
      <c r="H206" t="s">
        <v>22</v>
      </c>
      <c r="I206" t="s">
        <v>22</v>
      </c>
      <c r="J206" t="s">
        <v>17</v>
      </c>
      <c r="K206">
        <v>90.9</v>
      </c>
      <c r="L206">
        <v>114.5</v>
      </c>
      <c r="O206" s="12"/>
      <c r="Q206" t="s">
        <v>53</v>
      </c>
      <c r="S206" t="str">
        <f t="shared" si="12"/>
        <v>yes</v>
      </c>
      <c r="T206" t="str">
        <f t="shared" si="11"/>
        <v>yes</v>
      </c>
    </row>
    <row r="207" spans="1:20" x14ac:dyDescent="0.3">
      <c r="A207">
        <v>1082533</v>
      </c>
      <c r="B207" t="s">
        <v>844</v>
      </c>
      <c r="C207" t="s">
        <v>845</v>
      </c>
      <c r="H207" t="s">
        <v>16</v>
      </c>
      <c r="I207" t="s">
        <v>16</v>
      </c>
      <c r="J207" t="s">
        <v>17</v>
      </c>
      <c r="K207">
        <v>0</v>
      </c>
      <c r="L207">
        <v>0</v>
      </c>
      <c r="O207" s="12"/>
      <c r="Q207" t="s">
        <v>53</v>
      </c>
      <c r="S207" t="str">
        <f t="shared" si="12"/>
        <v>yes</v>
      </c>
      <c r="T207" t="str">
        <f t="shared" si="11"/>
        <v>yes</v>
      </c>
    </row>
    <row r="208" spans="1:20" x14ac:dyDescent="0.3">
      <c r="A208">
        <v>1082533</v>
      </c>
      <c r="B208" t="s">
        <v>844</v>
      </c>
      <c r="C208" t="s">
        <v>745</v>
      </c>
      <c r="D208" t="s">
        <v>746</v>
      </c>
      <c r="E208" t="s">
        <v>747</v>
      </c>
      <c r="G208" t="s">
        <v>748</v>
      </c>
      <c r="H208" t="s">
        <v>22</v>
      </c>
      <c r="I208" t="s">
        <v>22</v>
      </c>
      <c r="J208" t="s">
        <v>17</v>
      </c>
      <c r="K208">
        <v>91.7</v>
      </c>
      <c r="L208">
        <v>114</v>
      </c>
      <c r="M208" t="s">
        <v>749</v>
      </c>
      <c r="N208" t="s">
        <v>750</v>
      </c>
      <c r="O208" s="12"/>
      <c r="P208" t="s">
        <v>751</v>
      </c>
      <c r="Q208" t="s">
        <v>53</v>
      </c>
      <c r="S208" t="str">
        <f>LOWER(TRIM(CLEAN(Q208)))</f>
        <v>yes</v>
      </c>
      <c r="T208" t="str">
        <f>IF(S208="","",LOWER(TRIM(S208)))</f>
        <v>yes</v>
      </c>
    </row>
    <row r="209" spans="1:20" x14ac:dyDescent="0.3">
      <c r="A209">
        <v>1082533</v>
      </c>
      <c r="B209" t="s">
        <v>844</v>
      </c>
      <c r="C209" t="s">
        <v>745</v>
      </c>
      <c r="D209" t="s">
        <v>746</v>
      </c>
      <c r="E209" t="s">
        <v>747</v>
      </c>
      <c r="G209" t="s">
        <v>752</v>
      </c>
      <c r="H209" t="s">
        <v>22</v>
      </c>
      <c r="I209" t="s">
        <v>22</v>
      </c>
      <c r="J209" t="s">
        <v>17</v>
      </c>
      <c r="K209">
        <v>91.7</v>
      </c>
      <c r="L209">
        <v>114</v>
      </c>
      <c r="M209" t="s">
        <v>749</v>
      </c>
      <c r="N209" t="s">
        <v>750</v>
      </c>
      <c r="O209" s="12"/>
      <c r="Q209" t="s">
        <v>53</v>
      </c>
      <c r="S209" t="str">
        <f t="shared" ref="S209:S255" si="13">LOWER(TRIM(CLEAN(Q209)))</f>
        <v>yes</v>
      </c>
      <c r="T209" t="str">
        <f t="shared" ref="T209:T224" si="14">IF(S209="","",LOWER(TRIM(S209)))</f>
        <v>yes</v>
      </c>
    </row>
    <row r="210" spans="1:20" x14ac:dyDescent="0.3">
      <c r="A210">
        <v>1082533</v>
      </c>
      <c r="B210" t="s">
        <v>844</v>
      </c>
      <c r="C210" t="s">
        <v>745</v>
      </c>
      <c r="D210" t="s">
        <v>746</v>
      </c>
      <c r="E210" t="s">
        <v>747</v>
      </c>
      <c r="G210" t="s">
        <v>753</v>
      </c>
      <c r="H210" t="s">
        <v>22</v>
      </c>
      <c r="I210" t="s">
        <v>22</v>
      </c>
      <c r="J210" t="s">
        <v>17</v>
      </c>
      <c r="K210">
        <v>91.7</v>
      </c>
      <c r="L210">
        <v>114</v>
      </c>
      <c r="M210" t="s">
        <v>749</v>
      </c>
      <c r="N210" t="s">
        <v>750</v>
      </c>
      <c r="O210" s="12"/>
      <c r="Q210" t="s">
        <v>53</v>
      </c>
      <c r="S210" t="str">
        <f t="shared" si="13"/>
        <v>yes</v>
      </c>
      <c r="T210" t="str">
        <f t="shared" si="14"/>
        <v>yes</v>
      </c>
    </row>
    <row r="211" spans="1:20" x14ac:dyDescent="0.3">
      <c r="A211">
        <v>1082533</v>
      </c>
      <c r="B211" t="s">
        <v>844</v>
      </c>
      <c r="C211" t="s">
        <v>745</v>
      </c>
      <c r="D211" t="s">
        <v>746</v>
      </c>
      <c r="E211" t="s">
        <v>747</v>
      </c>
      <c r="G211" t="s">
        <v>754</v>
      </c>
      <c r="H211" t="s">
        <v>22</v>
      </c>
      <c r="I211" t="s">
        <v>22</v>
      </c>
      <c r="J211" t="s">
        <v>17</v>
      </c>
      <c r="K211">
        <v>91.7</v>
      </c>
      <c r="L211">
        <v>114</v>
      </c>
      <c r="M211" t="s">
        <v>749</v>
      </c>
      <c r="N211" t="s">
        <v>750</v>
      </c>
      <c r="O211" s="12"/>
      <c r="Q211" t="s">
        <v>53</v>
      </c>
      <c r="S211" t="str">
        <f t="shared" si="13"/>
        <v>yes</v>
      </c>
      <c r="T211" t="str">
        <f t="shared" si="14"/>
        <v>yes</v>
      </c>
    </row>
    <row r="212" spans="1:20" x14ac:dyDescent="0.3">
      <c r="A212">
        <v>1082533</v>
      </c>
      <c r="B212" t="s">
        <v>844</v>
      </c>
      <c r="C212" t="s">
        <v>745</v>
      </c>
      <c r="D212" t="s">
        <v>746</v>
      </c>
      <c r="E212" t="s">
        <v>747</v>
      </c>
      <c r="G212" t="s">
        <v>755</v>
      </c>
      <c r="H212" t="s">
        <v>22</v>
      </c>
      <c r="I212" t="s">
        <v>22</v>
      </c>
      <c r="J212" t="s">
        <v>17</v>
      </c>
      <c r="K212">
        <v>91.7</v>
      </c>
      <c r="L212">
        <v>114</v>
      </c>
      <c r="M212" t="s">
        <v>749</v>
      </c>
      <c r="N212" t="s">
        <v>750</v>
      </c>
      <c r="O212" s="12"/>
      <c r="Q212" t="s">
        <v>53</v>
      </c>
      <c r="S212" t="str">
        <f t="shared" si="13"/>
        <v>yes</v>
      </c>
      <c r="T212" t="str">
        <f t="shared" si="14"/>
        <v>yes</v>
      </c>
    </row>
    <row r="213" spans="1:20" x14ac:dyDescent="0.3">
      <c r="A213">
        <v>1082539</v>
      </c>
      <c r="B213" t="s">
        <v>846</v>
      </c>
      <c r="C213" t="s">
        <v>847</v>
      </c>
      <c r="H213" t="s">
        <v>16</v>
      </c>
      <c r="I213" t="s">
        <v>16</v>
      </c>
      <c r="J213" t="s">
        <v>17</v>
      </c>
      <c r="K213">
        <v>0</v>
      </c>
      <c r="L213">
        <v>0</v>
      </c>
      <c r="O213" s="12"/>
      <c r="P213" t="s">
        <v>848</v>
      </c>
      <c r="Q213" t="s">
        <v>53</v>
      </c>
      <c r="S213" t="str">
        <f t="shared" si="13"/>
        <v>yes</v>
      </c>
      <c r="T213" t="str">
        <f t="shared" si="14"/>
        <v>yes</v>
      </c>
    </row>
    <row r="214" spans="1:20" x14ac:dyDescent="0.3">
      <c r="A214">
        <v>1082539</v>
      </c>
      <c r="B214" t="s">
        <v>846</v>
      </c>
      <c r="C214" t="s">
        <v>849</v>
      </c>
      <c r="H214" t="s">
        <v>16</v>
      </c>
      <c r="I214" t="s">
        <v>16</v>
      </c>
      <c r="J214" t="s">
        <v>17</v>
      </c>
      <c r="K214">
        <v>0</v>
      </c>
      <c r="L214">
        <v>0</v>
      </c>
      <c r="O214" s="12"/>
      <c r="P214" t="s">
        <v>53</v>
      </c>
      <c r="Q214" t="s">
        <v>53</v>
      </c>
      <c r="S214" t="str">
        <f t="shared" si="13"/>
        <v>yes</v>
      </c>
      <c r="T214" t="str">
        <f t="shared" si="14"/>
        <v>yes</v>
      </c>
    </row>
    <row r="215" spans="1:20" x14ac:dyDescent="0.3">
      <c r="A215">
        <v>1082539</v>
      </c>
      <c r="B215" t="s">
        <v>846</v>
      </c>
      <c r="C215" t="s">
        <v>850</v>
      </c>
      <c r="H215" t="s">
        <v>16</v>
      </c>
      <c r="I215" t="s">
        <v>16</v>
      </c>
      <c r="J215" t="s">
        <v>17</v>
      </c>
      <c r="K215">
        <v>0</v>
      </c>
      <c r="L215">
        <v>0</v>
      </c>
      <c r="O215" s="12"/>
      <c r="P215" t="s">
        <v>53</v>
      </c>
      <c r="Q215" t="s">
        <v>53</v>
      </c>
      <c r="S215" t="str">
        <f t="shared" si="13"/>
        <v>yes</v>
      </c>
      <c r="T215" t="str">
        <f t="shared" si="14"/>
        <v>yes</v>
      </c>
    </row>
    <row r="216" spans="1:20" x14ac:dyDescent="0.3">
      <c r="A216">
        <v>1082539</v>
      </c>
      <c r="B216" t="s">
        <v>846</v>
      </c>
      <c r="C216" t="s">
        <v>851</v>
      </c>
      <c r="H216" t="s">
        <v>16</v>
      </c>
      <c r="I216" t="s">
        <v>16</v>
      </c>
      <c r="J216" t="s">
        <v>17</v>
      </c>
      <c r="K216">
        <v>0</v>
      </c>
      <c r="L216">
        <v>0</v>
      </c>
      <c r="O216" s="12"/>
      <c r="P216" t="s">
        <v>53</v>
      </c>
      <c r="Q216" t="s">
        <v>53</v>
      </c>
      <c r="S216" t="str">
        <f t="shared" si="13"/>
        <v>yes</v>
      </c>
      <c r="T216" t="str">
        <f t="shared" si="14"/>
        <v>yes</v>
      </c>
    </row>
    <row r="217" spans="1:20" x14ac:dyDescent="0.3">
      <c r="A217">
        <v>1082539</v>
      </c>
      <c r="B217" t="s">
        <v>846</v>
      </c>
      <c r="C217" t="s">
        <v>745</v>
      </c>
      <c r="D217" t="s">
        <v>746</v>
      </c>
      <c r="E217" t="s">
        <v>747</v>
      </c>
      <c r="G217" t="s">
        <v>748</v>
      </c>
      <c r="H217" t="s">
        <v>22</v>
      </c>
      <c r="I217" t="s">
        <v>22</v>
      </c>
      <c r="J217" t="s">
        <v>17</v>
      </c>
      <c r="K217">
        <v>91.7</v>
      </c>
      <c r="L217">
        <v>111</v>
      </c>
      <c r="M217" t="s">
        <v>749</v>
      </c>
      <c r="N217" t="s">
        <v>750</v>
      </c>
      <c r="O217" s="12"/>
      <c r="P217" t="s">
        <v>751</v>
      </c>
      <c r="Q217" t="s">
        <v>53</v>
      </c>
      <c r="S217" t="str">
        <f t="shared" si="13"/>
        <v>yes</v>
      </c>
      <c r="T217" t="str">
        <f t="shared" si="14"/>
        <v>yes</v>
      </c>
    </row>
    <row r="218" spans="1:20" x14ac:dyDescent="0.3">
      <c r="A218">
        <v>1082539</v>
      </c>
      <c r="B218" t="s">
        <v>846</v>
      </c>
      <c r="C218" t="s">
        <v>745</v>
      </c>
      <c r="D218" t="s">
        <v>746</v>
      </c>
      <c r="E218" t="s">
        <v>747</v>
      </c>
      <c r="G218" t="s">
        <v>752</v>
      </c>
      <c r="H218" t="s">
        <v>22</v>
      </c>
      <c r="I218" t="s">
        <v>22</v>
      </c>
      <c r="J218" t="s">
        <v>17</v>
      </c>
      <c r="K218">
        <v>91.7</v>
      </c>
      <c r="L218">
        <v>111</v>
      </c>
      <c r="M218" t="s">
        <v>749</v>
      </c>
      <c r="N218" t="s">
        <v>750</v>
      </c>
      <c r="O218" s="12"/>
      <c r="Q218" t="s">
        <v>53</v>
      </c>
      <c r="S218" t="str">
        <f t="shared" si="13"/>
        <v>yes</v>
      </c>
      <c r="T218" t="str">
        <f t="shared" si="14"/>
        <v>yes</v>
      </c>
    </row>
    <row r="219" spans="1:20" x14ac:dyDescent="0.3">
      <c r="A219">
        <v>1082539</v>
      </c>
      <c r="B219" t="s">
        <v>846</v>
      </c>
      <c r="C219" t="s">
        <v>745</v>
      </c>
      <c r="D219" t="s">
        <v>746</v>
      </c>
      <c r="E219" t="s">
        <v>747</v>
      </c>
      <c r="G219" t="s">
        <v>753</v>
      </c>
      <c r="H219" t="s">
        <v>22</v>
      </c>
      <c r="I219" t="s">
        <v>22</v>
      </c>
      <c r="J219" t="s">
        <v>17</v>
      </c>
      <c r="K219">
        <v>91.7</v>
      </c>
      <c r="L219">
        <v>111</v>
      </c>
      <c r="M219" t="s">
        <v>749</v>
      </c>
      <c r="N219" t="s">
        <v>750</v>
      </c>
      <c r="O219" s="12"/>
      <c r="Q219" t="s">
        <v>53</v>
      </c>
      <c r="S219" t="str">
        <f t="shared" si="13"/>
        <v>yes</v>
      </c>
      <c r="T219" t="str">
        <f t="shared" si="14"/>
        <v>yes</v>
      </c>
    </row>
    <row r="220" spans="1:20" x14ac:dyDescent="0.3">
      <c r="A220">
        <v>1082539</v>
      </c>
      <c r="B220" t="s">
        <v>846</v>
      </c>
      <c r="C220" t="s">
        <v>745</v>
      </c>
      <c r="D220" t="s">
        <v>746</v>
      </c>
      <c r="E220" t="s">
        <v>747</v>
      </c>
      <c r="G220" t="s">
        <v>754</v>
      </c>
      <c r="H220" t="s">
        <v>22</v>
      </c>
      <c r="I220" t="s">
        <v>22</v>
      </c>
      <c r="J220" t="s">
        <v>17</v>
      </c>
      <c r="K220">
        <v>91.7</v>
      </c>
      <c r="L220">
        <v>111</v>
      </c>
      <c r="M220" t="s">
        <v>749</v>
      </c>
      <c r="N220" t="s">
        <v>750</v>
      </c>
      <c r="O220" s="12"/>
      <c r="Q220" t="s">
        <v>53</v>
      </c>
      <c r="S220" t="str">
        <f t="shared" si="13"/>
        <v>yes</v>
      </c>
      <c r="T220" t="str">
        <f t="shared" si="14"/>
        <v>yes</v>
      </c>
    </row>
    <row r="221" spans="1:20" x14ac:dyDescent="0.3">
      <c r="A221">
        <v>1082539</v>
      </c>
      <c r="B221" t="s">
        <v>846</v>
      </c>
      <c r="C221" t="s">
        <v>745</v>
      </c>
      <c r="D221" t="s">
        <v>746</v>
      </c>
      <c r="E221" t="s">
        <v>747</v>
      </c>
      <c r="G221" t="s">
        <v>755</v>
      </c>
      <c r="H221" t="s">
        <v>22</v>
      </c>
      <c r="I221" t="s">
        <v>22</v>
      </c>
      <c r="J221" t="s">
        <v>17</v>
      </c>
      <c r="K221">
        <v>91.7</v>
      </c>
      <c r="L221">
        <v>111</v>
      </c>
      <c r="M221" t="s">
        <v>749</v>
      </c>
      <c r="N221" t="s">
        <v>750</v>
      </c>
      <c r="O221" s="12"/>
      <c r="Q221" t="s">
        <v>53</v>
      </c>
      <c r="S221" t="str">
        <f t="shared" si="13"/>
        <v>yes</v>
      </c>
      <c r="T221" t="str">
        <f t="shared" si="14"/>
        <v>yes</v>
      </c>
    </row>
    <row r="222" spans="1:20" x14ac:dyDescent="0.3">
      <c r="A222">
        <v>1082540</v>
      </c>
      <c r="B222" t="s">
        <v>852</v>
      </c>
      <c r="C222" t="s">
        <v>853</v>
      </c>
      <c r="H222" t="s">
        <v>16</v>
      </c>
      <c r="I222" t="s">
        <v>16</v>
      </c>
      <c r="J222" t="s">
        <v>17</v>
      </c>
      <c r="K222">
        <v>0</v>
      </c>
      <c r="L222">
        <v>0</v>
      </c>
      <c r="O222" s="12"/>
      <c r="P222" t="s">
        <v>854</v>
      </c>
      <c r="Q222" t="s">
        <v>53</v>
      </c>
      <c r="S222" t="str">
        <f t="shared" si="13"/>
        <v>yes</v>
      </c>
      <c r="T222" t="str">
        <f t="shared" si="14"/>
        <v>yes</v>
      </c>
    </row>
    <row r="223" spans="1:20" x14ac:dyDescent="0.3">
      <c r="A223">
        <v>1082540</v>
      </c>
      <c r="B223" t="s">
        <v>852</v>
      </c>
      <c r="C223" t="s">
        <v>845</v>
      </c>
      <c r="H223" t="s">
        <v>16</v>
      </c>
      <c r="I223" t="s">
        <v>16</v>
      </c>
      <c r="J223" t="s">
        <v>17</v>
      </c>
      <c r="K223">
        <v>0</v>
      </c>
      <c r="L223">
        <v>0</v>
      </c>
      <c r="O223" s="12"/>
      <c r="P223" t="s">
        <v>855</v>
      </c>
      <c r="Q223" t="s">
        <v>53</v>
      </c>
      <c r="S223" t="str">
        <f t="shared" si="13"/>
        <v>yes</v>
      </c>
      <c r="T223" t="str">
        <f t="shared" si="14"/>
        <v>yes</v>
      </c>
    </row>
    <row r="224" spans="1:20" x14ac:dyDescent="0.3">
      <c r="A224">
        <v>1082540</v>
      </c>
      <c r="B224" t="s">
        <v>852</v>
      </c>
      <c r="C224" t="s">
        <v>856</v>
      </c>
      <c r="H224" t="s">
        <v>16</v>
      </c>
      <c r="I224" t="s">
        <v>16</v>
      </c>
      <c r="J224" t="s">
        <v>17</v>
      </c>
      <c r="K224">
        <v>0</v>
      </c>
      <c r="L224">
        <v>0</v>
      </c>
      <c r="O224" s="12"/>
      <c r="Q224" t="s">
        <v>53</v>
      </c>
      <c r="S224" t="str">
        <f t="shared" si="13"/>
        <v>yes</v>
      </c>
      <c r="T224" t="str">
        <f t="shared" si="14"/>
        <v>yes</v>
      </c>
    </row>
    <row r="225" spans="1:20" x14ac:dyDescent="0.3">
      <c r="A225">
        <v>1082540</v>
      </c>
      <c r="B225" t="s">
        <v>852</v>
      </c>
      <c r="C225" t="s">
        <v>857</v>
      </c>
      <c r="H225" t="s">
        <v>16</v>
      </c>
      <c r="I225" t="s">
        <v>16</v>
      </c>
      <c r="J225" t="s">
        <v>17</v>
      </c>
      <c r="K225">
        <v>0</v>
      </c>
      <c r="L225">
        <v>0</v>
      </c>
      <c r="O225" s="12"/>
      <c r="P225" t="s">
        <v>858</v>
      </c>
      <c r="Q225" t="s">
        <v>53</v>
      </c>
      <c r="S225" t="str">
        <f t="shared" si="13"/>
        <v>yes</v>
      </c>
      <c r="T225" t="str">
        <f>IF(S225="","",LOWER(TRIM(S225)))</f>
        <v>yes</v>
      </c>
    </row>
    <row r="226" spans="1:20" x14ac:dyDescent="0.3">
      <c r="A226">
        <v>1082540</v>
      </c>
      <c r="B226" t="s">
        <v>852</v>
      </c>
      <c r="C226" t="s">
        <v>756</v>
      </c>
      <c r="D226" t="s">
        <v>757</v>
      </c>
      <c r="E226" t="s">
        <v>758</v>
      </c>
      <c r="G226" t="s">
        <v>759</v>
      </c>
      <c r="H226" t="s">
        <v>46</v>
      </c>
      <c r="I226" t="s">
        <v>46</v>
      </c>
      <c r="J226" t="s">
        <v>17</v>
      </c>
      <c r="K226">
        <v>100</v>
      </c>
      <c r="L226">
        <v>50</v>
      </c>
      <c r="O226" s="12"/>
      <c r="P226" t="s">
        <v>859</v>
      </c>
      <c r="Q226" t="s">
        <v>53</v>
      </c>
      <c r="S226" t="str">
        <f t="shared" si="13"/>
        <v>yes</v>
      </c>
      <c r="T226" t="str">
        <f t="shared" ref="T226:T247" si="15">IF(S226="","",LOWER(TRIM(S226)))</f>
        <v>yes</v>
      </c>
    </row>
    <row r="227" spans="1:20" x14ac:dyDescent="0.3">
      <c r="A227">
        <v>1082540</v>
      </c>
      <c r="B227" t="s">
        <v>852</v>
      </c>
      <c r="C227" t="s">
        <v>756</v>
      </c>
      <c r="D227" t="s">
        <v>757</v>
      </c>
      <c r="E227" t="s">
        <v>758</v>
      </c>
      <c r="G227" t="s">
        <v>761</v>
      </c>
      <c r="H227" t="s">
        <v>46</v>
      </c>
      <c r="I227" t="s">
        <v>46</v>
      </c>
      <c r="J227" t="s">
        <v>17</v>
      </c>
      <c r="K227">
        <v>100</v>
      </c>
      <c r="L227">
        <v>50</v>
      </c>
      <c r="O227" s="12"/>
      <c r="Q227" t="s">
        <v>53</v>
      </c>
      <c r="S227" t="str">
        <f t="shared" si="13"/>
        <v>yes</v>
      </c>
      <c r="T227" t="str">
        <f t="shared" si="15"/>
        <v>yes</v>
      </c>
    </row>
    <row r="228" spans="1:20" x14ac:dyDescent="0.3">
      <c r="A228">
        <v>1082540</v>
      </c>
      <c r="B228" t="s">
        <v>852</v>
      </c>
      <c r="C228" t="s">
        <v>756</v>
      </c>
      <c r="D228" t="s">
        <v>757</v>
      </c>
      <c r="E228" t="s">
        <v>758</v>
      </c>
      <c r="G228" t="s">
        <v>762</v>
      </c>
      <c r="H228" t="s">
        <v>46</v>
      </c>
      <c r="I228" t="s">
        <v>46</v>
      </c>
      <c r="J228" t="s">
        <v>17</v>
      </c>
      <c r="K228">
        <v>100</v>
      </c>
      <c r="L228">
        <v>50</v>
      </c>
      <c r="O228" s="12"/>
      <c r="Q228" t="s">
        <v>53</v>
      </c>
      <c r="S228" t="str">
        <f t="shared" si="13"/>
        <v>yes</v>
      </c>
      <c r="T228" t="str">
        <f t="shared" si="15"/>
        <v>yes</v>
      </c>
    </row>
    <row r="229" spans="1:20" x14ac:dyDescent="0.3">
      <c r="A229">
        <v>1082540</v>
      </c>
      <c r="B229" t="s">
        <v>852</v>
      </c>
      <c r="C229" t="s">
        <v>756</v>
      </c>
      <c r="D229" t="s">
        <v>757</v>
      </c>
      <c r="E229" t="s">
        <v>758</v>
      </c>
      <c r="G229" t="s">
        <v>763</v>
      </c>
      <c r="H229" t="s">
        <v>46</v>
      </c>
      <c r="I229" t="s">
        <v>46</v>
      </c>
      <c r="J229" t="s">
        <v>17</v>
      </c>
      <c r="K229">
        <v>100</v>
      </c>
      <c r="L229">
        <v>50</v>
      </c>
      <c r="O229" s="12"/>
      <c r="Q229" t="s">
        <v>53</v>
      </c>
      <c r="S229" t="str">
        <f t="shared" si="13"/>
        <v>yes</v>
      </c>
      <c r="T229" t="str">
        <f t="shared" si="15"/>
        <v>yes</v>
      </c>
    </row>
    <row r="230" spans="1:20" x14ac:dyDescent="0.3">
      <c r="A230">
        <v>1082540</v>
      </c>
      <c r="B230" t="s">
        <v>852</v>
      </c>
      <c r="C230" t="s">
        <v>756</v>
      </c>
      <c r="D230" t="s">
        <v>757</v>
      </c>
      <c r="E230" t="s">
        <v>758</v>
      </c>
      <c r="G230" t="s">
        <v>764</v>
      </c>
      <c r="H230" t="s">
        <v>46</v>
      </c>
      <c r="I230" t="s">
        <v>46</v>
      </c>
      <c r="J230" t="s">
        <v>17</v>
      </c>
      <c r="K230">
        <v>100</v>
      </c>
      <c r="L230">
        <v>50</v>
      </c>
      <c r="O230" s="12"/>
      <c r="Q230" t="s">
        <v>53</v>
      </c>
      <c r="S230" t="str">
        <f t="shared" si="13"/>
        <v>yes</v>
      </c>
      <c r="T230" t="str">
        <f t="shared" si="15"/>
        <v>yes</v>
      </c>
    </row>
    <row r="231" spans="1:20" x14ac:dyDescent="0.3">
      <c r="A231">
        <v>1082540</v>
      </c>
      <c r="B231" t="s">
        <v>852</v>
      </c>
      <c r="C231" t="s">
        <v>756</v>
      </c>
      <c r="D231" t="s">
        <v>757</v>
      </c>
      <c r="E231" t="s">
        <v>758</v>
      </c>
      <c r="G231" t="s">
        <v>765</v>
      </c>
      <c r="H231" t="s">
        <v>46</v>
      </c>
      <c r="I231" t="s">
        <v>46</v>
      </c>
      <c r="J231" t="s">
        <v>17</v>
      </c>
      <c r="K231">
        <v>100</v>
      </c>
      <c r="L231">
        <v>50</v>
      </c>
      <c r="O231" s="12"/>
      <c r="Q231" t="s">
        <v>53</v>
      </c>
      <c r="S231" t="str">
        <f t="shared" si="13"/>
        <v>yes</v>
      </c>
      <c r="T231" t="str">
        <f t="shared" si="15"/>
        <v>yes</v>
      </c>
    </row>
    <row r="232" spans="1:20" x14ac:dyDescent="0.3">
      <c r="A232">
        <v>1082540</v>
      </c>
      <c r="B232" t="s">
        <v>852</v>
      </c>
      <c r="C232" t="s">
        <v>756</v>
      </c>
      <c r="D232" t="s">
        <v>757</v>
      </c>
      <c r="E232" t="s">
        <v>758</v>
      </c>
      <c r="G232" t="s">
        <v>766</v>
      </c>
      <c r="H232" t="s">
        <v>46</v>
      </c>
      <c r="I232" t="s">
        <v>46</v>
      </c>
      <c r="J232" t="s">
        <v>17</v>
      </c>
      <c r="K232">
        <v>100</v>
      </c>
      <c r="L232">
        <v>50</v>
      </c>
      <c r="O232" s="12"/>
      <c r="Q232" t="s">
        <v>53</v>
      </c>
      <c r="S232" t="str">
        <f t="shared" si="13"/>
        <v>yes</v>
      </c>
      <c r="T232" t="str">
        <f t="shared" si="15"/>
        <v>yes</v>
      </c>
    </row>
    <row r="233" spans="1:20" x14ac:dyDescent="0.3">
      <c r="A233">
        <v>1082540</v>
      </c>
      <c r="B233" t="s">
        <v>852</v>
      </c>
      <c r="C233" t="s">
        <v>756</v>
      </c>
      <c r="D233" t="s">
        <v>757</v>
      </c>
      <c r="E233" t="s">
        <v>758</v>
      </c>
      <c r="G233" t="s">
        <v>767</v>
      </c>
      <c r="H233" t="s">
        <v>46</v>
      </c>
      <c r="I233" t="s">
        <v>46</v>
      </c>
      <c r="J233" t="s">
        <v>17</v>
      </c>
      <c r="K233">
        <v>100</v>
      </c>
      <c r="L233">
        <v>50</v>
      </c>
      <c r="O233" s="12"/>
      <c r="Q233" t="s">
        <v>53</v>
      </c>
      <c r="S233" t="str">
        <f t="shared" si="13"/>
        <v>yes</v>
      </c>
      <c r="T233" t="str">
        <f t="shared" si="15"/>
        <v>yes</v>
      </c>
    </row>
    <row r="234" spans="1:20" x14ac:dyDescent="0.3">
      <c r="A234">
        <v>1084567</v>
      </c>
      <c r="B234" t="s">
        <v>860</v>
      </c>
      <c r="C234" t="s">
        <v>861</v>
      </c>
      <c r="D234" t="s">
        <v>861</v>
      </c>
      <c r="E234" t="s">
        <v>862</v>
      </c>
      <c r="G234" t="s">
        <v>863</v>
      </c>
      <c r="H234" t="s">
        <v>22</v>
      </c>
      <c r="I234" t="s">
        <v>22</v>
      </c>
      <c r="J234" t="s">
        <v>17</v>
      </c>
      <c r="K234">
        <v>100</v>
      </c>
      <c r="L234">
        <v>143</v>
      </c>
      <c r="M234" t="s">
        <v>864</v>
      </c>
      <c r="N234" t="s">
        <v>865</v>
      </c>
      <c r="O234" s="14"/>
      <c r="P234" t="s">
        <v>866</v>
      </c>
      <c r="Q234" t="s">
        <v>633</v>
      </c>
      <c r="S234" t="str">
        <f>LOWER(TRIM(CLEAN(Q234)))</f>
        <v>wrong</v>
      </c>
      <c r="T234" t="str">
        <f t="shared" si="15"/>
        <v>wrong</v>
      </c>
    </row>
    <row r="235" spans="1:20" x14ac:dyDescent="0.3">
      <c r="A235">
        <v>1084567</v>
      </c>
      <c r="B235" t="s">
        <v>860</v>
      </c>
      <c r="C235" t="s">
        <v>861</v>
      </c>
      <c r="D235" t="s">
        <v>861</v>
      </c>
      <c r="E235" t="s">
        <v>862</v>
      </c>
      <c r="G235" t="s">
        <v>867</v>
      </c>
      <c r="H235" t="s">
        <v>22</v>
      </c>
      <c r="I235" t="s">
        <v>22</v>
      </c>
      <c r="J235" t="s">
        <v>17</v>
      </c>
      <c r="K235">
        <v>100</v>
      </c>
      <c r="L235">
        <v>143</v>
      </c>
      <c r="M235" t="s">
        <v>864</v>
      </c>
      <c r="N235" t="s">
        <v>865</v>
      </c>
      <c r="O235" s="14"/>
      <c r="Q235" t="s">
        <v>633</v>
      </c>
      <c r="S235" t="str">
        <f t="shared" si="13"/>
        <v>wrong</v>
      </c>
      <c r="T235" t="str">
        <f t="shared" si="15"/>
        <v>wrong</v>
      </c>
    </row>
    <row r="236" spans="1:20" x14ac:dyDescent="0.3">
      <c r="A236">
        <v>1084567</v>
      </c>
      <c r="B236" t="s">
        <v>860</v>
      </c>
      <c r="C236" t="s">
        <v>861</v>
      </c>
      <c r="D236" t="s">
        <v>861</v>
      </c>
      <c r="E236" t="s">
        <v>862</v>
      </c>
      <c r="G236" t="s">
        <v>868</v>
      </c>
      <c r="H236" t="s">
        <v>22</v>
      </c>
      <c r="I236" t="s">
        <v>22</v>
      </c>
      <c r="J236" t="s">
        <v>17</v>
      </c>
      <c r="K236">
        <v>100</v>
      </c>
      <c r="L236">
        <v>143</v>
      </c>
      <c r="M236" t="s">
        <v>864</v>
      </c>
      <c r="N236" t="s">
        <v>865</v>
      </c>
      <c r="O236" s="14"/>
      <c r="Q236" t="s">
        <v>633</v>
      </c>
      <c r="S236" t="str">
        <f t="shared" si="13"/>
        <v>wrong</v>
      </c>
      <c r="T236" t="str">
        <f t="shared" si="15"/>
        <v>wrong</v>
      </c>
    </row>
    <row r="237" spans="1:20" x14ac:dyDescent="0.3">
      <c r="A237">
        <v>1084567</v>
      </c>
      <c r="B237" t="s">
        <v>860</v>
      </c>
      <c r="C237" t="s">
        <v>861</v>
      </c>
      <c r="D237" t="s">
        <v>861</v>
      </c>
      <c r="E237" t="s">
        <v>862</v>
      </c>
      <c r="G237" t="s">
        <v>869</v>
      </c>
      <c r="H237" t="s">
        <v>22</v>
      </c>
      <c r="I237" t="s">
        <v>22</v>
      </c>
      <c r="J237" t="s">
        <v>17</v>
      </c>
      <c r="K237">
        <v>100</v>
      </c>
      <c r="L237">
        <v>143</v>
      </c>
      <c r="M237" t="s">
        <v>864</v>
      </c>
      <c r="N237" t="s">
        <v>865</v>
      </c>
      <c r="O237" s="14"/>
      <c r="Q237" t="s">
        <v>633</v>
      </c>
      <c r="S237" t="str">
        <f t="shared" si="13"/>
        <v>wrong</v>
      </c>
      <c r="T237" t="str">
        <f t="shared" si="15"/>
        <v>wrong</v>
      </c>
    </row>
    <row r="238" spans="1:20" x14ac:dyDescent="0.3">
      <c r="A238">
        <v>1084567</v>
      </c>
      <c r="B238" t="s">
        <v>860</v>
      </c>
      <c r="C238" t="s">
        <v>861</v>
      </c>
      <c r="D238" t="s">
        <v>861</v>
      </c>
      <c r="E238" t="s">
        <v>862</v>
      </c>
      <c r="G238" t="s">
        <v>870</v>
      </c>
      <c r="H238" t="s">
        <v>22</v>
      </c>
      <c r="I238" t="s">
        <v>22</v>
      </c>
      <c r="J238" t="s">
        <v>17</v>
      </c>
      <c r="K238">
        <v>100</v>
      </c>
      <c r="L238">
        <v>143</v>
      </c>
      <c r="M238" t="s">
        <v>864</v>
      </c>
      <c r="N238" t="s">
        <v>865</v>
      </c>
      <c r="O238" s="14"/>
      <c r="Q238" t="s">
        <v>633</v>
      </c>
      <c r="S238" t="str">
        <f t="shared" si="13"/>
        <v>wrong</v>
      </c>
      <c r="T238" t="str">
        <f t="shared" si="15"/>
        <v>wrong</v>
      </c>
    </row>
    <row r="239" spans="1:20" x14ac:dyDescent="0.3">
      <c r="A239">
        <v>1084567</v>
      </c>
      <c r="B239" t="s">
        <v>860</v>
      </c>
      <c r="C239" t="s">
        <v>861</v>
      </c>
      <c r="D239" t="s">
        <v>861</v>
      </c>
      <c r="E239" t="s">
        <v>862</v>
      </c>
      <c r="G239" t="s">
        <v>871</v>
      </c>
      <c r="H239" t="s">
        <v>22</v>
      </c>
      <c r="I239" t="s">
        <v>22</v>
      </c>
      <c r="J239" t="s">
        <v>17</v>
      </c>
      <c r="K239">
        <v>100</v>
      </c>
      <c r="L239">
        <v>143</v>
      </c>
      <c r="M239" t="s">
        <v>864</v>
      </c>
      <c r="N239" t="s">
        <v>865</v>
      </c>
      <c r="O239" s="14"/>
      <c r="Q239" t="s">
        <v>633</v>
      </c>
      <c r="S239" t="str">
        <f t="shared" si="13"/>
        <v>wrong</v>
      </c>
      <c r="T239" t="str">
        <f t="shared" si="15"/>
        <v>wrong</v>
      </c>
    </row>
    <row r="240" spans="1:20" x14ac:dyDescent="0.3">
      <c r="A240">
        <v>1084567</v>
      </c>
      <c r="B240" t="s">
        <v>860</v>
      </c>
      <c r="C240" t="s">
        <v>861</v>
      </c>
      <c r="D240" t="s">
        <v>861</v>
      </c>
      <c r="E240" t="s">
        <v>862</v>
      </c>
      <c r="G240" t="s">
        <v>872</v>
      </c>
      <c r="H240" t="s">
        <v>22</v>
      </c>
      <c r="I240" t="s">
        <v>22</v>
      </c>
      <c r="J240" t="s">
        <v>17</v>
      </c>
      <c r="K240">
        <v>100</v>
      </c>
      <c r="L240">
        <v>143</v>
      </c>
      <c r="M240" t="s">
        <v>864</v>
      </c>
      <c r="N240" t="s">
        <v>865</v>
      </c>
      <c r="O240" s="14"/>
      <c r="Q240" t="s">
        <v>633</v>
      </c>
      <c r="S240" t="str">
        <f t="shared" si="13"/>
        <v>wrong</v>
      </c>
      <c r="T240" t="str">
        <f t="shared" si="15"/>
        <v>wrong</v>
      </c>
    </row>
    <row r="241" spans="1:20" x14ac:dyDescent="0.3">
      <c r="A241">
        <v>1084567</v>
      </c>
      <c r="B241" t="s">
        <v>860</v>
      </c>
      <c r="C241" t="s">
        <v>861</v>
      </c>
      <c r="D241" t="s">
        <v>861</v>
      </c>
      <c r="E241" t="s">
        <v>862</v>
      </c>
      <c r="G241" t="s">
        <v>873</v>
      </c>
      <c r="H241" t="s">
        <v>22</v>
      </c>
      <c r="I241" t="s">
        <v>22</v>
      </c>
      <c r="J241" t="s">
        <v>17</v>
      </c>
      <c r="K241">
        <v>100</v>
      </c>
      <c r="L241">
        <v>143</v>
      </c>
      <c r="M241" t="s">
        <v>864</v>
      </c>
      <c r="N241" t="s">
        <v>865</v>
      </c>
      <c r="O241" s="14"/>
      <c r="Q241" t="s">
        <v>633</v>
      </c>
      <c r="S241" t="str">
        <f t="shared" si="13"/>
        <v>wrong</v>
      </c>
      <c r="T241" t="str">
        <f t="shared" si="15"/>
        <v>wrong</v>
      </c>
    </row>
    <row r="242" spans="1:20" x14ac:dyDescent="0.3">
      <c r="A242">
        <v>1084567</v>
      </c>
      <c r="B242" t="s">
        <v>860</v>
      </c>
      <c r="C242" t="s">
        <v>366</v>
      </c>
      <c r="D242" t="s">
        <v>874</v>
      </c>
      <c r="E242" t="s">
        <v>875</v>
      </c>
      <c r="F242" s="17">
        <v>124869430</v>
      </c>
      <c r="G242" t="s">
        <v>876</v>
      </c>
      <c r="H242" t="s">
        <v>22</v>
      </c>
      <c r="I242" t="s">
        <v>22</v>
      </c>
      <c r="J242" t="s">
        <v>17</v>
      </c>
      <c r="K242">
        <v>87</v>
      </c>
      <c r="L242">
        <v>107.2</v>
      </c>
      <c r="M242" t="s">
        <v>877</v>
      </c>
      <c r="N242" t="s">
        <v>878</v>
      </c>
      <c r="O242" s="14"/>
      <c r="P242" t="s">
        <v>879</v>
      </c>
      <c r="Q242" t="s">
        <v>593</v>
      </c>
      <c r="S242" t="str">
        <f t="shared" si="13"/>
        <v>wrong</v>
      </c>
      <c r="T242" t="str">
        <f t="shared" si="15"/>
        <v>wrong</v>
      </c>
    </row>
    <row r="243" spans="1:20" x14ac:dyDescent="0.3">
      <c r="A243">
        <v>1084567</v>
      </c>
      <c r="B243" t="s">
        <v>860</v>
      </c>
      <c r="C243" t="s">
        <v>366</v>
      </c>
      <c r="D243" t="s">
        <v>874</v>
      </c>
      <c r="E243" t="s">
        <v>875</v>
      </c>
      <c r="F243" s="17">
        <v>124869430</v>
      </c>
      <c r="G243" t="s">
        <v>880</v>
      </c>
      <c r="H243" t="s">
        <v>22</v>
      </c>
      <c r="I243" t="s">
        <v>22</v>
      </c>
      <c r="J243" t="s">
        <v>17</v>
      </c>
      <c r="K243">
        <v>87</v>
      </c>
      <c r="L243">
        <v>107.2</v>
      </c>
      <c r="M243" t="s">
        <v>877</v>
      </c>
      <c r="N243" t="s">
        <v>878</v>
      </c>
      <c r="O243" s="14"/>
      <c r="Q243" t="s">
        <v>593</v>
      </c>
      <c r="S243" t="str">
        <f t="shared" si="13"/>
        <v>wrong</v>
      </c>
      <c r="T243" t="str">
        <f t="shared" si="15"/>
        <v>wrong</v>
      </c>
    </row>
    <row r="244" spans="1:20" x14ac:dyDescent="0.3">
      <c r="A244">
        <v>1084567</v>
      </c>
      <c r="B244" t="s">
        <v>860</v>
      </c>
      <c r="C244" t="s">
        <v>881</v>
      </c>
      <c r="D244" t="s">
        <v>881</v>
      </c>
      <c r="E244" t="s">
        <v>882</v>
      </c>
      <c r="H244" t="s">
        <v>22</v>
      </c>
      <c r="I244" t="s">
        <v>22</v>
      </c>
      <c r="J244" t="s">
        <v>17</v>
      </c>
      <c r="K244">
        <v>100</v>
      </c>
      <c r="L244">
        <v>113</v>
      </c>
      <c r="M244" t="s">
        <v>883</v>
      </c>
      <c r="N244" t="s">
        <v>884</v>
      </c>
      <c r="O244" s="14"/>
      <c r="Q244" t="s">
        <v>593</v>
      </c>
      <c r="S244" t="str">
        <f t="shared" si="13"/>
        <v>wrong</v>
      </c>
      <c r="T244" t="str">
        <f t="shared" si="15"/>
        <v>wrong</v>
      </c>
    </row>
    <row r="245" spans="1:20" x14ac:dyDescent="0.3">
      <c r="A245">
        <v>1084567</v>
      </c>
      <c r="B245" t="s">
        <v>860</v>
      </c>
      <c r="C245" t="s">
        <v>885</v>
      </c>
      <c r="H245" t="s">
        <v>16</v>
      </c>
      <c r="I245" t="s">
        <v>16</v>
      </c>
      <c r="J245" t="s">
        <v>17</v>
      </c>
      <c r="K245">
        <v>0</v>
      </c>
      <c r="L245">
        <v>0</v>
      </c>
      <c r="O245" s="12"/>
      <c r="P245" t="s">
        <v>859</v>
      </c>
      <c r="Q245" t="s">
        <v>53</v>
      </c>
      <c r="S245" t="str">
        <f t="shared" si="13"/>
        <v>yes</v>
      </c>
      <c r="T245" t="str">
        <f t="shared" si="15"/>
        <v>yes</v>
      </c>
    </row>
    <row r="246" spans="1:20" x14ac:dyDescent="0.3">
      <c r="A246">
        <v>1084567</v>
      </c>
      <c r="B246" t="s">
        <v>860</v>
      </c>
      <c r="C246" t="s">
        <v>886</v>
      </c>
      <c r="D246" t="s">
        <v>887</v>
      </c>
      <c r="E246" t="s">
        <v>888</v>
      </c>
      <c r="G246" t="s">
        <v>889</v>
      </c>
      <c r="H246" t="s">
        <v>22</v>
      </c>
      <c r="I246" t="s">
        <v>22</v>
      </c>
      <c r="J246" t="s">
        <v>17</v>
      </c>
      <c r="K246">
        <v>95.7</v>
      </c>
      <c r="L246">
        <v>111.4</v>
      </c>
      <c r="O246" s="12"/>
      <c r="P246" t="s">
        <v>859</v>
      </c>
      <c r="Q246" t="s">
        <v>53</v>
      </c>
      <c r="S246" t="str">
        <f t="shared" si="13"/>
        <v>yes</v>
      </c>
      <c r="T246" t="str">
        <f t="shared" si="15"/>
        <v>yes</v>
      </c>
    </row>
    <row r="247" spans="1:20" x14ac:dyDescent="0.3">
      <c r="A247">
        <v>1084567</v>
      </c>
      <c r="B247" t="s">
        <v>860</v>
      </c>
      <c r="C247" t="s">
        <v>886</v>
      </c>
      <c r="D247" t="s">
        <v>887</v>
      </c>
      <c r="E247" t="s">
        <v>888</v>
      </c>
      <c r="G247" t="s">
        <v>890</v>
      </c>
      <c r="H247" t="s">
        <v>22</v>
      </c>
      <c r="I247" t="s">
        <v>22</v>
      </c>
      <c r="J247" t="s">
        <v>17</v>
      </c>
      <c r="K247">
        <v>95.7</v>
      </c>
      <c r="L247">
        <v>111.4</v>
      </c>
      <c r="O247" s="12"/>
      <c r="Q247" t="s">
        <v>53</v>
      </c>
      <c r="S247" t="str">
        <f t="shared" si="13"/>
        <v>yes</v>
      </c>
      <c r="T247" t="str">
        <f t="shared" si="15"/>
        <v>yes</v>
      </c>
    </row>
    <row r="248" spans="1:20" x14ac:dyDescent="0.3">
      <c r="A248">
        <v>1084567</v>
      </c>
      <c r="B248" t="s">
        <v>860</v>
      </c>
      <c r="C248" t="s">
        <v>886</v>
      </c>
      <c r="D248" t="s">
        <v>887</v>
      </c>
      <c r="E248" t="s">
        <v>888</v>
      </c>
      <c r="G248" t="s">
        <v>891</v>
      </c>
      <c r="H248" t="s">
        <v>22</v>
      </c>
      <c r="I248" t="s">
        <v>22</v>
      </c>
      <c r="J248" t="s">
        <v>17</v>
      </c>
      <c r="K248">
        <v>95.7</v>
      </c>
      <c r="L248">
        <v>111.4</v>
      </c>
      <c r="O248" s="12"/>
      <c r="Q248" t="s">
        <v>53</v>
      </c>
      <c r="S248" t="str">
        <f t="shared" si="13"/>
        <v>yes</v>
      </c>
      <c r="T248" t="str">
        <f>IF(S248="","",LOWER(TRIM(S248)))</f>
        <v>yes</v>
      </c>
    </row>
    <row r="249" spans="1:20" x14ac:dyDescent="0.3">
      <c r="A249">
        <v>1084567</v>
      </c>
      <c r="B249" t="s">
        <v>860</v>
      </c>
      <c r="C249" t="s">
        <v>886</v>
      </c>
      <c r="D249" t="s">
        <v>887</v>
      </c>
      <c r="E249" t="s">
        <v>888</v>
      </c>
      <c r="G249" t="s">
        <v>892</v>
      </c>
      <c r="H249" t="s">
        <v>22</v>
      </c>
      <c r="I249" t="s">
        <v>22</v>
      </c>
      <c r="J249" t="s">
        <v>17</v>
      </c>
      <c r="K249">
        <v>95.7</v>
      </c>
      <c r="L249">
        <v>111.4</v>
      </c>
      <c r="O249" s="12"/>
      <c r="Q249" t="s">
        <v>53</v>
      </c>
      <c r="S249" t="str">
        <f t="shared" si="13"/>
        <v>yes</v>
      </c>
      <c r="T249" t="str">
        <f t="shared" ref="T249:T265" si="16">IF(S249="","",LOWER(TRIM(S249)))</f>
        <v>yes</v>
      </c>
    </row>
    <row r="250" spans="1:20" x14ac:dyDescent="0.3">
      <c r="A250">
        <v>1084567</v>
      </c>
      <c r="B250" t="s">
        <v>860</v>
      </c>
      <c r="C250" t="s">
        <v>886</v>
      </c>
      <c r="D250" t="s">
        <v>887</v>
      </c>
      <c r="E250" t="s">
        <v>888</v>
      </c>
      <c r="G250" t="s">
        <v>893</v>
      </c>
      <c r="H250" t="s">
        <v>22</v>
      </c>
      <c r="I250" t="s">
        <v>22</v>
      </c>
      <c r="J250" t="s">
        <v>17</v>
      </c>
      <c r="K250">
        <v>95.7</v>
      </c>
      <c r="L250">
        <v>111.4</v>
      </c>
      <c r="O250" s="12"/>
      <c r="Q250" t="s">
        <v>53</v>
      </c>
      <c r="S250" t="str">
        <f t="shared" si="13"/>
        <v>yes</v>
      </c>
      <c r="T250" t="str">
        <f t="shared" si="16"/>
        <v>yes</v>
      </c>
    </row>
    <row r="251" spans="1:20" x14ac:dyDescent="0.3">
      <c r="A251">
        <v>1084567</v>
      </c>
      <c r="B251" t="s">
        <v>860</v>
      </c>
      <c r="C251" t="s">
        <v>886</v>
      </c>
      <c r="D251" t="s">
        <v>887</v>
      </c>
      <c r="E251" t="s">
        <v>888</v>
      </c>
      <c r="G251" t="s">
        <v>894</v>
      </c>
      <c r="H251" t="s">
        <v>22</v>
      </c>
      <c r="I251" t="s">
        <v>22</v>
      </c>
      <c r="J251" t="s">
        <v>17</v>
      </c>
      <c r="K251">
        <v>95.7</v>
      </c>
      <c r="L251">
        <v>111.4</v>
      </c>
      <c r="O251" s="12"/>
      <c r="Q251" t="s">
        <v>53</v>
      </c>
      <c r="S251" t="str">
        <f t="shared" si="13"/>
        <v>yes</v>
      </c>
      <c r="T251" t="str">
        <f t="shared" si="16"/>
        <v>yes</v>
      </c>
    </row>
    <row r="252" spans="1:20" x14ac:dyDescent="0.3">
      <c r="A252">
        <v>1084567</v>
      </c>
      <c r="B252" t="s">
        <v>860</v>
      </c>
      <c r="C252" t="s">
        <v>886</v>
      </c>
      <c r="D252" t="s">
        <v>887</v>
      </c>
      <c r="E252" t="s">
        <v>888</v>
      </c>
      <c r="G252" t="s">
        <v>895</v>
      </c>
      <c r="H252" t="s">
        <v>22</v>
      </c>
      <c r="I252" t="s">
        <v>22</v>
      </c>
      <c r="J252" t="s">
        <v>17</v>
      </c>
      <c r="K252">
        <v>95.7</v>
      </c>
      <c r="L252">
        <v>111.4</v>
      </c>
      <c r="O252" s="12"/>
      <c r="Q252" t="s">
        <v>53</v>
      </c>
      <c r="S252" t="str">
        <f t="shared" si="13"/>
        <v>yes</v>
      </c>
      <c r="T252" t="str">
        <f t="shared" si="16"/>
        <v>yes</v>
      </c>
    </row>
    <row r="253" spans="1:20" x14ac:dyDescent="0.3">
      <c r="A253">
        <v>1084567</v>
      </c>
      <c r="B253" t="s">
        <v>860</v>
      </c>
      <c r="C253" t="s">
        <v>886</v>
      </c>
      <c r="D253" t="s">
        <v>887</v>
      </c>
      <c r="E253" t="s">
        <v>888</v>
      </c>
      <c r="G253" t="s">
        <v>896</v>
      </c>
      <c r="H253" t="s">
        <v>22</v>
      </c>
      <c r="I253" t="s">
        <v>22</v>
      </c>
      <c r="J253" t="s">
        <v>17</v>
      </c>
      <c r="K253">
        <v>95.7</v>
      </c>
      <c r="L253">
        <v>111.4</v>
      </c>
      <c r="O253" s="12"/>
      <c r="Q253" t="s">
        <v>53</v>
      </c>
      <c r="S253" t="str">
        <f t="shared" si="13"/>
        <v>yes</v>
      </c>
      <c r="T253" t="str">
        <f t="shared" si="16"/>
        <v>yes</v>
      </c>
    </row>
    <row r="254" spans="1:20" x14ac:dyDescent="0.3">
      <c r="A254">
        <v>1084567</v>
      </c>
      <c r="B254" t="s">
        <v>860</v>
      </c>
      <c r="C254" t="s">
        <v>886</v>
      </c>
      <c r="D254" t="s">
        <v>887</v>
      </c>
      <c r="E254" t="s">
        <v>888</v>
      </c>
      <c r="G254" t="s">
        <v>897</v>
      </c>
      <c r="H254" t="s">
        <v>22</v>
      </c>
      <c r="I254" t="s">
        <v>22</v>
      </c>
      <c r="J254" t="s">
        <v>17</v>
      </c>
      <c r="K254">
        <v>95.7</v>
      </c>
      <c r="L254">
        <v>111.4</v>
      </c>
      <c r="O254" s="12"/>
      <c r="Q254" t="s">
        <v>53</v>
      </c>
      <c r="S254" t="str">
        <f>LOWER(TRIM(CLEAN(Q254)))</f>
        <v>yes</v>
      </c>
      <c r="T254" t="str">
        <f t="shared" si="16"/>
        <v>yes</v>
      </c>
    </row>
    <row r="255" spans="1:20" x14ac:dyDescent="0.3">
      <c r="A255">
        <v>1084567</v>
      </c>
      <c r="B255" t="s">
        <v>860</v>
      </c>
      <c r="C255" t="s">
        <v>886</v>
      </c>
      <c r="D255" t="s">
        <v>887</v>
      </c>
      <c r="E255" t="s">
        <v>888</v>
      </c>
      <c r="G255" t="s">
        <v>898</v>
      </c>
      <c r="H255" t="s">
        <v>22</v>
      </c>
      <c r="I255" t="s">
        <v>22</v>
      </c>
      <c r="J255" t="s">
        <v>17</v>
      </c>
      <c r="K255">
        <v>95.7</v>
      </c>
      <c r="L255">
        <v>111.4</v>
      </c>
      <c r="O255" s="12"/>
      <c r="Q255" t="s">
        <v>53</v>
      </c>
      <c r="S255" t="str">
        <f t="shared" si="13"/>
        <v>yes</v>
      </c>
      <c r="T255" t="str">
        <f t="shared" si="16"/>
        <v>yes</v>
      </c>
    </row>
    <row r="256" spans="1:20" x14ac:dyDescent="0.3">
      <c r="A256">
        <v>1084567</v>
      </c>
      <c r="B256" t="s">
        <v>860</v>
      </c>
      <c r="C256" t="s">
        <v>886</v>
      </c>
      <c r="D256" t="s">
        <v>887</v>
      </c>
      <c r="E256" t="s">
        <v>888</v>
      </c>
      <c r="G256" t="s">
        <v>899</v>
      </c>
      <c r="H256" t="s">
        <v>22</v>
      </c>
      <c r="I256" t="s">
        <v>22</v>
      </c>
      <c r="J256" t="s">
        <v>17</v>
      </c>
      <c r="K256">
        <v>95.7</v>
      </c>
      <c r="L256">
        <v>111.4</v>
      </c>
      <c r="O256" s="12"/>
      <c r="Q256" t="s">
        <v>53</v>
      </c>
      <c r="S256" t="str">
        <f>LOWER(TRIM(CLEAN(Q256)))</f>
        <v>yes</v>
      </c>
      <c r="T256" t="str">
        <f t="shared" si="16"/>
        <v>yes</v>
      </c>
    </row>
    <row r="257" spans="1:20" x14ac:dyDescent="0.3">
      <c r="A257">
        <v>1084567</v>
      </c>
      <c r="B257" t="s">
        <v>860</v>
      </c>
      <c r="C257" t="s">
        <v>886</v>
      </c>
      <c r="D257" t="s">
        <v>887</v>
      </c>
      <c r="E257" t="s">
        <v>888</v>
      </c>
      <c r="G257" t="s">
        <v>900</v>
      </c>
      <c r="H257" t="s">
        <v>22</v>
      </c>
      <c r="I257" t="s">
        <v>22</v>
      </c>
      <c r="J257" t="s">
        <v>17</v>
      </c>
      <c r="K257">
        <v>95.7</v>
      </c>
      <c r="L257">
        <v>111.4</v>
      </c>
      <c r="O257" s="12"/>
      <c r="Q257" t="s">
        <v>53</v>
      </c>
      <c r="S257" t="str">
        <f t="shared" ref="S257:S267" si="17">LOWER(TRIM(CLEAN(Q257)))</f>
        <v>yes</v>
      </c>
      <c r="T257" t="str">
        <f t="shared" si="16"/>
        <v>yes</v>
      </c>
    </row>
    <row r="258" spans="1:20" x14ac:dyDescent="0.3">
      <c r="A258">
        <v>1084567</v>
      </c>
      <c r="B258" t="s">
        <v>860</v>
      </c>
      <c r="C258" t="s">
        <v>886</v>
      </c>
      <c r="D258" t="s">
        <v>887</v>
      </c>
      <c r="E258" t="s">
        <v>888</v>
      </c>
      <c r="G258" t="s">
        <v>901</v>
      </c>
      <c r="H258" t="s">
        <v>22</v>
      </c>
      <c r="I258" t="s">
        <v>22</v>
      </c>
      <c r="J258" t="s">
        <v>17</v>
      </c>
      <c r="K258">
        <v>95.7</v>
      </c>
      <c r="L258">
        <v>111.4</v>
      </c>
      <c r="O258" s="12"/>
      <c r="Q258" t="s">
        <v>53</v>
      </c>
      <c r="S258" t="str">
        <f t="shared" si="17"/>
        <v>yes</v>
      </c>
      <c r="T258" t="str">
        <f t="shared" si="16"/>
        <v>yes</v>
      </c>
    </row>
    <row r="259" spans="1:20" x14ac:dyDescent="0.3">
      <c r="A259">
        <v>1084567</v>
      </c>
      <c r="B259" t="s">
        <v>860</v>
      </c>
      <c r="C259" t="s">
        <v>886</v>
      </c>
      <c r="D259" t="s">
        <v>887</v>
      </c>
      <c r="E259" t="s">
        <v>888</v>
      </c>
      <c r="G259" t="s">
        <v>902</v>
      </c>
      <c r="H259" t="s">
        <v>22</v>
      </c>
      <c r="I259" t="s">
        <v>22</v>
      </c>
      <c r="J259" t="s">
        <v>17</v>
      </c>
      <c r="K259">
        <v>95.7</v>
      </c>
      <c r="L259">
        <v>111.4</v>
      </c>
      <c r="O259" s="12"/>
      <c r="Q259" t="s">
        <v>53</v>
      </c>
      <c r="S259" t="str">
        <f t="shared" si="17"/>
        <v>yes</v>
      </c>
      <c r="T259" t="str">
        <f t="shared" si="16"/>
        <v>yes</v>
      </c>
    </row>
    <row r="260" spans="1:20" x14ac:dyDescent="0.3">
      <c r="A260">
        <v>1084567</v>
      </c>
      <c r="B260" t="s">
        <v>860</v>
      </c>
      <c r="C260" t="s">
        <v>886</v>
      </c>
      <c r="D260" t="s">
        <v>887</v>
      </c>
      <c r="E260" t="s">
        <v>888</v>
      </c>
      <c r="G260" t="s">
        <v>903</v>
      </c>
      <c r="H260" t="s">
        <v>22</v>
      </c>
      <c r="I260" t="s">
        <v>22</v>
      </c>
      <c r="J260" t="s">
        <v>17</v>
      </c>
      <c r="K260">
        <v>95.7</v>
      </c>
      <c r="L260">
        <v>111.4</v>
      </c>
      <c r="O260" s="12"/>
      <c r="Q260" t="s">
        <v>53</v>
      </c>
      <c r="S260" t="str">
        <f t="shared" si="17"/>
        <v>yes</v>
      </c>
      <c r="T260" t="str">
        <f t="shared" si="16"/>
        <v>yes</v>
      </c>
    </row>
    <row r="261" spans="1:20" x14ac:dyDescent="0.3">
      <c r="A261">
        <v>1084567</v>
      </c>
      <c r="B261" t="s">
        <v>860</v>
      </c>
      <c r="C261" t="s">
        <v>886</v>
      </c>
      <c r="D261" t="s">
        <v>887</v>
      </c>
      <c r="E261" t="s">
        <v>888</v>
      </c>
      <c r="G261" t="s">
        <v>904</v>
      </c>
      <c r="H261" t="s">
        <v>22</v>
      </c>
      <c r="I261" t="s">
        <v>22</v>
      </c>
      <c r="J261" t="s">
        <v>17</v>
      </c>
      <c r="K261">
        <v>95.7</v>
      </c>
      <c r="L261">
        <v>111.4</v>
      </c>
      <c r="O261" s="12"/>
      <c r="Q261" t="s">
        <v>53</v>
      </c>
      <c r="S261" t="str">
        <f t="shared" si="17"/>
        <v>yes</v>
      </c>
      <c r="T261" t="str">
        <f t="shared" si="16"/>
        <v>yes</v>
      </c>
    </row>
    <row r="262" spans="1:20" x14ac:dyDescent="0.3">
      <c r="A262">
        <v>1084567</v>
      </c>
      <c r="B262" t="s">
        <v>860</v>
      </c>
      <c r="C262" t="s">
        <v>886</v>
      </c>
      <c r="D262" t="s">
        <v>887</v>
      </c>
      <c r="E262" t="s">
        <v>888</v>
      </c>
      <c r="G262" t="s">
        <v>905</v>
      </c>
      <c r="H262" t="s">
        <v>22</v>
      </c>
      <c r="I262" t="s">
        <v>22</v>
      </c>
      <c r="J262" t="s">
        <v>17</v>
      </c>
      <c r="K262">
        <v>95.7</v>
      </c>
      <c r="L262">
        <v>111.4</v>
      </c>
      <c r="O262" s="12"/>
      <c r="Q262" t="s">
        <v>53</v>
      </c>
      <c r="S262" t="str">
        <f t="shared" si="17"/>
        <v>yes</v>
      </c>
      <c r="T262" t="str">
        <f t="shared" si="16"/>
        <v>yes</v>
      </c>
    </row>
    <row r="263" spans="1:20" x14ac:dyDescent="0.3">
      <c r="A263">
        <v>1084567</v>
      </c>
      <c r="B263" t="s">
        <v>860</v>
      </c>
      <c r="C263" t="s">
        <v>886</v>
      </c>
      <c r="D263" t="s">
        <v>887</v>
      </c>
      <c r="E263" t="s">
        <v>888</v>
      </c>
      <c r="G263" t="s">
        <v>906</v>
      </c>
      <c r="H263" t="s">
        <v>22</v>
      </c>
      <c r="I263" t="s">
        <v>22</v>
      </c>
      <c r="J263" t="s">
        <v>17</v>
      </c>
      <c r="K263">
        <v>95.7</v>
      </c>
      <c r="L263">
        <v>111.4</v>
      </c>
      <c r="O263" s="12"/>
      <c r="Q263" t="s">
        <v>53</v>
      </c>
      <c r="S263" t="str">
        <f t="shared" si="17"/>
        <v>yes</v>
      </c>
      <c r="T263" t="str">
        <f t="shared" si="16"/>
        <v>yes</v>
      </c>
    </row>
    <row r="264" spans="1:20" x14ac:dyDescent="0.3">
      <c r="A264">
        <v>1084567</v>
      </c>
      <c r="B264" t="s">
        <v>860</v>
      </c>
      <c r="C264" t="s">
        <v>886</v>
      </c>
      <c r="D264" t="s">
        <v>887</v>
      </c>
      <c r="E264" t="s">
        <v>888</v>
      </c>
      <c r="G264" t="s">
        <v>907</v>
      </c>
      <c r="H264" t="s">
        <v>22</v>
      </c>
      <c r="I264" t="s">
        <v>22</v>
      </c>
      <c r="J264" t="s">
        <v>17</v>
      </c>
      <c r="K264">
        <v>95.7</v>
      </c>
      <c r="L264">
        <v>111.4</v>
      </c>
      <c r="O264" s="12"/>
      <c r="Q264" t="s">
        <v>53</v>
      </c>
      <c r="S264" t="str">
        <f t="shared" si="17"/>
        <v>yes</v>
      </c>
      <c r="T264" t="str">
        <f t="shared" si="16"/>
        <v>yes</v>
      </c>
    </row>
    <row r="265" spans="1:20" x14ac:dyDescent="0.3">
      <c r="A265">
        <v>1084567</v>
      </c>
      <c r="B265" t="s">
        <v>860</v>
      </c>
      <c r="C265" t="s">
        <v>886</v>
      </c>
      <c r="D265" t="s">
        <v>887</v>
      </c>
      <c r="E265" t="s">
        <v>888</v>
      </c>
      <c r="G265" t="s">
        <v>908</v>
      </c>
      <c r="H265" t="s">
        <v>22</v>
      </c>
      <c r="I265" t="s">
        <v>22</v>
      </c>
      <c r="J265" t="s">
        <v>17</v>
      </c>
      <c r="K265">
        <v>95.7</v>
      </c>
      <c r="L265">
        <v>111.4</v>
      </c>
      <c r="O265" s="12"/>
      <c r="Q265" t="s">
        <v>53</v>
      </c>
      <c r="S265" t="str">
        <f t="shared" si="17"/>
        <v>yes</v>
      </c>
      <c r="T265" t="str">
        <f t="shared" si="16"/>
        <v>yes</v>
      </c>
    </row>
    <row r="266" spans="1:20" x14ac:dyDescent="0.3">
      <c r="A266">
        <v>1084567</v>
      </c>
      <c r="B266" t="s">
        <v>860</v>
      </c>
      <c r="C266" t="s">
        <v>886</v>
      </c>
      <c r="D266" t="s">
        <v>887</v>
      </c>
      <c r="E266" t="s">
        <v>888</v>
      </c>
      <c r="G266" t="s">
        <v>909</v>
      </c>
      <c r="H266" t="s">
        <v>22</v>
      </c>
      <c r="I266" t="s">
        <v>22</v>
      </c>
      <c r="J266" t="s">
        <v>17</v>
      </c>
      <c r="K266">
        <v>95.7</v>
      </c>
      <c r="L266">
        <v>111.4</v>
      </c>
      <c r="O266" s="12"/>
      <c r="Q266" t="s">
        <v>53</v>
      </c>
      <c r="S266" t="str">
        <f t="shared" si="17"/>
        <v>yes</v>
      </c>
      <c r="T266" t="str">
        <f>IF(S266="","",LOWER(TRIM(S266)))</f>
        <v>yes</v>
      </c>
    </row>
    <row r="267" spans="1:20" x14ac:dyDescent="0.3">
      <c r="A267">
        <v>1084567</v>
      </c>
      <c r="B267" t="s">
        <v>860</v>
      </c>
      <c r="C267" t="s">
        <v>886</v>
      </c>
      <c r="D267" t="s">
        <v>887</v>
      </c>
      <c r="E267" t="s">
        <v>888</v>
      </c>
      <c r="G267" t="s">
        <v>910</v>
      </c>
      <c r="H267" t="s">
        <v>22</v>
      </c>
      <c r="I267" t="s">
        <v>22</v>
      </c>
      <c r="J267" t="s">
        <v>17</v>
      </c>
      <c r="K267">
        <v>95.7</v>
      </c>
      <c r="L267">
        <v>111.4</v>
      </c>
      <c r="O267" s="12"/>
      <c r="Q267" t="s">
        <v>53</v>
      </c>
      <c r="S267" t="str">
        <f t="shared" si="17"/>
        <v>yes</v>
      </c>
      <c r="T267" t="str">
        <f t="shared" ref="T267:T282" si="18">IF(S267="","",LOWER(TRIM(S267)))</f>
        <v>yes</v>
      </c>
    </row>
    <row r="268" spans="1:20" x14ac:dyDescent="0.3">
      <c r="A268">
        <v>1084567</v>
      </c>
      <c r="B268" t="s">
        <v>860</v>
      </c>
      <c r="C268" t="s">
        <v>886</v>
      </c>
      <c r="D268" t="s">
        <v>887</v>
      </c>
      <c r="E268" t="s">
        <v>888</v>
      </c>
      <c r="G268" t="s">
        <v>911</v>
      </c>
      <c r="H268" t="s">
        <v>22</v>
      </c>
      <c r="I268" t="s">
        <v>22</v>
      </c>
      <c r="J268" t="s">
        <v>17</v>
      </c>
      <c r="K268">
        <v>95.7</v>
      </c>
      <c r="L268">
        <v>111.4</v>
      </c>
      <c r="O268" s="12"/>
      <c r="Q268" t="s">
        <v>53</v>
      </c>
      <c r="S268" t="str">
        <f>LOWER(TRIM(CLEAN(Q268)))</f>
        <v>yes</v>
      </c>
      <c r="T268" t="str">
        <f t="shared" si="18"/>
        <v>yes</v>
      </c>
    </row>
    <row r="269" spans="1:20" x14ac:dyDescent="0.3">
      <c r="A269">
        <v>1084567</v>
      </c>
      <c r="B269" t="s">
        <v>860</v>
      </c>
      <c r="C269" t="s">
        <v>886</v>
      </c>
      <c r="D269" t="s">
        <v>887</v>
      </c>
      <c r="E269" t="s">
        <v>888</v>
      </c>
      <c r="G269" t="s">
        <v>912</v>
      </c>
      <c r="H269" t="s">
        <v>22</v>
      </c>
      <c r="I269" t="s">
        <v>22</v>
      </c>
      <c r="J269" t="s">
        <v>17</v>
      </c>
      <c r="K269">
        <v>95.7</v>
      </c>
      <c r="L269">
        <v>111.4</v>
      </c>
      <c r="O269" s="12"/>
      <c r="Q269" t="s">
        <v>53</v>
      </c>
      <c r="S269" t="str">
        <f t="shared" ref="S269:S313" si="19">LOWER(TRIM(CLEAN(Q269)))</f>
        <v>yes</v>
      </c>
      <c r="T269" t="str">
        <f t="shared" si="18"/>
        <v>yes</v>
      </c>
    </row>
    <row r="270" spans="1:20" x14ac:dyDescent="0.3">
      <c r="A270">
        <v>1084567</v>
      </c>
      <c r="B270" t="s">
        <v>860</v>
      </c>
      <c r="C270" t="s">
        <v>886</v>
      </c>
      <c r="D270" t="s">
        <v>887</v>
      </c>
      <c r="E270" t="s">
        <v>888</v>
      </c>
      <c r="G270" t="s">
        <v>913</v>
      </c>
      <c r="H270" t="s">
        <v>22</v>
      </c>
      <c r="I270" t="s">
        <v>22</v>
      </c>
      <c r="J270" t="s">
        <v>17</v>
      </c>
      <c r="K270">
        <v>95.7</v>
      </c>
      <c r="L270">
        <v>111.4</v>
      </c>
      <c r="O270" s="12"/>
      <c r="Q270" t="s">
        <v>53</v>
      </c>
      <c r="S270" t="str">
        <f t="shared" si="19"/>
        <v>yes</v>
      </c>
      <c r="T270" t="str">
        <f t="shared" si="18"/>
        <v>yes</v>
      </c>
    </row>
    <row r="271" spans="1:20" x14ac:dyDescent="0.3">
      <c r="A271">
        <v>1084567</v>
      </c>
      <c r="B271" t="s">
        <v>860</v>
      </c>
      <c r="C271" t="s">
        <v>886</v>
      </c>
      <c r="D271" t="s">
        <v>887</v>
      </c>
      <c r="E271" t="s">
        <v>888</v>
      </c>
      <c r="G271" t="s">
        <v>914</v>
      </c>
      <c r="H271" t="s">
        <v>22</v>
      </c>
      <c r="I271" t="s">
        <v>22</v>
      </c>
      <c r="J271" t="s">
        <v>17</v>
      </c>
      <c r="K271">
        <v>95.7</v>
      </c>
      <c r="L271">
        <v>111.4</v>
      </c>
      <c r="O271" s="12"/>
      <c r="Q271" t="s">
        <v>53</v>
      </c>
      <c r="S271" t="str">
        <f t="shared" si="19"/>
        <v>yes</v>
      </c>
      <c r="T271" t="str">
        <f t="shared" si="18"/>
        <v>yes</v>
      </c>
    </row>
    <row r="272" spans="1:20" x14ac:dyDescent="0.3">
      <c r="A272">
        <v>1084567</v>
      </c>
      <c r="B272" t="s">
        <v>860</v>
      </c>
      <c r="C272" t="s">
        <v>886</v>
      </c>
      <c r="D272" t="s">
        <v>887</v>
      </c>
      <c r="E272" t="s">
        <v>888</v>
      </c>
      <c r="G272" t="s">
        <v>915</v>
      </c>
      <c r="H272" t="s">
        <v>22</v>
      </c>
      <c r="I272" t="s">
        <v>22</v>
      </c>
      <c r="J272" t="s">
        <v>17</v>
      </c>
      <c r="K272">
        <v>95.7</v>
      </c>
      <c r="L272">
        <v>111.4</v>
      </c>
      <c r="O272" s="12"/>
      <c r="Q272" t="s">
        <v>53</v>
      </c>
      <c r="S272" t="str">
        <f t="shared" si="19"/>
        <v>yes</v>
      </c>
      <c r="T272" t="str">
        <f t="shared" si="18"/>
        <v>yes</v>
      </c>
    </row>
    <row r="273" spans="1:20" x14ac:dyDescent="0.3">
      <c r="A273">
        <v>1084567</v>
      </c>
      <c r="B273" t="s">
        <v>860</v>
      </c>
      <c r="C273" t="s">
        <v>886</v>
      </c>
      <c r="D273" t="s">
        <v>887</v>
      </c>
      <c r="E273" t="s">
        <v>888</v>
      </c>
      <c r="G273" t="s">
        <v>916</v>
      </c>
      <c r="H273" t="s">
        <v>22</v>
      </c>
      <c r="I273" t="s">
        <v>22</v>
      </c>
      <c r="J273" t="s">
        <v>17</v>
      </c>
      <c r="K273">
        <v>95.7</v>
      </c>
      <c r="L273">
        <v>111.4</v>
      </c>
      <c r="O273" s="12"/>
      <c r="Q273" t="s">
        <v>53</v>
      </c>
      <c r="S273" t="str">
        <f t="shared" si="19"/>
        <v>yes</v>
      </c>
      <c r="T273" t="str">
        <f t="shared" si="18"/>
        <v>yes</v>
      </c>
    </row>
    <row r="274" spans="1:20" x14ac:dyDescent="0.3">
      <c r="A274">
        <v>1084567</v>
      </c>
      <c r="B274" t="s">
        <v>860</v>
      </c>
      <c r="C274" t="s">
        <v>886</v>
      </c>
      <c r="D274" t="s">
        <v>887</v>
      </c>
      <c r="E274" t="s">
        <v>888</v>
      </c>
      <c r="G274" t="s">
        <v>917</v>
      </c>
      <c r="H274" t="s">
        <v>22</v>
      </c>
      <c r="I274" t="s">
        <v>22</v>
      </c>
      <c r="J274" t="s">
        <v>17</v>
      </c>
      <c r="K274">
        <v>95.7</v>
      </c>
      <c r="L274">
        <v>111.4</v>
      </c>
      <c r="O274" s="12"/>
      <c r="Q274" t="s">
        <v>53</v>
      </c>
      <c r="S274" t="str">
        <f t="shared" si="19"/>
        <v>yes</v>
      </c>
      <c r="T274" t="str">
        <f t="shared" si="18"/>
        <v>yes</v>
      </c>
    </row>
    <row r="275" spans="1:20" x14ac:dyDescent="0.3">
      <c r="A275">
        <v>1084567</v>
      </c>
      <c r="B275" t="s">
        <v>860</v>
      </c>
      <c r="C275" t="s">
        <v>886</v>
      </c>
      <c r="D275" t="s">
        <v>887</v>
      </c>
      <c r="E275" t="s">
        <v>888</v>
      </c>
      <c r="G275" t="s">
        <v>918</v>
      </c>
      <c r="H275" t="s">
        <v>22</v>
      </c>
      <c r="I275" t="s">
        <v>22</v>
      </c>
      <c r="J275" t="s">
        <v>17</v>
      </c>
      <c r="K275">
        <v>95.7</v>
      </c>
      <c r="L275">
        <v>111.4</v>
      </c>
      <c r="O275" s="12"/>
      <c r="Q275" t="s">
        <v>53</v>
      </c>
      <c r="S275" t="str">
        <f t="shared" si="19"/>
        <v>yes</v>
      </c>
      <c r="T275" t="str">
        <f t="shared" si="18"/>
        <v>yes</v>
      </c>
    </row>
    <row r="276" spans="1:20" x14ac:dyDescent="0.3">
      <c r="A276">
        <v>1084567</v>
      </c>
      <c r="B276" t="s">
        <v>860</v>
      </c>
      <c r="C276" t="s">
        <v>886</v>
      </c>
      <c r="D276" t="s">
        <v>887</v>
      </c>
      <c r="E276" t="s">
        <v>888</v>
      </c>
      <c r="G276" t="s">
        <v>919</v>
      </c>
      <c r="H276" t="s">
        <v>22</v>
      </c>
      <c r="I276" t="s">
        <v>22</v>
      </c>
      <c r="J276" t="s">
        <v>17</v>
      </c>
      <c r="K276">
        <v>95.7</v>
      </c>
      <c r="L276">
        <v>111.4</v>
      </c>
      <c r="O276" s="12"/>
      <c r="Q276" t="s">
        <v>53</v>
      </c>
      <c r="S276" t="str">
        <f t="shared" si="19"/>
        <v>yes</v>
      </c>
      <c r="T276" t="str">
        <f t="shared" si="18"/>
        <v>yes</v>
      </c>
    </row>
    <row r="277" spans="1:20" x14ac:dyDescent="0.3">
      <c r="A277">
        <v>1084567</v>
      </c>
      <c r="B277" t="s">
        <v>860</v>
      </c>
      <c r="C277" t="s">
        <v>886</v>
      </c>
      <c r="D277" t="s">
        <v>887</v>
      </c>
      <c r="E277" t="s">
        <v>888</v>
      </c>
      <c r="G277" t="s">
        <v>920</v>
      </c>
      <c r="H277" t="s">
        <v>22</v>
      </c>
      <c r="I277" t="s">
        <v>22</v>
      </c>
      <c r="J277" t="s">
        <v>17</v>
      </c>
      <c r="K277">
        <v>95.7</v>
      </c>
      <c r="L277">
        <v>111.4</v>
      </c>
      <c r="O277" s="12"/>
      <c r="Q277" t="s">
        <v>53</v>
      </c>
      <c r="S277" t="str">
        <f t="shared" si="19"/>
        <v>yes</v>
      </c>
      <c r="T277" t="str">
        <f t="shared" si="18"/>
        <v>yes</v>
      </c>
    </row>
    <row r="278" spans="1:20" x14ac:dyDescent="0.3">
      <c r="A278">
        <v>1084567</v>
      </c>
      <c r="B278" t="s">
        <v>860</v>
      </c>
      <c r="C278" t="s">
        <v>886</v>
      </c>
      <c r="D278" t="s">
        <v>887</v>
      </c>
      <c r="E278" t="s">
        <v>888</v>
      </c>
      <c r="G278" t="s">
        <v>921</v>
      </c>
      <c r="H278" t="s">
        <v>22</v>
      </c>
      <c r="I278" t="s">
        <v>22</v>
      </c>
      <c r="J278" t="s">
        <v>17</v>
      </c>
      <c r="K278">
        <v>95.7</v>
      </c>
      <c r="L278">
        <v>111.4</v>
      </c>
      <c r="O278" s="12"/>
      <c r="Q278" t="s">
        <v>53</v>
      </c>
      <c r="S278" t="str">
        <f t="shared" si="19"/>
        <v>yes</v>
      </c>
      <c r="T278" t="str">
        <f t="shared" si="18"/>
        <v>yes</v>
      </c>
    </row>
    <row r="279" spans="1:20" x14ac:dyDescent="0.3">
      <c r="A279">
        <v>1084567</v>
      </c>
      <c r="B279" t="s">
        <v>860</v>
      </c>
      <c r="C279" t="s">
        <v>886</v>
      </c>
      <c r="D279" t="s">
        <v>887</v>
      </c>
      <c r="E279" t="s">
        <v>888</v>
      </c>
      <c r="G279" t="s">
        <v>922</v>
      </c>
      <c r="H279" t="s">
        <v>22</v>
      </c>
      <c r="I279" t="s">
        <v>22</v>
      </c>
      <c r="J279" t="s">
        <v>17</v>
      </c>
      <c r="K279">
        <v>95.7</v>
      </c>
      <c r="L279">
        <v>111.4</v>
      </c>
      <c r="O279" s="12"/>
      <c r="Q279" t="s">
        <v>53</v>
      </c>
      <c r="S279" t="str">
        <f t="shared" si="19"/>
        <v>yes</v>
      </c>
      <c r="T279" t="str">
        <f t="shared" si="18"/>
        <v>yes</v>
      </c>
    </row>
    <row r="280" spans="1:20" x14ac:dyDescent="0.3">
      <c r="A280">
        <v>1084567</v>
      </c>
      <c r="B280" t="s">
        <v>860</v>
      </c>
      <c r="C280" t="s">
        <v>886</v>
      </c>
      <c r="D280" t="s">
        <v>887</v>
      </c>
      <c r="E280" t="s">
        <v>888</v>
      </c>
      <c r="G280" t="s">
        <v>923</v>
      </c>
      <c r="H280" t="s">
        <v>22</v>
      </c>
      <c r="I280" t="s">
        <v>22</v>
      </c>
      <c r="J280" t="s">
        <v>17</v>
      </c>
      <c r="K280">
        <v>95.7</v>
      </c>
      <c r="L280">
        <v>111.4</v>
      </c>
      <c r="O280" s="12"/>
      <c r="Q280" t="s">
        <v>53</v>
      </c>
      <c r="S280" t="str">
        <f t="shared" si="19"/>
        <v>yes</v>
      </c>
      <c r="T280" t="str">
        <f t="shared" si="18"/>
        <v>yes</v>
      </c>
    </row>
    <row r="281" spans="1:20" x14ac:dyDescent="0.3">
      <c r="A281">
        <v>1084567</v>
      </c>
      <c r="B281" t="s">
        <v>860</v>
      </c>
      <c r="C281" t="s">
        <v>924</v>
      </c>
      <c r="H281" t="s">
        <v>16</v>
      </c>
      <c r="I281" t="s">
        <v>16</v>
      </c>
      <c r="J281" t="s">
        <v>17</v>
      </c>
      <c r="K281">
        <v>0</v>
      </c>
      <c r="L281">
        <v>0</v>
      </c>
      <c r="O281" s="12"/>
      <c r="P281" t="s">
        <v>858</v>
      </c>
      <c r="Q281" t="s">
        <v>53</v>
      </c>
      <c r="S281" t="str">
        <f t="shared" si="19"/>
        <v>yes</v>
      </c>
      <c r="T281" t="str">
        <f t="shared" si="18"/>
        <v>yes</v>
      </c>
    </row>
    <row r="282" spans="1:20" x14ac:dyDescent="0.3">
      <c r="A282">
        <v>1084567</v>
      </c>
      <c r="B282" t="s">
        <v>860</v>
      </c>
      <c r="C282" t="s">
        <v>925</v>
      </c>
      <c r="D282" t="s">
        <v>925</v>
      </c>
      <c r="E282" t="s">
        <v>926</v>
      </c>
      <c r="H282" t="s">
        <v>22</v>
      </c>
      <c r="I282" t="s">
        <v>22</v>
      </c>
      <c r="J282" t="s">
        <v>17</v>
      </c>
      <c r="K282">
        <v>100</v>
      </c>
      <c r="L282">
        <v>111</v>
      </c>
      <c r="M282" t="s">
        <v>927</v>
      </c>
      <c r="N282" t="s">
        <v>928</v>
      </c>
      <c r="O282" s="14"/>
      <c r="Q282" t="s">
        <v>593</v>
      </c>
      <c r="S282" t="str">
        <f t="shared" si="19"/>
        <v>wrong</v>
      </c>
      <c r="T282" t="str">
        <f t="shared" si="18"/>
        <v>wrong</v>
      </c>
    </row>
    <row r="283" spans="1:20" x14ac:dyDescent="0.3">
      <c r="A283">
        <v>1084567</v>
      </c>
      <c r="B283" t="s">
        <v>860</v>
      </c>
      <c r="C283" t="s">
        <v>929</v>
      </c>
      <c r="D283" t="s">
        <v>930</v>
      </c>
      <c r="E283" t="s">
        <v>931</v>
      </c>
      <c r="G283" t="s">
        <v>932</v>
      </c>
      <c r="H283" t="s">
        <v>22</v>
      </c>
      <c r="I283" t="s">
        <v>22</v>
      </c>
      <c r="J283" t="s">
        <v>17</v>
      </c>
      <c r="K283">
        <v>90</v>
      </c>
      <c r="L283">
        <v>107</v>
      </c>
      <c r="O283" s="14"/>
      <c r="P283" t="s">
        <v>933</v>
      </c>
      <c r="Q283" t="s">
        <v>593</v>
      </c>
      <c r="S283" t="str">
        <f t="shared" si="19"/>
        <v>wrong</v>
      </c>
      <c r="T283" t="str">
        <f>IF(S283="","",LOWER(TRIM(S283)))</f>
        <v>wrong</v>
      </c>
    </row>
    <row r="284" spans="1:20" x14ac:dyDescent="0.3">
      <c r="A284">
        <v>1084567</v>
      </c>
      <c r="B284" t="s">
        <v>860</v>
      </c>
      <c r="C284" t="s">
        <v>929</v>
      </c>
      <c r="D284" t="s">
        <v>930</v>
      </c>
      <c r="E284" t="s">
        <v>931</v>
      </c>
      <c r="G284" t="s">
        <v>934</v>
      </c>
      <c r="H284" t="s">
        <v>22</v>
      </c>
      <c r="I284" t="s">
        <v>22</v>
      </c>
      <c r="J284" t="s">
        <v>17</v>
      </c>
      <c r="K284">
        <v>90</v>
      </c>
      <c r="L284">
        <v>107</v>
      </c>
      <c r="O284" s="14"/>
      <c r="Q284" t="s">
        <v>593</v>
      </c>
      <c r="S284" t="str">
        <f t="shared" si="19"/>
        <v>wrong</v>
      </c>
      <c r="T284" t="str">
        <f t="shared" ref="T284:T299" si="20">IF(S284="","",LOWER(TRIM(S284)))</f>
        <v>wrong</v>
      </c>
    </row>
    <row r="285" spans="1:20" x14ac:dyDescent="0.3">
      <c r="A285">
        <v>1084567</v>
      </c>
      <c r="B285" t="s">
        <v>860</v>
      </c>
      <c r="C285" t="s">
        <v>929</v>
      </c>
      <c r="D285" t="s">
        <v>930</v>
      </c>
      <c r="E285" t="s">
        <v>931</v>
      </c>
      <c r="G285" t="s">
        <v>935</v>
      </c>
      <c r="H285" t="s">
        <v>22</v>
      </c>
      <c r="I285" t="s">
        <v>22</v>
      </c>
      <c r="J285" t="s">
        <v>17</v>
      </c>
      <c r="K285">
        <v>90</v>
      </c>
      <c r="L285">
        <v>107</v>
      </c>
      <c r="O285" s="14"/>
      <c r="Q285" t="s">
        <v>593</v>
      </c>
      <c r="S285" t="str">
        <f t="shared" si="19"/>
        <v>wrong</v>
      </c>
      <c r="T285" t="str">
        <f t="shared" si="20"/>
        <v>wrong</v>
      </c>
    </row>
    <row r="286" spans="1:20" x14ac:dyDescent="0.3">
      <c r="A286">
        <v>1084567</v>
      </c>
      <c r="B286" t="s">
        <v>860</v>
      </c>
      <c r="C286" t="s">
        <v>929</v>
      </c>
      <c r="D286" t="s">
        <v>930</v>
      </c>
      <c r="E286" t="s">
        <v>931</v>
      </c>
      <c r="G286" t="s">
        <v>936</v>
      </c>
      <c r="H286" t="s">
        <v>22</v>
      </c>
      <c r="I286" t="s">
        <v>22</v>
      </c>
      <c r="J286" t="s">
        <v>17</v>
      </c>
      <c r="K286">
        <v>90</v>
      </c>
      <c r="L286">
        <v>107</v>
      </c>
      <c r="O286" s="14"/>
      <c r="Q286" t="s">
        <v>593</v>
      </c>
      <c r="S286" t="str">
        <f t="shared" si="19"/>
        <v>wrong</v>
      </c>
      <c r="T286" t="str">
        <f t="shared" si="20"/>
        <v>wrong</v>
      </c>
    </row>
    <row r="287" spans="1:20" x14ac:dyDescent="0.3">
      <c r="A287">
        <v>1084567</v>
      </c>
      <c r="B287" t="s">
        <v>860</v>
      </c>
      <c r="C287" t="s">
        <v>929</v>
      </c>
      <c r="D287" t="s">
        <v>930</v>
      </c>
      <c r="E287" t="s">
        <v>931</v>
      </c>
      <c r="G287" t="s">
        <v>937</v>
      </c>
      <c r="H287" t="s">
        <v>22</v>
      </c>
      <c r="I287" t="s">
        <v>22</v>
      </c>
      <c r="J287" t="s">
        <v>17</v>
      </c>
      <c r="K287">
        <v>90</v>
      </c>
      <c r="L287">
        <v>107</v>
      </c>
      <c r="O287" s="14"/>
      <c r="Q287" t="s">
        <v>593</v>
      </c>
      <c r="S287" t="str">
        <f t="shared" si="19"/>
        <v>wrong</v>
      </c>
      <c r="T287" t="str">
        <f t="shared" si="20"/>
        <v>wrong</v>
      </c>
    </row>
    <row r="288" spans="1:20" x14ac:dyDescent="0.3">
      <c r="A288">
        <v>1092881</v>
      </c>
      <c r="B288" t="s">
        <v>938</v>
      </c>
      <c r="C288" t="s">
        <v>939</v>
      </c>
      <c r="D288" t="s">
        <v>940</v>
      </c>
      <c r="E288" t="s">
        <v>941</v>
      </c>
      <c r="F288" s="17">
        <v>119452384</v>
      </c>
      <c r="G288" t="s">
        <v>942</v>
      </c>
      <c r="H288" t="s">
        <v>22</v>
      </c>
      <c r="I288" t="s">
        <v>22</v>
      </c>
      <c r="J288" t="s">
        <v>17</v>
      </c>
      <c r="K288">
        <v>87.5</v>
      </c>
      <c r="L288">
        <v>133.5</v>
      </c>
      <c r="M288" t="s">
        <v>943</v>
      </c>
      <c r="N288" t="s">
        <v>944</v>
      </c>
      <c r="O288" s="14"/>
      <c r="Q288" t="s">
        <v>633</v>
      </c>
      <c r="S288" t="str">
        <f t="shared" si="19"/>
        <v>wrong</v>
      </c>
      <c r="T288" t="str">
        <f t="shared" si="20"/>
        <v>wrong</v>
      </c>
    </row>
    <row r="289" spans="1:20" x14ac:dyDescent="0.3">
      <c r="A289">
        <v>1092881</v>
      </c>
      <c r="B289" t="s">
        <v>938</v>
      </c>
      <c r="C289" t="s">
        <v>939</v>
      </c>
      <c r="D289" t="s">
        <v>940</v>
      </c>
      <c r="E289" t="s">
        <v>941</v>
      </c>
      <c r="F289" s="17">
        <v>119452384</v>
      </c>
      <c r="G289" t="s">
        <v>945</v>
      </c>
      <c r="H289" t="s">
        <v>22</v>
      </c>
      <c r="I289" t="s">
        <v>22</v>
      </c>
      <c r="J289" t="s">
        <v>17</v>
      </c>
      <c r="K289">
        <v>87.5</v>
      </c>
      <c r="L289">
        <v>133.5</v>
      </c>
      <c r="M289" t="s">
        <v>943</v>
      </c>
      <c r="N289" t="s">
        <v>944</v>
      </c>
      <c r="O289" s="14"/>
      <c r="Q289" t="s">
        <v>633</v>
      </c>
      <c r="S289" t="str">
        <f t="shared" si="19"/>
        <v>wrong</v>
      </c>
      <c r="T289" t="str">
        <f t="shared" si="20"/>
        <v>wrong</v>
      </c>
    </row>
    <row r="290" spans="1:20" x14ac:dyDescent="0.3">
      <c r="A290">
        <v>1092881</v>
      </c>
      <c r="B290" t="s">
        <v>938</v>
      </c>
      <c r="C290" t="s">
        <v>946</v>
      </c>
      <c r="D290" t="s">
        <v>947</v>
      </c>
      <c r="E290" t="s">
        <v>948</v>
      </c>
      <c r="F290" s="17" t="s">
        <v>949</v>
      </c>
      <c r="G290" t="s">
        <v>950</v>
      </c>
      <c r="H290" t="s">
        <v>22</v>
      </c>
      <c r="I290" t="s">
        <v>22</v>
      </c>
      <c r="J290" t="s">
        <v>17</v>
      </c>
      <c r="K290">
        <v>85.7</v>
      </c>
      <c r="L290">
        <v>132.4</v>
      </c>
      <c r="M290" t="s">
        <v>951</v>
      </c>
      <c r="N290" t="s">
        <v>952</v>
      </c>
      <c r="O290" s="14"/>
      <c r="Q290" t="s">
        <v>593</v>
      </c>
      <c r="S290" t="str">
        <f t="shared" si="19"/>
        <v>wrong</v>
      </c>
      <c r="T290" t="str">
        <f t="shared" si="20"/>
        <v>wrong</v>
      </c>
    </row>
    <row r="291" spans="1:20" x14ac:dyDescent="0.3">
      <c r="A291">
        <v>1092881</v>
      </c>
      <c r="B291" t="s">
        <v>938</v>
      </c>
      <c r="C291" t="s">
        <v>946</v>
      </c>
      <c r="D291" t="s">
        <v>947</v>
      </c>
      <c r="E291" t="s">
        <v>948</v>
      </c>
      <c r="F291" s="17" t="s">
        <v>949</v>
      </c>
      <c r="G291" t="s">
        <v>953</v>
      </c>
      <c r="H291" t="s">
        <v>22</v>
      </c>
      <c r="I291" t="s">
        <v>22</v>
      </c>
      <c r="J291" t="s">
        <v>17</v>
      </c>
      <c r="K291">
        <v>85.7</v>
      </c>
      <c r="L291">
        <v>132.4</v>
      </c>
      <c r="M291" t="s">
        <v>951</v>
      </c>
      <c r="N291" t="s">
        <v>952</v>
      </c>
      <c r="O291" s="14"/>
      <c r="Q291" t="s">
        <v>593</v>
      </c>
      <c r="S291" t="str">
        <f t="shared" si="19"/>
        <v>wrong</v>
      </c>
      <c r="T291" t="str">
        <f t="shared" si="20"/>
        <v>wrong</v>
      </c>
    </row>
    <row r="292" spans="1:20" x14ac:dyDescent="0.3">
      <c r="A292">
        <v>1092881</v>
      </c>
      <c r="B292" t="s">
        <v>938</v>
      </c>
      <c r="C292" t="s">
        <v>946</v>
      </c>
      <c r="D292" t="s">
        <v>947</v>
      </c>
      <c r="E292" t="s">
        <v>948</v>
      </c>
      <c r="F292" s="17" t="s">
        <v>949</v>
      </c>
      <c r="G292" t="s">
        <v>954</v>
      </c>
      <c r="H292" t="s">
        <v>22</v>
      </c>
      <c r="I292" t="s">
        <v>22</v>
      </c>
      <c r="J292" t="s">
        <v>17</v>
      </c>
      <c r="K292">
        <v>85.7</v>
      </c>
      <c r="L292">
        <v>132.4</v>
      </c>
      <c r="M292" t="s">
        <v>951</v>
      </c>
      <c r="N292" t="s">
        <v>952</v>
      </c>
      <c r="O292" s="14"/>
      <c r="Q292" t="s">
        <v>593</v>
      </c>
      <c r="S292" t="str">
        <f t="shared" si="19"/>
        <v>wrong</v>
      </c>
      <c r="T292" t="str">
        <f t="shared" si="20"/>
        <v>wrong</v>
      </c>
    </row>
    <row r="293" spans="1:20" x14ac:dyDescent="0.3">
      <c r="A293">
        <v>1092881</v>
      </c>
      <c r="B293" t="s">
        <v>938</v>
      </c>
      <c r="C293" t="s">
        <v>946</v>
      </c>
      <c r="D293" t="s">
        <v>947</v>
      </c>
      <c r="E293" t="s">
        <v>948</v>
      </c>
      <c r="F293" s="17" t="s">
        <v>949</v>
      </c>
      <c r="G293" t="s">
        <v>955</v>
      </c>
      <c r="H293" t="s">
        <v>22</v>
      </c>
      <c r="I293" t="s">
        <v>22</v>
      </c>
      <c r="J293" t="s">
        <v>17</v>
      </c>
      <c r="K293">
        <v>85.7</v>
      </c>
      <c r="L293">
        <v>132.4</v>
      </c>
      <c r="M293" t="s">
        <v>951</v>
      </c>
      <c r="N293" t="s">
        <v>952</v>
      </c>
      <c r="O293" s="14"/>
      <c r="Q293" t="s">
        <v>593</v>
      </c>
      <c r="S293" t="str">
        <f t="shared" si="19"/>
        <v>wrong</v>
      </c>
      <c r="T293" t="str">
        <f t="shared" si="20"/>
        <v>wrong</v>
      </c>
    </row>
    <row r="294" spans="1:20" x14ac:dyDescent="0.3">
      <c r="A294">
        <v>1092881</v>
      </c>
      <c r="B294" t="s">
        <v>938</v>
      </c>
      <c r="C294" t="s">
        <v>946</v>
      </c>
      <c r="D294" t="s">
        <v>947</v>
      </c>
      <c r="E294" t="s">
        <v>948</v>
      </c>
      <c r="F294" s="17" t="s">
        <v>949</v>
      </c>
      <c r="G294" t="s">
        <v>956</v>
      </c>
      <c r="H294" t="s">
        <v>22</v>
      </c>
      <c r="I294" t="s">
        <v>22</v>
      </c>
      <c r="J294" t="s">
        <v>17</v>
      </c>
      <c r="K294">
        <v>85.7</v>
      </c>
      <c r="L294">
        <v>132.4</v>
      </c>
      <c r="M294" t="s">
        <v>951</v>
      </c>
      <c r="N294" t="s">
        <v>952</v>
      </c>
      <c r="O294" s="14"/>
      <c r="Q294" t="s">
        <v>593</v>
      </c>
      <c r="S294" t="str">
        <f>LOWER(TRIM(CLEAN(Q294)))</f>
        <v>wrong</v>
      </c>
      <c r="T294" t="str">
        <f t="shared" si="20"/>
        <v>wrong</v>
      </c>
    </row>
    <row r="295" spans="1:20" x14ac:dyDescent="0.3">
      <c r="A295">
        <v>1092881</v>
      </c>
      <c r="B295" t="s">
        <v>938</v>
      </c>
      <c r="C295" t="s">
        <v>946</v>
      </c>
      <c r="D295" t="s">
        <v>947</v>
      </c>
      <c r="E295" t="s">
        <v>948</v>
      </c>
      <c r="F295" s="17" t="s">
        <v>949</v>
      </c>
      <c r="G295" t="s">
        <v>957</v>
      </c>
      <c r="H295" t="s">
        <v>22</v>
      </c>
      <c r="I295" t="s">
        <v>22</v>
      </c>
      <c r="J295" t="s">
        <v>17</v>
      </c>
      <c r="K295">
        <v>85.7</v>
      </c>
      <c r="L295">
        <v>132.4</v>
      </c>
      <c r="M295" t="s">
        <v>951</v>
      </c>
      <c r="N295" t="s">
        <v>952</v>
      </c>
      <c r="O295" s="14"/>
      <c r="Q295" t="s">
        <v>593</v>
      </c>
      <c r="S295" t="str">
        <f t="shared" si="19"/>
        <v>wrong</v>
      </c>
      <c r="T295" t="str">
        <f t="shared" si="20"/>
        <v>wrong</v>
      </c>
    </row>
    <row r="296" spans="1:20" x14ac:dyDescent="0.3">
      <c r="A296">
        <v>1092881</v>
      </c>
      <c r="B296" t="s">
        <v>938</v>
      </c>
      <c r="C296" t="s">
        <v>946</v>
      </c>
      <c r="D296" t="s">
        <v>947</v>
      </c>
      <c r="E296" t="s">
        <v>948</v>
      </c>
      <c r="F296" s="17" t="s">
        <v>949</v>
      </c>
      <c r="G296" t="s">
        <v>958</v>
      </c>
      <c r="H296" t="s">
        <v>22</v>
      </c>
      <c r="I296" t="s">
        <v>22</v>
      </c>
      <c r="J296" t="s">
        <v>17</v>
      </c>
      <c r="K296">
        <v>85.7</v>
      </c>
      <c r="L296">
        <v>132.4</v>
      </c>
      <c r="M296" t="s">
        <v>951</v>
      </c>
      <c r="N296" t="s">
        <v>952</v>
      </c>
      <c r="O296" s="14"/>
      <c r="Q296" t="s">
        <v>593</v>
      </c>
      <c r="S296" t="str">
        <f t="shared" si="19"/>
        <v>wrong</v>
      </c>
      <c r="T296" t="str">
        <f t="shared" si="20"/>
        <v>wrong</v>
      </c>
    </row>
    <row r="297" spans="1:20" x14ac:dyDescent="0.3">
      <c r="A297">
        <v>1092881</v>
      </c>
      <c r="B297" t="s">
        <v>938</v>
      </c>
      <c r="C297" t="s">
        <v>946</v>
      </c>
      <c r="D297" t="s">
        <v>947</v>
      </c>
      <c r="E297" t="s">
        <v>948</v>
      </c>
      <c r="F297" s="17" t="s">
        <v>949</v>
      </c>
      <c r="G297" t="s">
        <v>959</v>
      </c>
      <c r="H297" t="s">
        <v>22</v>
      </c>
      <c r="I297" t="s">
        <v>22</v>
      </c>
      <c r="J297" t="s">
        <v>17</v>
      </c>
      <c r="K297">
        <v>85.7</v>
      </c>
      <c r="L297">
        <v>132.4</v>
      </c>
      <c r="M297" t="s">
        <v>951</v>
      </c>
      <c r="N297" t="s">
        <v>952</v>
      </c>
      <c r="O297" s="14"/>
      <c r="Q297" t="s">
        <v>593</v>
      </c>
      <c r="S297" t="str">
        <f t="shared" si="19"/>
        <v>wrong</v>
      </c>
      <c r="T297" t="str">
        <f t="shared" si="20"/>
        <v>wrong</v>
      </c>
    </row>
    <row r="298" spans="1:20" x14ac:dyDescent="0.3">
      <c r="A298">
        <v>1092881</v>
      </c>
      <c r="B298" t="s">
        <v>938</v>
      </c>
      <c r="C298" t="s">
        <v>946</v>
      </c>
      <c r="D298" t="s">
        <v>947</v>
      </c>
      <c r="E298" t="s">
        <v>948</v>
      </c>
      <c r="F298" s="17" t="s">
        <v>949</v>
      </c>
      <c r="G298" t="s">
        <v>960</v>
      </c>
      <c r="H298" t="s">
        <v>22</v>
      </c>
      <c r="I298" t="s">
        <v>22</v>
      </c>
      <c r="J298" t="s">
        <v>17</v>
      </c>
      <c r="K298">
        <v>85.7</v>
      </c>
      <c r="L298">
        <v>132.4</v>
      </c>
      <c r="M298" t="s">
        <v>951</v>
      </c>
      <c r="N298" t="s">
        <v>952</v>
      </c>
      <c r="O298" s="14"/>
      <c r="Q298" t="s">
        <v>593</v>
      </c>
      <c r="S298" t="str">
        <f t="shared" si="19"/>
        <v>wrong</v>
      </c>
      <c r="T298" t="str">
        <f t="shared" si="20"/>
        <v>wrong</v>
      </c>
    </row>
    <row r="299" spans="1:20" x14ac:dyDescent="0.3">
      <c r="A299">
        <v>1092881</v>
      </c>
      <c r="B299" t="s">
        <v>938</v>
      </c>
      <c r="C299" t="s">
        <v>946</v>
      </c>
      <c r="D299" t="s">
        <v>947</v>
      </c>
      <c r="E299" t="s">
        <v>948</v>
      </c>
      <c r="F299" s="17" t="s">
        <v>949</v>
      </c>
      <c r="G299" t="s">
        <v>961</v>
      </c>
      <c r="H299" t="s">
        <v>22</v>
      </c>
      <c r="I299" t="s">
        <v>22</v>
      </c>
      <c r="J299" t="s">
        <v>17</v>
      </c>
      <c r="K299">
        <v>85.7</v>
      </c>
      <c r="L299">
        <v>132.4</v>
      </c>
      <c r="M299" t="s">
        <v>951</v>
      </c>
      <c r="N299" t="s">
        <v>952</v>
      </c>
      <c r="O299" s="14"/>
      <c r="Q299" t="s">
        <v>593</v>
      </c>
      <c r="S299" t="str">
        <f t="shared" si="19"/>
        <v>wrong</v>
      </c>
      <c r="T299" t="str">
        <f t="shared" si="20"/>
        <v>wrong</v>
      </c>
    </row>
    <row r="300" spans="1:20" x14ac:dyDescent="0.3">
      <c r="A300">
        <v>1092881</v>
      </c>
      <c r="B300" t="s">
        <v>938</v>
      </c>
      <c r="C300" t="s">
        <v>946</v>
      </c>
      <c r="D300" t="s">
        <v>947</v>
      </c>
      <c r="E300" t="s">
        <v>948</v>
      </c>
      <c r="F300" s="17" t="s">
        <v>949</v>
      </c>
      <c r="G300" t="s">
        <v>962</v>
      </c>
      <c r="H300" t="s">
        <v>22</v>
      </c>
      <c r="I300" t="s">
        <v>22</v>
      </c>
      <c r="J300" t="s">
        <v>17</v>
      </c>
      <c r="K300">
        <v>85.7</v>
      </c>
      <c r="L300">
        <v>132.4</v>
      </c>
      <c r="M300" t="s">
        <v>951</v>
      </c>
      <c r="N300" t="s">
        <v>952</v>
      </c>
      <c r="O300" s="14"/>
      <c r="Q300" t="s">
        <v>593</v>
      </c>
      <c r="S300" t="str">
        <f t="shared" si="19"/>
        <v>wrong</v>
      </c>
      <c r="T300" t="str">
        <f>IF(S300="","",LOWER(TRIM(S300)))</f>
        <v>wrong</v>
      </c>
    </row>
    <row r="301" spans="1:20" x14ac:dyDescent="0.3">
      <c r="A301">
        <v>1092881</v>
      </c>
      <c r="B301" t="s">
        <v>938</v>
      </c>
      <c r="C301" t="s">
        <v>946</v>
      </c>
      <c r="D301" t="s">
        <v>947</v>
      </c>
      <c r="E301" t="s">
        <v>948</v>
      </c>
      <c r="F301" s="17" t="s">
        <v>949</v>
      </c>
      <c r="G301" t="s">
        <v>963</v>
      </c>
      <c r="H301" t="s">
        <v>22</v>
      </c>
      <c r="I301" t="s">
        <v>22</v>
      </c>
      <c r="J301" t="s">
        <v>17</v>
      </c>
      <c r="K301">
        <v>85.7</v>
      </c>
      <c r="L301">
        <v>132.4</v>
      </c>
      <c r="M301" t="s">
        <v>951</v>
      </c>
      <c r="N301" t="s">
        <v>952</v>
      </c>
      <c r="O301" s="14"/>
      <c r="Q301" t="s">
        <v>593</v>
      </c>
      <c r="S301" t="str">
        <f t="shared" si="19"/>
        <v>wrong</v>
      </c>
      <c r="T301" t="str">
        <f t="shared" ref="T301:T315" si="21">IF(S301="","",LOWER(TRIM(S301)))</f>
        <v>wrong</v>
      </c>
    </row>
    <row r="302" spans="1:20" x14ac:dyDescent="0.3">
      <c r="A302">
        <v>1092881</v>
      </c>
      <c r="B302" t="s">
        <v>938</v>
      </c>
      <c r="C302" t="s">
        <v>946</v>
      </c>
      <c r="D302" t="s">
        <v>947</v>
      </c>
      <c r="E302" t="s">
        <v>948</v>
      </c>
      <c r="F302" s="17" t="s">
        <v>949</v>
      </c>
      <c r="G302" t="s">
        <v>964</v>
      </c>
      <c r="H302" t="s">
        <v>22</v>
      </c>
      <c r="I302" t="s">
        <v>22</v>
      </c>
      <c r="J302" t="s">
        <v>17</v>
      </c>
      <c r="K302">
        <v>85.7</v>
      </c>
      <c r="L302">
        <v>132.4</v>
      </c>
      <c r="M302" t="s">
        <v>951</v>
      </c>
      <c r="N302" t="s">
        <v>952</v>
      </c>
      <c r="O302" s="14"/>
      <c r="Q302" t="s">
        <v>593</v>
      </c>
      <c r="S302" t="str">
        <f t="shared" si="19"/>
        <v>wrong</v>
      </c>
      <c r="T302" t="str">
        <f t="shared" si="21"/>
        <v>wrong</v>
      </c>
    </row>
    <row r="303" spans="1:20" x14ac:dyDescent="0.3">
      <c r="A303">
        <v>1092881</v>
      </c>
      <c r="B303" t="s">
        <v>938</v>
      </c>
      <c r="C303" t="s">
        <v>946</v>
      </c>
      <c r="D303" t="s">
        <v>947</v>
      </c>
      <c r="E303" t="s">
        <v>948</v>
      </c>
      <c r="F303" s="17" t="s">
        <v>949</v>
      </c>
      <c r="G303" t="s">
        <v>965</v>
      </c>
      <c r="H303" t="s">
        <v>22</v>
      </c>
      <c r="I303" t="s">
        <v>22</v>
      </c>
      <c r="J303" t="s">
        <v>17</v>
      </c>
      <c r="K303">
        <v>85.7</v>
      </c>
      <c r="L303">
        <v>132.4</v>
      </c>
      <c r="M303" t="s">
        <v>951</v>
      </c>
      <c r="N303" t="s">
        <v>952</v>
      </c>
      <c r="O303" s="14"/>
      <c r="Q303" t="s">
        <v>593</v>
      </c>
      <c r="S303" t="str">
        <f t="shared" si="19"/>
        <v>wrong</v>
      </c>
      <c r="T303" t="str">
        <f t="shared" si="21"/>
        <v>wrong</v>
      </c>
    </row>
    <row r="304" spans="1:20" x14ac:dyDescent="0.3">
      <c r="A304">
        <v>1092881</v>
      </c>
      <c r="B304" t="s">
        <v>938</v>
      </c>
      <c r="C304" t="s">
        <v>946</v>
      </c>
      <c r="D304" t="s">
        <v>947</v>
      </c>
      <c r="E304" t="s">
        <v>948</v>
      </c>
      <c r="F304" s="17" t="s">
        <v>949</v>
      </c>
      <c r="G304" t="s">
        <v>966</v>
      </c>
      <c r="H304" t="s">
        <v>22</v>
      </c>
      <c r="I304" t="s">
        <v>22</v>
      </c>
      <c r="J304" t="s">
        <v>17</v>
      </c>
      <c r="K304">
        <v>85.7</v>
      </c>
      <c r="L304">
        <v>132.4</v>
      </c>
      <c r="M304" t="s">
        <v>951</v>
      </c>
      <c r="N304" t="s">
        <v>952</v>
      </c>
      <c r="O304" s="14"/>
      <c r="Q304" t="s">
        <v>593</v>
      </c>
      <c r="S304" t="str">
        <f t="shared" si="19"/>
        <v>wrong</v>
      </c>
      <c r="T304" t="str">
        <f t="shared" si="21"/>
        <v>wrong</v>
      </c>
    </row>
    <row r="305" spans="1:20" x14ac:dyDescent="0.3">
      <c r="A305">
        <v>1092881</v>
      </c>
      <c r="B305" t="s">
        <v>938</v>
      </c>
      <c r="C305" t="s">
        <v>946</v>
      </c>
      <c r="D305" t="s">
        <v>947</v>
      </c>
      <c r="E305" t="s">
        <v>948</v>
      </c>
      <c r="F305" s="17" t="s">
        <v>949</v>
      </c>
      <c r="G305" t="s">
        <v>967</v>
      </c>
      <c r="H305" t="s">
        <v>22</v>
      </c>
      <c r="I305" t="s">
        <v>22</v>
      </c>
      <c r="J305" t="s">
        <v>17</v>
      </c>
      <c r="K305">
        <v>85.7</v>
      </c>
      <c r="L305">
        <v>132.4</v>
      </c>
      <c r="M305" t="s">
        <v>951</v>
      </c>
      <c r="N305" t="s">
        <v>952</v>
      </c>
      <c r="O305" s="14"/>
      <c r="Q305" t="s">
        <v>593</v>
      </c>
      <c r="S305" t="str">
        <f t="shared" si="19"/>
        <v>wrong</v>
      </c>
      <c r="T305" t="str">
        <f t="shared" si="21"/>
        <v>wrong</v>
      </c>
    </row>
    <row r="306" spans="1:20" x14ac:dyDescent="0.3">
      <c r="A306">
        <v>1092881</v>
      </c>
      <c r="B306" t="s">
        <v>938</v>
      </c>
      <c r="C306" t="s">
        <v>946</v>
      </c>
      <c r="D306" t="s">
        <v>947</v>
      </c>
      <c r="E306" t="s">
        <v>948</v>
      </c>
      <c r="F306" s="17" t="s">
        <v>949</v>
      </c>
      <c r="G306" t="s">
        <v>968</v>
      </c>
      <c r="H306" t="s">
        <v>22</v>
      </c>
      <c r="I306" t="s">
        <v>22</v>
      </c>
      <c r="J306" t="s">
        <v>17</v>
      </c>
      <c r="K306">
        <v>85.7</v>
      </c>
      <c r="L306">
        <v>132.4</v>
      </c>
      <c r="M306" t="s">
        <v>951</v>
      </c>
      <c r="N306" t="s">
        <v>952</v>
      </c>
      <c r="O306" s="14"/>
      <c r="Q306" t="s">
        <v>593</v>
      </c>
      <c r="S306" t="str">
        <f t="shared" si="19"/>
        <v>wrong</v>
      </c>
      <c r="T306" t="str">
        <f t="shared" si="21"/>
        <v>wrong</v>
      </c>
    </row>
    <row r="307" spans="1:20" x14ac:dyDescent="0.3">
      <c r="A307">
        <v>1092881</v>
      </c>
      <c r="B307" t="s">
        <v>938</v>
      </c>
      <c r="C307" t="s">
        <v>946</v>
      </c>
      <c r="D307" t="s">
        <v>947</v>
      </c>
      <c r="E307" t="s">
        <v>948</v>
      </c>
      <c r="F307" s="17" t="s">
        <v>949</v>
      </c>
      <c r="G307" t="s">
        <v>969</v>
      </c>
      <c r="H307" t="s">
        <v>22</v>
      </c>
      <c r="I307" t="s">
        <v>22</v>
      </c>
      <c r="J307" t="s">
        <v>17</v>
      </c>
      <c r="K307">
        <v>85.7</v>
      </c>
      <c r="L307">
        <v>132.4</v>
      </c>
      <c r="M307" t="s">
        <v>951</v>
      </c>
      <c r="N307" t="s">
        <v>952</v>
      </c>
      <c r="O307" s="14"/>
      <c r="Q307" t="s">
        <v>593</v>
      </c>
      <c r="S307" t="str">
        <f t="shared" si="19"/>
        <v>wrong</v>
      </c>
      <c r="T307" t="str">
        <f t="shared" si="21"/>
        <v>wrong</v>
      </c>
    </row>
    <row r="308" spans="1:20" x14ac:dyDescent="0.3">
      <c r="A308">
        <v>1092881</v>
      </c>
      <c r="B308" t="s">
        <v>938</v>
      </c>
      <c r="C308" t="s">
        <v>946</v>
      </c>
      <c r="D308" t="s">
        <v>947</v>
      </c>
      <c r="E308" t="s">
        <v>948</v>
      </c>
      <c r="F308" s="17" t="s">
        <v>949</v>
      </c>
      <c r="G308" t="s">
        <v>970</v>
      </c>
      <c r="H308" t="s">
        <v>22</v>
      </c>
      <c r="I308" t="s">
        <v>22</v>
      </c>
      <c r="J308" t="s">
        <v>17</v>
      </c>
      <c r="K308">
        <v>85.7</v>
      </c>
      <c r="L308">
        <v>132.4</v>
      </c>
      <c r="M308" t="s">
        <v>951</v>
      </c>
      <c r="N308" t="s">
        <v>952</v>
      </c>
      <c r="O308" s="14"/>
      <c r="Q308" t="s">
        <v>593</v>
      </c>
      <c r="S308" t="str">
        <f t="shared" si="19"/>
        <v>wrong</v>
      </c>
      <c r="T308" t="str">
        <f t="shared" si="21"/>
        <v>wrong</v>
      </c>
    </row>
    <row r="309" spans="1:20" x14ac:dyDescent="0.3">
      <c r="A309">
        <v>1111761</v>
      </c>
      <c r="B309" t="s">
        <v>971</v>
      </c>
      <c r="C309" t="s">
        <v>972</v>
      </c>
      <c r="H309" t="s">
        <v>16</v>
      </c>
      <c r="I309" t="s">
        <v>16</v>
      </c>
      <c r="J309" t="s">
        <v>17</v>
      </c>
      <c r="K309">
        <v>0</v>
      </c>
      <c r="L309">
        <v>0</v>
      </c>
      <c r="O309" s="12"/>
      <c r="Q309" t="s">
        <v>53</v>
      </c>
      <c r="S309" t="str">
        <f t="shared" si="19"/>
        <v>yes</v>
      </c>
      <c r="T309" t="str">
        <f t="shared" si="21"/>
        <v>yes</v>
      </c>
    </row>
    <row r="310" spans="1:20" x14ac:dyDescent="0.3">
      <c r="A310">
        <v>1111761</v>
      </c>
      <c r="B310" t="s">
        <v>971</v>
      </c>
      <c r="C310" t="s">
        <v>973</v>
      </c>
      <c r="H310" t="s">
        <v>16</v>
      </c>
      <c r="I310" t="s">
        <v>16</v>
      </c>
      <c r="J310" t="s">
        <v>17</v>
      </c>
      <c r="K310">
        <v>0</v>
      </c>
      <c r="L310">
        <v>0</v>
      </c>
      <c r="O310" s="12"/>
      <c r="Q310" t="s">
        <v>53</v>
      </c>
      <c r="S310" t="str">
        <f t="shared" si="19"/>
        <v>yes</v>
      </c>
      <c r="T310" t="str">
        <f t="shared" si="21"/>
        <v>yes</v>
      </c>
    </row>
    <row r="311" spans="1:20" x14ac:dyDescent="0.3">
      <c r="A311">
        <v>1111761</v>
      </c>
      <c r="B311" t="s">
        <v>971</v>
      </c>
      <c r="C311" t="s">
        <v>974</v>
      </c>
      <c r="H311" t="s">
        <v>16</v>
      </c>
      <c r="I311" t="s">
        <v>16</v>
      </c>
      <c r="J311" t="s">
        <v>17</v>
      </c>
      <c r="K311">
        <v>0</v>
      </c>
      <c r="L311">
        <v>0</v>
      </c>
      <c r="O311" s="12"/>
      <c r="Q311" t="s">
        <v>53</v>
      </c>
      <c r="S311" t="str">
        <f t="shared" si="19"/>
        <v>yes</v>
      </c>
      <c r="T311" t="str">
        <f t="shared" si="21"/>
        <v>yes</v>
      </c>
    </row>
    <row r="312" spans="1:20" x14ac:dyDescent="0.3">
      <c r="A312">
        <v>1111761</v>
      </c>
      <c r="B312" t="s">
        <v>971</v>
      </c>
      <c r="C312" t="s">
        <v>975</v>
      </c>
      <c r="H312" t="s">
        <v>16</v>
      </c>
      <c r="I312" t="s">
        <v>16</v>
      </c>
      <c r="J312" t="s">
        <v>17</v>
      </c>
      <c r="K312">
        <v>0</v>
      </c>
      <c r="L312">
        <v>0</v>
      </c>
      <c r="O312" s="12"/>
      <c r="Q312" t="s">
        <v>53</v>
      </c>
      <c r="S312" t="str">
        <f t="shared" si="19"/>
        <v>yes</v>
      </c>
      <c r="T312" t="str">
        <f t="shared" si="21"/>
        <v>yes</v>
      </c>
    </row>
    <row r="313" spans="1:20" x14ac:dyDescent="0.3">
      <c r="A313">
        <v>1111761</v>
      </c>
      <c r="B313" t="s">
        <v>971</v>
      </c>
      <c r="C313" t="s">
        <v>976</v>
      </c>
      <c r="H313" t="s">
        <v>16</v>
      </c>
      <c r="I313" t="s">
        <v>16</v>
      </c>
      <c r="J313" t="s">
        <v>17</v>
      </c>
      <c r="K313">
        <v>0</v>
      </c>
      <c r="L313">
        <v>0</v>
      </c>
      <c r="O313" s="12"/>
      <c r="Q313" t="s">
        <v>53</v>
      </c>
      <c r="S313" t="str">
        <f t="shared" si="19"/>
        <v>yes</v>
      </c>
      <c r="T313" t="str">
        <f t="shared" si="21"/>
        <v>yes</v>
      </c>
    </row>
    <row r="314" spans="1:20" x14ac:dyDescent="0.3">
      <c r="A314">
        <v>1111761</v>
      </c>
      <c r="B314" t="s">
        <v>971</v>
      </c>
      <c r="C314" t="s">
        <v>977</v>
      </c>
      <c r="H314" t="s">
        <v>16</v>
      </c>
      <c r="I314" t="s">
        <v>16</v>
      </c>
      <c r="J314" t="s">
        <v>17</v>
      </c>
      <c r="K314">
        <v>0</v>
      </c>
      <c r="L314">
        <v>0</v>
      </c>
      <c r="O314" s="12"/>
      <c r="Q314" t="s">
        <v>53</v>
      </c>
      <c r="S314" t="str">
        <f>LOWER(TRIM(CLEAN(Q314)))</f>
        <v>yes</v>
      </c>
      <c r="T314" t="str">
        <f t="shared" si="21"/>
        <v>yes</v>
      </c>
    </row>
    <row r="315" spans="1:20" x14ac:dyDescent="0.3">
      <c r="A315">
        <v>1111801</v>
      </c>
      <c r="B315" t="s">
        <v>978</v>
      </c>
      <c r="C315" t="s">
        <v>979</v>
      </c>
      <c r="H315" t="s">
        <v>16</v>
      </c>
      <c r="I315" t="s">
        <v>16</v>
      </c>
      <c r="J315" t="s">
        <v>17</v>
      </c>
      <c r="K315">
        <v>0</v>
      </c>
      <c r="L315">
        <v>0</v>
      </c>
      <c r="O315" s="12"/>
      <c r="Q315" t="s">
        <v>53</v>
      </c>
      <c r="S315" t="str">
        <f>LOWER(TRIM(CLEAN(Q315)))</f>
        <v>yes</v>
      </c>
      <c r="T315" t="str">
        <f t="shared" si="21"/>
        <v>yes</v>
      </c>
    </row>
    <row r="316" spans="1:20" x14ac:dyDescent="0.3">
      <c r="A316">
        <v>1130793</v>
      </c>
      <c r="B316" t="s">
        <v>980</v>
      </c>
      <c r="C316" t="s">
        <v>981</v>
      </c>
      <c r="H316" t="s">
        <v>16</v>
      </c>
      <c r="I316" t="s">
        <v>16</v>
      </c>
      <c r="J316" t="s">
        <v>17</v>
      </c>
      <c r="K316">
        <v>0</v>
      </c>
      <c r="L316">
        <v>0</v>
      </c>
      <c r="O316" s="12"/>
      <c r="Q316" t="s">
        <v>53</v>
      </c>
      <c r="S316" t="str">
        <f t="shared" ref="S316:S329" si="22">LOWER(TRIM(CLEAN(Q316)))</f>
        <v>yes</v>
      </c>
      <c r="T316" t="str">
        <f>IF(S316="","",LOWER(TRIM(S316)))</f>
        <v>yes</v>
      </c>
    </row>
    <row r="317" spans="1:20" x14ac:dyDescent="0.3">
      <c r="A317">
        <v>1130793</v>
      </c>
      <c r="B317" t="s">
        <v>980</v>
      </c>
      <c r="C317" t="s">
        <v>982</v>
      </c>
      <c r="H317" t="s">
        <v>16</v>
      </c>
      <c r="I317" t="s">
        <v>16</v>
      </c>
      <c r="J317" t="s">
        <v>17</v>
      </c>
      <c r="K317">
        <v>0</v>
      </c>
      <c r="L317">
        <v>0</v>
      </c>
      <c r="O317" s="12"/>
      <c r="Q317" t="s">
        <v>53</v>
      </c>
      <c r="S317" t="str">
        <f t="shared" si="22"/>
        <v>yes</v>
      </c>
      <c r="T317" t="str">
        <f t="shared" ref="T317:T329" si="23">IF(S317="","",LOWER(TRIM(S317)))</f>
        <v>yes</v>
      </c>
    </row>
    <row r="318" spans="1:20" x14ac:dyDescent="0.3">
      <c r="A318">
        <v>1130793</v>
      </c>
      <c r="B318" t="s">
        <v>980</v>
      </c>
      <c r="C318" t="s">
        <v>983</v>
      </c>
      <c r="D318" t="s">
        <v>984</v>
      </c>
      <c r="E318" t="s">
        <v>985</v>
      </c>
      <c r="H318" t="s">
        <v>22</v>
      </c>
      <c r="I318" t="s">
        <v>22</v>
      </c>
      <c r="J318" t="s">
        <v>17</v>
      </c>
      <c r="K318">
        <v>71.599999999999994</v>
      </c>
      <c r="L318">
        <v>47</v>
      </c>
      <c r="O318" s="12"/>
      <c r="Q318" t="s">
        <v>53</v>
      </c>
      <c r="S318" t="str">
        <f t="shared" si="22"/>
        <v>yes</v>
      </c>
      <c r="T318" t="str">
        <f t="shared" si="23"/>
        <v>yes</v>
      </c>
    </row>
    <row r="319" spans="1:20" x14ac:dyDescent="0.3">
      <c r="A319">
        <v>1130793</v>
      </c>
      <c r="B319" t="s">
        <v>980</v>
      </c>
      <c r="C319" t="s">
        <v>986</v>
      </c>
      <c r="D319" t="s">
        <v>986</v>
      </c>
      <c r="E319" t="s">
        <v>987</v>
      </c>
      <c r="F319" s="17" t="s">
        <v>988</v>
      </c>
      <c r="H319" t="s">
        <v>22</v>
      </c>
      <c r="I319" t="s">
        <v>22</v>
      </c>
      <c r="J319" t="s">
        <v>17</v>
      </c>
      <c r="K319">
        <v>100</v>
      </c>
      <c r="L319">
        <v>114</v>
      </c>
      <c r="M319" t="s">
        <v>989</v>
      </c>
      <c r="N319" t="s">
        <v>990</v>
      </c>
      <c r="O319" s="14"/>
      <c r="Q319" t="s">
        <v>593</v>
      </c>
      <c r="S319" t="str">
        <f t="shared" si="22"/>
        <v>wrong</v>
      </c>
      <c r="T319" t="str">
        <f t="shared" si="23"/>
        <v>wrong</v>
      </c>
    </row>
    <row r="320" spans="1:20" x14ac:dyDescent="0.3">
      <c r="A320">
        <v>1130793</v>
      </c>
      <c r="B320" t="s">
        <v>980</v>
      </c>
      <c r="C320" t="s">
        <v>991</v>
      </c>
      <c r="D320" t="s">
        <v>992</v>
      </c>
      <c r="E320" t="s">
        <v>993</v>
      </c>
      <c r="H320" t="s">
        <v>22</v>
      </c>
      <c r="I320" t="s">
        <v>22</v>
      </c>
      <c r="J320" t="s">
        <v>17</v>
      </c>
      <c r="K320">
        <v>81.8</v>
      </c>
      <c r="L320">
        <v>99.1</v>
      </c>
      <c r="M320" t="s">
        <v>245</v>
      </c>
      <c r="N320" t="s">
        <v>246</v>
      </c>
      <c r="O320" s="14"/>
      <c r="Q320" t="s">
        <v>593</v>
      </c>
      <c r="S320" t="str">
        <f t="shared" si="22"/>
        <v>wrong</v>
      </c>
      <c r="T320" t="str">
        <f t="shared" si="23"/>
        <v>wrong</v>
      </c>
    </row>
    <row r="321" spans="1:20" x14ac:dyDescent="0.3">
      <c r="A321">
        <v>1130793</v>
      </c>
      <c r="B321" t="s">
        <v>980</v>
      </c>
      <c r="C321" t="s">
        <v>994</v>
      </c>
      <c r="D321" t="s">
        <v>994</v>
      </c>
      <c r="E321" t="s">
        <v>995</v>
      </c>
      <c r="H321" t="s">
        <v>22</v>
      </c>
      <c r="I321" t="s">
        <v>22</v>
      </c>
      <c r="J321" t="s">
        <v>17</v>
      </c>
      <c r="K321">
        <v>100</v>
      </c>
      <c r="L321">
        <v>110</v>
      </c>
      <c r="M321" t="s">
        <v>182</v>
      </c>
      <c r="N321" t="s">
        <v>183</v>
      </c>
      <c r="O321" s="14"/>
      <c r="P321" t="s">
        <v>996</v>
      </c>
      <c r="Q321" t="s">
        <v>633</v>
      </c>
      <c r="S321" t="str">
        <f t="shared" si="22"/>
        <v>wrong</v>
      </c>
      <c r="T321" t="str">
        <f t="shared" si="23"/>
        <v>wrong</v>
      </c>
    </row>
    <row r="322" spans="1:20" x14ac:dyDescent="0.3">
      <c r="A322">
        <v>1131112</v>
      </c>
      <c r="B322" t="s">
        <v>997</v>
      </c>
      <c r="C322" t="s">
        <v>998</v>
      </c>
      <c r="H322" t="s">
        <v>16</v>
      </c>
      <c r="I322" t="s">
        <v>16</v>
      </c>
      <c r="J322" t="s">
        <v>17</v>
      </c>
      <c r="K322">
        <v>0</v>
      </c>
      <c r="L322">
        <v>0</v>
      </c>
      <c r="O322" s="12"/>
      <c r="P322" t="s">
        <v>858</v>
      </c>
      <c r="Q322" t="s">
        <v>53</v>
      </c>
      <c r="S322" t="str">
        <f t="shared" si="22"/>
        <v>yes</v>
      </c>
      <c r="T322" t="str">
        <f t="shared" si="23"/>
        <v>yes</v>
      </c>
    </row>
    <row r="323" spans="1:20" x14ac:dyDescent="0.3">
      <c r="A323">
        <v>1131112</v>
      </c>
      <c r="B323" t="s">
        <v>997</v>
      </c>
      <c r="C323" t="s">
        <v>999</v>
      </c>
      <c r="H323" t="s">
        <v>16</v>
      </c>
      <c r="I323" t="s">
        <v>16</v>
      </c>
      <c r="J323" t="s">
        <v>17</v>
      </c>
      <c r="K323">
        <v>0</v>
      </c>
      <c r="L323">
        <v>0</v>
      </c>
      <c r="O323" s="12"/>
      <c r="P323" t="s">
        <v>858</v>
      </c>
      <c r="Q323" t="s">
        <v>53</v>
      </c>
      <c r="S323" t="str">
        <f t="shared" si="22"/>
        <v>yes</v>
      </c>
      <c r="T323" t="str">
        <f t="shared" si="23"/>
        <v>yes</v>
      </c>
    </row>
    <row r="324" spans="1:20" x14ac:dyDescent="0.3">
      <c r="A324">
        <v>1131112</v>
      </c>
      <c r="B324" t="s">
        <v>997</v>
      </c>
      <c r="C324" t="s">
        <v>1000</v>
      </c>
      <c r="H324" t="s">
        <v>16</v>
      </c>
      <c r="I324" t="s">
        <v>16</v>
      </c>
      <c r="J324" t="s">
        <v>17</v>
      </c>
      <c r="K324">
        <v>0</v>
      </c>
      <c r="L324">
        <v>0</v>
      </c>
      <c r="O324" s="12"/>
      <c r="P324" t="s">
        <v>858</v>
      </c>
      <c r="Q324" t="s">
        <v>53</v>
      </c>
      <c r="S324" t="str">
        <f t="shared" si="22"/>
        <v>yes</v>
      </c>
      <c r="T324" t="str">
        <f t="shared" si="23"/>
        <v>yes</v>
      </c>
    </row>
    <row r="325" spans="1:20" x14ac:dyDescent="0.3">
      <c r="A325">
        <v>1131112</v>
      </c>
      <c r="B325" t="s">
        <v>997</v>
      </c>
      <c r="C325" t="s">
        <v>1001</v>
      </c>
      <c r="H325" t="s">
        <v>16</v>
      </c>
      <c r="I325" t="s">
        <v>16</v>
      </c>
      <c r="J325" t="s">
        <v>17</v>
      </c>
      <c r="K325">
        <v>0</v>
      </c>
      <c r="L325">
        <v>0</v>
      </c>
      <c r="O325" s="12"/>
      <c r="P325" t="s">
        <v>858</v>
      </c>
      <c r="Q325" t="s">
        <v>53</v>
      </c>
      <c r="S325" t="str">
        <f t="shared" si="22"/>
        <v>yes</v>
      </c>
      <c r="T325" t="str">
        <f t="shared" si="23"/>
        <v>yes</v>
      </c>
    </row>
    <row r="326" spans="1:20" x14ac:dyDescent="0.3">
      <c r="A326">
        <v>1131112</v>
      </c>
      <c r="B326" t="s">
        <v>997</v>
      </c>
      <c r="C326" t="s">
        <v>1002</v>
      </c>
      <c r="D326" t="s">
        <v>1003</v>
      </c>
      <c r="E326" t="s">
        <v>1004</v>
      </c>
      <c r="F326" s="17" t="s">
        <v>1005</v>
      </c>
      <c r="G326" t="s">
        <v>1006</v>
      </c>
      <c r="H326" t="s">
        <v>46</v>
      </c>
      <c r="I326" t="s">
        <v>46</v>
      </c>
      <c r="J326" t="s">
        <v>17</v>
      </c>
      <c r="K326">
        <v>100</v>
      </c>
      <c r="L326">
        <v>50</v>
      </c>
      <c r="O326" s="12"/>
      <c r="P326" t="s">
        <v>751</v>
      </c>
      <c r="Q326" t="s">
        <v>53</v>
      </c>
      <c r="S326" t="str">
        <f t="shared" si="22"/>
        <v>yes</v>
      </c>
      <c r="T326" t="str">
        <f t="shared" si="23"/>
        <v>yes</v>
      </c>
    </row>
    <row r="327" spans="1:20" x14ac:dyDescent="0.3">
      <c r="A327">
        <v>1131112</v>
      </c>
      <c r="B327" t="s">
        <v>997</v>
      </c>
      <c r="C327" t="s">
        <v>1002</v>
      </c>
      <c r="D327" t="s">
        <v>1003</v>
      </c>
      <c r="E327" t="s">
        <v>1004</v>
      </c>
      <c r="F327" s="17" t="s">
        <v>1005</v>
      </c>
      <c r="G327" t="s">
        <v>1007</v>
      </c>
      <c r="H327" t="s">
        <v>46</v>
      </c>
      <c r="I327" t="s">
        <v>46</v>
      </c>
      <c r="J327" t="s">
        <v>17</v>
      </c>
      <c r="K327">
        <v>100</v>
      </c>
      <c r="L327">
        <v>50</v>
      </c>
      <c r="O327" s="12"/>
      <c r="Q327" t="s">
        <v>53</v>
      </c>
      <c r="S327" t="str">
        <f t="shared" si="22"/>
        <v>yes</v>
      </c>
      <c r="T327" t="str">
        <f t="shared" si="23"/>
        <v>yes</v>
      </c>
    </row>
    <row r="328" spans="1:20" x14ac:dyDescent="0.3">
      <c r="A328">
        <v>1131112</v>
      </c>
      <c r="B328" t="s">
        <v>997</v>
      </c>
      <c r="C328" t="s">
        <v>1002</v>
      </c>
      <c r="D328" t="s">
        <v>1003</v>
      </c>
      <c r="E328" t="s">
        <v>1004</v>
      </c>
      <c r="F328" s="17" t="s">
        <v>1005</v>
      </c>
      <c r="G328" t="s">
        <v>1008</v>
      </c>
      <c r="H328" t="s">
        <v>46</v>
      </c>
      <c r="I328" t="s">
        <v>46</v>
      </c>
      <c r="J328" t="s">
        <v>17</v>
      </c>
      <c r="K328">
        <v>100</v>
      </c>
      <c r="L328">
        <v>50</v>
      </c>
      <c r="O328" s="12"/>
      <c r="Q328" t="s">
        <v>53</v>
      </c>
      <c r="S328" t="str">
        <f t="shared" si="22"/>
        <v>yes</v>
      </c>
      <c r="T328" t="str">
        <f t="shared" si="23"/>
        <v>yes</v>
      </c>
    </row>
    <row r="329" spans="1:20" x14ac:dyDescent="0.3">
      <c r="A329">
        <v>1131112</v>
      </c>
      <c r="B329" t="s">
        <v>997</v>
      </c>
      <c r="C329" t="s">
        <v>1002</v>
      </c>
      <c r="D329" t="s">
        <v>1003</v>
      </c>
      <c r="E329" t="s">
        <v>1004</v>
      </c>
      <c r="F329" s="17" t="s">
        <v>1005</v>
      </c>
      <c r="G329" t="s">
        <v>1009</v>
      </c>
      <c r="H329" t="s">
        <v>46</v>
      </c>
      <c r="I329" t="s">
        <v>46</v>
      </c>
      <c r="J329" t="s">
        <v>17</v>
      </c>
      <c r="K329">
        <v>100</v>
      </c>
      <c r="L329">
        <v>50</v>
      </c>
      <c r="O329" s="12"/>
      <c r="Q329" t="s">
        <v>53</v>
      </c>
      <c r="S329" t="str">
        <f t="shared" si="22"/>
        <v>yes</v>
      </c>
      <c r="T329" t="str">
        <f t="shared" si="23"/>
        <v>yes</v>
      </c>
    </row>
    <row r="330" spans="1:20" x14ac:dyDescent="0.3">
      <c r="A330">
        <v>1131112</v>
      </c>
      <c r="B330" t="s">
        <v>997</v>
      </c>
      <c r="C330" t="s">
        <v>1002</v>
      </c>
      <c r="D330" t="s">
        <v>1003</v>
      </c>
      <c r="E330" t="s">
        <v>1004</v>
      </c>
      <c r="F330" s="17" t="s">
        <v>1005</v>
      </c>
      <c r="G330" t="s">
        <v>1010</v>
      </c>
      <c r="H330" t="s">
        <v>46</v>
      </c>
      <c r="I330" t="s">
        <v>46</v>
      </c>
      <c r="J330" t="s">
        <v>17</v>
      </c>
      <c r="K330">
        <v>100</v>
      </c>
      <c r="L330">
        <v>50</v>
      </c>
      <c r="O330" s="12"/>
      <c r="Q330" t="s">
        <v>53</v>
      </c>
      <c r="S330" t="str">
        <f>LOWER(TRIM(CLEAN(Q330)))</f>
        <v>yes</v>
      </c>
      <c r="T330" t="str">
        <f>IF(S330="","",LOWER(TRIM(S330)))</f>
        <v>yes</v>
      </c>
    </row>
    <row r="331" spans="1:20" x14ac:dyDescent="0.3">
      <c r="A331">
        <v>1131112</v>
      </c>
      <c r="B331" t="s">
        <v>997</v>
      </c>
      <c r="C331" t="s">
        <v>1002</v>
      </c>
      <c r="D331" t="s">
        <v>1003</v>
      </c>
      <c r="E331" t="s">
        <v>1004</v>
      </c>
      <c r="F331" s="17" t="s">
        <v>1005</v>
      </c>
      <c r="G331" t="s">
        <v>1011</v>
      </c>
      <c r="H331" t="s">
        <v>46</v>
      </c>
      <c r="I331" t="s">
        <v>46</v>
      </c>
      <c r="J331" t="s">
        <v>17</v>
      </c>
      <c r="K331">
        <v>100</v>
      </c>
      <c r="L331">
        <v>50</v>
      </c>
      <c r="O331" s="12"/>
      <c r="Q331" t="s">
        <v>53</v>
      </c>
      <c r="S331" t="str">
        <f t="shared" ref="S331:S349" si="24">LOWER(TRIM(CLEAN(Q331)))</f>
        <v>yes</v>
      </c>
      <c r="T331" t="str">
        <f t="shared" ref="T331:T346" si="25">IF(S331="","",LOWER(TRIM(S331)))</f>
        <v>yes</v>
      </c>
    </row>
    <row r="332" spans="1:20" x14ac:dyDescent="0.3">
      <c r="A332">
        <v>1131112</v>
      </c>
      <c r="B332" t="s">
        <v>997</v>
      </c>
      <c r="C332" t="s">
        <v>1002</v>
      </c>
      <c r="D332" t="s">
        <v>1003</v>
      </c>
      <c r="E332" t="s">
        <v>1004</v>
      </c>
      <c r="F332" s="17" t="s">
        <v>1005</v>
      </c>
      <c r="G332" t="s">
        <v>1012</v>
      </c>
      <c r="H332" t="s">
        <v>46</v>
      </c>
      <c r="I332" t="s">
        <v>46</v>
      </c>
      <c r="J332" t="s">
        <v>17</v>
      </c>
      <c r="K332">
        <v>100</v>
      </c>
      <c r="L332">
        <v>50</v>
      </c>
      <c r="O332" s="12"/>
      <c r="Q332" t="s">
        <v>53</v>
      </c>
      <c r="S332" t="str">
        <f t="shared" si="24"/>
        <v>yes</v>
      </c>
      <c r="T332" t="str">
        <f t="shared" si="25"/>
        <v>yes</v>
      </c>
    </row>
    <row r="333" spans="1:20" x14ac:dyDescent="0.3">
      <c r="A333">
        <v>1131112</v>
      </c>
      <c r="B333" t="s">
        <v>997</v>
      </c>
      <c r="C333" t="s">
        <v>1002</v>
      </c>
      <c r="D333" t="s">
        <v>1003</v>
      </c>
      <c r="E333" t="s">
        <v>1004</v>
      </c>
      <c r="F333" s="17" t="s">
        <v>1005</v>
      </c>
      <c r="G333" t="s">
        <v>1013</v>
      </c>
      <c r="H333" t="s">
        <v>46</v>
      </c>
      <c r="I333" t="s">
        <v>46</v>
      </c>
      <c r="J333" t="s">
        <v>17</v>
      </c>
      <c r="K333">
        <v>100</v>
      </c>
      <c r="L333">
        <v>50</v>
      </c>
      <c r="O333" s="12"/>
      <c r="Q333" t="s">
        <v>53</v>
      </c>
      <c r="S333" t="str">
        <f t="shared" si="24"/>
        <v>yes</v>
      </c>
      <c r="T333" t="str">
        <f t="shared" si="25"/>
        <v>yes</v>
      </c>
    </row>
    <row r="334" spans="1:20" x14ac:dyDescent="0.3">
      <c r="A334">
        <v>1131112</v>
      </c>
      <c r="B334" t="s">
        <v>997</v>
      </c>
      <c r="C334" t="s">
        <v>1002</v>
      </c>
      <c r="D334" t="s">
        <v>1003</v>
      </c>
      <c r="E334" t="s">
        <v>1004</v>
      </c>
      <c r="F334" s="17" t="s">
        <v>1005</v>
      </c>
      <c r="G334" t="s">
        <v>1014</v>
      </c>
      <c r="H334" t="s">
        <v>46</v>
      </c>
      <c r="I334" t="s">
        <v>46</v>
      </c>
      <c r="J334" t="s">
        <v>17</v>
      </c>
      <c r="K334">
        <v>100</v>
      </c>
      <c r="L334">
        <v>50</v>
      </c>
      <c r="O334" s="12"/>
      <c r="Q334" t="s">
        <v>53</v>
      </c>
      <c r="S334" t="str">
        <f t="shared" si="24"/>
        <v>yes</v>
      </c>
      <c r="T334" t="str">
        <f t="shared" si="25"/>
        <v>yes</v>
      </c>
    </row>
    <row r="335" spans="1:20" x14ac:dyDescent="0.3">
      <c r="A335">
        <v>1131112</v>
      </c>
      <c r="B335" t="s">
        <v>997</v>
      </c>
      <c r="C335" t="s">
        <v>1002</v>
      </c>
      <c r="D335" t="s">
        <v>1003</v>
      </c>
      <c r="E335" t="s">
        <v>1004</v>
      </c>
      <c r="F335" s="17" t="s">
        <v>1005</v>
      </c>
      <c r="G335" t="s">
        <v>1015</v>
      </c>
      <c r="H335" t="s">
        <v>46</v>
      </c>
      <c r="I335" t="s">
        <v>46</v>
      </c>
      <c r="J335" t="s">
        <v>17</v>
      </c>
      <c r="K335">
        <v>100</v>
      </c>
      <c r="L335">
        <v>50</v>
      </c>
      <c r="O335" s="12"/>
      <c r="Q335" t="s">
        <v>53</v>
      </c>
      <c r="S335" t="str">
        <f t="shared" si="24"/>
        <v>yes</v>
      </c>
      <c r="T335" t="str">
        <f t="shared" si="25"/>
        <v>yes</v>
      </c>
    </row>
    <row r="336" spans="1:20" x14ac:dyDescent="0.3">
      <c r="A336">
        <v>1131112</v>
      </c>
      <c r="B336" t="s">
        <v>997</v>
      </c>
      <c r="C336" t="s">
        <v>1002</v>
      </c>
      <c r="D336" t="s">
        <v>1003</v>
      </c>
      <c r="E336" t="s">
        <v>1004</v>
      </c>
      <c r="F336" s="17" t="s">
        <v>1005</v>
      </c>
      <c r="G336" t="s">
        <v>1016</v>
      </c>
      <c r="H336" t="s">
        <v>46</v>
      </c>
      <c r="I336" t="s">
        <v>46</v>
      </c>
      <c r="J336" t="s">
        <v>17</v>
      </c>
      <c r="K336">
        <v>100</v>
      </c>
      <c r="L336">
        <v>50</v>
      </c>
      <c r="O336" s="12"/>
      <c r="Q336" t="s">
        <v>53</v>
      </c>
      <c r="S336" t="str">
        <f t="shared" si="24"/>
        <v>yes</v>
      </c>
      <c r="T336" t="str">
        <f t="shared" si="25"/>
        <v>yes</v>
      </c>
    </row>
    <row r="337" spans="1:20" x14ac:dyDescent="0.3">
      <c r="A337">
        <v>1131112</v>
      </c>
      <c r="B337" t="s">
        <v>997</v>
      </c>
      <c r="C337" t="s">
        <v>1002</v>
      </c>
      <c r="D337" t="s">
        <v>1003</v>
      </c>
      <c r="E337" t="s">
        <v>1004</v>
      </c>
      <c r="F337" s="17" t="s">
        <v>1005</v>
      </c>
      <c r="G337" t="s">
        <v>1017</v>
      </c>
      <c r="H337" t="s">
        <v>46</v>
      </c>
      <c r="I337" t="s">
        <v>46</v>
      </c>
      <c r="J337" t="s">
        <v>17</v>
      </c>
      <c r="K337">
        <v>100</v>
      </c>
      <c r="L337">
        <v>50</v>
      </c>
      <c r="O337" s="12"/>
      <c r="Q337" t="s">
        <v>53</v>
      </c>
      <c r="S337" t="str">
        <f t="shared" si="24"/>
        <v>yes</v>
      </c>
      <c r="T337" t="str">
        <f t="shared" si="25"/>
        <v>yes</v>
      </c>
    </row>
    <row r="338" spans="1:20" x14ac:dyDescent="0.3">
      <c r="A338">
        <v>1131112</v>
      </c>
      <c r="B338" t="s">
        <v>997</v>
      </c>
      <c r="C338" t="s">
        <v>1002</v>
      </c>
      <c r="D338" t="s">
        <v>1003</v>
      </c>
      <c r="E338" t="s">
        <v>1004</v>
      </c>
      <c r="F338" s="17" t="s">
        <v>1005</v>
      </c>
      <c r="G338" t="s">
        <v>1018</v>
      </c>
      <c r="H338" t="s">
        <v>46</v>
      </c>
      <c r="I338" t="s">
        <v>46</v>
      </c>
      <c r="J338" t="s">
        <v>17</v>
      </c>
      <c r="K338">
        <v>100</v>
      </c>
      <c r="L338">
        <v>50</v>
      </c>
      <c r="O338" s="12"/>
      <c r="Q338" t="s">
        <v>53</v>
      </c>
      <c r="S338" t="str">
        <f t="shared" si="24"/>
        <v>yes</v>
      </c>
      <c r="T338" t="str">
        <f t="shared" si="25"/>
        <v>yes</v>
      </c>
    </row>
    <row r="339" spans="1:20" x14ac:dyDescent="0.3">
      <c r="A339">
        <v>1131112</v>
      </c>
      <c r="B339" t="s">
        <v>997</v>
      </c>
      <c r="C339" t="s">
        <v>1002</v>
      </c>
      <c r="D339" t="s">
        <v>1003</v>
      </c>
      <c r="E339" t="s">
        <v>1004</v>
      </c>
      <c r="F339" s="17" t="s">
        <v>1005</v>
      </c>
      <c r="G339" t="s">
        <v>1019</v>
      </c>
      <c r="H339" t="s">
        <v>46</v>
      </c>
      <c r="I339" t="s">
        <v>46</v>
      </c>
      <c r="J339" t="s">
        <v>17</v>
      </c>
      <c r="K339">
        <v>100</v>
      </c>
      <c r="L339">
        <v>50</v>
      </c>
      <c r="O339" s="12"/>
      <c r="Q339" t="s">
        <v>53</v>
      </c>
      <c r="S339" t="str">
        <f t="shared" si="24"/>
        <v>yes</v>
      </c>
      <c r="T339" t="str">
        <f t="shared" si="25"/>
        <v>yes</v>
      </c>
    </row>
    <row r="340" spans="1:20" x14ac:dyDescent="0.3">
      <c r="A340">
        <v>1131112</v>
      </c>
      <c r="B340" t="s">
        <v>997</v>
      </c>
      <c r="C340" t="s">
        <v>1002</v>
      </c>
      <c r="D340" t="s">
        <v>1003</v>
      </c>
      <c r="E340" t="s">
        <v>1004</v>
      </c>
      <c r="F340" s="17" t="s">
        <v>1005</v>
      </c>
      <c r="G340" t="s">
        <v>1020</v>
      </c>
      <c r="H340" t="s">
        <v>46</v>
      </c>
      <c r="I340" t="s">
        <v>46</v>
      </c>
      <c r="J340" t="s">
        <v>17</v>
      </c>
      <c r="K340">
        <v>100</v>
      </c>
      <c r="L340">
        <v>50</v>
      </c>
      <c r="O340" s="12"/>
      <c r="Q340" t="s">
        <v>53</v>
      </c>
      <c r="S340" t="str">
        <f t="shared" si="24"/>
        <v>yes</v>
      </c>
      <c r="T340" t="str">
        <f t="shared" si="25"/>
        <v>yes</v>
      </c>
    </row>
    <row r="341" spans="1:20" x14ac:dyDescent="0.3">
      <c r="A341">
        <v>1131112</v>
      </c>
      <c r="B341" t="s">
        <v>997</v>
      </c>
      <c r="C341" t="s">
        <v>1002</v>
      </c>
      <c r="D341" t="s">
        <v>1003</v>
      </c>
      <c r="E341" t="s">
        <v>1004</v>
      </c>
      <c r="F341" s="17" t="s">
        <v>1005</v>
      </c>
      <c r="G341" t="s">
        <v>1021</v>
      </c>
      <c r="H341" t="s">
        <v>46</v>
      </c>
      <c r="I341" t="s">
        <v>46</v>
      </c>
      <c r="J341" t="s">
        <v>17</v>
      </c>
      <c r="K341">
        <v>100</v>
      </c>
      <c r="L341">
        <v>50</v>
      </c>
      <c r="O341" s="12"/>
      <c r="Q341" t="s">
        <v>53</v>
      </c>
      <c r="S341" t="str">
        <f t="shared" si="24"/>
        <v>yes</v>
      </c>
      <c r="T341" t="str">
        <f t="shared" si="25"/>
        <v>yes</v>
      </c>
    </row>
    <row r="342" spans="1:20" x14ac:dyDescent="0.3">
      <c r="A342">
        <v>1131112</v>
      </c>
      <c r="B342" t="s">
        <v>997</v>
      </c>
      <c r="C342" t="s">
        <v>1002</v>
      </c>
      <c r="D342" t="s">
        <v>1003</v>
      </c>
      <c r="E342" t="s">
        <v>1004</v>
      </c>
      <c r="F342" s="17" t="s">
        <v>1005</v>
      </c>
      <c r="G342" t="s">
        <v>1022</v>
      </c>
      <c r="H342" t="s">
        <v>46</v>
      </c>
      <c r="I342" t="s">
        <v>46</v>
      </c>
      <c r="J342" t="s">
        <v>17</v>
      </c>
      <c r="K342">
        <v>100</v>
      </c>
      <c r="L342">
        <v>50</v>
      </c>
      <c r="O342" s="12"/>
      <c r="Q342" t="s">
        <v>53</v>
      </c>
      <c r="S342" t="str">
        <f t="shared" si="24"/>
        <v>yes</v>
      </c>
      <c r="T342" t="str">
        <f t="shared" si="25"/>
        <v>yes</v>
      </c>
    </row>
    <row r="343" spans="1:20" x14ac:dyDescent="0.3">
      <c r="A343">
        <v>1131112</v>
      </c>
      <c r="B343" t="s">
        <v>997</v>
      </c>
      <c r="C343" t="s">
        <v>1002</v>
      </c>
      <c r="D343" t="s">
        <v>1003</v>
      </c>
      <c r="E343" t="s">
        <v>1004</v>
      </c>
      <c r="F343" s="17" t="s">
        <v>1005</v>
      </c>
      <c r="G343" t="s">
        <v>1023</v>
      </c>
      <c r="H343" t="s">
        <v>46</v>
      </c>
      <c r="I343" t="s">
        <v>46</v>
      </c>
      <c r="J343" t="s">
        <v>17</v>
      </c>
      <c r="K343">
        <v>100</v>
      </c>
      <c r="L343">
        <v>50</v>
      </c>
      <c r="O343" s="12"/>
      <c r="Q343" t="s">
        <v>53</v>
      </c>
      <c r="S343" t="str">
        <f t="shared" si="24"/>
        <v>yes</v>
      </c>
      <c r="T343" t="str">
        <f t="shared" si="25"/>
        <v>yes</v>
      </c>
    </row>
    <row r="344" spans="1:20" x14ac:dyDescent="0.3">
      <c r="A344">
        <v>1131112</v>
      </c>
      <c r="B344" t="s">
        <v>997</v>
      </c>
      <c r="C344" t="s">
        <v>1002</v>
      </c>
      <c r="D344" t="s">
        <v>1003</v>
      </c>
      <c r="E344" t="s">
        <v>1004</v>
      </c>
      <c r="F344" s="17" t="s">
        <v>1005</v>
      </c>
      <c r="G344" t="s">
        <v>1024</v>
      </c>
      <c r="H344" t="s">
        <v>46</v>
      </c>
      <c r="I344" t="s">
        <v>46</v>
      </c>
      <c r="J344" t="s">
        <v>17</v>
      </c>
      <c r="K344">
        <v>100</v>
      </c>
      <c r="L344">
        <v>50</v>
      </c>
      <c r="O344" s="12"/>
      <c r="Q344" t="s">
        <v>53</v>
      </c>
      <c r="S344" t="str">
        <f t="shared" si="24"/>
        <v>yes</v>
      </c>
      <c r="T344" t="str">
        <f t="shared" si="25"/>
        <v>yes</v>
      </c>
    </row>
    <row r="345" spans="1:20" x14ac:dyDescent="0.3">
      <c r="A345">
        <v>1131112</v>
      </c>
      <c r="B345" t="s">
        <v>997</v>
      </c>
      <c r="C345" t="s">
        <v>1002</v>
      </c>
      <c r="D345" t="s">
        <v>1003</v>
      </c>
      <c r="E345" t="s">
        <v>1004</v>
      </c>
      <c r="F345" s="17" t="s">
        <v>1005</v>
      </c>
      <c r="G345" t="s">
        <v>1025</v>
      </c>
      <c r="H345" t="s">
        <v>46</v>
      </c>
      <c r="I345" t="s">
        <v>46</v>
      </c>
      <c r="J345" t="s">
        <v>17</v>
      </c>
      <c r="K345">
        <v>100</v>
      </c>
      <c r="L345">
        <v>50</v>
      </c>
      <c r="O345" s="12"/>
      <c r="Q345" t="s">
        <v>53</v>
      </c>
      <c r="S345" t="str">
        <f t="shared" si="24"/>
        <v>yes</v>
      </c>
      <c r="T345" t="str">
        <f t="shared" si="25"/>
        <v>yes</v>
      </c>
    </row>
    <row r="346" spans="1:20" x14ac:dyDescent="0.3">
      <c r="A346">
        <v>1131112</v>
      </c>
      <c r="B346" t="s">
        <v>997</v>
      </c>
      <c r="C346" t="s">
        <v>1002</v>
      </c>
      <c r="D346" t="s">
        <v>1003</v>
      </c>
      <c r="E346" t="s">
        <v>1004</v>
      </c>
      <c r="F346" s="17" t="s">
        <v>1005</v>
      </c>
      <c r="G346" t="s">
        <v>1026</v>
      </c>
      <c r="H346" t="s">
        <v>46</v>
      </c>
      <c r="I346" t="s">
        <v>46</v>
      </c>
      <c r="J346" t="s">
        <v>17</v>
      </c>
      <c r="K346">
        <v>100</v>
      </c>
      <c r="L346">
        <v>50</v>
      </c>
      <c r="O346" s="12"/>
      <c r="Q346" t="s">
        <v>53</v>
      </c>
      <c r="S346" t="str">
        <f t="shared" si="24"/>
        <v>yes</v>
      </c>
      <c r="T346" t="str">
        <f t="shared" si="25"/>
        <v>yes</v>
      </c>
    </row>
    <row r="347" spans="1:20" x14ac:dyDescent="0.3">
      <c r="A347">
        <v>1131112</v>
      </c>
      <c r="B347" t="s">
        <v>997</v>
      </c>
      <c r="C347" t="s">
        <v>1002</v>
      </c>
      <c r="D347" t="s">
        <v>1003</v>
      </c>
      <c r="E347" t="s">
        <v>1004</v>
      </c>
      <c r="F347" s="17" t="s">
        <v>1005</v>
      </c>
      <c r="G347" t="s">
        <v>1027</v>
      </c>
      <c r="H347" t="s">
        <v>46</v>
      </c>
      <c r="I347" t="s">
        <v>46</v>
      </c>
      <c r="J347" t="s">
        <v>17</v>
      </c>
      <c r="K347">
        <v>100</v>
      </c>
      <c r="L347">
        <v>50</v>
      </c>
      <c r="O347" s="12"/>
      <c r="Q347" t="s">
        <v>53</v>
      </c>
      <c r="S347" t="str">
        <f t="shared" si="24"/>
        <v>yes</v>
      </c>
      <c r="T347" t="str">
        <f>IF(S347="","",LOWER(TRIM(S347)))</f>
        <v>yes</v>
      </c>
    </row>
    <row r="348" spans="1:20" x14ac:dyDescent="0.3">
      <c r="A348">
        <v>1131112</v>
      </c>
      <c r="B348" t="s">
        <v>997</v>
      </c>
      <c r="C348" t="s">
        <v>1002</v>
      </c>
      <c r="D348" t="s">
        <v>1003</v>
      </c>
      <c r="E348" t="s">
        <v>1004</v>
      </c>
      <c r="F348" s="17" t="s">
        <v>1005</v>
      </c>
      <c r="G348" t="s">
        <v>1028</v>
      </c>
      <c r="H348" t="s">
        <v>46</v>
      </c>
      <c r="I348" t="s">
        <v>46</v>
      </c>
      <c r="J348" t="s">
        <v>17</v>
      </c>
      <c r="K348">
        <v>100</v>
      </c>
      <c r="L348">
        <v>50</v>
      </c>
      <c r="O348" s="12"/>
      <c r="Q348" t="s">
        <v>53</v>
      </c>
      <c r="S348" t="str">
        <f t="shared" si="24"/>
        <v>yes</v>
      </c>
      <c r="T348" t="str">
        <f t="shared" ref="T348:T362" si="26">IF(S348="","",LOWER(TRIM(S348)))</f>
        <v>yes</v>
      </c>
    </row>
    <row r="349" spans="1:20" x14ac:dyDescent="0.3">
      <c r="A349">
        <v>1131112</v>
      </c>
      <c r="B349" t="s">
        <v>997</v>
      </c>
      <c r="C349" t="s">
        <v>1002</v>
      </c>
      <c r="D349" t="s">
        <v>1003</v>
      </c>
      <c r="E349" t="s">
        <v>1004</v>
      </c>
      <c r="F349" s="17" t="s">
        <v>1005</v>
      </c>
      <c r="G349" t="s">
        <v>1029</v>
      </c>
      <c r="H349" t="s">
        <v>46</v>
      </c>
      <c r="I349" t="s">
        <v>46</v>
      </c>
      <c r="J349" t="s">
        <v>17</v>
      </c>
      <c r="K349">
        <v>100</v>
      </c>
      <c r="L349">
        <v>50</v>
      </c>
      <c r="O349" s="12"/>
      <c r="Q349" t="s">
        <v>53</v>
      </c>
      <c r="S349" t="str">
        <f t="shared" si="24"/>
        <v>yes</v>
      </c>
      <c r="T349" t="str">
        <f t="shared" si="26"/>
        <v>yes</v>
      </c>
    </row>
    <row r="350" spans="1:20" x14ac:dyDescent="0.3">
      <c r="A350">
        <v>1131112</v>
      </c>
      <c r="B350" t="s">
        <v>997</v>
      </c>
      <c r="C350" t="s">
        <v>1002</v>
      </c>
      <c r="D350" t="s">
        <v>1003</v>
      </c>
      <c r="E350" t="s">
        <v>1004</v>
      </c>
      <c r="F350" s="17" t="s">
        <v>1005</v>
      </c>
      <c r="G350" t="s">
        <v>1030</v>
      </c>
      <c r="H350" t="s">
        <v>46</v>
      </c>
      <c r="I350" t="s">
        <v>46</v>
      </c>
      <c r="J350" t="s">
        <v>17</v>
      </c>
      <c r="K350">
        <v>100</v>
      </c>
      <c r="L350">
        <v>50</v>
      </c>
      <c r="O350" s="12"/>
      <c r="Q350" t="s">
        <v>53</v>
      </c>
      <c r="S350" t="str">
        <f>LOWER(TRIM(CLEAN(Q350)))</f>
        <v>yes</v>
      </c>
      <c r="T350" t="str">
        <f t="shared" si="26"/>
        <v>yes</v>
      </c>
    </row>
    <row r="351" spans="1:20" x14ac:dyDescent="0.3">
      <c r="A351">
        <v>1131112</v>
      </c>
      <c r="B351" t="s">
        <v>997</v>
      </c>
      <c r="C351" t="s">
        <v>1002</v>
      </c>
      <c r="D351" t="s">
        <v>1003</v>
      </c>
      <c r="E351" t="s">
        <v>1004</v>
      </c>
      <c r="F351" s="17" t="s">
        <v>1005</v>
      </c>
      <c r="G351" t="s">
        <v>1031</v>
      </c>
      <c r="H351" t="s">
        <v>46</v>
      </c>
      <c r="I351" t="s">
        <v>46</v>
      </c>
      <c r="J351" t="s">
        <v>17</v>
      </c>
      <c r="K351">
        <v>100</v>
      </c>
      <c r="L351">
        <v>50</v>
      </c>
      <c r="O351" s="12"/>
      <c r="Q351" t="s">
        <v>53</v>
      </c>
      <c r="S351" t="str">
        <f t="shared" ref="S351:S381" si="27">LOWER(TRIM(CLEAN(Q351)))</f>
        <v>yes</v>
      </c>
      <c r="T351" t="str">
        <f t="shared" si="26"/>
        <v>yes</v>
      </c>
    </row>
    <row r="352" spans="1:20" x14ac:dyDescent="0.3">
      <c r="A352">
        <v>1131112</v>
      </c>
      <c r="B352" t="s">
        <v>997</v>
      </c>
      <c r="C352" t="s">
        <v>1002</v>
      </c>
      <c r="D352" t="s">
        <v>1003</v>
      </c>
      <c r="E352" t="s">
        <v>1004</v>
      </c>
      <c r="F352" s="17" t="s">
        <v>1005</v>
      </c>
      <c r="G352" t="s">
        <v>1032</v>
      </c>
      <c r="H352" t="s">
        <v>46</v>
      </c>
      <c r="I352" t="s">
        <v>46</v>
      </c>
      <c r="J352" t="s">
        <v>17</v>
      </c>
      <c r="K352">
        <v>100</v>
      </c>
      <c r="L352">
        <v>50</v>
      </c>
      <c r="O352" s="12"/>
      <c r="Q352" t="s">
        <v>53</v>
      </c>
      <c r="S352" t="str">
        <f t="shared" si="27"/>
        <v>yes</v>
      </c>
      <c r="T352" t="str">
        <f t="shared" si="26"/>
        <v>yes</v>
      </c>
    </row>
    <row r="353" spans="1:20" x14ac:dyDescent="0.3">
      <c r="A353">
        <v>1131112</v>
      </c>
      <c r="B353" t="s">
        <v>997</v>
      </c>
      <c r="C353" t="s">
        <v>1002</v>
      </c>
      <c r="D353" t="s">
        <v>1003</v>
      </c>
      <c r="E353" t="s">
        <v>1004</v>
      </c>
      <c r="F353" s="17" t="s">
        <v>1005</v>
      </c>
      <c r="G353" t="s">
        <v>1033</v>
      </c>
      <c r="H353" t="s">
        <v>46</v>
      </c>
      <c r="I353" t="s">
        <v>46</v>
      </c>
      <c r="J353" t="s">
        <v>17</v>
      </c>
      <c r="K353">
        <v>100</v>
      </c>
      <c r="L353">
        <v>50</v>
      </c>
      <c r="O353" s="12"/>
      <c r="Q353" t="s">
        <v>53</v>
      </c>
      <c r="S353" t="str">
        <f t="shared" si="27"/>
        <v>yes</v>
      </c>
      <c r="T353" t="str">
        <f t="shared" si="26"/>
        <v>yes</v>
      </c>
    </row>
    <row r="354" spans="1:20" x14ac:dyDescent="0.3">
      <c r="A354">
        <v>1131112</v>
      </c>
      <c r="B354" t="s">
        <v>997</v>
      </c>
      <c r="C354" t="s">
        <v>1002</v>
      </c>
      <c r="D354" t="s">
        <v>1003</v>
      </c>
      <c r="E354" t="s">
        <v>1004</v>
      </c>
      <c r="F354" s="17" t="s">
        <v>1005</v>
      </c>
      <c r="G354" t="s">
        <v>1034</v>
      </c>
      <c r="H354" t="s">
        <v>46</v>
      </c>
      <c r="I354" t="s">
        <v>46</v>
      </c>
      <c r="J354" t="s">
        <v>17</v>
      </c>
      <c r="K354">
        <v>100</v>
      </c>
      <c r="L354">
        <v>50</v>
      </c>
      <c r="O354" s="12"/>
      <c r="Q354" t="s">
        <v>53</v>
      </c>
      <c r="S354" t="str">
        <f t="shared" si="27"/>
        <v>yes</v>
      </c>
      <c r="T354" t="str">
        <f t="shared" si="26"/>
        <v>yes</v>
      </c>
    </row>
    <row r="355" spans="1:20" x14ac:dyDescent="0.3">
      <c r="A355">
        <v>1131112</v>
      </c>
      <c r="B355" t="s">
        <v>997</v>
      </c>
      <c r="C355" t="s">
        <v>1035</v>
      </c>
      <c r="D355" t="s">
        <v>1035</v>
      </c>
      <c r="E355" t="s">
        <v>1036</v>
      </c>
      <c r="H355" t="s">
        <v>22</v>
      </c>
      <c r="I355" t="s">
        <v>22</v>
      </c>
      <c r="J355" t="s">
        <v>17</v>
      </c>
      <c r="K355">
        <v>100</v>
      </c>
      <c r="L355">
        <v>111</v>
      </c>
      <c r="M355" t="s">
        <v>1037</v>
      </c>
      <c r="N355" t="s">
        <v>1038</v>
      </c>
      <c r="O355" s="14"/>
      <c r="P355" t="s">
        <v>1039</v>
      </c>
      <c r="Q355" t="s">
        <v>633</v>
      </c>
      <c r="S355" t="str">
        <f t="shared" si="27"/>
        <v>wrong</v>
      </c>
      <c r="T355" t="str">
        <f t="shared" si="26"/>
        <v>wrong</v>
      </c>
    </row>
    <row r="356" spans="1:20" x14ac:dyDescent="0.3">
      <c r="A356">
        <v>1131112</v>
      </c>
      <c r="B356" t="s">
        <v>997</v>
      </c>
      <c r="C356" t="s">
        <v>1040</v>
      </c>
      <c r="H356" t="s">
        <v>16</v>
      </c>
      <c r="I356" t="s">
        <v>16</v>
      </c>
      <c r="J356" t="s">
        <v>17</v>
      </c>
      <c r="K356">
        <v>0</v>
      </c>
      <c r="L356">
        <v>0</v>
      </c>
      <c r="O356" s="12"/>
      <c r="P356" t="s">
        <v>858</v>
      </c>
      <c r="Q356" t="s">
        <v>53</v>
      </c>
      <c r="S356" t="str">
        <f t="shared" si="27"/>
        <v>yes</v>
      </c>
      <c r="T356" t="str">
        <f t="shared" si="26"/>
        <v>yes</v>
      </c>
    </row>
    <row r="357" spans="1:20" x14ac:dyDescent="0.3">
      <c r="A357">
        <v>1131112</v>
      </c>
      <c r="B357" t="s">
        <v>997</v>
      </c>
      <c r="C357" t="s">
        <v>1041</v>
      </c>
      <c r="H357" t="s">
        <v>16</v>
      </c>
      <c r="I357" t="s">
        <v>16</v>
      </c>
      <c r="J357" t="s">
        <v>17</v>
      </c>
      <c r="K357">
        <v>0</v>
      </c>
      <c r="L357">
        <v>0</v>
      </c>
      <c r="O357" s="12"/>
      <c r="P357" t="s">
        <v>858</v>
      </c>
      <c r="Q357" t="s">
        <v>53</v>
      </c>
      <c r="S357" t="str">
        <f t="shared" si="27"/>
        <v>yes</v>
      </c>
      <c r="T357" t="str">
        <f t="shared" si="26"/>
        <v>yes</v>
      </c>
    </row>
    <row r="358" spans="1:20" x14ac:dyDescent="0.3">
      <c r="A358">
        <v>1131112</v>
      </c>
      <c r="B358" t="s">
        <v>997</v>
      </c>
      <c r="C358" t="s">
        <v>1042</v>
      </c>
      <c r="H358" t="s">
        <v>16</v>
      </c>
      <c r="I358" t="s">
        <v>16</v>
      </c>
      <c r="J358" t="s">
        <v>17</v>
      </c>
      <c r="K358">
        <v>0</v>
      </c>
      <c r="L358">
        <v>0</v>
      </c>
      <c r="O358" s="12"/>
      <c r="P358" t="s">
        <v>858</v>
      </c>
      <c r="Q358" t="s">
        <v>53</v>
      </c>
      <c r="S358" t="str">
        <f t="shared" si="27"/>
        <v>yes</v>
      </c>
      <c r="T358" t="str">
        <f t="shared" si="26"/>
        <v>yes</v>
      </c>
    </row>
    <row r="359" spans="1:20" x14ac:dyDescent="0.3">
      <c r="A359">
        <v>1131112</v>
      </c>
      <c r="B359" t="s">
        <v>997</v>
      </c>
      <c r="C359" t="s">
        <v>1043</v>
      </c>
      <c r="H359" t="s">
        <v>16</v>
      </c>
      <c r="I359" t="s">
        <v>16</v>
      </c>
      <c r="J359" t="s">
        <v>17</v>
      </c>
      <c r="K359">
        <v>0</v>
      </c>
      <c r="L359">
        <v>0</v>
      </c>
      <c r="O359" s="12"/>
      <c r="P359" t="s">
        <v>858</v>
      </c>
      <c r="Q359" t="s">
        <v>53</v>
      </c>
      <c r="S359" t="str">
        <f t="shared" si="27"/>
        <v>yes</v>
      </c>
      <c r="T359" t="str">
        <f t="shared" si="26"/>
        <v>yes</v>
      </c>
    </row>
    <row r="360" spans="1:20" x14ac:dyDescent="0.3">
      <c r="A360">
        <v>1131112</v>
      </c>
      <c r="B360" t="s">
        <v>997</v>
      </c>
      <c r="C360" t="s">
        <v>1044</v>
      </c>
      <c r="D360" t="s">
        <v>1003</v>
      </c>
      <c r="E360" t="s">
        <v>1004</v>
      </c>
      <c r="F360" s="17" t="s">
        <v>1005</v>
      </c>
      <c r="G360" t="s">
        <v>1006</v>
      </c>
      <c r="H360" t="s">
        <v>46</v>
      </c>
      <c r="I360" t="s">
        <v>46</v>
      </c>
      <c r="J360" t="s">
        <v>17</v>
      </c>
      <c r="K360">
        <v>100</v>
      </c>
      <c r="L360">
        <v>50</v>
      </c>
      <c r="O360" s="12"/>
      <c r="Q360" t="s">
        <v>53</v>
      </c>
      <c r="S360" t="str">
        <f t="shared" si="27"/>
        <v>yes</v>
      </c>
      <c r="T360" t="str">
        <f t="shared" si="26"/>
        <v>yes</v>
      </c>
    </row>
    <row r="361" spans="1:20" x14ac:dyDescent="0.3">
      <c r="A361">
        <v>1131112</v>
      </c>
      <c r="B361" t="s">
        <v>997</v>
      </c>
      <c r="C361" t="s">
        <v>1044</v>
      </c>
      <c r="D361" t="s">
        <v>1003</v>
      </c>
      <c r="E361" t="s">
        <v>1004</v>
      </c>
      <c r="F361" s="17" t="s">
        <v>1005</v>
      </c>
      <c r="G361" t="s">
        <v>1007</v>
      </c>
      <c r="H361" t="s">
        <v>46</v>
      </c>
      <c r="I361" t="s">
        <v>46</v>
      </c>
      <c r="J361" t="s">
        <v>17</v>
      </c>
      <c r="K361">
        <v>100</v>
      </c>
      <c r="L361">
        <v>50</v>
      </c>
      <c r="O361" s="12"/>
      <c r="Q361" t="s">
        <v>53</v>
      </c>
      <c r="S361" t="str">
        <f t="shared" si="27"/>
        <v>yes</v>
      </c>
      <c r="T361" t="str">
        <f t="shared" si="26"/>
        <v>yes</v>
      </c>
    </row>
    <row r="362" spans="1:20" x14ac:dyDescent="0.3">
      <c r="A362">
        <v>1131112</v>
      </c>
      <c r="B362" t="s">
        <v>997</v>
      </c>
      <c r="C362" t="s">
        <v>1044</v>
      </c>
      <c r="D362" t="s">
        <v>1003</v>
      </c>
      <c r="E362" t="s">
        <v>1004</v>
      </c>
      <c r="F362" s="17" t="s">
        <v>1005</v>
      </c>
      <c r="G362" t="s">
        <v>1008</v>
      </c>
      <c r="H362" t="s">
        <v>46</v>
      </c>
      <c r="I362" t="s">
        <v>46</v>
      </c>
      <c r="J362" t="s">
        <v>17</v>
      </c>
      <c r="K362">
        <v>100</v>
      </c>
      <c r="L362">
        <v>50</v>
      </c>
      <c r="O362" s="12"/>
      <c r="Q362" t="s">
        <v>53</v>
      </c>
      <c r="S362" t="str">
        <f t="shared" si="27"/>
        <v>yes</v>
      </c>
      <c r="T362" t="str">
        <f t="shared" si="26"/>
        <v>yes</v>
      </c>
    </row>
    <row r="363" spans="1:20" x14ac:dyDescent="0.3">
      <c r="A363">
        <v>1131112</v>
      </c>
      <c r="B363" t="s">
        <v>997</v>
      </c>
      <c r="C363" t="s">
        <v>1044</v>
      </c>
      <c r="D363" t="s">
        <v>1003</v>
      </c>
      <c r="E363" t="s">
        <v>1004</v>
      </c>
      <c r="F363" s="17" t="s">
        <v>1005</v>
      </c>
      <c r="G363" t="s">
        <v>1009</v>
      </c>
      <c r="H363" t="s">
        <v>46</v>
      </c>
      <c r="I363" t="s">
        <v>46</v>
      </c>
      <c r="J363" t="s">
        <v>17</v>
      </c>
      <c r="K363">
        <v>100</v>
      </c>
      <c r="L363">
        <v>50</v>
      </c>
      <c r="O363" s="12"/>
      <c r="Q363" t="s">
        <v>53</v>
      </c>
      <c r="S363" t="str">
        <f t="shared" si="27"/>
        <v>yes</v>
      </c>
      <c r="T363" t="str">
        <f>IF(S363="","",LOWER(TRIM(S363)))</f>
        <v>yes</v>
      </c>
    </row>
    <row r="364" spans="1:20" x14ac:dyDescent="0.3">
      <c r="A364">
        <v>1131112</v>
      </c>
      <c r="B364" t="s">
        <v>997</v>
      </c>
      <c r="C364" t="s">
        <v>1044</v>
      </c>
      <c r="D364" t="s">
        <v>1003</v>
      </c>
      <c r="E364" t="s">
        <v>1004</v>
      </c>
      <c r="F364" s="17" t="s">
        <v>1005</v>
      </c>
      <c r="G364" t="s">
        <v>1010</v>
      </c>
      <c r="H364" t="s">
        <v>46</v>
      </c>
      <c r="I364" t="s">
        <v>46</v>
      </c>
      <c r="J364" t="s">
        <v>17</v>
      </c>
      <c r="K364">
        <v>100</v>
      </c>
      <c r="L364">
        <v>50</v>
      </c>
      <c r="O364" s="12"/>
      <c r="Q364" t="s">
        <v>53</v>
      </c>
      <c r="S364" t="str">
        <f t="shared" si="27"/>
        <v>yes</v>
      </c>
      <c r="T364" t="str">
        <f t="shared" ref="T364:T378" si="28">IF(S364="","",LOWER(TRIM(S364)))</f>
        <v>yes</v>
      </c>
    </row>
    <row r="365" spans="1:20" x14ac:dyDescent="0.3">
      <c r="A365">
        <v>1131112</v>
      </c>
      <c r="B365" t="s">
        <v>997</v>
      </c>
      <c r="C365" t="s">
        <v>1044</v>
      </c>
      <c r="D365" t="s">
        <v>1003</v>
      </c>
      <c r="E365" t="s">
        <v>1004</v>
      </c>
      <c r="F365" s="17" t="s">
        <v>1005</v>
      </c>
      <c r="G365" t="s">
        <v>1011</v>
      </c>
      <c r="H365" t="s">
        <v>46</v>
      </c>
      <c r="I365" t="s">
        <v>46</v>
      </c>
      <c r="J365" t="s">
        <v>17</v>
      </c>
      <c r="K365">
        <v>100</v>
      </c>
      <c r="L365">
        <v>50</v>
      </c>
      <c r="O365" s="12"/>
      <c r="Q365" t="s">
        <v>53</v>
      </c>
      <c r="S365" t="str">
        <f t="shared" si="27"/>
        <v>yes</v>
      </c>
      <c r="T365" t="str">
        <f t="shared" si="28"/>
        <v>yes</v>
      </c>
    </row>
    <row r="366" spans="1:20" x14ac:dyDescent="0.3">
      <c r="A366">
        <v>1131112</v>
      </c>
      <c r="B366" t="s">
        <v>997</v>
      </c>
      <c r="C366" t="s">
        <v>1044</v>
      </c>
      <c r="D366" t="s">
        <v>1003</v>
      </c>
      <c r="E366" t="s">
        <v>1004</v>
      </c>
      <c r="F366" s="17" t="s">
        <v>1005</v>
      </c>
      <c r="G366" t="s">
        <v>1012</v>
      </c>
      <c r="H366" t="s">
        <v>46</v>
      </c>
      <c r="I366" t="s">
        <v>46</v>
      </c>
      <c r="J366" t="s">
        <v>17</v>
      </c>
      <c r="K366">
        <v>100</v>
      </c>
      <c r="L366">
        <v>50</v>
      </c>
      <c r="O366" s="12"/>
      <c r="Q366" t="s">
        <v>53</v>
      </c>
      <c r="S366" t="str">
        <f t="shared" si="27"/>
        <v>yes</v>
      </c>
      <c r="T366" t="str">
        <f t="shared" si="28"/>
        <v>yes</v>
      </c>
    </row>
    <row r="367" spans="1:20" x14ac:dyDescent="0.3">
      <c r="A367">
        <v>1131112</v>
      </c>
      <c r="B367" t="s">
        <v>997</v>
      </c>
      <c r="C367" t="s">
        <v>1044</v>
      </c>
      <c r="D367" t="s">
        <v>1003</v>
      </c>
      <c r="E367" t="s">
        <v>1004</v>
      </c>
      <c r="F367" s="17" t="s">
        <v>1005</v>
      </c>
      <c r="G367" t="s">
        <v>1013</v>
      </c>
      <c r="H367" t="s">
        <v>46</v>
      </c>
      <c r="I367" t="s">
        <v>46</v>
      </c>
      <c r="J367" t="s">
        <v>17</v>
      </c>
      <c r="K367">
        <v>100</v>
      </c>
      <c r="L367">
        <v>50</v>
      </c>
      <c r="O367" s="12"/>
      <c r="Q367" t="s">
        <v>53</v>
      </c>
      <c r="S367" t="str">
        <f t="shared" si="27"/>
        <v>yes</v>
      </c>
      <c r="T367" t="str">
        <f t="shared" si="28"/>
        <v>yes</v>
      </c>
    </row>
    <row r="368" spans="1:20" x14ac:dyDescent="0.3">
      <c r="A368">
        <v>1131112</v>
      </c>
      <c r="B368" t="s">
        <v>997</v>
      </c>
      <c r="C368" t="s">
        <v>1044</v>
      </c>
      <c r="D368" t="s">
        <v>1003</v>
      </c>
      <c r="E368" t="s">
        <v>1004</v>
      </c>
      <c r="F368" s="17" t="s">
        <v>1005</v>
      </c>
      <c r="G368" t="s">
        <v>1014</v>
      </c>
      <c r="H368" t="s">
        <v>46</v>
      </c>
      <c r="I368" t="s">
        <v>46</v>
      </c>
      <c r="J368" t="s">
        <v>17</v>
      </c>
      <c r="K368">
        <v>100</v>
      </c>
      <c r="L368">
        <v>50</v>
      </c>
      <c r="O368" s="12"/>
      <c r="Q368" t="s">
        <v>53</v>
      </c>
      <c r="S368" t="str">
        <f t="shared" si="27"/>
        <v>yes</v>
      </c>
      <c r="T368" t="str">
        <f t="shared" si="28"/>
        <v>yes</v>
      </c>
    </row>
    <row r="369" spans="1:20" x14ac:dyDescent="0.3">
      <c r="A369">
        <v>1131112</v>
      </c>
      <c r="B369" t="s">
        <v>997</v>
      </c>
      <c r="C369" t="s">
        <v>1044</v>
      </c>
      <c r="D369" t="s">
        <v>1003</v>
      </c>
      <c r="E369" t="s">
        <v>1004</v>
      </c>
      <c r="F369" s="17" t="s">
        <v>1005</v>
      </c>
      <c r="G369" t="s">
        <v>1015</v>
      </c>
      <c r="H369" t="s">
        <v>46</v>
      </c>
      <c r="I369" t="s">
        <v>46</v>
      </c>
      <c r="J369" t="s">
        <v>17</v>
      </c>
      <c r="K369">
        <v>100</v>
      </c>
      <c r="L369">
        <v>50</v>
      </c>
      <c r="O369" s="12"/>
      <c r="Q369" t="s">
        <v>53</v>
      </c>
      <c r="S369" t="str">
        <f t="shared" si="27"/>
        <v>yes</v>
      </c>
      <c r="T369" t="str">
        <f t="shared" si="28"/>
        <v>yes</v>
      </c>
    </row>
    <row r="370" spans="1:20" x14ac:dyDescent="0.3">
      <c r="A370">
        <v>1131112</v>
      </c>
      <c r="B370" t="s">
        <v>997</v>
      </c>
      <c r="C370" t="s">
        <v>1044</v>
      </c>
      <c r="D370" t="s">
        <v>1003</v>
      </c>
      <c r="E370" t="s">
        <v>1004</v>
      </c>
      <c r="F370" s="17" t="s">
        <v>1005</v>
      </c>
      <c r="G370" t="s">
        <v>1016</v>
      </c>
      <c r="H370" t="s">
        <v>46</v>
      </c>
      <c r="I370" t="s">
        <v>46</v>
      </c>
      <c r="J370" t="s">
        <v>17</v>
      </c>
      <c r="K370">
        <v>100</v>
      </c>
      <c r="L370">
        <v>50</v>
      </c>
      <c r="O370" s="12"/>
      <c r="Q370" t="s">
        <v>53</v>
      </c>
      <c r="S370" t="str">
        <f t="shared" si="27"/>
        <v>yes</v>
      </c>
      <c r="T370" t="str">
        <f t="shared" si="28"/>
        <v>yes</v>
      </c>
    </row>
    <row r="371" spans="1:20" x14ac:dyDescent="0.3">
      <c r="A371">
        <v>1131112</v>
      </c>
      <c r="B371" t="s">
        <v>997</v>
      </c>
      <c r="C371" t="s">
        <v>1044</v>
      </c>
      <c r="D371" t="s">
        <v>1003</v>
      </c>
      <c r="E371" t="s">
        <v>1004</v>
      </c>
      <c r="F371" s="17" t="s">
        <v>1005</v>
      </c>
      <c r="G371" t="s">
        <v>1017</v>
      </c>
      <c r="H371" t="s">
        <v>46</v>
      </c>
      <c r="I371" t="s">
        <v>46</v>
      </c>
      <c r="J371" t="s">
        <v>17</v>
      </c>
      <c r="K371">
        <v>100</v>
      </c>
      <c r="L371">
        <v>50</v>
      </c>
      <c r="O371" s="12"/>
      <c r="Q371" t="s">
        <v>53</v>
      </c>
      <c r="S371" t="str">
        <f t="shared" si="27"/>
        <v>yes</v>
      </c>
      <c r="T371" t="str">
        <f t="shared" si="28"/>
        <v>yes</v>
      </c>
    </row>
    <row r="372" spans="1:20" x14ac:dyDescent="0.3">
      <c r="A372">
        <v>1131112</v>
      </c>
      <c r="B372" t="s">
        <v>997</v>
      </c>
      <c r="C372" t="s">
        <v>1044</v>
      </c>
      <c r="D372" t="s">
        <v>1003</v>
      </c>
      <c r="E372" t="s">
        <v>1004</v>
      </c>
      <c r="F372" s="17" t="s">
        <v>1005</v>
      </c>
      <c r="G372" t="s">
        <v>1018</v>
      </c>
      <c r="H372" t="s">
        <v>46</v>
      </c>
      <c r="I372" t="s">
        <v>46</v>
      </c>
      <c r="J372" t="s">
        <v>17</v>
      </c>
      <c r="K372">
        <v>100</v>
      </c>
      <c r="L372">
        <v>50</v>
      </c>
      <c r="O372" s="12"/>
      <c r="Q372" t="s">
        <v>53</v>
      </c>
      <c r="S372" t="str">
        <f t="shared" si="27"/>
        <v>yes</v>
      </c>
      <c r="T372" t="str">
        <f t="shared" si="28"/>
        <v>yes</v>
      </c>
    </row>
    <row r="373" spans="1:20" x14ac:dyDescent="0.3">
      <c r="A373">
        <v>1131112</v>
      </c>
      <c r="B373" t="s">
        <v>997</v>
      </c>
      <c r="C373" t="s">
        <v>1044</v>
      </c>
      <c r="D373" t="s">
        <v>1003</v>
      </c>
      <c r="E373" t="s">
        <v>1004</v>
      </c>
      <c r="F373" s="17" t="s">
        <v>1005</v>
      </c>
      <c r="G373" t="s">
        <v>1019</v>
      </c>
      <c r="H373" t="s">
        <v>46</v>
      </c>
      <c r="I373" t="s">
        <v>46</v>
      </c>
      <c r="J373" t="s">
        <v>17</v>
      </c>
      <c r="K373">
        <v>100</v>
      </c>
      <c r="L373">
        <v>50</v>
      </c>
      <c r="O373" s="12"/>
      <c r="Q373" t="s">
        <v>53</v>
      </c>
      <c r="S373" t="str">
        <f t="shared" si="27"/>
        <v>yes</v>
      </c>
      <c r="T373" t="str">
        <f t="shared" si="28"/>
        <v>yes</v>
      </c>
    </row>
    <row r="374" spans="1:20" x14ac:dyDescent="0.3">
      <c r="A374">
        <v>1131112</v>
      </c>
      <c r="B374" t="s">
        <v>997</v>
      </c>
      <c r="C374" t="s">
        <v>1044</v>
      </c>
      <c r="D374" t="s">
        <v>1003</v>
      </c>
      <c r="E374" t="s">
        <v>1004</v>
      </c>
      <c r="F374" s="17" t="s">
        <v>1005</v>
      </c>
      <c r="G374" t="s">
        <v>1020</v>
      </c>
      <c r="H374" t="s">
        <v>46</v>
      </c>
      <c r="I374" t="s">
        <v>46</v>
      </c>
      <c r="J374" t="s">
        <v>17</v>
      </c>
      <c r="K374">
        <v>100</v>
      </c>
      <c r="L374">
        <v>50</v>
      </c>
      <c r="O374" s="12"/>
      <c r="Q374" t="s">
        <v>53</v>
      </c>
      <c r="S374" t="str">
        <f t="shared" si="27"/>
        <v>yes</v>
      </c>
      <c r="T374" t="str">
        <f t="shared" si="28"/>
        <v>yes</v>
      </c>
    </row>
    <row r="375" spans="1:20" x14ac:dyDescent="0.3">
      <c r="A375">
        <v>1131112</v>
      </c>
      <c r="B375" t="s">
        <v>997</v>
      </c>
      <c r="C375" t="s">
        <v>1044</v>
      </c>
      <c r="D375" t="s">
        <v>1003</v>
      </c>
      <c r="E375" t="s">
        <v>1004</v>
      </c>
      <c r="F375" s="17" t="s">
        <v>1005</v>
      </c>
      <c r="G375" t="s">
        <v>1021</v>
      </c>
      <c r="H375" t="s">
        <v>46</v>
      </c>
      <c r="I375" t="s">
        <v>46</v>
      </c>
      <c r="J375" t="s">
        <v>17</v>
      </c>
      <c r="K375">
        <v>100</v>
      </c>
      <c r="L375">
        <v>50</v>
      </c>
      <c r="O375" s="12"/>
      <c r="Q375" t="s">
        <v>53</v>
      </c>
      <c r="S375" t="str">
        <f t="shared" si="27"/>
        <v>yes</v>
      </c>
      <c r="T375" t="str">
        <f t="shared" si="28"/>
        <v>yes</v>
      </c>
    </row>
    <row r="376" spans="1:20" x14ac:dyDescent="0.3">
      <c r="A376">
        <v>1131112</v>
      </c>
      <c r="B376" t="s">
        <v>997</v>
      </c>
      <c r="C376" t="s">
        <v>1044</v>
      </c>
      <c r="D376" t="s">
        <v>1003</v>
      </c>
      <c r="E376" t="s">
        <v>1004</v>
      </c>
      <c r="F376" s="17" t="s">
        <v>1005</v>
      </c>
      <c r="G376" t="s">
        <v>1022</v>
      </c>
      <c r="H376" t="s">
        <v>46</v>
      </c>
      <c r="I376" t="s">
        <v>46</v>
      </c>
      <c r="J376" t="s">
        <v>17</v>
      </c>
      <c r="K376">
        <v>100</v>
      </c>
      <c r="L376">
        <v>50</v>
      </c>
      <c r="O376" s="12"/>
      <c r="Q376" t="s">
        <v>53</v>
      </c>
      <c r="S376" t="str">
        <f>LOWER(TRIM(CLEAN(Q376)))</f>
        <v>yes</v>
      </c>
      <c r="T376" t="str">
        <f t="shared" si="28"/>
        <v>yes</v>
      </c>
    </row>
    <row r="377" spans="1:20" x14ac:dyDescent="0.3">
      <c r="A377">
        <v>1131112</v>
      </c>
      <c r="B377" t="s">
        <v>997</v>
      </c>
      <c r="C377" t="s">
        <v>1044</v>
      </c>
      <c r="D377" t="s">
        <v>1003</v>
      </c>
      <c r="E377" t="s">
        <v>1004</v>
      </c>
      <c r="F377" s="17" t="s">
        <v>1005</v>
      </c>
      <c r="G377" t="s">
        <v>1023</v>
      </c>
      <c r="H377" t="s">
        <v>46</v>
      </c>
      <c r="I377" t="s">
        <v>46</v>
      </c>
      <c r="J377" t="s">
        <v>17</v>
      </c>
      <c r="K377">
        <v>100</v>
      </c>
      <c r="L377">
        <v>50</v>
      </c>
      <c r="O377" s="12"/>
      <c r="Q377" t="s">
        <v>53</v>
      </c>
      <c r="S377" t="str">
        <f t="shared" si="27"/>
        <v>yes</v>
      </c>
      <c r="T377" t="str">
        <f t="shared" si="28"/>
        <v>yes</v>
      </c>
    </row>
    <row r="378" spans="1:20" x14ac:dyDescent="0.3">
      <c r="A378">
        <v>1131112</v>
      </c>
      <c r="B378" t="s">
        <v>997</v>
      </c>
      <c r="C378" t="s">
        <v>1044</v>
      </c>
      <c r="D378" t="s">
        <v>1003</v>
      </c>
      <c r="E378" t="s">
        <v>1004</v>
      </c>
      <c r="F378" s="17" t="s">
        <v>1005</v>
      </c>
      <c r="G378" t="s">
        <v>1024</v>
      </c>
      <c r="H378" t="s">
        <v>46</v>
      </c>
      <c r="I378" t="s">
        <v>46</v>
      </c>
      <c r="J378" t="s">
        <v>17</v>
      </c>
      <c r="K378">
        <v>100</v>
      </c>
      <c r="L378">
        <v>50</v>
      </c>
      <c r="O378" s="12"/>
      <c r="Q378" t="s">
        <v>53</v>
      </c>
      <c r="S378" t="str">
        <f t="shared" si="27"/>
        <v>yes</v>
      </c>
      <c r="T378" t="str">
        <f t="shared" si="28"/>
        <v>yes</v>
      </c>
    </row>
    <row r="379" spans="1:20" x14ac:dyDescent="0.3">
      <c r="A379">
        <v>1131112</v>
      </c>
      <c r="B379" t="s">
        <v>997</v>
      </c>
      <c r="C379" t="s">
        <v>1044</v>
      </c>
      <c r="D379" t="s">
        <v>1003</v>
      </c>
      <c r="E379" t="s">
        <v>1004</v>
      </c>
      <c r="F379" s="17" t="s">
        <v>1005</v>
      </c>
      <c r="G379" t="s">
        <v>1025</v>
      </c>
      <c r="H379" t="s">
        <v>46</v>
      </c>
      <c r="I379" t="s">
        <v>46</v>
      </c>
      <c r="J379" t="s">
        <v>17</v>
      </c>
      <c r="K379">
        <v>100</v>
      </c>
      <c r="L379">
        <v>50</v>
      </c>
      <c r="O379" s="12"/>
      <c r="Q379" t="s">
        <v>53</v>
      </c>
      <c r="S379" t="str">
        <f t="shared" si="27"/>
        <v>yes</v>
      </c>
      <c r="T379" t="str">
        <f>IF(S379="","",LOWER(TRIM(S379)))</f>
        <v>yes</v>
      </c>
    </row>
    <row r="380" spans="1:20" x14ac:dyDescent="0.3">
      <c r="A380">
        <v>1131112</v>
      </c>
      <c r="B380" t="s">
        <v>997</v>
      </c>
      <c r="C380" t="s">
        <v>1044</v>
      </c>
      <c r="D380" t="s">
        <v>1003</v>
      </c>
      <c r="E380" t="s">
        <v>1004</v>
      </c>
      <c r="F380" s="17" t="s">
        <v>1005</v>
      </c>
      <c r="G380" t="s">
        <v>1026</v>
      </c>
      <c r="H380" t="s">
        <v>46</v>
      </c>
      <c r="I380" t="s">
        <v>46</v>
      </c>
      <c r="J380" t="s">
        <v>17</v>
      </c>
      <c r="K380">
        <v>100</v>
      </c>
      <c r="L380">
        <v>50</v>
      </c>
      <c r="O380" s="12"/>
      <c r="Q380" t="s">
        <v>53</v>
      </c>
      <c r="S380" t="str">
        <f t="shared" si="27"/>
        <v>yes</v>
      </c>
      <c r="T380" t="str">
        <f t="shared" ref="T380:T389" si="29">IF(S380="","",LOWER(TRIM(S380)))</f>
        <v>yes</v>
      </c>
    </row>
    <row r="381" spans="1:20" x14ac:dyDescent="0.3">
      <c r="A381">
        <v>1131112</v>
      </c>
      <c r="B381" t="s">
        <v>997</v>
      </c>
      <c r="C381" t="s">
        <v>1044</v>
      </c>
      <c r="D381" t="s">
        <v>1003</v>
      </c>
      <c r="E381" t="s">
        <v>1004</v>
      </c>
      <c r="F381" s="17" t="s">
        <v>1005</v>
      </c>
      <c r="G381" t="s">
        <v>1027</v>
      </c>
      <c r="H381" t="s">
        <v>46</v>
      </c>
      <c r="I381" t="s">
        <v>46</v>
      </c>
      <c r="J381" t="s">
        <v>17</v>
      </c>
      <c r="K381">
        <v>100</v>
      </c>
      <c r="L381">
        <v>50</v>
      </c>
      <c r="O381" s="12"/>
      <c r="Q381" t="s">
        <v>53</v>
      </c>
      <c r="S381" t="str">
        <f t="shared" si="27"/>
        <v>yes</v>
      </c>
      <c r="T381" t="str">
        <f t="shared" si="29"/>
        <v>yes</v>
      </c>
    </row>
    <row r="382" spans="1:20" x14ac:dyDescent="0.3">
      <c r="A382">
        <v>1131112</v>
      </c>
      <c r="B382" t="s">
        <v>997</v>
      </c>
      <c r="C382" t="s">
        <v>1044</v>
      </c>
      <c r="D382" t="s">
        <v>1003</v>
      </c>
      <c r="E382" t="s">
        <v>1004</v>
      </c>
      <c r="F382" s="17" t="s">
        <v>1005</v>
      </c>
      <c r="G382" t="s">
        <v>1028</v>
      </c>
      <c r="H382" t="s">
        <v>46</v>
      </c>
      <c r="I382" t="s">
        <v>46</v>
      </c>
      <c r="J382" t="s">
        <v>17</v>
      </c>
      <c r="K382">
        <v>100</v>
      </c>
      <c r="L382">
        <v>50</v>
      </c>
      <c r="O382" s="12"/>
      <c r="Q382" t="s">
        <v>53</v>
      </c>
      <c r="S382" t="str">
        <f>LOWER(TRIM(CLEAN(Q382)))</f>
        <v>yes</v>
      </c>
      <c r="T382" t="str">
        <f t="shared" si="29"/>
        <v>yes</v>
      </c>
    </row>
    <row r="383" spans="1:20" x14ac:dyDescent="0.3">
      <c r="A383">
        <v>1131112</v>
      </c>
      <c r="B383" t="s">
        <v>997</v>
      </c>
      <c r="C383" t="s">
        <v>1044</v>
      </c>
      <c r="D383" t="s">
        <v>1003</v>
      </c>
      <c r="E383" t="s">
        <v>1004</v>
      </c>
      <c r="F383" s="17" t="s">
        <v>1005</v>
      </c>
      <c r="G383" t="s">
        <v>1029</v>
      </c>
      <c r="H383" t="s">
        <v>46</v>
      </c>
      <c r="I383" t="s">
        <v>46</v>
      </c>
      <c r="J383" t="s">
        <v>17</v>
      </c>
      <c r="K383">
        <v>100</v>
      </c>
      <c r="L383">
        <v>50</v>
      </c>
      <c r="O383" s="12"/>
      <c r="Q383" t="s">
        <v>53</v>
      </c>
      <c r="S383" t="str">
        <f t="shared" ref="S383:S389" si="30">LOWER(TRIM(CLEAN(Q383)))</f>
        <v>yes</v>
      </c>
      <c r="T383" t="str">
        <f t="shared" si="29"/>
        <v>yes</v>
      </c>
    </row>
    <row r="384" spans="1:20" x14ac:dyDescent="0.3">
      <c r="A384">
        <v>1131112</v>
      </c>
      <c r="B384" t="s">
        <v>997</v>
      </c>
      <c r="C384" t="s">
        <v>1044</v>
      </c>
      <c r="D384" t="s">
        <v>1003</v>
      </c>
      <c r="E384" t="s">
        <v>1004</v>
      </c>
      <c r="F384" s="17" t="s">
        <v>1005</v>
      </c>
      <c r="G384" t="s">
        <v>1030</v>
      </c>
      <c r="H384" t="s">
        <v>46</v>
      </c>
      <c r="I384" t="s">
        <v>46</v>
      </c>
      <c r="J384" t="s">
        <v>17</v>
      </c>
      <c r="K384">
        <v>100</v>
      </c>
      <c r="L384">
        <v>50</v>
      </c>
      <c r="O384" s="12"/>
      <c r="Q384" t="s">
        <v>53</v>
      </c>
      <c r="S384" t="str">
        <f t="shared" si="30"/>
        <v>yes</v>
      </c>
      <c r="T384" t="str">
        <f t="shared" si="29"/>
        <v>yes</v>
      </c>
    </row>
    <row r="385" spans="1:20" x14ac:dyDescent="0.3">
      <c r="A385">
        <v>1131112</v>
      </c>
      <c r="B385" t="s">
        <v>997</v>
      </c>
      <c r="C385" t="s">
        <v>1044</v>
      </c>
      <c r="D385" t="s">
        <v>1003</v>
      </c>
      <c r="E385" t="s">
        <v>1004</v>
      </c>
      <c r="F385" s="17" t="s">
        <v>1005</v>
      </c>
      <c r="G385" t="s">
        <v>1031</v>
      </c>
      <c r="H385" t="s">
        <v>46</v>
      </c>
      <c r="I385" t="s">
        <v>46</v>
      </c>
      <c r="J385" t="s">
        <v>17</v>
      </c>
      <c r="K385">
        <v>100</v>
      </c>
      <c r="L385">
        <v>50</v>
      </c>
      <c r="O385" s="12"/>
      <c r="Q385" t="s">
        <v>53</v>
      </c>
      <c r="S385" t="str">
        <f t="shared" si="30"/>
        <v>yes</v>
      </c>
      <c r="T385" t="str">
        <f t="shared" si="29"/>
        <v>yes</v>
      </c>
    </row>
    <row r="386" spans="1:20" x14ac:dyDescent="0.3">
      <c r="A386">
        <v>1131112</v>
      </c>
      <c r="B386" t="s">
        <v>997</v>
      </c>
      <c r="C386" t="s">
        <v>1044</v>
      </c>
      <c r="D386" t="s">
        <v>1003</v>
      </c>
      <c r="E386" t="s">
        <v>1004</v>
      </c>
      <c r="F386" s="17" t="s">
        <v>1005</v>
      </c>
      <c r="G386" t="s">
        <v>1032</v>
      </c>
      <c r="H386" t="s">
        <v>46</v>
      </c>
      <c r="I386" t="s">
        <v>46</v>
      </c>
      <c r="J386" t="s">
        <v>17</v>
      </c>
      <c r="K386">
        <v>100</v>
      </c>
      <c r="L386">
        <v>50</v>
      </c>
      <c r="O386" s="12"/>
      <c r="Q386" t="s">
        <v>53</v>
      </c>
      <c r="S386" t="str">
        <f t="shared" si="30"/>
        <v>yes</v>
      </c>
      <c r="T386" t="str">
        <f t="shared" si="29"/>
        <v>yes</v>
      </c>
    </row>
    <row r="387" spans="1:20" x14ac:dyDescent="0.3">
      <c r="A387">
        <v>1131112</v>
      </c>
      <c r="B387" t="s">
        <v>997</v>
      </c>
      <c r="C387" t="s">
        <v>1044</v>
      </c>
      <c r="D387" t="s">
        <v>1003</v>
      </c>
      <c r="E387" t="s">
        <v>1004</v>
      </c>
      <c r="F387" s="17" t="s">
        <v>1005</v>
      </c>
      <c r="G387" t="s">
        <v>1033</v>
      </c>
      <c r="H387" t="s">
        <v>46</v>
      </c>
      <c r="I387" t="s">
        <v>46</v>
      </c>
      <c r="J387" t="s">
        <v>17</v>
      </c>
      <c r="K387">
        <v>100</v>
      </c>
      <c r="L387">
        <v>50</v>
      </c>
      <c r="O387" s="12"/>
      <c r="Q387" t="s">
        <v>53</v>
      </c>
      <c r="S387" t="str">
        <f t="shared" si="30"/>
        <v>yes</v>
      </c>
      <c r="T387" t="str">
        <f t="shared" si="29"/>
        <v>yes</v>
      </c>
    </row>
    <row r="388" spans="1:20" x14ac:dyDescent="0.3">
      <c r="A388">
        <v>1131112</v>
      </c>
      <c r="B388" t="s">
        <v>997</v>
      </c>
      <c r="C388" t="s">
        <v>1044</v>
      </c>
      <c r="D388" t="s">
        <v>1003</v>
      </c>
      <c r="E388" t="s">
        <v>1004</v>
      </c>
      <c r="F388" s="17" t="s">
        <v>1005</v>
      </c>
      <c r="G388" t="s">
        <v>1034</v>
      </c>
      <c r="H388" t="s">
        <v>46</v>
      </c>
      <c r="I388" t="s">
        <v>46</v>
      </c>
      <c r="J388" t="s">
        <v>17</v>
      </c>
      <c r="K388">
        <v>100</v>
      </c>
      <c r="L388">
        <v>50</v>
      </c>
      <c r="O388" s="12"/>
      <c r="Q388" t="s">
        <v>53</v>
      </c>
      <c r="S388" t="str">
        <f t="shared" si="30"/>
        <v>yes</v>
      </c>
      <c r="T388" t="str">
        <f t="shared" si="29"/>
        <v>yes</v>
      </c>
    </row>
    <row r="389" spans="1:20" x14ac:dyDescent="0.3">
      <c r="A389">
        <v>1131112</v>
      </c>
      <c r="B389" t="s">
        <v>997</v>
      </c>
      <c r="C389" t="s">
        <v>1045</v>
      </c>
      <c r="D389" t="s">
        <v>1046</v>
      </c>
      <c r="E389" t="s">
        <v>1047</v>
      </c>
      <c r="H389" t="s">
        <v>22</v>
      </c>
      <c r="I389" t="s">
        <v>22</v>
      </c>
      <c r="J389" t="s">
        <v>17</v>
      </c>
      <c r="K389">
        <v>97.1</v>
      </c>
      <c r="L389">
        <v>109.3</v>
      </c>
      <c r="M389" t="s">
        <v>1048</v>
      </c>
      <c r="N389" t="s">
        <v>1049</v>
      </c>
      <c r="O389" s="14"/>
      <c r="Q389" t="s">
        <v>633</v>
      </c>
      <c r="S389" t="str">
        <f t="shared" si="30"/>
        <v>wrong</v>
      </c>
      <c r="T389" t="str">
        <f t="shared" si="29"/>
        <v>wrong</v>
      </c>
    </row>
  </sheetData>
  <autoFilter ref="T1:T389" xr:uid="{00000000-0001-0000-0000-000000000000}"/>
  <pageMargins left="0.7" right="0.7" top="0.75" bottom="0.75" header="0.3" footer="0.3"/>
  <pageSetup paperSize="9" orientation="portrait"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DAA0C66-B5A4-4C27-9B6F-FD7C12BCD5A5}">
  <dimension ref="A1:AF764"/>
  <sheetViews>
    <sheetView zoomScale="90" zoomScaleNormal="90" workbookViewId="0">
      <pane xSplit="2" ySplit="1" topLeftCell="G2" activePane="bottomRight" state="frozen"/>
      <selection pane="topRight" activeCell="C1" sqref="C1"/>
      <selection pane="bottomLeft" activeCell="A2" sqref="A2"/>
      <selection pane="bottomRight" activeCell="P37" sqref="P37"/>
    </sheetView>
  </sheetViews>
  <sheetFormatPr defaultRowHeight="14.4" x14ac:dyDescent="0.3"/>
  <cols>
    <col min="1" max="1" width="8.88671875" bestFit="1" customWidth="1"/>
    <col min="2" max="2" width="25.77734375" customWidth="1"/>
    <col min="3" max="3" width="34.77734375" bestFit="1" customWidth="1"/>
    <col min="4" max="4" width="23.6640625" bestFit="1" customWidth="1"/>
    <col min="5" max="5" width="11.33203125" bestFit="1" customWidth="1"/>
    <col min="6" max="6" width="10" bestFit="1" customWidth="1"/>
    <col min="7" max="7" width="87.33203125" customWidth="1"/>
    <col min="8" max="8" width="11" hidden="1" customWidth="1"/>
    <col min="9" max="9" width="11.21875" hidden="1" customWidth="1"/>
    <col min="10" max="10" width="15.44140625" hidden="1" customWidth="1"/>
    <col min="11" max="11" width="12.88671875" hidden="1" customWidth="1"/>
    <col min="12" max="12" width="11.44140625" hidden="1" customWidth="1"/>
    <col min="13" max="13" width="21.88671875" customWidth="1"/>
    <col min="14" max="14" width="28.5546875" customWidth="1"/>
    <col min="15" max="15" width="15.33203125" bestFit="1" customWidth="1"/>
    <col min="16" max="16" width="11.109375" bestFit="1" customWidth="1"/>
    <col min="17" max="17" width="35.21875" bestFit="1" customWidth="1"/>
    <col min="18" max="18" width="13.77734375" bestFit="1" customWidth="1"/>
    <col min="19" max="19" width="13.5546875" bestFit="1" customWidth="1"/>
    <col min="20" max="20" width="13.5546875" customWidth="1"/>
    <col min="21" max="21" width="36.77734375" bestFit="1" customWidth="1"/>
    <col min="22" max="22" width="36.77734375" customWidth="1"/>
    <col min="24" max="24" width="31.109375" bestFit="1" customWidth="1"/>
  </cols>
  <sheetData>
    <row r="1" spans="1:32" x14ac:dyDescent="0.3">
      <c r="A1" t="s">
        <v>0</v>
      </c>
      <c r="B1" t="s">
        <v>1</v>
      </c>
      <c r="C1" t="s">
        <v>2</v>
      </c>
      <c r="D1" t="s">
        <v>3</v>
      </c>
      <c r="E1" t="s">
        <v>4</v>
      </c>
      <c r="F1" t="s">
        <v>5</v>
      </c>
      <c r="G1" t="s">
        <v>6</v>
      </c>
      <c r="H1" t="s">
        <v>7</v>
      </c>
      <c r="I1" t="s">
        <v>8</v>
      </c>
      <c r="J1" t="s">
        <v>9</v>
      </c>
      <c r="K1" t="s">
        <v>10</v>
      </c>
      <c r="L1" t="s">
        <v>11</v>
      </c>
      <c r="M1" t="s">
        <v>12</v>
      </c>
      <c r="N1" t="s">
        <v>13</v>
      </c>
      <c r="O1" t="s">
        <v>1819</v>
      </c>
      <c r="P1" t="s">
        <v>1818</v>
      </c>
      <c r="Q1" t="s">
        <v>1817</v>
      </c>
      <c r="R1" t="s">
        <v>1816</v>
      </c>
      <c r="S1" t="s">
        <v>1815</v>
      </c>
      <c r="U1" t="s">
        <v>1814</v>
      </c>
      <c r="V1" t="s">
        <v>1813</v>
      </c>
    </row>
    <row r="2" spans="1:32" x14ac:dyDescent="0.3">
      <c r="A2">
        <v>1131185</v>
      </c>
      <c r="B2" t="s">
        <v>1783</v>
      </c>
      <c r="C2" t="s">
        <v>998</v>
      </c>
      <c r="H2" t="s">
        <v>16</v>
      </c>
      <c r="I2" t="s">
        <v>16</v>
      </c>
      <c r="J2" t="s">
        <v>17</v>
      </c>
      <c r="K2">
        <v>0</v>
      </c>
      <c r="L2">
        <v>0</v>
      </c>
      <c r="O2" t="s">
        <v>1703</v>
      </c>
      <c r="P2" t="s">
        <v>1703</v>
      </c>
      <c r="R2" s="43">
        <f>COUNTIF(O2:O39,"*YES*")/COUNTA(O2:O39)</f>
        <v>0.92105263157894735</v>
      </c>
      <c r="S2" s="43">
        <f>COUNTIF(P2:P39,"*YES*")/COUNTA(P2:P39)</f>
        <v>0.92105263157894735</v>
      </c>
      <c r="T2" s="18"/>
      <c r="U2" s="18" t="str" cm="1">
        <f t="array" ref="U2:U49">_xlfn.UNIQUE(C2:C192)</f>
        <v>French Massif central</v>
      </c>
      <c r="V2" s="21">
        <f t="shared" ref="V2:V49" si="0">COUNTIF(C2:C192, U2)</f>
        <v>1</v>
      </c>
      <c r="X2" s="23" t="s">
        <v>1812</v>
      </c>
      <c r="Y2" s="23" cm="1">
        <f t="array" ref="Y2">COUNTA(_xlfn.UNIQUE(_xlfn._xlws.FILTER(C2:C192,C2:C192&lt;&gt;"")))</f>
        <v>48</v>
      </c>
    </row>
    <row r="3" spans="1:32" x14ac:dyDescent="0.3">
      <c r="A3">
        <v>1131185</v>
      </c>
      <c r="B3" t="s">
        <v>1783</v>
      </c>
      <c r="C3" t="s">
        <v>1035</v>
      </c>
      <c r="D3" t="s">
        <v>1035</v>
      </c>
      <c r="E3" t="s">
        <v>1036</v>
      </c>
      <c r="H3" t="s">
        <v>22</v>
      </c>
      <c r="I3" t="s">
        <v>22</v>
      </c>
      <c r="J3" t="s">
        <v>17</v>
      </c>
      <c r="K3">
        <v>100</v>
      </c>
      <c r="L3">
        <v>110</v>
      </c>
      <c r="M3" t="s">
        <v>1037</v>
      </c>
      <c r="N3" t="s">
        <v>1038</v>
      </c>
      <c r="O3" t="s">
        <v>1790</v>
      </c>
      <c r="P3" t="s">
        <v>1743</v>
      </c>
      <c r="Q3" s="20" t="s">
        <v>1789</v>
      </c>
      <c r="R3" s="43"/>
      <c r="S3" s="43"/>
      <c r="T3" s="18"/>
      <c r="U3" s="18" t="str">
        <v>Blockstream</v>
      </c>
      <c r="V3" s="21">
        <f t="shared" si="0"/>
        <v>1</v>
      </c>
      <c r="X3" s="23" t="s">
        <v>1811</v>
      </c>
      <c r="Y3" s="23" cm="1">
        <f t="array" ref="Y3">COUNTA(_xlfn.UNIQUE(_xlfn._xlws.FILTER(E2:E192,(E2:E192&lt;&gt;"")*(E2:E192&lt;&gt;"none"))))</f>
        <v>17</v>
      </c>
    </row>
    <row r="4" spans="1:32" x14ac:dyDescent="0.3">
      <c r="A4">
        <v>1131185</v>
      </c>
      <c r="B4" t="s">
        <v>1783</v>
      </c>
      <c r="C4" t="s">
        <v>1002</v>
      </c>
      <c r="D4" t="s">
        <v>1003</v>
      </c>
      <c r="E4" t="s">
        <v>1004</v>
      </c>
      <c r="F4" t="s">
        <v>1005</v>
      </c>
      <c r="G4" t="s">
        <v>1006</v>
      </c>
      <c r="H4" t="s">
        <v>46</v>
      </c>
      <c r="I4" t="s">
        <v>46</v>
      </c>
      <c r="J4" t="s">
        <v>17</v>
      </c>
      <c r="K4">
        <v>100</v>
      </c>
      <c r="L4">
        <v>50</v>
      </c>
      <c r="O4" t="s">
        <v>1703</v>
      </c>
      <c r="P4" t="s">
        <v>1764</v>
      </c>
      <c r="R4" s="43"/>
      <c r="S4" s="43"/>
      <c r="T4" s="18"/>
      <c r="U4" s="18" t="str">
        <v>Rock glacier</v>
      </c>
      <c r="V4" s="21">
        <f t="shared" si="0"/>
        <v>29</v>
      </c>
      <c r="X4" s="23" t="s">
        <v>1810</v>
      </c>
      <c r="Y4" s="22" cm="1">
        <f t="array" ref="Y4">COUNTA(_xlfn.UNIQUE(_xlfn._xlws.FILTER(E2:E192,(E2:E192&lt;&gt;"")*(E2:E192&lt;&gt;"none")))) / COUNTA(_xlfn.UNIQUE(_xlfn._xlws.FILTER(C2:C192,C2:C192&lt;&gt;"")))</f>
        <v>0.35416666666666669</v>
      </c>
    </row>
    <row r="5" spans="1:32" x14ac:dyDescent="0.3">
      <c r="A5">
        <v>1131185</v>
      </c>
      <c r="B5" t="s">
        <v>1783</v>
      </c>
      <c r="C5" t="s">
        <v>1002</v>
      </c>
      <c r="D5" t="s">
        <v>1003</v>
      </c>
      <c r="E5" t="s">
        <v>1004</v>
      </c>
      <c r="F5" t="s">
        <v>1005</v>
      </c>
      <c r="G5" t="s">
        <v>1007</v>
      </c>
      <c r="H5" t="s">
        <v>46</v>
      </c>
      <c r="I5" t="s">
        <v>46</v>
      </c>
      <c r="J5" t="s">
        <v>17</v>
      </c>
      <c r="K5">
        <v>100</v>
      </c>
      <c r="L5">
        <v>50</v>
      </c>
      <c r="O5" t="s">
        <v>1703</v>
      </c>
      <c r="P5" t="s">
        <v>1703</v>
      </c>
      <c r="R5" s="43"/>
      <c r="S5" s="43"/>
      <c r="T5" s="18"/>
      <c r="U5" s="18" t="str">
        <v>Periglacial morphology and process</v>
      </c>
      <c r="V5" s="21">
        <f t="shared" si="0"/>
        <v>1</v>
      </c>
      <c r="X5" s="23" t="s">
        <v>1809</v>
      </c>
      <c r="Y5" s="23" cm="1">
        <f t="array" ref="Y5">COUNTA(_xlfn.UNIQUE(_xlfn._xlws.FILTER(F2:F192,(F2:F192&lt;&gt;"")*(F2:F192&lt;&gt;"none"))))</f>
        <v>2</v>
      </c>
    </row>
    <row r="6" spans="1:32" x14ac:dyDescent="0.3">
      <c r="A6">
        <v>1131185</v>
      </c>
      <c r="B6" t="s">
        <v>1783</v>
      </c>
      <c r="C6" t="s">
        <v>1002</v>
      </c>
      <c r="D6" t="s">
        <v>1003</v>
      </c>
      <c r="E6" t="s">
        <v>1004</v>
      </c>
      <c r="F6" t="s">
        <v>1005</v>
      </c>
      <c r="G6" t="s">
        <v>1008</v>
      </c>
      <c r="H6" t="s">
        <v>46</v>
      </c>
      <c r="I6" t="s">
        <v>46</v>
      </c>
      <c r="J6" t="s">
        <v>17</v>
      </c>
      <c r="K6">
        <v>100</v>
      </c>
      <c r="L6">
        <v>50</v>
      </c>
      <c r="O6" t="s">
        <v>1703</v>
      </c>
      <c r="P6" t="s">
        <v>1703</v>
      </c>
      <c r="R6" s="43"/>
      <c r="S6" s="43"/>
      <c r="T6" s="18"/>
      <c r="U6" s="18" t="str">
        <v>Pleistocene</v>
      </c>
      <c r="V6" s="21">
        <f t="shared" si="0"/>
        <v>1</v>
      </c>
      <c r="X6" s="23" t="s">
        <v>1808</v>
      </c>
      <c r="Y6" s="22" cm="1">
        <f t="array" ref="Y6">COUNTA(_xlfn.UNIQUE(_xlfn._xlws.FILTER(E2:F192,(F2:F192&lt;&gt;"")*(F2:F192&lt;&gt;"none")))) / COUNTA(_xlfn.UNIQUE(_xlfn._xlws.FILTER(C2:C192,C2:C192&lt;&gt;"")))</f>
        <v>8.3333333333333329E-2</v>
      </c>
    </row>
    <row r="7" spans="1:32" x14ac:dyDescent="0.3">
      <c r="A7">
        <v>1131185</v>
      </c>
      <c r="B7" t="s">
        <v>1783</v>
      </c>
      <c r="C7" t="s">
        <v>1002</v>
      </c>
      <c r="D7" t="s">
        <v>1003</v>
      </c>
      <c r="E7" t="s">
        <v>1004</v>
      </c>
      <c r="F7" t="s">
        <v>1005</v>
      </c>
      <c r="G7" t="s">
        <v>1009</v>
      </c>
      <c r="H7" t="s">
        <v>46</v>
      </c>
      <c r="I7" t="s">
        <v>46</v>
      </c>
      <c r="J7" t="s">
        <v>17</v>
      </c>
      <c r="K7">
        <v>100</v>
      </c>
      <c r="L7">
        <v>50</v>
      </c>
      <c r="O7" t="s">
        <v>1703</v>
      </c>
      <c r="P7" t="s">
        <v>1703</v>
      </c>
      <c r="R7" s="43"/>
      <c r="S7" s="43"/>
      <c r="T7" s="18"/>
      <c r="U7" s="18" t="str">
        <v>Late Glacial</v>
      </c>
      <c r="V7" s="21">
        <f t="shared" si="0"/>
        <v>1</v>
      </c>
      <c r="X7" s="23" t="s">
        <v>1807</v>
      </c>
      <c r="Y7" s="22">
        <f>COUNTIF(O2:O192,"*YES*")/COUNTA(O2:O192)</f>
        <v>0.95811518324607325</v>
      </c>
    </row>
    <row r="8" spans="1:32" x14ac:dyDescent="0.3">
      <c r="A8">
        <v>1131185</v>
      </c>
      <c r="B8" t="s">
        <v>1783</v>
      </c>
      <c r="C8" t="s">
        <v>1002</v>
      </c>
      <c r="D8" t="s">
        <v>1003</v>
      </c>
      <c r="E8" t="s">
        <v>1004</v>
      </c>
      <c r="F8" t="s">
        <v>1005</v>
      </c>
      <c r="G8" t="s">
        <v>1010</v>
      </c>
      <c r="H8" t="s">
        <v>46</v>
      </c>
      <c r="I8" t="s">
        <v>46</v>
      </c>
      <c r="J8" t="s">
        <v>17</v>
      </c>
      <c r="K8">
        <v>100</v>
      </c>
      <c r="L8">
        <v>50</v>
      </c>
      <c r="O8" t="s">
        <v>1703</v>
      </c>
      <c r="P8" t="s">
        <v>1703</v>
      </c>
      <c r="R8" s="43"/>
      <c r="S8" s="43"/>
      <c r="T8" s="18"/>
      <c r="U8" s="18" t="str">
        <v>Eastern Velay</v>
      </c>
      <c r="V8" s="21">
        <f t="shared" si="0"/>
        <v>1</v>
      </c>
      <c r="X8" s="23" t="s">
        <v>1806</v>
      </c>
      <c r="Y8" s="22">
        <f>COUNTIF(P2:P192,"*YES*")/COUNTA(P2:P192)</f>
        <v>0.98113207547169812</v>
      </c>
    </row>
    <row r="9" spans="1:32" x14ac:dyDescent="0.3">
      <c r="A9">
        <v>1131185</v>
      </c>
      <c r="B9" t="s">
        <v>1783</v>
      </c>
      <c r="C9" t="s">
        <v>1002</v>
      </c>
      <c r="D9" t="s">
        <v>1003</v>
      </c>
      <c r="E9" t="s">
        <v>1004</v>
      </c>
      <c r="F9" t="s">
        <v>1005</v>
      </c>
      <c r="G9" t="s">
        <v>1011</v>
      </c>
      <c r="H9" t="s">
        <v>46</v>
      </c>
      <c r="I9" t="s">
        <v>46</v>
      </c>
      <c r="J9" t="s">
        <v>17</v>
      </c>
      <c r="K9">
        <v>100</v>
      </c>
      <c r="L9">
        <v>50</v>
      </c>
      <c r="O9" t="s">
        <v>1703</v>
      </c>
      <c r="P9" t="s">
        <v>1703</v>
      </c>
      <c r="R9" s="43"/>
      <c r="S9" s="43"/>
      <c r="T9" s="18"/>
      <c r="U9" s="18" t="str">
        <v>MÃ©zenc</v>
      </c>
      <c r="V9" s="21">
        <f t="shared" si="0"/>
        <v>1</v>
      </c>
    </row>
    <row r="10" spans="1:32" x14ac:dyDescent="0.3">
      <c r="A10">
        <v>1131185</v>
      </c>
      <c r="B10" t="s">
        <v>1783</v>
      </c>
      <c r="C10" t="s">
        <v>1002</v>
      </c>
      <c r="D10" t="s">
        <v>1003</v>
      </c>
      <c r="E10" t="s">
        <v>1004</v>
      </c>
      <c r="F10" t="s">
        <v>1005</v>
      </c>
      <c r="G10" t="s">
        <v>1012</v>
      </c>
      <c r="H10" t="s">
        <v>46</v>
      </c>
      <c r="I10" t="s">
        <v>46</v>
      </c>
      <c r="J10" t="s">
        <v>17</v>
      </c>
      <c r="K10">
        <v>100</v>
      </c>
      <c r="L10">
        <v>50</v>
      </c>
      <c r="O10" t="s">
        <v>1703</v>
      </c>
      <c r="P10" t="s">
        <v>1703</v>
      </c>
      <c r="R10" s="43"/>
      <c r="S10" s="43"/>
      <c r="T10" s="18"/>
      <c r="U10" s="18" t="str">
        <v>Morphologie et processus pÃ©riglaciaires</v>
      </c>
      <c r="V10" s="21">
        <f t="shared" si="0"/>
        <v>1</v>
      </c>
    </row>
    <row r="11" spans="1:32" ht="57.6" x14ac:dyDescent="0.3">
      <c r="A11">
        <v>1131185</v>
      </c>
      <c r="B11" t="s">
        <v>1783</v>
      </c>
      <c r="C11" t="s">
        <v>1002</v>
      </c>
      <c r="D11" t="s">
        <v>1003</v>
      </c>
      <c r="E11" t="s">
        <v>1004</v>
      </c>
      <c r="F11" t="s">
        <v>1005</v>
      </c>
      <c r="G11" t="s">
        <v>1013</v>
      </c>
      <c r="H11" t="s">
        <v>46</v>
      </c>
      <c r="I11" t="s">
        <v>46</v>
      </c>
      <c r="J11" t="s">
        <v>17</v>
      </c>
      <c r="K11">
        <v>100</v>
      </c>
      <c r="L11">
        <v>50</v>
      </c>
      <c r="O11" t="s">
        <v>1703</v>
      </c>
      <c r="P11" t="s">
        <v>1703</v>
      </c>
      <c r="R11" s="43"/>
      <c r="S11" s="43"/>
      <c r="T11" s="18"/>
      <c r="U11" s="18" t="str">
        <v>RiviÃ¨re de pierres</v>
      </c>
      <c r="V11" s="21">
        <f t="shared" si="0"/>
        <v>1</v>
      </c>
      <c r="W11" s="5" t="s">
        <v>538</v>
      </c>
      <c r="X11" s="5" t="s">
        <v>539</v>
      </c>
      <c r="Y11" s="5" t="s">
        <v>540</v>
      </c>
      <c r="Z11" s="5" t="s">
        <v>542</v>
      </c>
      <c r="AA11" s="5" t="s">
        <v>544</v>
      </c>
      <c r="AB11" s="5" t="s">
        <v>545</v>
      </c>
      <c r="AC11" s="5" t="s">
        <v>541</v>
      </c>
      <c r="AD11" s="5" t="s">
        <v>543</v>
      </c>
      <c r="AE11" s="5" t="s">
        <v>546</v>
      </c>
      <c r="AF11" s="5" t="s">
        <v>547</v>
      </c>
    </row>
    <row r="12" spans="1:32" x14ac:dyDescent="0.3">
      <c r="A12">
        <v>1131185</v>
      </c>
      <c r="B12" t="s">
        <v>1783</v>
      </c>
      <c r="C12" t="s">
        <v>1002</v>
      </c>
      <c r="D12" t="s">
        <v>1003</v>
      </c>
      <c r="E12" t="s">
        <v>1004</v>
      </c>
      <c r="F12" t="s">
        <v>1005</v>
      </c>
      <c r="G12" t="s">
        <v>1014</v>
      </c>
      <c r="H12" t="s">
        <v>46</v>
      </c>
      <c r="I12" t="s">
        <v>46</v>
      </c>
      <c r="J12" t="s">
        <v>17</v>
      </c>
      <c r="K12">
        <v>100</v>
      </c>
      <c r="L12">
        <v>50</v>
      </c>
      <c r="O12" t="s">
        <v>1703</v>
      </c>
      <c r="P12" t="s">
        <v>1703</v>
      </c>
      <c r="R12" s="43"/>
      <c r="S12" s="43"/>
      <c r="T12" s="18"/>
      <c r="U12" s="18" t="str">
        <v>Glacier rocheux</v>
      </c>
      <c r="V12" s="21">
        <f t="shared" si="0"/>
        <v>29</v>
      </c>
      <c r="W12" s="9" cm="1">
        <f t="array" ref="W12">COUNTA(_xlfn.UNIQUE(_xlfn._xlws.FILTER(B2:B192, B2:B192&lt;&gt;"")))</f>
        <v>9</v>
      </c>
      <c r="X12" s="9" cm="1">
        <f t="array" ref="X12">COUNTA(_xlfn.UNIQUE(_xlfn._xlws.FILTER(C2:C192, C2:C192&lt;&gt;"")))</f>
        <v>48</v>
      </c>
      <c r="Y12" s="9" cm="1">
        <f t="array" ref="Y12">COUNTA(_xlfn.UNIQUE(_xlfn._xlws.FILTER(C2:C192 &amp; E2:E192, O2:O192="YES")))</f>
        <v>41</v>
      </c>
      <c r="Z12" s="9" cm="1">
        <f t="array" ref="Z12">COUNTA(_xlfn.UNIQUE(_xlfn._xlws.FILTER(C2:C192 &amp; E2:E192, O2:O192="NO")))</f>
        <v>7</v>
      </c>
      <c r="AA12" s="9" cm="1">
        <f t="array" ref="AA12">COUNTA(_xlfn.UNIQUE(_xlfn._xlws.FILTER(E2:E192, E2:E192&lt;&gt;"")))</f>
        <v>17</v>
      </c>
      <c r="AB12" s="9" cm="1">
        <f t="array" ref="AB12">COUNTA(_xlfn.UNIQUE(_xlfn._xlws.FILTER(F2:F192, F2:F192&lt;&gt;"")))</f>
        <v>2</v>
      </c>
      <c r="AC12" s="13">
        <f>Y12 / (Y12 + Z12)</f>
        <v>0.85416666666666663</v>
      </c>
      <c r="AD12" s="13">
        <f>Z12 / (Y12 + Z12)</f>
        <v>0.14583333333333334</v>
      </c>
      <c r="AE12" s="13">
        <f>AA12 / X12</f>
        <v>0.35416666666666669</v>
      </c>
      <c r="AF12" s="13">
        <f>AB12 / X12</f>
        <v>4.1666666666666664E-2</v>
      </c>
    </row>
    <row r="13" spans="1:32" x14ac:dyDescent="0.3">
      <c r="A13">
        <v>1131185</v>
      </c>
      <c r="B13" t="s">
        <v>1783</v>
      </c>
      <c r="C13" t="s">
        <v>1002</v>
      </c>
      <c r="D13" t="s">
        <v>1003</v>
      </c>
      <c r="E13" t="s">
        <v>1004</v>
      </c>
      <c r="F13" t="s">
        <v>1005</v>
      </c>
      <c r="G13" t="s">
        <v>1015</v>
      </c>
      <c r="H13" t="s">
        <v>46</v>
      </c>
      <c r="I13" t="s">
        <v>46</v>
      </c>
      <c r="J13" t="s">
        <v>17</v>
      </c>
      <c r="K13">
        <v>100</v>
      </c>
      <c r="L13">
        <v>50</v>
      </c>
      <c r="O13" t="s">
        <v>1703</v>
      </c>
      <c r="P13" t="s">
        <v>1703</v>
      </c>
      <c r="R13" s="43"/>
      <c r="S13" s="43"/>
      <c r="T13" s="18"/>
      <c r="U13" s="18" t="str">
        <v>Velay oriental</v>
      </c>
      <c r="V13" s="21">
        <f t="shared" si="0"/>
        <v>1</v>
      </c>
    </row>
    <row r="14" spans="1:32" x14ac:dyDescent="0.3">
      <c r="A14">
        <v>1131185</v>
      </c>
      <c r="B14" t="s">
        <v>1783</v>
      </c>
      <c r="C14" t="s">
        <v>1002</v>
      </c>
      <c r="D14" t="s">
        <v>1003</v>
      </c>
      <c r="E14" t="s">
        <v>1004</v>
      </c>
      <c r="F14" t="s">
        <v>1005</v>
      </c>
      <c r="G14" t="s">
        <v>1016</v>
      </c>
      <c r="H14" t="s">
        <v>46</v>
      </c>
      <c r="I14" t="s">
        <v>46</v>
      </c>
      <c r="J14" t="s">
        <v>17</v>
      </c>
      <c r="K14">
        <v>100</v>
      </c>
      <c r="L14">
        <v>50</v>
      </c>
      <c r="O14" t="s">
        <v>1703</v>
      </c>
      <c r="P14" t="s">
        <v>1703</v>
      </c>
      <c r="R14" s="43"/>
      <c r="S14" s="43"/>
      <c r="T14" s="18"/>
      <c r="U14" s="18" t="str">
        <v>Massif central franÃ§ais</v>
      </c>
      <c r="V14" s="21">
        <f t="shared" si="0"/>
        <v>1</v>
      </c>
    </row>
    <row r="15" spans="1:32" x14ac:dyDescent="0.3">
      <c r="A15">
        <v>1131185</v>
      </c>
      <c r="B15" t="s">
        <v>1783</v>
      </c>
      <c r="C15" t="s">
        <v>1002</v>
      </c>
      <c r="D15" t="s">
        <v>1003</v>
      </c>
      <c r="E15" t="s">
        <v>1004</v>
      </c>
      <c r="F15" t="s">
        <v>1005</v>
      </c>
      <c r="G15" t="s">
        <v>1017</v>
      </c>
      <c r="H15" t="s">
        <v>46</v>
      </c>
      <c r="I15" t="s">
        <v>46</v>
      </c>
      <c r="J15" t="s">
        <v>17</v>
      </c>
      <c r="K15">
        <v>100</v>
      </c>
      <c r="L15">
        <v>50</v>
      </c>
      <c r="O15" t="s">
        <v>1703</v>
      </c>
      <c r="P15" t="s">
        <v>1703</v>
      </c>
      <c r="R15" s="43"/>
      <c r="S15" s="43"/>
      <c r="T15" s="18"/>
      <c r="U15" s="18" t="str">
        <v>Tardiglaciaire</v>
      </c>
      <c r="V15" s="21">
        <f t="shared" si="0"/>
        <v>1</v>
      </c>
    </row>
    <row r="16" spans="1:32" x14ac:dyDescent="0.3">
      <c r="A16">
        <v>1131185</v>
      </c>
      <c r="B16" t="s">
        <v>1783</v>
      </c>
      <c r="C16" t="s">
        <v>1002</v>
      </c>
      <c r="D16" t="s">
        <v>1003</v>
      </c>
      <c r="E16" t="s">
        <v>1004</v>
      </c>
      <c r="F16" t="s">
        <v>1005</v>
      </c>
      <c r="G16" t="s">
        <v>1018</v>
      </c>
      <c r="H16" t="s">
        <v>46</v>
      </c>
      <c r="I16" t="s">
        <v>46</v>
      </c>
      <c r="J16" t="s">
        <v>17</v>
      </c>
      <c r="K16">
        <v>100</v>
      </c>
      <c r="L16">
        <v>50</v>
      </c>
      <c r="O16" t="s">
        <v>1703</v>
      </c>
      <c r="P16" t="s">
        <v>1703</v>
      </c>
      <c r="R16" s="43"/>
      <c r="S16" s="43"/>
      <c r="T16" s="18"/>
      <c r="U16" s="18" t="str">
        <v>Dunkl kernel</v>
      </c>
      <c r="V16" s="21">
        <f t="shared" si="0"/>
        <v>1</v>
      </c>
    </row>
    <row r="17" spans="1:22" x14ac:dyDescent="0.3">
      <c r="A17">
        <v>1131185</v>
      </c>
      <c r="B17" t="s">
        <v>1783</v>
      </c>
      <c r="C17" t="s">
        <v>1002</v>
      </c>
      <c r="D17" t="s">
        <v>1003</v>
      </c>
      <c r="E17" t="s">
        <v>1004</v>
      </c>
      <c r="F17" t="s">
        <v>1005</v>
      </c>
      <c r="G17" t="s">
        <v>1019</v>
      </c>
      <c r="H17" t="s">
        <v>46</v>
      </c>
      <c r="I17" t="s">
        <v>46</v>
      </c>
      <c r="J17" t="s">
        <v>17</v>
      </c>
      <c r="K17">
        <v>100</v>
      </c>
      <c r="L17">
        <v>50</v>
      </c>
      <c r="O17" t="s">
        <v>1703</v>
      </c>
      <c r="P17" t="s">
        <v>1703</v>
      </c>
      <c r="R17" s="43"/>
      <c r="S17" s="43"/>
      <c r="T17" s="18"/>
      <c r="U17" s="18" t="str">
        <v>Dihedral root systems</v>
      </c>
      <c r="V17" s="21">
        <f t="shared" si="0"/>
        <v>1</v>
      </c>
    </row>
    <row r="18" spans="1:22" x14ac:dyDescent="0.3">
      <c r="A18">
        <v>1131185</v>
      </c>
      <c r="B18" t="s">
        <v>1783</v>
      </c>
      <c r="C18" t="s">
        <v>1002</v>
      </c>
      <c r="D18" t="s">
        <v>1003</v>
      </c>
      <c r="E18" t="s">
        <v>1004</v>
      </c>
      <c r="F18" t="s">
        <v>1005</v>
      </c>
      <c r="G18" t="s">
        <v>1020</v>
      </c>
      <c r="H18" t="s">
        <v>46</v>
      </c>
      <c r="I18" t="s">
        <v>46</v>
      </c>
      <c r="J18" t="s">
        <v>17</v>
      </c>
      <c r="K18">
        <v>100</v>
      </c>
      <c r="L18">
        <v>50</v>
      </c>
      <c r="O18" t="s">
        <v>1703</v>
      </c>
      <c r="P18" t="s">
        <v>1703</v>
      </c>
      <c r="R18" s="43"/>
      <c r="S18" s="43"/>
      <c r="T18" s="18"/>
      <c r="U18" s="18" t="str">
        <v>Generalized Bessel function</v>
      </c>
      <c r="V18" s="21">
        <f t="shared" si="0"/>
        <v>1</v>
      </c>
    </row>
    <row r="19" spans="1:22" x14ac:dyDescent="0.3">
      <c r="A19">
        <v>1131185</v>
      </c>
      <c r="B19" t="s">
        <v>1783</v>
      </c>
      <c r="C19" t="s">
        <v>1002</v>
      </c>
      <c r="D19" t="s">
        <v>1003</v>
      </c>
      <c r="E19" t="s">
        <v>1004</v>
      </c>
      <c r="F19" t="s">
        <v>1005</v>
      </c>
      <c r="G19" t="s">
        <v>1021</v>
      </c>
      <c r="H19" t="s">
        <v>46</v>
      </c>
      <c r="I19" t="s">
        <v>46</v>
      </c>
      <c r="J19" t="s">
        <v>17</v>
      </c>
      <c r="K19">
        <v>100</v>
      </c>
      <c r="L19">
        <v>50</v>
      </c>
      <c r="O19" t="s">
        <v>1703</v>
      </c>
      <c r="P19" t="s">
        <v>1703</v>
      </c>
      <c r="R19" s="43"/>
      <c r="S19" s="43"/>
      <c r="T19" s="18"/>
      <c r="U19" s="18" t="str">
        <v>Structural dynamics</v>
      </c>
      <c r="V19" s="21">
        <f t="shared" si="0"/>
        <v>8</v>
      </c>
    </row>
    <row r="20" spans="1:22" x14ac:dyDescent="0.3">
      <c r="A20">
        <v>1131185</v>
      </c>
      <c r="B20" t="s">
        <v>1783</v>
      </c>
      <c r="C20" t="s">
        <v>1002</v>
      </c>
      <c r="D20" t="s">
        <v>1003</v>
      </c>
      <c r="E20" t="s">
        <v>1004</v>
      </c>
      <c r="F20" t="s">
        <v>1005</v>
      </c>
      <c r="G20" t="s">
        <v>1022</v>
      </c>
      <c r="H20" t="s">
        <v>46</v>
      </c>
      <c r="I20" t="s">
        <v>46</v>
      </c>
      <c r="J20" t="s">
        <v>17</v>
      </c>
      <c r="K20">
        <v>100</v>
      </c>
      <c r="L20">
        <v>50</v>
      </c>
      <c r="O20" t="s">
        <v>1703</v>
      </c>
      <c r="P20" t="s">
        <v>1703</v>
      </c>
      <c r="R20" s="43"/>
      <c r="S20" s="43"/>
      <c r="T20" s="18"/>
      <c r="U20" s="18" t="str">
        <v>Model identification</v>
      </c>
      <c r="V20" s="21">
        <f t="shared" si="0"/>
        <v>1</v>
      </c>
    </row>
    <row r="21" spans="1:22" x14ac:dyDescent="0.3">
      <c r="A21">
        <v>1131185</v>
      </c>
      <c r="B21" t="s">
        <v>1783</v>
      </c>
      <c r="C21" t="s">
        <v>1002</v>
      </c>
      <c r="D21" t="s">
        <v>1003</v>
      </c>
      <c r="E21" t="s">
        <v>1004</v>
      </c>
      <c r="F21" t="s">
        <v>1005</v>
      </c>
      <c r="G21" t="s">
        <v>1023</v>
      </c>
      <c r="H21" t="s">
        <v>46</v>
      </c>
      <c r="I21" t="s">
        <v>46</v>
      </c>
      <c r="J21" t="s">
        <v>17</v>
      </c>
      <c r="K21">
        <v>100</v>
      </c>
      <c r="L21">
        <v>50</v>
      </c>
      <c r="O21" t="s">
        <v>1703</v>
      </c>
      <c r="P21" t="s">
        <v>1703</v>
      </c>
      <c r="R21" s="43"/>
      <c r="S21" s="43"/>
      <c r="T21" s="18"/>
      <c r="U21" s="18" t="str">
        <v>Computational stochastic dynamics</v>
      </c>
      <c r="V21" s="21">
        <f t="shared" si="0"/>
        <v>1</v>
      </c>
    </row>
    <row r="22" spans="1:22" x14ac:dyDescent="0.3">
      <c r="A22">
        <v>1131185</v>
      </c>
      <c r="B22" t="s">
        <v>1783</v>
      </c>
      <c r="C22" t="s">
        <v>1002</v>
      </c>
      <c r="D22" t="s">
        <v>1003</v>
      </c>
      <c r="E22" t="s">
        <v>1004</v>
      </c>
      <c r="F22" t="s">
        <v>1005</v>
      </c>
      <c r="G22" t="s">
        <v>1024</v>
      </c>
      <c r="H22" t="s">
        <v>46</v>
      </c>
      <c r="I22" t="s">
        <v>46</v>
      </c>
      <c r="J22" t="s">
        <v>17</v>
      </c>
      <c r="K22">
        <v>100</v>
      </c>
      <c r="L22">
        <v>50</v>
      </c>
      <c r="O22" t="s">
        <v>1703</v>
      </c>
      <c r="P22" t="s">
        <v>1703</v>
      </c>
      <c r="R22" s="43"/>
      <c r="S22" s="43"/>
      <c r="T22" s="18"/>
      <c r="U22" s="18" t="str">
        <v>Mode crossing</v>
      </c>
      <c r="V22" s="21">
        <f t="shared" si="0"/>
        <v>1</v>
      </c>
    </row>
    <row r="23" spans="1:22" x14ac:dyDescent="0.3">
      <c r="A23">
        <v>1131185</v>
      </c>
      <c r="B23" t="s">
        <v>1783</v>
      </c>
      <c r="C23" t="s">
        <v>1002</v>
      </c>
      <c r="D23" t="s">
        <v>1003</v>
      </c>
      <c r="E23" t="s">
        <v>1004</v>
      </c>
      <c r="F23" t="s">
        <v>1005</v>
      </c>
      <c r="G23" t="s">
        <v>1025</v>
      </c>
      <c r="H23" t="s">
        <v>46</v>
      </c>
      <c r="I23" t="s">
        <v>46</v>
      </c>
      <c r="J23" t="s">
        <v>17</v>
      </c>
      <c r="K23">
        <v>100</v>
      </c>
      <c r="L23">
        <v>50</v>
      </c>
      <c r="O23" t="s">
        <v>1703</v>
      </c>
      <c r="P23" t="s">
        <v>1703</v>
      </c>
      <c r="R23" s="43"/>
      <c r="S23" s="43"/>
      <c r="T23" s="18"/>
      <c r="U23" s="18" t="str">
        <v>Experimental modal analysis</v>
      </c>
      <c r="V23" s="21">
        <f t="shared" si="0"/>
        <v>1</v>
      </c>
    </row>
    <row r="24" spans="1:22" x14ac:dyDescent="0.3">
      <c r="A24">
        <v>1131185</v>
      </c>
      <c r="B24" t="s">
        <v>1783</v>
      </c>
      <c r="C24" t="s">
        <v>1002</v>
      </c>
      <c r="D24" t="s">
        <v>1003</v>
      </c>
      <c r="E24" t="s">
        <v>1004</v>
      </c>
      <c r="F24" t="s">
        <v>1005</v>
      </c>
      <c r="G24" t="s">
        <v>1026</v>
      </c>
      <c r="H24" t="s">
        <v>46</v>
      </c>
      <c r="I24" t="s">
        <v>46</v>
      </c>
      <c r="J24" t="s">
        <v>17</v>
      </c>
      <c r="K24">
        <v>100</v>
      </c>
      <c r="L24">
        <v>50</v>
      </c>
      <c r="O24" t="s">
        <v>1703</v>
      </c>
      <c r="P24" t="s">
        <v>1703</v>
      </c>
      <c r="R24" s="43"/>
      <c r="S24" s="43"/>
      <c r="T24" s="18"/>
      <c r="U24" s="18" t="str">
        <v>Uncertainty Quantification</v>
      </c>
      <c r="V24" s="21">
        <f t="shared" si="0"/>
        <v>36</v>
      </c>
    </row>
    <row r="25" spans="1:22" x14ac:dyDescent="0.3">
      <c r="A25">
        <v>1131185</v>
      </c>
      <c r="B25" t="s">
        <v>1783</v>
      </c>
      <c r="C25" t="s">
        <v>1002</v>
      </c>
      <c r="D25" t="s">
        <v>1003</v>
      </c>
      <c r="E25" t="s">
        <v>1004</v>
      </c>
      <c r="F25" t="s">
        <v>1005</v>
      </c>
      <c r="G25" t="s">
        <v>1027</v>
      </c>
      <c r="H25" t="s">
        <v>46</v>
      </c>
      <c r="I25" t="s">
        <v>46</v>
      </c>
      <c r="J25" t="s">
        <v>17</v>
      </c>
      <c r="K25">
        <v>100</v>
      </c>
      <c r="L25">
        <v>50</v>
      </c>
      <c r="O25" t="s">
        <v>1703</v>
      </c>
      <c r="P25" t="s">
        <v>1703</v>
      </c>
      <c r="R25" s="43"/>
      <c r="S25" s="43"/>
      <c r="T25" s="18"/>
      <c r="U25" s="18" t="str">
        <v>Reduced-order model</v>
      </c>
      <c r="V25" s="21">
        <f t="shared" si="0"/>
        <v>2</v>
      </c>
    </row>
    <row r="26" spans="1:22" x14ac:dyDescent="0.3">
      <c r="A26">
        <v>1131185</v>
      </c>
      <c r="B26" t="s">
        <v>1783</v>
      </c>
      <c r="C26" t="s">
        <v>1002</v>
      </c>
      <c r="D26" t="s">
        <v>1003</v>
      </c>
      <c r="E26" t="s">
        <v>1004</v>
      </c>
      <c r="F26" t="s">
        <v>1005</v>
      </c>
      <c r="G26" t="s">
        <v>1028</v>
      </c>
      <c r="H26" t="s">
        <v>46</v>
      </c>
      <c r="I26" t="s">
        <v>46</v>
      </c>
      <c r="J26" t="s">
        <v>17</v>
      </c>
      <c r="K26">
        <v>100</v>
      </c>
      <c r="L26">
        <v>50</v>
      </c>
      <c r="O26" t="s">
        <v>1703</v>
      </c>
      <c r="P26" t="s">
        <v>1703</v>
      </c>
      <c r="R26" s="43"/>
      <c r="S26" s="43"/>
      <c r="T26" s="18"/>
      <c r="U26" s="18" t="str">
        <v>Global modes</v>
      </c>
      <c r="V26" s="21">
        <f t="shared" si="0"/>
        <v>1</v>
      </c>
    </row>
    <row r="27" spans="1:22" x14ac:dyDescent="0.3">
      <c r="A27">
        <v>1131185</v>
      </c>
      <c r="B27" t="s">
        <v>1783</v>
      </c>
      <c r="C27" t="s">
        <v>1002</v>
      </c>
      <c r="D27" t="s">
        <v>1003</v>
      </c>
      <c r="E27" t="s">
        <v>1004</v>
      </c>
      <c r="F27" t="s">
        <v>1005</v>
      </c>
      <c r="G27" t="s">
        <v>1029</v>
      </c>
      <c r="H27" t="s">
        <v>46</v>
      </c>
      <c r="I27" t="s">
        <v>46</v>
      </c>
      <c r="J27" t="s">
        <v>17</v>
      </c>
      <c r="K27">
        <v>100</v>
      </c>
      <c r="L27">
        <v>50</v>
      </c>
      <c r="O27" t="s">
        <v>1703</v>
      </c>
      <c r="P27" t="s">
        <v>1703</v>
      </c>
      <c r="R27" s="43"/>
      <c r="S27" s="43"/>
      <c r="T27" s="18"/>
      <c r="U27" s="18" t="str">
        <v>Computational model</v>
      </c>
      <c r="V27" s="21">
        <f t="shared" si="0"/>
        <v>29</v>
      </c>
    </row>
    <row r="28" spans="1:22" x14ac:dyDescent="0.3">
      <c r="A28">
        <v>1131185</v>
      </c>
      <c r="B28" t="s">
        <v>1783</v>
      </c>
      <c r="C28" t="s">
        <v>1002</v>
      </c>
      <c r="D28" t="s">
        <v>1003</v>
      </c>
      <c r="E28" t="s">
        <v>1004</v>
      </c>
      <c r="F28" t="s">
        <v>1005</v>
      </c>
      <c r="G28" t="s">
        <v>1030</v>
      </c>
      <c r="H28" t="s">
        <v>46</v>
      </c>
      <c r="I28" t="s">
        <v>46</v>
      </c>
      <c r="J28" t="s">
        <v>17</v>
      </c>
      <c r="K28">
        <v>100</v>
      </c>
      <c r="L28">
        <v>50</v>
      </c>
      <c r="O28" t="s">
        <v>1703</v>
      </c>
      <c r="P28" t="s">
        <v>1703</v>
      </c>
      <c r="R28" s="43"/>
      <c r="S28" s="43"/>
      <c r="T28" s="18"/>
      <c r="U28" s="18" t="str">
        <v>Frequency range</v>
      </c>
      <c r="V28" s="21">
        <f t="shared" si="0"/>
        <v>2</v>
      </c>
    </row>
    <row r="29" spans="1:22" x14ac:dyDescent="0.3">
      <c r="A29">
        <v>1131185</v>
      </c>
      <c r="B29" t="s">
        <v>1783</v>
      </c>
      <c r="C29" t="s">
        <v>1002</v>
      </c>
      <c r="D29" t="s">
        <v>1003</v>
      </c>
      <c r="E29" t="s">
        <v>1004</v>
      </c>
      <c r="F29" t="s">
        <v>1005</v>
      </c>
      <c r="G29" t="s">
        <v>1031</v>
      </c>
      <c r="H29" t="s">
        <v>46</v>
      </c>
      <c r="I29" t="s">
        <v>46</v>
      </c>
      <c r="J29" t="s">
        <v>17</v>
      </c>
      <c r="K29">
        <v>100</v>
      </c>
      <c r="L29">
        <v>50</v>
      </c>
      <c r="O29" t="s">
        <v>1703</v>
      </c>
      <c r="P29" t="s">
        <v>1703</v>
      </c>
      <c r="R29" s="43"/>
      <c r="S29" s="43"/>
      <c r="T29" s="18"/>
      <c r="U29" s="18" t="str">
        <v>Medium-frequency range</v>
      </c>
      <c r="V29" s="21">
        <f t="shared" si="0"/>
        <v>1</v>
      </c>
    </row>
    <row r="30" spans="1:22" x14ac:dyDescent="0.3">
      <c r="A30">
        <v>1131185</v>
      </c>
      <c r="B30" t="s">
        <v>1783</v>
      </c>
      <c r="C30" t="s">
        <v>1002</v>
      </c>
      <c r="D30" t="s">
        <v>1003</v>
      </c>
      <c r="E30" t="s">
        <v>1004</v>
      </c>
      <c r="F30" t="s">
        <v>1005</v>
      </c>
      <c r="G30" t="s">
        <v>1032</v>
      </c>
      <c r="H30" t="s">
        <v>46</v>
      </c>
      <c r="I30" t="s">
        <v>46</v>
      </c>
      <c r="J30" t="s">
        <v>17</v>
      </c>
      <c r="K30">
        <v>100</v>
      </c>
      <c r="L30">
        <v>50</v>
      </c>
      <c r="O30" t="s">
        <v>1703</v>
      </c>
      <c r="P30" t="s">
        <v>1703</v>
      </c>
      <c r="R30" s="43"/>
      <c r="S30" s="43"/>
      <c r="T30" s="18"/>
      <c r="U30" s="18" t="str">
        <v>Vibroacoustic</v>
      </c>
      <c r="V30" s="21">
        <f t="shared" si="0"/>
        <v>8</v>
      </c>
    </row>
    <row r="31" spans="1:22" x14ac:dyDescent="0.3">
      <c r="A31">
        <v>1131185</v>
      </c>
      <c r="B31" t="s">
        <v>1783</v>
      </c>
      <c r="C31" t="s">
        <v>1002</v>
      </c>
      <c r="D31" t="s">
        <v>1003</v>
      </c>
      <c r="E31" t="s">
        <v>1004</v>
      </c>
      <c r="F31" t="s">
        <v>1005</v>
      </c>
      <c r="G31" t="s">
        <v>1033</v>
      </c>
      <c r="H31" t="s">
        <v>46</v>
      </c>
      <c r="I31" t="s">
        <v>46</v>
      </c>
      <c r="J31" t="s">
        <v>17</v>
      </c>
      <c r="K31">
        <v>100</v>
      </c>
      <c r="L31">
        <v>50</v>
      </c>
      <c r="O31" t="s">
        <v>1703</v>
      </c>
      <c r="P31" t="s">
        <v>1703</v>
      </c>
      <c r="R31" s="43"/>
      <c r="S31" s="43"/>
      <c r="T31" s="18"/>
      <c r="U31" s="18" t="str">
        <v>Structural Acoustics</v>
      </c>
      <c r="V31" s="21">
        <f t="shared" si="0"/>
        <v>1</v>
      </c>
    </row>
    <row r="32" spans="1:22" x14ac:dyDescent="0.3">
      <c r="A32">
        <v>1131185</v>
      </c>
      <c r="B32" t="s">
        <v>1783</v>
      </c>
      <c r="C32" t="s">
        <v>1002</v>
      </c>
      <c r="D32" t="s">
        <v>1003</v>
      </c>
      <c r="E32" t="s">
        <v>1004</v>
      </c>
      <c r="F32" t="s">
        <v>1005</v>
      </c>
      <c r="G32" t="s">
        <v>1034</v>
      </c>
      <c r="H32" t="s">
        <v>46</v>
      </c>
      <c r="I32" t="s">
        <v>46</v>
      </c>
      <c r="J32" t="s">
        <v>17</v>
      </c>
      <c r="K32">
        <v>100</v>
      </c>
      <c r="L32">
        <v>50</v>
      </c>
      <c r="O32" t="s">
        <v>1703</v>
      </c>
      <c r="P32" t="s">
        <v>1703</v>
      </c>
      <c r="R32" s="43"/>
      <c r="S32" s="43"/>
      <c r="T32" s="18"/>
      <c r="U32" s="18" t="str">
        <v>Vibration</v>
      </c>
      <c r="V32" s="21">
        <f t="shared" si="0"/>
        <v>1</v>
      </c>
    </row>
    <row r="33" spans="1:22" x14ac:dyDescent="0.3">
      <c r="A33">
        <v>1131185</v>
      </c>
      <c r="B33" t="s">
        <v>1783</v>
      </c>
      <c r="C33" t="s">
        <v>1805</v>
      </c>
      <c r="H33" t="s">
        <v>16</v>
      </c>
      <c r="I33" t="s">
        <v>16</v>
      </c>
      <c r="J33" t="s">
        <v>17</v>
      </c>
      <c r="K33">
        <v>0</v>
      </c>
      <c r="L33">
        <v>0</v>
      </c>
      <c r="O33" t="s">
        <v>1703</v>
      </c>
      <c r="P33" t="s">
        <v>1703</v>
      </c>
      <c r="R33" s="43"/>
      <c r="S33" s="43"/>
      <c r="T33" s="18"/>
      <c r="U33" s="18" t="str">
        <v>Computational Vibroacoustics</v>
      </c>
      <c r="V33" s="21">
        <f t="shared" si="0"/>
        <v>1</v>
      </c>
    </row>
    <row r="34" spans="1:22" x14ac:dyDescent="0.3">
      <c r="A34">
        <v>1131185</v>
      </c>
      <c r="B34" t="s">
        <v>1783</v>
      </c>
      <c r="C34" t="s">
        <v>1804</v>
      </c>
      <c r="D34" t="s">
        <v>1804</v>
      </c>
      <c r="E34" t="s">
        <v>1803</v>
      </c>
      <c r="F34" t="s">
        <v>1802</v>
      </c>
      <c r="H34" t="s">
        <v>22</v>
      </c>
      <c r="I34" t="s">
        <v>22</v>
      </c>
      <c r="J34" t="s">
        <v>17</v>
      </c>
      <c r="K34">
        <v>100</v>
      </c>
      <c r="L34">
        <v>110</v>
      </c>
      <c r="M34" t="s">
        <v>1801</v>
      </c>
      <c r="N34" t="s">
        <v>1800</v>
      </c>
      <c r="O34" t="s">
        <v>1703</v>
      </c>
      <c r="P34" t="s">
        <v>1703</v>
      </c>
      <c r="R34" s="43"/>
      <c r="S34" s="43"/>
      <c r="T34" s="18"/>
      <c r="U34" s="18" t="str">
        <v>Nonlinear structural dynamics</v>
      </c>
      <c r="V34" s="21">
        <f t="shared" si="0"/>
        <v>1</v>
      </c>
    </row>
    <row r="35" spans="1:22" x14ac:dyDescent="0.3">
      <c r="A35">
        <v>1131185</v>
      </c>
      <c r="B35" t="s">
        <v>1783</v>
      </c>
      <c r="C35" t="s">
        <v>1799</v>
      </c>
      <c r="D35" t="s">
        <v>1781</v>
      </c>
      <c r="E35" t="s">
        <v>1780</v>
      </c>
      <c r="H35" t="s">
        <v>22</v>
      </c>
      <c r="I35" t="s">
        <v>22</v>
      </c>
      <c r="J35" t="s">
        <v>17</v>
      </c>
      <c r="K35">
        <v>75</v>
      </c>
      <c r="L35">
        <v>45</v>
      </c>
      <c r="M35" t="s">
        <v>1779</v>
      </c>
      <c r="N35" t="s">
        <v>1778</v>
      </c>
      <c r="O35" t="s">
        <v>1703</v>
      </c>
      <c r="P35" t="s">
        <v>1764</v>
      </c>
      <c r="R35" s="43"/>
      <c r="S35" s="43"/>
      <c r="T35" s="18"/>
      <c r="U35" s="18" t="str">
        <v>Mistuned bladed disk</v>
      </c>
      <c r="V35" s="21">
        <f t="shared" si="0"/>
        <v>1</v>
      </c>
    </row>
    <row r="36" spans="1:22" x14ac:dyDescent="0.3">
      <c r="A36">
        <v>1131185</v>
      </c>
      <c r="B36" t="s">
        <v>1783</v>
      </c>
      <c r="C36" t="s">
        <v>999</v>
      </c>
      <c r="H36" t="s">
        <v>16</v>
      </c>
      <c r="I36" t="s">
        <v>16</v>
      </c>
      <c r="J36" t="s">
        <v>17</v>
      </c>
      <c r="K36">
        <v>0</v>
      </c>
      <c r="L36">
        <v>0</v>
      </c>
      <c r="O36" t="s">
        <v>1703</v>
      </c>
      <c r="P36" t="s">
        <v>1764</v>
      </c>
      <c r="R36" s="43"/>
      <c r="S36" s="43"/>
      <c r="T36" s="18"/>
      <c r="U36" s="18" t="str">
        <v>Geometrical nonlinearities</v>
      </c>
      <c r="V36" s="21">
        <f t="shared" si="0"/>
        <v>1</v>
      </c>
    </row>
    <row r="37" spans="1:22" ht="187.2" customHeight="1" x14ac:dyDescent="0.3">
      <c r="A37">
        <v>1131185</v>
      </c>
      <c r="B37" t="s">
        <v>1783</v>
      </c>
      <c r="C37" t="s">
        <v>1798</v>
      </c>
      <c r="D37" t="s">
        <v>1797</v>
      </c>
      <c r="E37" t="s">
        <v>1796</v>
      </c>
      <c r="H37" t="s">
        <v>22</v>
      </c>
      <c r="I37" t="s">
        <v>22</v>
      </c>
      <c r="J37" t="s">
        <v>17</v>
      </c>
      <c r="K37">
        <v>100</v>
      </c>
      <c r="L37">
        <v>112</v>
      </c>
      <c r="M37" t="s">
        <v>1795</v>
      </c>
      <c r="N37" t="s">
        <v>1794</v>
      </c>
      <c r="O37" t="s">
        <v>1790</v>
      </c>
      <c r="P37" t="s">
        <v>1743</v>
      </c>
      <c r="Q37" s="19" t="s">
        <v>1793</v>
      </c>
      <c r="R37" s="43"/>
      <c r="S37" s="43"/>
      <c r="T37" s="18"/>
      <c r="U37" s="18" t="str">
        <v>Multiscale methods</v>
      </c>
      <c r="V37" s="21">
        <f t="shared" si="0"/>
        <v>1</v>
      </c>
    </row>
    <row r="38" spans="1:22" x14ac:dyDescent="0.3">
      <c r="A38">
        <v>1131185</v>
      </c>
      <c r="B38" t="s">
        <v>1783</v>
      </c>
      <c r="C38" t="s">
        <v>1792</v>
      </c>
      <c r="H38" t="s">
        <v>16</v>
      </c>
      <c r="I38" t="s">
        <v>16</v>
      </c>
      <c r="J38" t="s">
        <v>17</v>
      </c>
      <c r="K38">
        <v>0</v>
      </c>
      <c r="L38">
        <v>0</v>
      </c>
      <c r="O38" t="s">
        <v>1703</v>
      </c>
      <c r="P38" t="s">
        <v>1764</v>
      </c>
      <c r="Q38" t="s">
        <v>1791</v>
      </c>
      <c r="R38" s="43"/>
      <c r="S38" s="43"/>
      <c r="T38" s="18"/>
      <c r="U38" s="18" t="str">
        <v>Neural Networks</v>
      </c>
      <c r="V38" s="21">
        <f t="shared" si="0"/>
        <v>6</v>
      </c>
    </row>
    <row r="39" spans="1:22" x14ac:dyDescent="0.3">
      <c r="A39">
        <v>1131185</v>
      </c>
      <c r="B39" t="s">
        <v>1783</v>
      </c>
      <c r="C39" t="s">
        <v>1045</v>
      </c>
      <c r="D39" t="s">
        <v>1046</v>
      </c>
      <c r="E39" t="s">
        <v>1047</v>
      </c>
      <c r="H39" t="s">
        <v>22</v>
      </c>
      <c r="I39" t="s">
        <v>22</v>
      </c>
      <c r="J39" t="s">
        <v>17</v>
      </c>
      <c r="K39">
        <v>97.1</v>
      </c>
      <c r="L39">
        <v>109.3</v>
      </c>
      <c r="M39" t="s">
        <v>1048</v>
      </c>
      <c r="N39" t="s">
        <v>1049</v>
      </c>
      <c r="O39" t="s">
        <v>1790</v>
      </c>
      <c r="P39" t="s">
        <v>1743</v>
      </c>
      <c r="Q39" s="20" t="s">
        <v>1789</v>
      </c>
      <c r="R39" s="43"/>
      <c r="S39" s="43"/>
      <c r="T39" s="18"/>
      <c r="U39" s="18" t="str">
        <v>High-dimensional approximation</v>
      </c>
      <c r="V39" s="21">
        <f t="shared" si="0"/>
        <v>1</v>
      </c>
    </row>
    <row r="40" spans="1:22" x14ac:dyDescent="0.3">
      <c r="A40">
        <v>1131185</v>
      </c>
      <c r="B40" t="s">
        <v>1783</v>
      </c>
      <c r="C40" t="s">
        <v>1044</v>
      </c>
      <c r="D40" t="s">
        <v>1003</v>
      </c>
      <c r="E40" t="s">
        <v>1004</v>
      </c>
      <c r="F40" t="s">
        <v>1005</v>
      </c>
      <c r="G40" t="s">
        <v>1006</v>
      </c>
      <c r="H40" t="s">
        <v>46</v>
      </c>
      <c r="I40" t="s">
        <v>46</v>
      </c>
      <c r="J40" t="s">
        <v>17</v>
      </c>
      <c r="K40">
        <v>100</v>
      </c>
      <c r="L40">
        <v>50</v>
      </c>
      <c r="O40" t="s">
        <v>1703</v>
      </c>
      <c r="Q40" s="20" t="s">
        <v>1788</v>
      </c>
      <c r="R40" s="43"/>
      <c r="S40" s="43"/>
      <c r="T40" s="18"/>
      <c r="U40" s="18" t="str">
        <v>Computational homogenization</v>
      </c>
      <c r="V40" s="21">
        <f t="shared" si="0"/>
        <v>1</v>
      </c>
    </row>
    <row r="41" spans="1:22" x14ac:dyDescent="0.3">
      <c r="A41">
        <v>1131185</v>
      </c>
      <c r="B41" t="s">
        <v>1783</v>
      </c>
      <c r="C41" t="s">
        <v>1044</v>
      </c>
      <c r="D41" t="s">
        <v>1003</v>
      </c>
      <c r="E41" t="s">
        <v>1004</v>
      </c>
      <c r="F41" t="s">
        <v>1005</v>
      </c>
      <c r="G41" t="s">
        <v>1007</v>
      </c>
      <c r="H41" t="s">
        <v>46</v>
      </c>
      <c r="I41" t="s">
        <v>46</v>
      </c>
      <c r="J41" t="s">
        <v>17</v>
      </c>
      <c r="K41">
        <v>100</v>
      </c>
      <c r="L41">
        <v>50</v>
      </c>
      <c r="O41" t="s">
        <v>1703</v>
      </c>
      <c r="Q41" s="20" t="s">
        <v>1788</v>
      </c>
      <c r="R41" s="43"/>
      <c r="S41" s="43"/>
      <c r="T41" s="18"/>
      <c r="U41" s="18" t="str">
        <v>Nonlinear homogenization</v>
      </c>
      <c r="V41" s="21">
        <f t="shared" si="0"/>
        <v>1</v>
      </c>
    </row>
    <row r="42" spans="1:22" x14ac:dyDescent="0.3">
      <c r="A42">
        <v>1131185</v>
      </c>
      <c r="B42" t="s">
        <v>1783</v>
      </c>
      <c r="C42" t="s">
        <v>1044</v>
      </c>
      <c r="D42" t="s">
        <v>1003</v>
      </c>
      <c r="E42" t="s">
        <v>1004</v>
      </c>
      <c r="F42" t="s">
        <v>1005</v>
      </c>
      <c r="G42" t="s">
        <v>1008</v>
      </c>
      <c r="H42" t="s">
        <v>46</v>
      </c>
      <c r="I42" t="s">
        <v>46</v>
      </c>
      <c r="J42" t="s">
        <v>17</v>
      </c>
      <c r="K42">
        <v>100</v>
      </c>
      <c r="L42">
        <v>50</v>
      </c>
      <c r="O42" t="s">
        <v>1703</v>
      </c>
      <c r="Q42" s="20" t="s">
        <v>1787</v>
      </c>
      <c r="R42" s="43"/>
      <c r="S42" s="43"/>
      <c r="T42" s="18"/>
      <c r="U42" s="18" t="str">
        <v>Drillstring dynamics</v>
      </c>
      <c r="V42" s="21">
        <f t="shared" si="0"/>
        <v>1</v>
      </c>
    </row>
    <row r="43" spans="1:22" x14ac:dyDescent="0.3">
      <c r="A43">
        <v>1131185</v>
      </c>
      <c r="B43" t="s">
        <v>1783</v>
      </c>
      <c r="C43" t="s">
        <v>1044</v>
      </c>
      <c r="D43" t="s">
        <v>1003</v>
      </c>
      <c r="E43" t="s">
        <v>1004</v>
      </c>
      <c r="F43" t="s">
        <v>1005</v>
      </c>
      <c r="G43" t="s">
        <v>1009</v>
      </c>
      <c r="H43" t="s">
        <v>46</v>
      </c>
      <c r="I43" t="s">
        <v>46</v>
      </c>
      <c r="J43" t="s">
        <v>17</v>
      </c>
      <c r="K43">
        <v>100</v>
      </c>
      <c r="L43">
        <v>50</v>
      </c>
      <c r="O43" t="s">
        <v>1703</v>
      </c>
      <c r="Q43" s="20" t="s">
        <v>1787</v>
      </c>
      <c r="R43" s="43"/>
      <c r="S43" s="43"/>
      <c r="T43" s="18"/>
      <c r="U43" s="18" t="str">
        <v>Horizontal drillstring</v>
      </c>
      <c r="V43" s="21">
        <f t="shared" si="0"/>
        <v>1</v>
      </c>
    </row>
    <row r="44" spans="1:22" x14ac:dyDescent="0.3">
      <c r="A44">
        <v>1131185</v>
      </c>
      <c r="B44" t="s">
        <v>1783</v>
      </c>
      <c r="C44" t="s">
        <v>1044</v>
      </c>
      <c r="D44" t="s">
        <v>1003</v>
      </c>
      <c r="E44" t="s">
        <v>1004</v>
      </c>
      <c r="F44" t="s">
        <v>1005</v>
      </c>
      <c r="G44" t="s">
        <v>1010</v>
      </c>
      <c r="H44" t="s">
        <v>46</v>
      </c>
      <c r="I44" t="s">
        <v>46</v>
      </c>
      <c r="J44" t="s">
        <v>17</v>
      </c>
      <c r="K44">
        <v>100</v>
      </c>
      <c r="L44">
        <v>50</v>
      </c>
      <c r="O44" t="s">
        <v>1703</v>
      </c>
      <c r="Q44" s="20" t="s">
        <v>1786</v>
      </c>
      <c r="R44" s="43"/>
      <c r="S44" s="43"/>
      <c r="T44" s="18"/>
      <c r="U44" s="18" t="str">
        <v>Parametric probabilistic approach</v>
      </c>
      <c r="V44" s="21">
        <f t="shared" si="0"/>
        <v>1</v>
      </c>
    </row>
    <row r="45" spans="1:22" x14ac:dyDescent="0.3">
      <c r="A45">
        <v>1131185</v>
      </c>
      <c r="B45" t="s">
        <v>1783</v>
      </c>
      <c r="C45" t="s">
        <v>1044</v>
      </c>
      <c r="D45" t="s">
        <v>1003</v>
      </c>
      <c r="E45" t="s">
        <v>1004</v>
      </c>
      <c r="F45" t="s">
        <v>1005</v>
      </c>
      <c r="G45" t="s">
        <v>1011</v>
      </c>
      <c r="H45" t="s">
        <v>46</v>
      </c>
      <c r="I45" t="s">
        <v>46</v>
      </c>
      <c r="J45" t="s">
        <v>17</v>
      </c>
      <c r="K45">
        <v>100</v>
      </c>
      <c r="L45">
        <v>50</v>
      </c>
      <c r="O45" t="s">
        <v>1703</v>
      </c>
      <c r="Q45" s="20" t="s">
        <v>1786</v>
      </c>
      <c r="R45" s="43"/>
      <c r="S45" s="43"/>
      <c r="T45" s="18"/>
      <c r="U45" s="18" t="str">
        <v>Robust optimization</v>
      </c>
      <c r="V45" s="21">
        <f t="shared" si="0"/>
        <v>6</v>
      </c>
    </row>
    <row r="46" spans="1:22" x14ac:dyDescent="0.3">
      <c r="A46">
        <v>1131185</v>
      </c>
      <c r="B46" t="s">
        <v>1783</v>
      </c>
      <c r="C46" t="s">
        <v>1044</v>
      </c>
      <c r="D46" t="s">
        <v>1003</v>
      </c>
      <c r="E46" t="s">
        <v>1004</v>
      </c>
      <c r="F46" t="s">
        <v>1005</v>
      </c>
      <c r="G46" t="s">
        <v>1012</v>
      </c>
      <c r="H46" t="s">
        <v>46</v>
      </c>
      <c r="I46" t="s">
        <v>46</v>
      </c>
      <c r="J46" t="s">
        <v>17</v>
      </c>
      <c r="K46">
        <v>100</v>
      </c>
      <c r="L46">
        <v>50</v>
      </c>
      <c r="O46" t="s">
        <v>1703</v>
      </c>
      <c r="Q46" s="20" t="s">
        <v>1786</v>
      </c>
      <c r="R46" s="43"/>
      <c r="S46" s="43"/>
      <c r="T46" s="18"/>
      <c r="U46" s="18" t="str">
        <v>Optimal sensor placement</v>
      </c>
      <c r="V46" s="21">
        <f t="shared" si="0"/>
        <v>1</v>
      </c>
    </row>
    <row r="47" spans="1:22" x14ac:dyDescent="0.3">
      <c r="A47">
        <v>1131185</v>
      </c>
      <c r="B47" t="s">
        <v>1783</v>
      </c>
      <c r="C47" t="s">
        <v>1044</v>
      </c>
      <c r="D47" t="s">
        <v>1003</v>
      </c>
      <c r="E47" t="s">
        <v>1004</v>
      </c>
      <c r="F47" t="s">
        <v>1005</v>
      </c>
      <c r="G47" t="s">
        <v>1013</v>
      </c>
      <c r="H47" t="s">
        <v>46</v>
      </c>
      <c r="I47" t="s">
        <v>46</v>
      </c>
      <c r="J47" t="s">
        <v>17</v>
      </c>
      <c r="K47">
        <v>100</v>
      </c>
      <c r="L47">
        <v>50</v>
      </c>
      <c r="O47" t="s">
        <v>1703</v>
      </c>
      <c r="Q47" s="20" t="s">
        <v>1786</v>
      </c>
      <c r="R47" s="43"/>
      <c r="S47" s="43"/>
      <c r="T47" s="18"/>
      <c r="U47" s="18" t="str">
        <v>Model updating</v>
      </c>
      <c r="V47" s="21">
        <f t="shared" si="0"/>
        <v>1</v>
      </c>
    </row>
    <row r="48" spans="1:22" x14ac:dyDescent="0.3">
      <c r="A48">
        <v>1131185</v>
      </c>
      <c r="B48" t="s">
        <v>1783</v>
      </c>
      <c r="C48" t="s">
        <v>1044</v>
      </c>
      <c r="D48" t="s">
        <v>1003</v>
      </c>
      <c r="E48" t="s">
        <v>1004</v>
      </c>
      <c r="F48" t="s">
        <v>1005</v>
      </c>
      <c r="G48" t="s">
        <v>1014</v>
      </c>
      <c r="H48" t="s">
        <v>46</v>
      </c>
      <c r="I48" t="s">
        <v>46</v>
      </c>
      <c r="J48" t="s">
        <v>17</v>
      </c>
      <c r="K48">
        <v>100</v>
      </c>
      <c r="L48">
        <v>50</v>
      </c>
      <c r="O48" t="s">
        <v>1703</v>
      </c>
      <c r="Q48" s="20" t="s">
        <v>1786</v>
      </c>
      <c r="R48" s="43"/>
      <c r="S48" s="43"/>
      <c r="T48" s="18"/>
      <c r="U48" s="18" t="str">
        <v>Bayesian inference</v>
      </c>
      <c r="V48" s="21">
        <f t="shared" si="0"/>
        <v>8</v>
      </c>
    </row>
    <row r="49" spans="1:22" x14ac:dyDescent="0.3">
      <c r="A49">
        <v>1131185</v>
      </c>
      <c r="B49" t="s">
        <v>1783</v>
      </c>
      <c r="C49" t="s">
        <v>1044</v>
      </c>
      <c r="D49" t="s">
        <v>1003</v>
      </c>
      <c r="E49" t="s">
        <v>1004</v>
      </c>
      <c r="F49" t="s">
        <v>1005</v>
      </c>
      <c r="G49" t="s">
        <v>1015</v>
      </c>
      <c r="H49" t="s">
        <v>46</v>
      </c>
      <c r="I49" t="s">
        <v>46</v>
      </c>
      <c r="J49" t="s">
        <v>17</v>
      </c>
      <c r="K49">
        <v>100</v>
      </c>
      <c r="L49">
        <v>50</v>
      </c>
      <c r="O49" t="s">
        <v>1703</v>
      </c>
      <c r="Q49" s="20" t="s">
        <v>1786</v>
      </c>
      <c r="R49" s="43"/>
      <c r="S49" s="43"/>
      <c r="T49" s="18"/>
      <c r="U49" s="18" t="str">
        <v>Uncertain position</v>
      </c>
      <c r="V49" s="21">
        <f t="shared" si="0"/>
        <v>1</v>
      </c>
    </row>
    <row r="50" spans="1:22" x14ac:dyDescent="0.3">
      <c r="A50">
        <v>1131185</v>
      </c>
      <c r="B50" t="s">
        <v>1783</v>
      </c>
      <c r="C50" t="s">
        <v>1044</v>
      </c>
      <c r="D50" t="s">
        <v>1003</v>
      </c>
      <c r="E50" t="s">
        <v>1004</v>
      </c>
      <c r="F50" t="s">
        <v>1005</v>
      </c>
      <c r="G50" t="s">
        <v>1016</v>
      </c>
      <c r="H50" t="s">
        <v>46</v>
      </c>
      <c r="I50" t="s">
        <v>46</v>
      </c>
      <c r="J50" t="s">
        <v>17</v>
      </c>
      <c r="K50">
        <v>100</v>
      </c>
      <c r="L50">
        <v>50</v>
      </c>
      <c r="O50" t="s">
        <v>1703</v>
      </c>
      <c r="Q50" s="20" t="s">
        <v>1786</v>
      </c>
      <c r="R50" s="43"/>
      <c r="S50" s="43"/>
      <c r="T50" s="18"/>
      <c r="U50" s="18"/>
      <c r="V50" s="18"/>
    </row>
    <row r="51" spans="1:22" x14ac:dyDescent="0.3">
      <c r="A51">
        <v>1131185</v>
      </c>
      <c r="B51" t="s">
        <v>1783</v>
      </c>
      <c r="C51" t="s">
        <v>1044</v>
      </c>
      <c r="D51" t="s">
        <v>1003</v>
      </c>
      <c r="E51" t="s">
        <v>1004</v>
      </c>
      <c r="F51" t="s">
        <v>1005</v>
      </c>
      <c r="G51" t="s">
        <v>1017</v>
      </c>
      <c r="H51" t="s">
        <v>46</v>
      </c>
      <c r="I51" t="s">
        <v>46</v>
      </c>
      <c r="J51" t="s">
        <v>17</v>
      </c>
      <c r="K51">
        <v>100</v>
      </c>
      <c r="L51">
        <v>50</v>
      </c>
      <c r="O51" t="s">
        <v>1703</v>
      </c>
      <c r="Q51" s="20" t="s">
        <v>1786</v>
      </c>
      <c r="R51" s="43"/>
      <c r="S51" s="43"/>
      <c r="T51" s="18"/>
      <c r="U51" s="18"/>
      <c r="V51" s="18"/>
    </row>
    <row r="52" spans="1:22" x14ac:dyDescent="0.3">
      <c r="A52">
        <v>1131185</v>
      </c>
      <c r="B52" t="s">
        <v>1783</v>
      </c>
      <c r="C52" t="s">
        <v>1044</v>
      </c>
      <c r="D52" t="s">
        <v>1003</v>
      </c>
      <c r="E52" t="s">
        <v>1004</v>
      </c>
      <c r="F52" t="s">
        <v>1005</v>
      </c>
      <c r="G52" t="s">
        <v>1018</v>
      </c>
      <c r="H52" t="s">
        <v>46</v>
      </c>
      <c r="I52" t="s">
        <v>46</v>
      </c>
      <c r="J52" t="s">
        <v>17</v>
      </c>
      <c r="K52">
        <v>100</v>
      </c>
      <c r="L52">
        <v>50</v>
      </c>
      <c r="O52" t="s">
        <v>1703</v>
      </c>
      <c r="Q52" s="20" t="s">
        <v>1786</v>
      </c>
      <c r="R52" s="43"/>
      <c r="S52" s="43"/>
      <c r="T52" s="18"/>
      <c r="U52" s="18"/>
      <c r="V52" s="18"/>
    </row>
    <row r="53" spans="1:22" x14ac:dyDescent="0.3">
      <c r="A53">
        <v>1131185</v>
      </c>
      <c r="B53" t="s">
        <v>1783</v>
      </c>
      <c r="C53" t="s">
        <v>1044</v>
      </c>
      <c r="D53" t="s">
        <v>1003</v>
      </c>
      <c r="E53" t="s">
        <v>1004</v>
      </c>
      <c r="F53" t="s">
        <v>1005</v>
      </c>
      <c r="G53" t="s">
        <v>1019</v>
      </c>
      <c r="H53" t="s">
        <v>46</v>
      </c>
      <c r="I53" t="s">
        <v>46</v>
      </c>
      <c r="J53" t="s">
        <v>17</v>
      </c>
      <c r="K53">
        <v>100</v>
      </c>
      <c r="L53">
        <v>50</v>
      </c>
      <c r="O53" t="s">
        <v>1703</v>
      </c>
      <c r="Q53" s="20" t="s">
        <v>1786</v>
      </c>
      <c r="R53" s="43"/>
      <c r="S53" s="43"/>
      <c r="T53" s="18"/>
      <c r="U53" s="18"/>
      <c r="V53" s="18"/>
    </row>
    <row r="54" spans="1:22" x14ac:dyDescent="0.3">
      <c r="A54">
        <v>1131185</v>
      </c>
      <c r="B54" t="s">
        <v>1783</v>
      </c>
      <c r="C54" t="s">
        <v>1044</v>
      </c>
      <c r="D54" t="s">
        <v>1003</v>
      </c>
      <c r="E54" t="s">
        <v>1004</v>
      </c>
      <c r="F54" t="s">
        <v>1005</v>
      </c>
      <c r="G54" t="s">
        <v>1020</v>
      </c>
      <c r="H54" t="s">
        <v>46</v>
      </c>
      <c r="I54" t="s">
        <v>46</v>
      </c>
      <c r="J54" t="s">
        <v>17</v>
      </c>
      <c r="K54">
        <v>100</v>
      </c>
      <c r="L54">
        <v>50</v>
      </c>
      <c r="O54" t="s">
        <v>1703</v>
      </c>
      <c r="Q54" s="20" t="s">
        <v>1786</v>
      </c>
      <c r="R54" s="43"/>
      <c r="S54" s="43"/>
      <c r="T54" s="18"/>
      <c r="U54" s="18"/>
      <c r="V54" s="18"/>
    </row>
    <row r="55" spans="1:22" x14ac:dyDescent="0.3">
      <c r="A55">
        <v>1131185</v>
      </c>
      <c r="B55" t="s">
        <v>1783</v>
      </c>
      <c r="C55" t="s">
        <v>1044</v>
      </c>
      <c r="D55" t="s">
        <v>1003</v>
      </c>
      <c r="E55" t="s">
        <v>1004</v>
      </c>
      <c r="F55" t="s">
        <v>1005</v>
      </c>
      <c r="G55" t="s">
        <v>1021</v>
      </c>
      <c r="H55" t="s">
        <v>46</v>
      </c>
      <c r="I55" t="s">
        <v>46</v>
      </c>
      <c r="J55" t="s">
        <v>17</v>
      </c>
      <c r="K55">
        <v>100</v>
      </c>
      <c r="L55">
        <v>50</v>
      </c>
      <c r="O55" t="s">
        <v>1703</v>
      </c>
      <c r="Q55" s="20" t="s">
        <v>1786</v>
      </c>
      <c r="R55" s="43"/>
      <c r="S55" s="43"/>
      <c r="T55" s="18"/>
      <c r="U55" s="18"/>
      <c r="V55" s="18"/>
    </row>
    <row r="56" spans="1:22" x14ac:dyDescent="0.3">
      <c r="A56">
        <v>1131185</v>
      </c>
      <c r="B56" t="s">
        <v>1783</v>
      </c>
      <c r="C56" t="s">
        <v>1044</v>
      </c>
      <c r="D56" t="s">
        <v>1003</v>
      </c>
      <c r="E56" t="s">
        <v>1004</v>
      </c>
      <c r="F56" t="s">
        <v>1005</v>
      </c>
      <c r="G56" t="s">
        <v>1022</v>
      </c>
      <c r="H56" t="s">
        <v>46</v>
      </c>
      <c r="I56" t="s">
        <v>46</v>
      </c>
      <c r="J56" t="s">
        <v>17</v>
      </c>
      <c r="K56">
        <v>100</v>
      </c>
      <c r="L56">
        <v>50</v>
      </c>
      <c r="O56" t="s">
        <v>1703</v>
      </c>
      <c r="Q56" s="20" t="s">
        <v>1786</v>
      </c>
      <c r="R56" s="43"/>
      <c r="S56" s="43"/>
      <c r="T56" s="18"/>
      <c r="U56" s="18"/>
      <c r="V56" s="18"/>
    </row>
    <row r="57" spans="1:22" x14ac:dyDescent="0.3">
      <c r="A57">
        <v>1131185</v>
      </c>
      <c r="B57" t="s">
        <v>1783</v>
      </c>
      <c r="C57" t="s">
        <v>1044</v>
      </c>
      <c r="D57" t="s">
        <v>1003</v>
      </c>
      <c r="E57" t="s">
        <v>1004</v>
      </c>
      <c r="F57" t="s">
        <v>1005</v>
      </c>
      <c r="G57" t="s">
        <v>1023</v>
      </c>
      <c r="H57" t="s">
        <v>46</v>
      </c>
      <c r="I57" t="s">
        <v>46</v>
      </c>
      <c r="J57" t="s">
        <v>17</v>
      </c>
      <c r="K57">
        <v>100</v>
      </c>
      <c r="L57">
        <v>50</v>
      </c>
      <c r="O57" t="s">
        <v>1703</v>
      </c>
      <c r="Q57" s="20" t="s">
        <v>1786</v>
      </c>
      <c r="R57" s="43"/>
      <c r="S57" s="43"/>
      <c r="T57" s="18"/>
      <c r="U57" s="18"/>
      <c r="V57" s="18"/>
    </row>
    <row r="58" spans="1:22" x14ac:dyDescent="0.3">
      <c r="A58">
        <v>1131185</v>
      </c>
      <c r="B58" t="s">
        <v>1783</v>
      </c>
      <c r="C58" t="s">
        <v>1044</v>
      </c>
      <c r="D58" t="s">
        <v>1003</v>
      </c>
      <c r="E58" t="s">
        <v>1004</v>
      </c>
      <c r="F58" t="s">
        <v>1005</v>
      </c>
      <c r="G58" t="s">
        <v>1024</v>
      </c>
      <c r="H58" t="s">
        <v>46</v>
      </c>
      <c r="I58" t="s">
        <v>46</v>
      </c>
      <c r="J58" t="s">
        <v>17</v>
      </c>
      <c r="K58">
        <v>100</v>
      </c>
      <c r="L58">
        <v>50</v>
      </c>
      <c r="O58" t="s">
        <v>1703</v>
      </c>
      <c r="Q58" s="20" t="s">
        <v>1786</v>
      </c>
      <c r="R58" s="43"/>
      <c r="S58" s="43"/>
      <c r="T58" s="18"/>
      <c r="U58" s="18"/>
      <c r="V58" s="18"/>
    </row>
    <row r="59" spans="1:22" x14ac:dyDescent="0.3">
      <c r="A59">
        <v>1131185</v>
      </c>
      <c r="B59" t="s">
        <v>1783</v>
      </c>
      <c r="C59" t="s">
        <v>1044</v>
      </c>
      <c r="D59" t="s">
        <v>1003</v>
      </c>
      <c r="E59" t="s">
        <v>1004</v>
      </c>
      <c r="F59" t="s">
        <v>1005</v>
      </c>
      <c r="G59" t="s">
        <v>1025</v>
      </c>
      <c r="H59" t="s">
        <v>46</v>
      </c>
      <c r="I59" t="s">
        <v>46</v>
      </c>
      <c r="J59" t="s">
        <v>17</v>
      </c>
      <c r="K59">
        <v>100</v>
      </c>
      <c r="L59">
        <v>50</v>
      </c>
      <c r="O59" t="s">
        <v>1703</v>
      </c>
      <c r="Q59" s="20" t="s">
        <v>1786</v>
      </c>
      <c r="R59" s="43"/>
      <c r="S59" s="43"/>
      <c r="T59" s="18"/>
      <c r="U59" s="18"/>
      <c r="V59" s="18"/>
    </row>
    <row r="60" spans="1:22" x14ac:dyDescent="0.3">
      <c r="A60">
        <v>1131185</v>
      </c>
      <c r="B60" t="s">
        <v>1783</v>
      </c>
      <c r="C60" t="s">
        <v>1044</v>
      </c>
      <c r="D60" t="s">
        <v>1003</v>
      </c>
      <c r="E60" t="s">
        <v>1004</v>
      </c>
      <c r="F60" t="s">
        <v>1005</v>
      </c>
      <c r="G60" t="s">
        <v>1026</v>
      </c>
      <c r="H60" t="s">
        <v>46</v>
      </c>
      <c r="I60" t="s">
        <v>46</v>
      </c>
      <c r="J60" t="s">
        <v>17</v>
      </c>
      <c r="K60">
        <v>100</v>
      </c>
      <c r="L60">
        <v>50</v>
      </c>
      <c r="O60" t="s">
        <v>1703</v>
      </c>
      <c r="Q60" s="20" t="s">
        <v>1786</v>
      </c>
      <c r="R60" s="43"/>
      <c r="S60" s="43"/>
      <c r="T60" s="18"/>
      <c r="U60" s="18"/>
      <c r="V60" s="18"/>
    </row>
    <row r="61" spans="1:22" x14ac:dyDescent="0.3">
      <c r="A61">
        <v>1131185</v>
      </c>
      <c r="B61" t="s">
        <v>1783</v>
      </c>
      <c r="C61" t="s">
        <v>1044</v>
      </c>
      <c r="D61" t="s">
        <v>1003</v>
      </c>
      <c r="E61" t="s">
        <v>1004</v>
      </c>
      <c r="F61" t="s">
        <v>1005</v>
      </c>
      <c r="G61" t="s">
        <v>1027</v>
      </c>
      <c r="H61" t="s">
        <v>46</v>
      </c>
      <c r="I61" t="s">
        <v>46</v>
      </c>
      <c r="J61" t="s">
        <v>17</v>
      </c>
      <c r="K61">
        <v>100</v>
      </c>
      <c r="L61">
        <v>50</v>
      </c>
      <c r="O61" t="s">
        <v>1703</v>
      </c>
      <c r="Q61" s="20" t="s">
        <v>1786</v>
      </c>
      <c r="R61" s="43"/>
      <c r="S61" s="43"/>
      <c r="T61" s="18"/>
      <c r="U61" s="18"/>
      <c r="V61" s="18"/>
    </row>
    <row r="62" spans="1:22" x14ac:dyDescent="0.3">
      <c r="A62">
        <v>1131185</v>
      </c>
      <c r="B62" t="s">
        <v>1783</v>
      </c>
      <c r="C62" t="s">
        <v>1044</v>
      </c>
      <c r="D62" t="s">
        <v>1003</v>
      </c>
      <c r="E62" t="s">
        <v>1004</v>
      </c>
      <c r="F62" t="s">
        <v>1005</v>
      </c>
      <c r="G62" t="s">
        <v>1028</v>
      </c>
      <c r="H62" t="s">
        <v>46</v>
      </c>
      <c r="I62" t="s">
        <v>46</v>
      </c>
      <c r="J62" t="s">
        <v>17</v>
      </c>
      <c r="K62">
        <v>100</v>
      </c>
      <c r="L62">
        <v>50</v>
      </c>
      <c r="O62" t="s">
        <v>1703</v>
      </c>
      <c r="Q62" s="20" t="s">
        <v>1786</v>
      </c>
      <c r="R62" s="43"/>
      <c r="S62" s="43"/>
      <c r="T62" s="18"/>
      <c r="U62" s="18"/>
      <c r="V62" s="18"/>
    </row>
    <row r="63" spans="1:22" x14ac:dyDescent="0.3">
      <c r="A63">
        <v>1131185</v>
      </c>
      <c r="B63" t="s">
        <v>1783</v>
      </c>
      <c r="C63" t="s">
        <v>1044</v>
      </c>
      <c r="D63" t="s">
        <v>1003</v>
      </c>
      <c r="E63" t="s">
        <v>1004</v>
      </c>
      <c r="F63" t="s">
        <v>1005</v>
      </c>
      <c r="G63" t="s">
        <v>1029</v>
      </c>
      <c r="H63" t="s">
        <v>46</v>
      </c>
      <c r="I63" t="s">
        <v>46</v>
      </c>
      <c r="J63" t="s">
        <v>17</v>
      </c>
      <c r="K63">
        <v>100</v>
      </c>
      <c r="L63">
        <v>50</v>
      </c>
      <c r="O63" t="s">
        <v>1703</v>
      </c>
      <c r="Q63" s="20" t="s">
        <v>1786</v>
      </c>
      <c r="R63" s="43"/>
      <c r="S63" s="43"/>
      <c r="T63" s="18"/>
      <c r="U63" s="18"/>
      <c r="V63" s="18"/>
    </row>
    <row r="64" spans="1:22" x14ac:dyDescent="0.3">
      <c r="A64">
        <v>1131185</v>
      </c>
      <c r="B64" t="s">
        <v>1783</v>
      </c>
      <c r="C64" t="s">
        <v>1044</v>
      </c>
      <c r="D64" t="s">
        <v>1003</v>
      </c>
      <c r="E64" t="s">
        <v>1004</v>
      </c>
      <c r="F64" t="s">
        <v>1005</v>
      </c>
      <c r="G64" t="s">
        <v>1030</v>
      </c>
      <c r="H64" t="s">
        <v>46</v>
      </c>
      <c r="I64" t="s">
        <v>46</v>
      </c>
      <c r="J64" t="s">
        <v>17</v>
      </c>
      <c r="K64">
        <v>100</v>
      </c>
      <c r="L64">
        <v>50</v>
      </c>
      <c r="O64" t="s">
        <v>1703</v>
      </c>
      <c r="Q64" s="20" t="s">
        <v>1786</v>
      </c>
      <c r="R64" s="43"/>
      <c r="S64" s="43"/>
      <c r="T64" s="18"/>
      <c r="U64" s="18"/>
      <c r="V64" s="18"/>
    </row>
    <row r="65" spans="1:22" x14ac:dyDescent="0.3">
      <c r="A65">
        <v>1131185</v>
      </c>
      <c r="B65" t="s">
        <v>1783</v>
      </c>
      <c r="C65" t="s">
        <v>1044</v>
      </c>
      <c r="D65" t="s">
        <v>1003</v>
      </c>
      <c r="E65" t="s">
        <v>1004</v>
      </c>
      <c r="F65" t="s">
        <v>1005</v>
      </c>
      <c r="G65" t="s">
        <v>1031</v>
      </c>
      <c r="H65" t="s">
        <v>46</v>
      </c>
      <c r="I65" t="s">
        <v>46</v>
      </c>
      <c r="J65" t="s">
        <v>17</v>
      </c>
      <c r="K65">
        <v>100</v>
      </c>
      <c r="L65">
        <v>50</v>
      </c>
      <c r="O65" t="s">
        <v>1703</v>
      </c>
      <c r="Q65" s="20" t="s">
        <v>1786</v>
      </c>
      <c r="R65" s="43"/>
      <c r="S65" s="43"/>
      <c r="T65" s="18"/>
      <c r="U65" s="18"/>
      <c r="V65" s="18"/>
    </row>
    <row r="66" spans="1:22" x14ac:dyDescent="0.3">
      <c r="A66">
        <v>1131185</v>
      </c>
      <c r="B66" t="s">
        <v>1783</v>
      </c>
      <c r="C66" t="s">
        <v>1044</v>
      </c>
      <c r="D66" t="s">
        <v>1003</v>
      </c>
      <c r="E66" t="s">
        <v>1004</v>
      </c>
      <c r="F66" t="s">
        <v>1005</v>
      </c>
      <c r="G66" t="s">
        <v>1032</v>
      </c>
      <c r="H66" t="s">
        <v>46</v>
      </c>
      <c r="I66" t="s">
        <v>46</v>
      </c>
      <c r="J66" t="s">
        <v>17</v>
      </c>
      <c r="K66">
        <v>100</v>
      </c>
      <c r="L66">
        <v>50</v>
      </c>
      <c r="O66" t="s">
        <v>1703</v>
      </c>
      <c r="Q66" s="20" t="s">
        <v>1786</v>
      </c>
      <c r="R66" s="43"/>
      <c r="S66" s="43"/>
      <c r="T66" s="18"/>
      <c r="U66" s="18"/>
      <c r="V66" s="18"/>
    </row>
    <row r="67" spans="1:22" x14ac:dyDescent="0.3">
      <c r="A67">
        <v>1131185</v>
      </c>
      <c r="B67" t="s">
        <v>1783</v>
      </c>
      <c r="C67" t="s">
        <v>1044</v>
      </c>
      <c r="D67" t="s">
        <v>1003</v>
      </c>
      <c r="E67" t="s">
        <v>1004</v>
      </c>
      <c r="F67" t="s">
        <v>1005</v>
      </c>
      <c r="G67" t="s">
        <v>1033</v>
      </c>
      <c r="H67" t="s">
        <v>46</v>
      </c>
      <c r="I67" t="s">
        <v>46</v>
      </c>
      <c r="J67" t="s">
        <v>17</v>
      </c>
      <c r="K67">
        <v>100</v>
      </c>
      <c r="L67">
        <v>50</v>
      </c>
      <c r="O67" t="s">
        <v>1703</v>
      </c>
      <c r="Q67" s="20" t="s">
        <v>1786</v>
      </c>
      <c r="R67" s="43"/>
      <c r="S67" s="43"/>
      <c r="T67" s="18"/>
      <c r="U67" s="18"/>
      <c r="V67" s="18"/>
    </row>
    <row r="68" spans="1:22" x14ac:dyDescent="0.3">
      <c r="A68">
        <v>1131185</v>
      </c>
      <c r="B68" t="s">
        <v>1783</v>
      </c>
      <c r="C68" t="s">
        <v>1044</v>
      </c>
      <c r="D68" t="s">
        <v>1003</v>
      </c>
      <c r="E68" t="s">
        <v>1004</v>
      </c>
      <c r="F68" t="s">
        <v>1005</v>
      </c>
      <c r="G68" t="s">
        <v>1034</v>
      </c>
      <c r="H68" t="s">
        <v>46</v>
      </c>
      <c r="I68" t="s">
        <v>46</v>
      </c>
      <c r="J68" t="s">
        <v>17</v>
      </c>
      <c r="K68">
        <v>100</v>
      </c>
      <c r="L68">
        <v>50</v>
      </c>
      <c r="O68" t="s">
        <v>1703</v>
      </c>
      <c r="Q68" s="20" t="s">
        <v>1786</v>
      </c>
      <c r="R68" s="43"/>
      <c r="S68" s="43"/>
      <c r="T68" s="18"/>
      <c r="U68" s="18"/>
      <c r="V68" s="18"/>
    </row>
    <row r="69" spans="1:22" x14ac:dyDescent="0.3">
      <c r="A69">
        <v>1131185</v>
      </c>
      <c r="B69" t="s">
        <v>1783</v>
      </c>
      <c r="C69" t="s">
        <v>1041</v>
      </c>
      <c r="H69" t="s">
        <v>16</v>
      </c>
      <c r="I69" t="s">
        <v>16</v>
      </c>
      <c r="J69" t="s">
        <v>17</v>
      </c>
      <c r="K69">
        <v>0</v>
      </c>
      <c r="L69">
        <v>0</v>
      </c>
      <c r="O69" t="s">
        <v>1703</v>
      </c>
      <c r="Q69" s="20" t="s">
        <v>1785</v>
      </c>
      <c r="R69" s="43"/>
      <c r="S69" s="43"/>
      <c r="T69" s="18"/>
      <c r="U69" s="18"/>
      <c r="V69" s="18"/>
    </row>
    <row r="70" spans="1:22" x14ac:dyDescent="0.3">
      <c r="A70">
        <v>1131185</v>
      </c>
      <c r="B70" t="s">
        <v>1783</v>
      </c>
      <c r="C70" t="s">
        <v>1040</v>
      </c>
      <c r="H70" t="s">
        <v>16</v>
      </c>
      <c r="I70" t="s">
        <v>16</v>
      </c>
      <c r="J70" t="s">
        <v>17</v>
      </c>
      <c r="K70">
        <v>0</v>
      </c>
      <c r="L70">
        <v>0</v>
      </c>
      <c r="O70" t="s">
        <v>1703</v>
      </c>
      <c r="Q70" s="20" t="s">
        <v>1784</v>
      </c>
      <c r="R70" s="43"/>
      <c r="S70" s="43"/>
      <c r="T70" s="18"/>
      <c r="U70" s="18"/>
      <c r="V70" s="18"/>
    </row>
    <row r="71" spans="1:22" x14ac:dyDescent="0.3">
      <c r="A71">
        <v>1131185</v>
      </c>
      <c r="B71" t="s">
        <v>1783</v>
      </c>
      <c r="C71" t="s">
        <v>1782</v>
      </c>
      <c r="D71" t="s">
        <v>1781</v>
      </c>
      <c r="E71" t="s">
        <v>1780</v>
      </c>
      <c r="H71" t="s">
        <v>46</v>
      </c>
      <c r="I71" t="s">
        <v>46</v>
      </c>
      <c r="J71" t="s">
        <v>17</v>
      </c>
      <c r="K71">
        <v>100</v>
      </c>
      <c r="L71">
        <v>50</v>
      </c>
      <c r="M71" t="s">
        <v>1779</v>
      </c>
      <c r="N71" t="s">
        <v>1778</v>
      </c>
      <c r="O71" t="s">
        <v>1703</v>
      </c>
      <c r="Q71" s="20" t="s">
        <v>1777</v>
      </c>
      <c r="R71" s="43"/>
      <c r="S71" s="43"/>
      <c r="T71" s="18"/>
      <c r="U71" s="18"/>
      <c r="V71" s="18"/>
    </row>
    <row r="72" spans="1:22" x14ac:dyDescent="0.3">
      <c r="A72">
        <v>1148833</v>
      </c>
      <c r="B72" t="s">
        <v>1774</v>
      </c>
      <c r="C72" t="s">
        <v>1776</v>
      </c>
      <c r="H72" t="s">
        <v>16</v>
      </c>
      <c r="I72" t="s">
        <v>16</v>
      </c>
      <c r="J72" t="s">
        <v>17</v>
      </c>
      <c r="K72">
        <v>0</v>
      </c>
      <c r="L72">
        <v>0</v>
      </c>
      <c r="O72" t="s">
        <v>1703</v>
      </c>
      <c r="P72" t="s">
        <v>1703</v>
      </c>
      <c r="R72" s="43">
        <f>COUNTIF(O72:O74,"*YES*")/COUNTA(O72:O74)</f>
        <v>1</v>
      </c>
      <c r="S72" s="43">
        <f>COUNTIF(P72:P74,"*YES*")/COUNTA(P72:P74)</f>
        <v>1</v>
      </c>
      <c r="T72" s="18"/>
      <c r="U72" s="18"/>
      <c r="V72" s="18"/>
    </row>
    <row r="73" spans="1:22" x14ac:dyDescent="0.3">
      <c r="A73">
        <v>1148833</v>
      </c>
      <c r="B73" t="s">
        <v>1774</v>
      </c>
      <c r="C73" t="s">
        <v>1775</v>
      </c>
      <c r="H73" t="s">
        <v>16</v>
      </c>
      <c r="I73" t="s">
        <v>16</v>
      </c>
      <c r="J73" t="s">
        <v>17</v>
      </c>
      <c r="K73">
        <v>0</v>
      </c>
      <c r="L73">
        <v>0</v>
      </c>
      <c r="O73" t="s">
        <v>1703</v>
      </c>
      <c r="P73" t="s">
        <v>1703</v>
      </c>
      <c r="R73" s="43"/>
      <c r="S73" s="43"/>
      <c r="T73" s="18"/>
      <c r="U73" s="18"/>
      <c r="V73" s="18"/>
    </row>
    <row r="74" spans="1:22" x14ac:dyDescent="0.3">
      <c r="A74">
        <v>1148833</v>
      </c>
      <c r="B74" t="s">
        <v>1774</v>
      </c>
      <c r="C74" t="s">
        <v>1773</v>
      </c>
      <c r="H74" t="s">
        <v>16</v>
      </c>
      <c r="I74" t="s">
        <v>16</v>
      </c>
      <c r="J74" t="s">
        <v>17</v>
      </c>
      <c r="K74">
        <v>0</v>
      </c>
      <c r="L74">
        <v>0</v>
      </c>
      <c r="O74" t="s">
        <v>1703</v>
      </c>
      <c r="P74" t="s">
        <v>1703</v>
      </c>
      <c r="R74" s="43"/>
      <c r="S74" s="43"/>
      <c r="T74" s="18"/>
      <c r="U74" s="18"/>
      <c r="V74" s="18"/>
    </row>
    <row r="75" spans="1:22" x14ac:dyDescent="0.3">
      <c r="A75">
        <v>1158275</v>
      </c>
      <c r="B75" t="s">
        <v>1768</v>
      </c>
      <c r="C75" t="s">
        <v>618</v>
      </c>
      <c r="D75" t="s">
        <v>619</v>
      </c>
      <c r="E75" t="s">
        <v>620</v>
      </c>
      <c r="G75" t="s">
        <v>621</v>
      </c>
      <c r="H75" t="s">
        <v>46</v>
      </c>
      <c r="I75" t="s">
        <v>46</v>
      </c>
      <c r="J75" t="s">
        <v>17</v>
      </c>
      <c r="K75">
        <v>100</v>
      </c>
      <c r="L75">
        <v>80</v>
      </c>
      <c r="M75" t="s">
        <v>622</v>
      </c>
      <c r="N75" t="s">
        <v>623</v>
      </c>
      <c r="O75" t="s">
        <v>1703</v>
      </c>
      <c r="P75" t="s">
        <v>1703</v>
      </c>
      <c r="R75" s="43">
        <f>COUNTIF(O75:O129,"*YES*")/COUNTA(O75:O129)</f>
        <v>0.94545454545454544</v>
      </c>
      <c r="S75" s="43">
        <f>COUNTIF(P75:P129,"*YES*")/COUNTA(P75:P129)</f>
        <v>1</v>
      </c>
      <c r="T75" s="18"/>
      <c r="U75" s="18"/>
      <c r="V75" s="18"/>
    </row>
    <row r="76" spans="1:22" x14ac:dyDescent="0.3">
      <c r="A76">
        <v>1158275</v>
      </c>
      <c r="B76" t="s">
        <v>1768</v>
      </c>
      <c r="C76" t="s">
        <v>618</v>
      </c>
      <c r="D76" t="s">
        <v>619</v>
      </c>
      <c r="E76" t="s">
        <v>620</v>
      </c>
      <c r="G76" t="s">
        <v>624</v>
      </c>
      <c r="H76" t="s">
        <v>46</v>
      </c>
      <c r="I76" t="s">
        <v>46</v>
      </c>
      <c r="J76" t="s">
        <v>17</v>
      </c>
      <c r="K76">
        <v>100</v>
      </c>
      <c r="L76">
        <v>80</v>
      </c>
      <c r="M76" t="s">
        <v>622</v>
      </c>
      <c r="N76" t="s">
        <v>623</v>
      </c>
      <c r="O76" t="s">
        <v>1703</v>
      </c>
      <c r="P76" t="s">
        <v>1703</v>
      </c>
      <c r="R76" s="43"/>
      <c r="S76" s="43"/>
      <c r="T76" s="18"/>
      <c r="U76" s="18"/>
      <c r="V76" s="18"/>
    </row>
    <row r="77" spans="1:22" x14ac:dyDescent="0.3">
      <c r="A77">
        <v>1158275</v>
      </c>
      <c r="B77" t="s">
        <v>1768</v>
      </c>
      <c r="C77" t="s">
        <v>618</v>
      </c>
      <c r="D77" t="s">
        <v>619</v>
      </c>
      <c r="E77" t="s">
        <v>620</v>
      </c>
      <c r="G77" t="s">
        <v>625</v>
      </c>
      <c r="H77" t="s">
        <v>46</v>
      </c>
      <c r="I77" t="s">
        <v>46</v>
      </c>
      <c r="J77" t="s">
        <v>17</v>
      </c>
      <c r="K77">
        <v>100</v>
      </c>
      <c r="L77">
        <v>80</v>
      </c>
      <c r="M77" t="s">
        <v>622</v>
      </c>
      <c r="N77" t="s">
        <v>623</v>
      </c>
      <c r="O77" t="s">
        <v>1703</v>
      </c>
      <c r="P77" t="s">
        <v>1703</v>
      </c>
      <c r="R77" s="43"/>
      <c r="S77" s="43"/>
      <c r="T77" s="18"/>
      <c r="U77" s="18"/>
      <c r="V77" s="18"/>
    </row>
    <row r="78" spans="1:22" x14ac:dyDescent="0.3">
      <c r="A78">
        <v>1158275</v>
      </c>
      <c r="B78" t="s">
        <v>1768</v>
      </c>
      <c r="C78" t="s">
        <v>618</v>
      </c>
      <c r="D78" t="s">
        <v>619</v>
      </c>
      <c r="E78" t="s">
        <v>620</v>
      </c>
      <c r="G78" t="s">
        <v>626</v>
      </c>
      <c r="H78" t="s">
        <v>46</v>
      </c>
      <c r="I78" t="s">
        <v>46</v>
      </c>
      <c r="J78" t="s">
        <v>17</v>
      </c>
      <c r="K78">
        <v>100</v>
      </c>
      <c r="L78">
        <v>80</v>
      </c>
      <c r="M78" t="s">
        <v>622</v>
      </c>
      <c r="N78" t="s">
        <v>623</v>
      </c>
      <c r="O78" t="s">
        <v>1703</v>
      </c>
      <c r="P78" t="s">
        <v>1703</v>
      </c>
      <c r="R78" s="43"/>
      <c r="S78" s="43"/>
      <c r="T78" s="18"/>
      <c r="U78" s="18"/>
      <c r="V78" s="18"/>
    </row>
    <row r="79" spans="1:22" x14ac:dyDescent="0.3">
      <c r="A79">
        <v>1158275</v>
      </c>
      <c r="B79" t="s">
        <v>1768</v>
      </c>
      <c r="C79" t="s">
        <v>1772</v>
      </c>
      <c r="H79" t="s">
        <v>16</v>
      </c>
      <c r="I79" t="s">
        <v>16</v>
      </c>
      <c r="J79" t="s">
        <v>17</v>
      </c>
      <c r="K79">
        <v>0</v>
      </c>
      <c r="L79">
        <v>0</v>
      </c>
      <c r="O79" t="s">
        <v>1703</v>
      </c>
      <c r="P79" t="s">
        <v>1703</v>
      </c>
      <c r="R79" s="43"/>
      <c r="S79" s="43"/>
      <c r="T79" s="18"/>
      <c r="U79" s="18"/>
      <c r="V79" s="18"/>
    </row>
    <row r="80" spans="1:22" x14ac:dyDescent="0.3">
      <c r="A80">
        <v>1158275</v>
      </c>
      <c r="B80" t="s">
        <v>1768</v>
      </c>
      <c r="C80" t="s">
        <v>1771</v>
      </c>
      <c r="H80" t="s">
        <v>16</v>
      </c>
      <c r="I80" t="s">
        <v>16</v>
      </c>
      <c r="J80" t="s">
        <v>17</v>
      </c>
      <c r="K80">
        <v>0</v>
      </c>
      <c r="L80">
        <v>0</v>
      </c>
      <c r="O80" t="s">
        <v>1703</v>
      </c>
      <c r="P80" t="s">
        <v>1703</v>
      </c>
      <c r="R80" s="43"/>
      <c r="S80" s="43"/>
      <c r="T80" s="18"/>
      <c r="U80" s="18"/>
      <c r="V80" s="18"/>
    </row>
    <row r="81" spans="1:22" x14ac:dyDescent="0.3">
      <c r="A81">
        <v>1158275</v>
      </c>
      <c r="B81" t="s">
        <v>1768</v>
      </c>
      <c r="C81" t="s">
        <v>1770</v>
      </c>
      <c r="H81" t="s">
        <v>16</v>
      </c>
      <c r="I81" t="s">
        <v>16</v>
      </c>
      <c r="J81" t="s">
        <v>17</v>
      </c>
      <c r="K81">
        <v>0</v>
      </c>
      <c r="L81">
        <v>0</v>
      </c>
      <c r="O81" t="s">
        <v>1703</v>
      </c>
      <c r="P81" t="s">
        <v>1703</v>
      </c>
      <c r="R81" s="43"/>
      <c r="S81" s="43"/>
      <c r="T81" s="18"/>
      <c r="U81" s="18"/>
      <c r="V81" s="18"/>
    </row>
    <row r="82" spans="1:22" x14ac:dyDescent="0.3">
      <c r="A82">
        <v>1158275</v>
      </c>
      <c r="B82" t="s">
        <v>1768</v>
      </c>
      <c r="C82" t="s">
        <v>1769</v>
      </c>
      <c r="H82" t="s">
        <v>16</v>
      </c>
      <c r="I82" t="s">
        <v>16</v>
      </c>
      <c r="J82" t="s">
        <v>17</v>
      </c>
      <c r="K82">
        <v>0</v>
      </c>
      <c r="L82">
        <v>0</v>
      </c>
      <c r="O82" t="s">
        <v>1703</v>
      </c>
      <c r="P82" t="s">
        <v>1703</v>
      </c>
      <c r="R82" s="43"/>
      <c r="S82" s="43"/>
      <c r="T82" s="18"/>
      <c r="U82" s="18"/>
      <c r="V82" s="18"/>
    </row>
    <row r="83" spans="1:22" x14ac:dyDescent="0.3">
      <c r="A83">
        <v>1158275</v>
      </c>
      <c r="B83" t="s">
        <v>1768</v>
      </c>
      <c r="C83" t="s">
        <v>1740</v>
      </c>
      <c r="D83" t="s">
        <v>1089</v>
      </c>
      <c r="E83" t="s">
        <v>1088</v>
      </c>
      <c r="G83" t="s">
        <v>1098</v>
      </c>
      <c r="H83" t="s">
        <v>22</v>
      </c>
      <c r="I83" t="s">
        <v>22</v>
      </c>
      <c r="J83" t="s">
        <v>17</v>
      </c>
      <c r="K83">
        <v>92.3</v>
      </c>
      <c r="L83">
        <v>110.4</v>
      </c>
      <c r="O83" t="s">
        <v>1703</v>
      </c>
      <c r="P83" t="s">
        <v>1703</v>
      </c>
      <c r="R83" s="43"/>
      <c r="S83" s="43"/>
      <c r="T83" s="18"/>
      <c r="U83" s="18"/>
      <c r="V83" s="18"/>
    </row>
    <row r="84" spans="1:22" x14ac:dyDescent="0.3">
      <c r="A84">
        <v>1158275</v>
      </c>
      <c r="B84" t="s">
        <v>1768</v>
      </c>
      <c r="C84" t="s">
        <v>1740</v>
      </c>
      <c r="D84" t="s">
        <v>1089</v>
      </c>
      <c r="E84" t="s">
        <v>1088</v>
      </c>
      <c r="G84" t="s">
        <v>1097</v>
      </c>
      <c r="H84" t="s">
        <v>22</v>
      </c>
      <c r="I84" t="s">
        <v>22</v>
      </c>
      <c r="J84" t="s">
        <v>17</v>
      </c>
      <c r="K84">
        <v>92.3</v>
      </c>
      <c r="L84">
        <v>110.4</v>
      </c>
      <c r="O84" t="s">
        <v>1703</v>
      </c>
      <c r="P84" t="s">
        <v>1703</v>
      </c>
      <c r="R84" s="43"/>
      <c r="S84" s="43"/>
      <c r="T84" s="18"/>
      <c r="U84" s="18"/>
      <c r="V84" s="18"/>
    </row>
    <row r="85" spans="1:22" x14ac:dyDescent="0.3">
      <c r="A85">
        <v>1158275</v>
      </c>
      <c r="B85" t="s">
        <v>1768</v>
      </c>
      <c r="C85" t="s">
        <v>1740</v>
      </c>
      <c r="D85" t="s">
        <v>1089</v>
      </c>
      <c r="E85" t="s">
        <v>1088</v>
      </c>
      <c r="G85" t="s">
        <v>1096</v>
      </c>
      <c r="H85" t="s">
        <v>22</v>
      </c>
      <c r="I85" t="s">
        <v>22</v>
      </c>
      <c r="J85" t="s">
        <v>17</v>
      </c>
      <c r="K85">
        <v>92.3</v>
      </c>
      <c r="L85">
        <v>110.4</v>
      </c>
      <c r="O85" t="s">
        <v>1703</v>
      </c>
      <c r="P85" t="s">
        <v>1764</v>
      </c>
      <c r="R85" s="43"/>
      <c r="S85" s="43"/>
      <c r="T85" s="18"/>
      <c r="U85" s="18"/>
      <c r="V85" s="18"/>
    </row>
    <row r="86" spans="1:22" x14ac:dyDescent="0.3">
      <c r="A86">
        <v>1158275</v>
      </c>
      <c r="B86" t="s">
        <v>1768</v>
      </c>
      <c r="C86" t="s">
        <v>1740</v>
      </c>
      <c r="D86" t="s">
        <v>1089</v>
      </c>
      <c r="E86" t="s">
        <v>1088</v>
      </c>
      <c r="G86" t="s">
        <v>1095</v>
      </c>
      <c r="H86" t="s">
        <v>22</v>
      </c>
      <c r="I86" t="s">
        <v>22</v>
      </c>
      <c r="J86" t="s">
        <v>17</v>
      </c>
      <c r="K86">
        <v>92.3</v>
      </c>
      <c r="L86">
        <v>110.4</v>
      </c>
      <c r="O86" t="s">
        <v>1703</v>
      </c>
      <c r="P86" t="s">
        <v>1703</v>
      </c>
      <c r="R86" s="43"/>
      <c r="S86" s="43"/>
      <c r="T86" s="18"/>
      <c r="U86" s="18"/>
      <c r="V86" s="18"/>
    </row>
    <row r="87" spans="1:22" x14ac:dyDescent="0.3">
      <c r="A87">
        <v>1158275</v>
      </c>
      <c r="B87" t="s">
        <v>1768</v>
      </c>
      <c r="C87" t="s">
        <v>1740</v>
      </c>
      <c r="D87" t="s">
        <v>1089</v>
      </c>
      <c r="E87" t="s">
        <v>1088</v>
      </c>
      <c r="G87" t="s">
        <v>1094</v>
      </c>
      <c r="H87" t="s">
        <v>22</v>
      </c>
      <c r="I87" t="s">
        <v>22</v>
      </c>
      <c r="J87" t="s">
        <v>17</v>
      </c>
      <c r="K87">
        <v>92.3</v>
      </c>
      <c r="L87">
        <v>110.4</v>
      </c>
      <c r="O87" t="s">
        <v>1703</v>
      </c>
      <c r="P87" t="s">
        <v>1703</v>
      </c>
      <c r="R87" s="43"/>
      <c r="S87" s="43"/>
      <c r="T87" s="18"/>
      <c r="U87" s="18"/>
      <c r="V87" s="18"/>
    </row>
    <row r="88" spans="1:22" x14ac:dyDescent="0.3">
      <c r="A88">
        <v>1158275</v>
      </c>
      <c r="B88" t="s">
        <v>1768</v>
      </c>
      <c r="C88" t="s">
        <v>1740</v>
      </c>
      <c r="D88" t="s">
        <v>1089</v>
      </c>
      <c r="E88" t="s">
        <v>1088</v>
      </c>
      <c r="G88" t="s">
        <v>1093</v>
      </c>
      <c r="H88" t="s">
        <v>22</v>
      </c>
      <c r="I88" t="s">
        <v>22</v>
      </c>
      <c r="J88" t="s">
        <v>17</v>
      </c>
      <c r="K88">
        <v>92.3</v>
      </c>
      <c r="L88">
        <v>110.4</v>
      </c>
      <c r="O88" t="s">
        <v>1703</v>
      </c>
      <c r="P88" t="s">
        <v>1703</v>
      </c>
      <c r="R88" s="43"/>
      <c r="S88" s="43"/>
      <c r="T88" s="18"/>
      <c r="U88" s="18"/>
      <c r="V88" s="18"/>
    </row>
    <row r="89" spans="1:22" x14ac:dyDescent="0.3">
      <c r="A89">
        <v>1158275</v>
      </c>
      <c r="B89" t="s">
        <v>1768</v>
      </c>
      <c r="C89" t="s">
        <v>1740</v>
      </c>
      <c r="D89" t="s">
        <v>1089</v>
      </c>
      <c r="E89" t="s">
        <v>1088</v>
      </c>
      <c r="G89" t="s">
        <v>1092</v>
      </c>
      <c r="H89" t="s">
        <v>22</v>
      </c>
      <c r="I89" t="s">
        <v>22</v>
      </c>
      <c r="J89" t="s">
        <v>17</v>
      </c>
      <c r="K89">
        <v>92.3</v>
      </c>
      <c r="L89">
        <v>110.4</v>
      </c>
      <c r="O89" t="s">
        <v>1703</v>
      </c>
      <c r="P89" t="s">
        <v>1703</v>
      </c>
      <c r="R89" s="43"/>
      <c r="S89" s="43"/>
      <c r="T89" s="18"/>
      <c r="U89" s="18"/>
      <c r="V89" s="18"/>
    </row>
    <row r="90" spans="1:22" x14ac:dyDescent="0.3">
      <c r="A90">
        <v>1158275</v>
      </c>
      <c r="B90" t="s">
        <v>1768</v>
      </c>
      <c r="C90" t="s">
        <v>1740</v>
      </c>
      <c r="D90" t="s">
        <v>1089</v>
      </c>
      <c r="E90" t="s">
        <v>1088</v>
      </c>
      <c r="G90" t="s">
        <v>1091</v>
      </c>
      <c r="H90" t="s">
        <v>22</v>
      </c>
      <c r="I90" t="s">
        <v>22</v>
      </c>
      <c r="J90" t="s">
        <v>17</v>
      </c>
      <c r="K90">
        <v>92.3</v>
      </c>
      <c r="L90">
        <v>110.4</v>
      </c>
      <c r="O90" t="s">
        <v>1703</v>
      </c>
      <c r="P90" t="s">
        <v>1703</v>
      </c>
      <c r="R90" s="43"/>
      <c r="S90" s="43"/>
      <c r="T90" s="18"/>
      <c r="U90" s="18"/>
      <c r="V90" s="18"/>
    </row>
    <row r="91" spans="1:22" x14ac:dyDescent="0.3">
      <c r="A91">
        <v>1158275</v>
      </c>
      <c r="B91" t="s">
        <v>1768</v>
      </c>
      <c r="C91" t="s">
        <v>1740</v>
      </c>
      <c r="D91" t="s">
        <v>1089</v>
      </c>
      <c r="E91" t="s">
        <v>1088</v>
      </c>
      <c r="G91" t="s">
        <v>1087</v>
      </c>
      <c r="H91" t="s">
        <v>22</v>
      </c>
      <c r="I91" t="s">
        <v>22</v>
      </c>
      <c r="J91" t="s">
        <v>17</v>
      </c>
      <c r="K91">
        <v>92.3</v>
      </c>
      <c r="L91">
        <v>110.4</v>
      </c>
      <c r="O91" t="s">
        <v>1703</v>
      </c>
      <c r="P91" t="s">
        <v>1764</v>
      </c>
      <c r="R91" s="43"/>
      <c r="S91" s="43"/>
      <c r="T91" s="18"/>
      <c r="U91" s="18"/>
      <c r="V91" s="18"/>
    </row>
    <row r="92" spans="1:22" x14ac:dyDescent="0.3">
      <c r="A92">
        <v>1158278</v>
      </c>
      <c r="B92" t="s">
        <v>1763</v>
      </c>
      <c r="C92" t="s">
        <v>618</v>
      </c>
      <c r="D92" t="s">
        <v>619</v>
      </c>
      <c r="E92" t="s">
        <v>620</v>
      </c>
      <c r="G92" t="s">
        <v>621</v>
      </c>
      <c r="H92" t="s">
        <v>46</v>
      </c>
      <c r="I92" t="s">
        <v>46</v>
      </c>
      <c r="J92" t="s">
        <v>17</v>
      </c>
      <c r="K92">
        <v>100</v>
      </c>
      <c r="L92">
        <v>80</v>
      </c>
      <c r="M92" t="s">
        <v>622</v>
      </c>
      <c r="N92" t="s">
        <v>623</v>
      </c>
      <c r="O92" t="s">
        <v>1703</v>
      </c>
      <c r="P92" t="s">
        <v>1703</v>
      </c>
      <c r="R92" s="43"/>
      <c r="S92" s="43"/>
      <c r="T92" s="18"/>
      <c r="U92" s="18"/>
      <c r="V92" s="18"/>
    </row>
    <row r="93" spans="1:22" x14ac:dyDescent="0.3">
      <c r="A93">
        <v>1158278</v>
      </c>
      <c r="B93" t="s">
        <v>1763</v>
      </c>
      <c r="C93" t="s">
        <v>618</v>
      </c>
      <c r="D93" t="s">
        <v>619</v>
      </c>
      <c r="E93" t="s">
        <v>620</v>
      </c>
      <c r="G93" t="s">
        <v>624</v>
      </c>
      <c r="H93" t="s">
        <v>46</v>
      </c>
      <c r="I93" t="s">
        <v>46</v>
      </c>
      <c r="J93" t="s">
        <v>17</v>
      </c>
      <c r="K93">
        <v>100</v>
      </c>
      <c r="L93">
        <v>80</v>
      </c>
      <c r="M93" t="s">
        <v>622</v>
      </c>
      <c r="N93" t="s">
        <v>623</v>
      </c>
      <c r="O93" t="s">
        <v>1703</v>
      </c>
      <c r="P93" t="s">
        <v>1703</v>
      </c>
      <c r="R93" s="43"/>
      <c r="S93" s="43"/>
      <c r="T93" s="18"/>
      <c r="U93" s="18"/>
      <c r="V93" s="18"/>
    </row>
    <row r="94" spans="1:22" x14ac:dyDescent="0.3">
      <c r="A94">
        <v>1158278</v>
      </c>
      <c r="B94" t="s">
        <v>1763</v>
      </c>
      <c r="C94" t="s">
        <v>618</v>
      </c>
      <c r="D94" t="s">
        <v>619</v>
      </c>
      <c r="E94" t="s">
        <v>620</v>
      </c>
      <c r="G94" t="s">
        <v>625</v>
      </c>
      <c r="H94" t="s">
        <v>46</v>
      </c>
      <c r="I94" t="s">
        <v>46</v>
      </c>
      <c r="J94" t="s">
        <v>17</v>
      </c>
      <c r="K94">
        <v>100</v>
      </c>
      <c r="L94">
        <v>80</v>
      </c>
      <c r="M94" t="s">
        <v>622</v>
      </c>
      <c r="N94" t="s">
        <v>623</v>
      </c>
      <c r="O94" t="s">
        <v>1703</v>
      </c>
      <c r="P94" t="s">
        <v>1703</v>
      </c>
      <c r="R94" s="43"/>
      <c r="S94" s="43"/>
      <c r="T94" s="18"/>
      <c r="U94" s="18"/>
      <c r="V94" s="18"/>
    </row>
    <row r="95" spans="1:22" x14ac:dyDescent="0.3">
      <c r="A95">
        <v>1158278</v>
      </c>
      <c r="B95" t="s">
        <v>1763</v>
      </c>
      <c r="C95" t="s">
        <v>618</v>
      </c>
      <c r="D95" t="s">
        <v>619</v>
      </c>
      <c r="E95" t="s">
        <v>620</v>
      </c>
      <c r="G95" t="s">
        <v>626</v>
      </c>
      <c r="H95" t="s">
        <v>46</v>
      </c>
      <c r="I95" t="s">
        <v>46</v>
      </c>
      <c r="J95" t="s">
        <v>17</v>
      </c>
      <c r="K95">
        <v>100</v>
      </c>
      <c r="L95">
        <v>80</v>
      </c>
      <c r="M95" t="s">
        <v>622</v>
      </c>
      <c r="N95" t="s">
        <v>623</v>
      </c>
      <c r="O95" t="s">
        <v>1703</v>
      </c>
      <c r="P95" t="s">
        <v>1703</v>
      </c>
      <c r="R95" s="43"/>
      <c r="S95" s="43"/>
      <c r="T95" s="18"/>
      <c r="U95" s="18"/>
      <c r="V95" s="18"/>
    </row>
    <row r="96" spans="1:22" x14ac:dyDescent="0.3">
      <c r="A96">
        <v>1158278</v>
      </c>
      <c r="B96" t="s">
        <v>1763</v>
      </c>
      <c r="C96" t="s">
        <v>617</v>
      </c>
      <c r="H96" t="s">
        <v>16</v>
      </c>
      <c r="I96" t="s">
        <v>16</v>
      </c>
      <c r="J96" t="s">
        <v>17</v>
      </c>
      <c r="K96">
        <v>0</v>
      </c>
      <c r="L96">
        <v>0</v>
      </c>
      <c r="O96" t="s">
        <v>1703</v>
      </c>
      <c r="P96" t="s">
        <v>1703</v>
      </c>
      <c r="R96" s="43"/>
      <c r="S96" s="43"/>
      <c r="T96" s="18"/>
      <c r="U96" s="18"/>
      <c r="V96" s="18"/>
    </row>
    <row r="97" spans="1:22" x14ac:dyDescent="0.3">
      <c r="A97">
        <v>1158278</v>
      </c>
      <c r="B97" t="s">
        <v>1763</v>
      </c>
      <c r="C97" t="s">
        <v>1767</v>
      </c>
      <c r="D97" t="s">
        <v>1766</v>
      </c>
      <c r="E97" t="s">
        <v>1765</v>
      </c>
      <c r="H97" t="s">
        <v>22</v>
      </c>
      <c r="I97" t="s">
        <v>22</v>
      </c>
      <c r="J97" t="s">
        <v>17</v>
      </c>
      <c r="K97">
        <v>95.7</v>
      </c>
      <c r="L97">
        <v>108.4</v>
      </c>
      <c r="O97" t="s">
        <v>1790</v>
      </c>
      <c r="P97" t="s">
        <v>1703</v>
      </c>
      <c r="Q97" s="20" t="s">
        <v>1748</v>
      </c>
      <c r="R97" s="43"/>
      <c r="S97" s="43"/>
      <c r="T97" s="18"/>
      <c r="U97" s="18"/>
      <c r="V97" s="18"/>
    </row>
    <row r="98" spans="1:22" x14ac:dyDescent="0.3">
      <c r="A98">
        <v>1158278</v>
      </c>
      <c r="B98" t="s">
        <v>1763</v>
      </c>
      <c r="C98" t="s">
        <v>1623</v>
      </c>
      <c r="D98" t="s">
        <v>1622</v>
      </c>
      <c r="E98" t="s">
        <v>1621</v>
      </c>
      <c r="G98" t="s">
        <v>101</v>
      </c>
      <c r="H98" t="s">
        <v>22</v>
      </c>
      <c r="I98" t="s">
        <v>22</v>
      </c>
      <c r="J98" t="s">
        <v>17</v>
      </c>
      <c r="K98">
        <v>94.7</v>
      </c>
      <c r="L98">
        <v>110.8</v>
      </c>
      <c r="O98" t="s">
        <v>1703</v>
      </c>
      <c r="P98" t="s">
        <v>1703</v>
      </c>
      <c r="R98" s="43"/>
      <c r="S98" s="43"/>
      <c r="T98" s="18"/>
      <c r="U98" s="18"/>
      <c r="V98" s="18"/>
    </row>
    <row r="99" spans="1:22" x14ac:dyDescent="0.3">
      <c r="A99">
        <v>1158278</v>
      </c>
      <c r="B99" t="s">
        <v>1763</v>
      </c>
      <c r="C99" t="s">
        <v>1623</v>
      </c>
      <c r="D99" t="s">
        <v>1622</v>
      </c>
      <c r="E99" t="s">
        <v>1621</v>
      </c>
      <c r="G99" t="s">
        <v>102</v>
      </c>
      <c r="H99" t="s">
        <v>22</v>
      </c>
      <c r="I99" t="s">
        <v>22</v>
      </c>
      <c r="J99" t="s">
        <v>17</v>
      </c>
      <c r="K99">
        <v>94.7</v>
      </c>
      <c r="L99">
        <v>110.8</v>
      </c>
      <c r="O99" t="s">
        <v>1703</v>
      </c>
      <c r="P99" t="s">
        <v>1703</v>
      </c>
      <c r="R99" s="43"/>
      <c r="S99" s="43"/>
      <c r="T99" s="18"/>
      <c r="U99" s="18"/>
      <c r="V99" s="18"/>
    </row>
    <row r="100" spans="1:22" x14ac:dyDescent="0.3">
      <c r="A100">
        <v>1158278</v>
      </c>
      <c r="B100" t="s">
        <v>1763</v>
      </c>
      <c r="C100" t="s">
        <v>1623</v>
      </c>
      <c r="D100" t="s">
        <v>1622</v>
      </c>
      <c r="E100" t="s">
        <v>1621</v>
      </c>
      <c r="G100" t="s">
        <v>103</v>
      </c>
      <c r="H100" t="s">
        <v>22</v>
      </c>
      <c r="I100" t="s">
        <v>22</v>
      </c>
      <c r="J100" t="s">
        <v>17</v>
      </c>
      <c r="K100">
        <v>94.7</v>
      </c>
      <c r="L100">
        <v>110.8</v>
      </c>
      <c r="O100" t="s">
        <v>1703</v>
      </c>
      <c r="P100" t="s">
        <v>1703</v>
      </c>
      <c r="R100" s="43"/>
      <c r="S100" s="43"/>
      <c r="T100" s="18"/>
      <c r="U100" s="18"/>
      <c r="V100" s="18"/>
    </row>
    <row r="101" spans="1:22" x14ac:dyDescent="0.3">
      <c r="A101">
        <v>1158278</v>
      </c>
      <c r="B101" t="s">
        <v>1763</v>
      </c>
      <c r="C101" t="s">
        <v>1623</v>
      </c>
      <c r="D101" t="s">
        <v>1622</v>
      </c>
      <c r="E101" t="s">
        <v>1621</v>
      </c>
      <c r="G101" t="s">
        <v>104</v>
      </c>
      <c r="H101" t="s">
        <v>22</v>
      </c>
      <c r="I101" t="s">
        <v>22</v>
      </c>
      <c r="J101" t="s">
        <v>17</v>
      </c>
      <c r="K101">
        <v>94.7</v>
      </c>
      <c r="L101">
        <v>110.8</v>
      </c>
      <c r="O101" t="s">
        <v>1703</v>
      </c>
      <c r="P101" t="s">
        <v>1703</v>
      </c>
      <c r="R101" s="43"/>
      <c r="S101" s="43"/>
      <c r="T101" s="18"/>
      <c r="U101" s="18"/>
      <c r="V101" s="18"/>
    </row>
    <row r="102" spans="1:22" x14ac:dyDescent="0.3">
      <c r="A102">
        <v>1158278</v>
      </c>
      <c r="B102" t="s">
        <v>1763</v>
      </c>
      <c r="C102" t="s">
        <v>1623</v>
      </c>
      <c r="D102" t="s">
        <v>1622</v>
      </c>
      <c r="E102" t="s">
        <v>1621</v>
      </c>
      <c r="G102" t="s">
        <v>105</v>
      </c>
      <c r="H102" t="s">
        <v>22</v>
      </c>
      <c r="I102" t="s">
        <v>22</v>
      </c>
      <c r="J102" t="s">
        <v>17</v>
      </c>
      <c r="K102">
        <v>94.7</v>
      </c>
      <c r="L102">
        <v>110.8</v>
      </c>
      <c r="O102" t="s">
        <v>1703</v>
      </c>
      <c r="P102" t="s">
        <v>1703</v>
      </c>
      <c r="R102" s="43"/>
      <c r="S102" s="43"/>
      <c r="T102" s="18"/>
      <c r="U102" s="18"/>
      <c r="V102" s="18"/>
    </row>
    <row r="103" spans="1:22" x14ac:dyDescent="0.3">
      <c r="A103">
        <v>1158278</v>
      </c>
      <c r="B103" t="s">
        <v>1763</v>
      </c>
      <c r="C103" t="s">
        <v>1623</v>
      </c>
      <c r="D103" t="s">
        <v>1622</v>
      </c>
      <c r="E103" t="s">
        <v>1621</v>
      </c>
      <c r="G103" t="s">
        <v>106</v>
      </c>
      <c r="H103" t="s">
        <v>22</v>
      </c>
      <c r="I103" t="s">
        <v>22</v>
      </c>
      <c r="J103" t="s">
        <v>17</v>
      </c>
      <c r="K103">
        <v>94.7</v>
      </c>
      <c r="L103">
        <v>110.8</v>
      </c>
      <c r="O103" t="s">
        <v>1703</v>
      </c>
      <c r="P103" t="s">
        <v>1703</v>
      </c>
      <c r="R103" s="43"/>
      <c r="S103" s="43"/>
      <c r="T103" s="18"/>
      <c r="U103" s="18"/>
      <c r="V103" s="18"/>
    </row>
    <row r="104" spans="1:22" x14ac:dyDescent="0.3">
      <c r="A104">
        <v>1158278</v>
      </c>
      <c r="B104" t="s">
        <v>1763</v>
      </c>
      <c r="C104" t="s">
        <v>1623</v>
      </c>
      <c r="D104" t="s">
        <v>1622</v>
      </c>
      <c r="E104" t="s">
        <v>1621</v>
      </c>
      <c r="G104" t="s">
        <v>107</v>
      </c>
      <c r="H104" t="s">
        <v>22</v>
      </c>
      <c r="I104" t="s">
        <v>22</v>
      </c>
      <c r="J104" t="s">
        <v>17</v>
      </c>
      <c r="K104">
        <v>94.7</v>
      </c>
      <c r="L104">
        <v>110.8</v>
      </c>
      <c r="O104" t="s">
        <v>1703</v>
      </c>
      <c r="P104" t="s">
        <v>1703</v>
      </c>
      <c r="R104" s="43"/>
      <c r="S104" s="43"/>
      <c r="T104" s="18"/>
      <c r="U104" s="18"/>
      <c r="V104" s="18"/>
    </row>
    <row r="105" spans="1:22" x14ac:dyDescent="0.3">
      <c r="A105">
        <v>1158278</v>
      </c>
      <c r="B105" t="s">
        <v>1763</v>
      </c>
      <c r="C105" t="s">
        <v>1623</v>
      </c>
      <c r="D105" t="s">
        <v>1622</v>
      </c>
      <c r="E105" t="s">
        <v>1621</v>
      </c>
      <c r="G105" t="s">
        <v>108</v>
      </c>
      <c r="H105" t="s">
        <v>22</v>
      </c>
      <c r="I105" t="s">
        <v>22</v>
      </c>
      <c r="J105" t="s">
        <v>17</v>
      </c>
      <c r="K105">
        <v>94.7</v>
      </c>
      <c r="L105">
        <v>110.8</v>
      </c>
      <c r="O105" t="s">
        <v>1703</v>
      </c>
      <c r="P105" t="s">
        <v>1703</v>
      </c>
      <c r="R105" s="43"/>
      <c r="S105" s="43"/>
      <c r="T105" s="18"/>
      <c r="U105" s="18"/>
      <c r="V105" s="18"/>
    </row>
    <row r="106" spans="1:22" x14ac:dyDescent="0.3">
      <c r="A106">
        <v>1158278</v>
      </c>
      <c r="B106" t="s">
        <v>1763</v>
      </c>
      <c r="C106" t="s">
        <v>1623</v>
      </c>
      <c r="D106" t="s">
        <v>1622</v>
      </c>
      <c r="E106" t="s">
        <v>1621</v>
      </c>
      <c r="G106" t="s">
        <v>109</v>
      </c>
      <c r="H106" t="s">
        <v>22</v>
      </c>
      <c r="I106" t="s">
        <v>22</v>
      </c>
      <c r="J106" t="s">
        <v>17</v>
      </c>
      <c r="K106">
        <v>94.7</v>
      </c>
      <c r="L106">
        <v>110.8</v>
      </c>
      <c r="O106" t="s">
        <v>1703</v>
      </c>
      <c r="P106" t="s">
        <v>1703</v>
      </c>
      <c r="R106" s="43"/>
      <c r="S106" s="43"/>
      <c r="T106" s="18"/>
      <c r="U106" s="18"/>
      <c r="V106" s="18"/>
    </row>
    <row r="107" spans="1:22" x14ac:dyDescent="0.3">
      <c r="A107">
        <v>1158278</v>
      </c>
      <c r="B107" t="s">
        <v>1763</v>
      </c>
      <c r="C107" t="s">
        <v>1623</v>
      </c>
      <c r="D107" t="s">
        <v>1622</v>
      </c>
      <c r="E107" t="s">
        <v>1621</v>
      </c>
      <c r="G107" t="s">
        <v>110</v>
      </c>
      <c r="H107" t="s">
        <v>22</v>
      </c>
      <c r="I107" t="s">
        <v>22</v>
      </c>
      <c r="J107" t="s">
        <v>17</v>
      </c>
      <c r="K107">
        <v>94.7</v>
      </c>
      <c r="L107">
        <v>110.8</v>
      </c>
      <c r="O107" t="s">
        <v>1703</v>
      </c>
      <c r="P107" t="s">
        <v>1703</v>
      </c>
      <c r="R107" s="43"/>
      <c r="S107" s="43"/>
      <c r="T107" s="18"/>
      <c r="U107" s="18"/>
      <c r="V107" s="18"/>
    </row>
    <row r="108" spans="1:22" x14ac:dyDescent="0.3">
      <c r="A108">
        <v>1158278</v>
      </c>
      <c r="B108" t="s">
        <v>1763</v>
      </c>
      <c r="C108" t="s">
        <v>1623</v>
      </c>
      <c r="D108" t="s">
        <v>1622</v>
      </c>
      <c r="E108" t="s">
        <v>1621</v>
      </c>
      <c r="G108" t="s">
        <v>111</v>
      </c>
      <c r="H108" t="s">
        <v>22</v>
      </c>
      <c r="I108" t="s">
        <v>22</v>
      </c>
      <c r="J108" t="s">
        <v>17</v>
      </c>
      <c r="K108">
        <v>94.7</v>
      </c>
      <c r="L108">
        <v>110.8</v>
      </c>
      <c r="O108" t="s">
        <v>1703</v>
      </c>
      <c r="P108" t="s">
        <v>1703</v>
      </c>
      <c r="R108" s="43"/>
      <c r="S108" s="43"/>
      <c r="T108" s="18"/>
      <c r="U108" s="18"/>
      <c r="V108" s="18"/>
    </row>
    <row r="109" spans="1:22" x14ac:dyDescent="0.3">
      <c r="A109">
        <v>1158278</v>
      </c>
      <c r="B109" t="s">
        <v>1763</v>
      </c>
      <c r="C109" t="s">
        <v>1623</v>
      </c>
      <c r="D109" t="s">
        <v>1622</v>
      </c>
      <c r="E109" t="s">
        <v>1621</v>
      </c>
      <c r="G109" t="s">
        <v>112</v>
      </c>
      <c r="H109" t="s">
        <v>22</v>
      </c>
      <c r="I109" t="s">
        <v>22</v>
      </c>
      <c r="J109" t="s">
        <v>17</v>
      </c>
      <c r="K109">
        <v>94.7</v>
      </c>
      <c r="L109">
        <v>110.8</v>
      </c>
      <c r="O109" t="s">
        <v>1703</v>
      </c>
      <c r="P109" t="s">
        <v>1703</v>
      </c>
      <c r="R109" s="43"/>
      <c r="S109" s="43"/>
      <c r="T109" s="18"/>
      <c r="U109" s="18"/>
      <c r="V109" s="18"/>
    </row>
    <row r="110" spans="1:22" x14ac:dyDescent="0.3">
      <c r="A110">
        <v>1158278</v>
      </c>
      <c r="B110" t="s">
        <v>1763</v>
      </c>
      <c r="C110" t="s">
        <v>1623</v>
      </c>
      <c r="D110" t="s">
        <v>1622</v>
      </c>
      <c r="E110" t="s">
        <v>1621</v>
      </c>
      <c r="G110" t="s">
        <v>113</v>
      </c>
      <c r="H110" t="s">
        <v>22</v>
      </c>
      <c r="I110" t="s">
        <v>22</v>
      </c>
      <c r="J110" t="s">
        <v>17</v>
      </c>
      <c r="K110">
        <v>94.7</v>
      </c>
      <c r="L110">
        <v>110.8</v>
      </c>
      <c r="O110" t="s">
        <v>1703</v>
      </c>
      <c r="P110" t="s">
        <v>1703</v>
      </c>
      <c r="R110" s="43"/>
      <c r="S110" s="43"/>
      <c r="T110" s="18"/>
      <c r="U110" s="18"/>
      <c r="V110" s="18"/>
    </row>
    <row r="111" spans="1:22" x14ac:dyDescent="0.3">
      <c r="A111">
        <v>1158278</v>
      </c>
      <c r="B111" t="s">
        <v>1763</v>
      </c>
      <c r="C111" t="s">
        <v>1623</v>
      </c>
      <c r="D111" t="s">
        <v>1622</v>
      </c>
      <c r="E111" t="s">
        <v>1621</v>
      </c>
      <c r="G111" t="s">
        <v>114</v>
      </c>
      <c r="H111" t="s">
        <v>22</v>
      </c>
      <c r="I111" t="s">
        <v>22</v>
      </c>
      <c r="J111" t="s">
        <v>17</v>
      </c>
      <c r="K111">
        <v>94.7</v>
      </c>
      <c r="L111">
        <v>110.8</v>
      </c>
      <c r="O111" t="s">
        <v>1703</v>
      </c>
      <c r="P111" t="s">
        <v>1703</v>
      </c>
      <c r="R111" s="43"/>
      <c r="S111" s="43"/>
      <c r="T111" s="18"/>
      <c r="U111" s="18"/>
      <c r="V111" s="18"/>
    </row>
    <row r="112" spans="1:22" x14ac:dyDescent="0.3">
      <c r="A112">
        <v>1158278</v>
      </c>
      <c r="B112" t="s">
        <v>1763</v>
      </c>
      <c r="C112" t="s">
        <v>1623</v>
      </c>
      <c r="D112" t="s">
        <v>1622</v>
      </c>
      <c r="E112" t="s">
        <v>1621</v>
      </c>
      <c r="G112" t="s">
        <v>115</v>
      </c>
      <c r="H112" t="s">
        <v>22</v>
      </c>
      <c r="I112" t="s">
        <v>22</v>
      </c>
      <c r="J112" t="s">
        <v>17</v>
      </c>
      <c r="K112">
        <v>94.7</v>
      </c>
      <c r="L112">
        <v>110.8</v>
      </c>
      <c r="O112" t="s">
        <v>1703</v>
      </c>
      <c r="P112" t="s">
        <v>1703</v>
      </c>
      <c r="R112" s="43"/>
      <c r="S112" s="43"/>
      <c r="T112" s="18"/>
      <c r="U112" s="18"/>
      <c r="V112" s="18"/>
    </row>
    <row r="113" spans="1:22" x14ac:dyDescent="0.3">
      <c r="A113">
        <v>1158278</v>
      </c>
      <c r="B113" t="s">
        <v>1763</v>
      </c>
      <c r="C113" t="s">
        <v>1623</v>
      </c>
      <c r="D113" t="s">
        <v>1622</v>
      </c>
      <c r="E113" t="s">
        <v>1621</v>
      </c>
      <c r="G113" t="s">
        <v>116</v>
      </c>
      <c r="H113" t="s">
        <v>22</v>
      </c>
      <c r="I113" t="s">
        <v>22</v>
      </c>
      <c r="J113" t="s">
        <v>17</v>
      </c>
      <c r="K113">
        <v>94.7</v>
      </c>
      <c r="L113">
        <v>110.8</v>
      </c>
      <c r="O113" t="s">
        <v>1703</v>
      </c>
      <c r="P113" t="s">
        <v>1703</v>
      </c>
      <c r="R113" s="43"/>
      <c r="S113" s="43"/>
      <c r="T113" s="18"/>
      <c r="U113" s="18"/>
      <c r="V113" s="18"/>
    </row>
    <row r="114" spans="1:22" x14ac:dyDescent="0.3">
      <c r="A114">
        <v>1158278</v>
      </c>
      <c r="B114" t="s">
        <v>1763</v>
      </c>
      <c r="C114" t="s">
        <v>1623</v>
      </c>
      <c r="D114" t="s">
        <v>1622</v>
      </c>
      <c r="E114" t="s">
        <v>1621</v>
      </c>
      <c r="G114" t="s">
        <v>117</v>
      </c>
      <c r="H114" t="s">
        <v>22</v>
      </c>
      <c r="I114" t="s">
        <v>22</v>
      </c>
      <c r="J114" t="s">
        <v>17</v>
      </c>
      <c r="K114">
        <v>94.7</v>
      </c>
      <c r="L114">
        <v>110.8</v>
      </c>
      <c r="O114" t="s">
        <v>1703</v>
      </c>
      <c r="P114" t="s">
        <v>1703</v>
      </c>
      <c r="R114" s="43"/>
      <c r="S114" s="43"/>
      <c r="T114" s="18"/>
      <c r="U114" s="18"/>
      <c r="V114" s="18"/>
    </row>
    <row r="115" spans="1:22" x14ac:dyDescent="0.3">
      <c r="A115">
        <v>1158278</v>
      </c>
      <c r="B115" t="s">
        <v>1763</v>
      </c>
      <c r="C115" t="s">
        <v>1623</v>
      </c>
      <c r="D115" t="s">
        <v>1622</v>
      </c>
      <c r="E115" t="s">
        <v>1621</v>
      </c>
      <c r="G115" t="s">
        <v>118</v>
      </c>
      <c r="H115" t="s">
        <v>22</v>
      </c>
      <c r="I115" t="s">
        <v>22</v>
      </c>
      <c r="J115" t="s">
        <v>17</v>
      </c>
      <c r="K115">
        <v>94.7</v>
      </c>
      <c r="L115">
        <v>110.8</v>
      </c>
      <c r="O115" t="s">
        <v>1703</v>
      </c>
      <c r="P115" t="s">
        <v>1703</v>
      </c>
      <c r="R115" s="43"/>
      <c r="S115" s="43"/>
      <c r="T115" s="18"/>
      <c r="U115" s="18"/>
      <c r="V115" s="18"/>
    </row>
    <row r="116" spans="1:22" x14ac:dyDescent="0.3">
      <c r="A116">
        <v>1158278</v>
      </c>
      <c r="B116" t="s">
        <v>1763</v>
      </c>
      <c r="C116" t="s">
        <v>1623</v>
      </c>
      <c r="D116" t="s">
        <v>1622</v>
      </c>
      <c r="E116" t="s">
        <v>1621</v>
      </c>
      <c r="G116" t="s">
        <v>119</v>
      </c>
      <c r="H116" t="s">
        <v>22</v>
      </c>
      <c r="I116" t="s">
        <v>22</v>
      </c>
      <c r="J116" t="s">
        <v>17</v>
      </c>
      <c r="K116">
        <v>94.7</v>
      </c>
      <c r="L116">
        <v>110.8</v>
      </c>
      <c r="O116" t="s">
        <v>1703</v>
      </c>
      <c r="P116" t="s">
        <v>1703</v>
      </c>
      <c r="R116" s="43"/>
      <c r="S116" s="43"/>
      <c r="T116" s="18"/>
      <c r="U116" s="18"/>
      <c r="V116" s="18"/>
    </row>
    <row r="117" spans="1:22" x14ac:dyDescent="0.3">
      <c r="A117">
        <v>1158278</v>
      </c>
      <c r="B117" t="s">
        <v>1763</v>
      </c>
      <c r="C117" t="s">
        <v>1623</v>
      </c>
      <c r="D117" t="s">
        <v>1622</v>
      </c>
      <c r="E117" t="s">
        <v>1621</v>
      </c>
      <c r="G117" t="s">
        <v>120</v>
      </c>
      <c r="H117" t="s">
        <v>22</v>
      </c>
      <c r="I117" t="s">
        <v>22</v>
      </c>
      <c r="J117" t="s">
        <v>17</v>
      </c>
      <c r="K117">
        <v>94.7</v>
      </c>
      <c r="L117">
        <v>110.8</v>
      </c>
      <c r="O117" t="s">
        <v>1703</v>
      </c>
      <c r="P117" t="s">
        <v>1703</v>
      </c>
      <c r="R117" s="43"/>
      <c r="S117" s="43"/>
      <c r="T117" s="18"/>
      <c r="U117" s="18"/>
      <c r="V117" s="18"/>
    </row>
    <row r="118" spans="1:22" x14ac:dyDescent="0.3">
      <c r="A118">
        <v>1158278</v>
      </c>
      <c r="B118" t="s">
        <v>1763</v>
      </c>
      <c r="C118" t="s">
        <v>1623</v>
      </c>
      <c r="D118" t="s">
        <v>1622</v>
      </c>
      <c r="E118" t="s">
        <v>1621</v>
      </c>
      <c r="G118" t="s">
        <v>121</v>
      </c>
      <c r="H118" t="s">
        <v>22</v>
      </c>
      <c r="I118" t="s">
        <v>22</v>
      </c>
      <c r="J118" t="s">
        <v>17</v>
      </c>
      <c r="K118">
        <v>94.7</v>
      </c>
      <c r="L118">
        <v>110.8</v>
      </c>
      <c r="O118" t="s">
        <v>1703</v>
      </c>
      <c r="P118" t="s">
        <v>1703</v>
      </c>
      <c r="R118" s="43"/>
      <c r="S118" s="43"/>
      <c r="T118" s="18"/>
      <c r="U118" s="18"/>
      <c r="V118" s="18"/>
    </row>
    <row r="119" spans="1:22" x14ac:dyDescent="0.3">
      <c r="A119">
        <v>1158278</v>
      </c>
      <c r="B119" t="s">
        <v>1763</v>
      </c>
      <c r="C119" t="s">
        <v>1623</v>
      </c>
      <c r="D119" t="s">
        <v>1622</v>
      </c>
      <c r="E119" t="s">
        <v>1621</v>
      </c>
      <c r="G119" t="s">
        <v>122</v>
      </c>
      <c r="H119" t="s">
        <v>22</v>
      </c>
      <c r="I119" t="s">
        <v>22</v>
      </c>
      <c r="J119" t="s">
        <v>17</v>
      </c>
      <c r="K119">
        <v>94.7</v>
      </c>
      <c r="L119">
        <v>110.8</v>
      </c>
      <c r="O119" t="s">
        <v>1703</v>
      </c>
      <c r="P119" t="s">
        <v>1703</v>
      </c>
      <c r="R119" s="43"/>
      <c r="S119" s="43"/>
      <c r="T119" s="18"/>
      <c r="U119" s="18"/>
      <c r="V119" s="18"/>
    </row>
    <row r="120" spans="1:22" x14ac:dyDescent="0.3">
      <c r="A120">
        <v>1158278</v>
      </c>
      <c r="B120" t="s">
        <v>1763</v>
      </c>
      <c r="C120" t="s">
        <v>1623</v>
      </c>
      <c r="D120" t="s">
        <v>1622</v>
      </c>
      <c r="E120" t="s">
        <v>1621</v>
      </c>
      <c r="G120" t="s">
        <v>123</v>
      </c>
      <c r="H120" t="s">
        <v>22</v>
      </c>
      <c r="I120" t="s">
        <v>22</v>
      </c>
      <c r="J120" t="s">
        <v>17</v>
      </c>
      <c r="K120">
        <v>94.7</v>
      </c>
      <c r="L120">
        <v>110.8</v>
      </c>
      <c r="O120" t="s">
        <v>1703</v>
      </c>
      <c r="P120" t="s">
        <v>1703</v>
      </c>
      <c r="R120" s="43"/>
      <c r="S120" s="43"/>
      <c r="T120" s="18"/>
      <c r="U120" s="18"/>
      <c r="V120" s="18"/>
    </row>
    <row r="121" spans="1:22" x14ac:dyDescent="0.3">
      <c r="A121">
        <v>1158278</v>
      </c>
      <c r="B121" t="s">
        <v>1763</v>
      </c>
      <c r="C121" t="s">
        <v>1623</v>
      </c>
      <c r="D121" t="s">
        <v>1622</v>
      </c>
      <c r="E121" t="s">
        <v>1621</v>
      </c>
      <c r="G121" t="s">
        <v>124</v>
      </c>
      <c r="H121" t="s">
        <v>22</v>
      </c>
      <c r="I121" t="s">
        <v>22</v>
      </c>
      <c r="J121" t="s">
        <v>17</v>
      </c>
      <c r="K121">
        <v>94.7</v>
      </c>
      <c r="L121">
        <v>110.8</v>
      </c>
      <c r="O121" t="s">
        <v>1703</v>
      </c>
      <c r="P121" t="s">
        <v>1703</v>
      </c>
      <c r="R121" s="43"/>
      <c r="S121" s="43"/>
      <c r="T121" s="18"/>
      <c r="U121" s="18"/>
      <c r="V121" s="18"/>
    </row>
    <row r="122" spans="1:22" x14ac:dyDescent="0.3">
      <c r="A122">
        <v>1158278</v>
      </c>
      <c r="B122" t="s">
        <v>1763</v>
      </c>
      <c r="C122" t="s">
        <v>1623</v>
      </c>
      <c r="D122" t="s">
        <v>1622</v>
      </c>
      <c r="E122" t="s">
        <v>1621</v>
      </c>
      <c r="G122" t="s">
        <v>125</v>
      </c>
      <c r="H122" t="s">
        <v>22</v>
      </c>
      <c r="I122" t="s">
        <v>22</v>
      </c>
      <c r="J122" t="s">
        <v>17</v>
      </c>
      <c r="K122">
        <v>94.7</v>
      </c>
      <c r="L122">
        <v>110.8</v>
      </c>
      <c r="O122" t="s">
        <v>1703</v>
      </c>
      <c r="P122" t="s">
        <v>1703</v>
      </c>
      <c r="R122" s="43"/>
      <c r="S122" s="43"/>
      <c r="T122" s="18"/>
      <c r="U122" s="18"/>
      <c r="V122" s="18"/>
    </row>
    <row r="123" spans="1:22" x14ac:dyDescent="0.3">
      <c r="A123">
        <v>1158278</v>
      </c>
      <c r="B123" t="s">
        <v>1763</v>
      </c>
      <c r="C123" t="s">
        <v>1623</v>
      </c>
      <c r="D123" t="s">
        <v>1622</v>
      </c>
      <c r="E123" t="s">
        <v>1621</v>
      </c>
      <c r="G123" t="s">
        <v>126</v>
      </c>
      <c r="H123" t="s">
        <v>22</v>
      </c>
      <c r="I123" t="s">
        <v>22</v>
      </c>
      <c r="J123" t="s">
        <v>17</v>
      </c>
      <c r="K123">
        <v>94.7</v>
      </c>
      <c r="L123">
        <v>110.8</v>
      </c>
      <c r="O123" t="s">
        <v>1703</v>
      </c>
      <c r="P123" t="s">
        <v>1703</v>
      </c>
      <c r="R123" s="43"/>
      <c r="S123" s="43"/>
      <c r="T123" s="18"/>
      <c r="U123" s="18"/>
      <c r="V123" s="18"/>
    </row>
    <row r="124" spans="1:22" x14ac:dyDescent="0.3">
      <c r="A124">
        <v>1158278</v>
      </c>
      <c r="B124" t="s">
        <v>1763</v>
      </c>
      <c r="C124" t="s">
        <v>1623</v>
      </c>
      <c r="D124" t="s">
        <v>1622</v>
      </c>
      <c r="E124" t="s">
        <v>1621</v>
      </c>
      <c r="G124" t="s">
        <v>127</v>
      </c>
      <c r="H124" t="s">
        <v>22</v>
      </c>
      <c r="I124" t="s">
        <v>22</v>
      </c>
      <c r="J124" t="s">
        <v>17</v>
      </c>
      <c r="K124">
        <v>94.7</v>
      </c>
      <c r="L124">
        <v>110.8</v>
      </c>
      <c r="O124" t="s">
        <v>1703</v>
      </c>
      <c r="P124" t="s">
        <v>1703</v>
      </c>
      <c r="R124" s="43"/>
      <c r="S124" s="43"/>
      <c r="T124" s="18"/>
      <c r="U124" s="18"/>
      <c r="V124" s="18"/>
    </row>
    <row r="125" spans="1:22" x14ac:dyDescent="0.3">
      <c r="A125">
        <v>1158278</v>
      </c>
      <c r="B125" t="s">
        <v>1763</v>
      </c>
      <c r="C125" t="s">
        <v>1623</v>
      </c>
      <c r="D125" t="s">
        <v>1622</v>
      </c>
      <c r="E125" t="s">
        <v>1621</v>
      </c>
      <c r="G125" t="s">
        <v>128</v>
      </c>
      <c r="H125" t="s">
        <v>22</v>
      </c>
      <c r="I125" t="s">
        <v>22</v>
      </c>
      <c r="J125" t="s">
        <v>17</v>
      </c>
      <c r="K125">
        <v>94.7</v>
      </c>
      <c r="L125">
        <v>110.8</v>
      </c>
      <c r="O125" t="s">
        <v>1703</v>
      </c>
      <c r="P125" t="s">
        <v>1703</v>
      </c>
      <c r="R125" s="43"/>
      <c r="S125" s="43"/>
      <c r="T125" s="18"/>
      <c r="U125" s="18"/>
      <c r="V125" s="18"/>
    </row>
    <row r="126" spans="1:22" x14ac:dyDescent="0.3">
      <c r="A126">
        <v>1158278</v>
      </c>
      <c r="B126" t="s">
        <v>1763</v>
      </c>
      <c r="C126" t="s">
        <v>1623</v>
      </c>
      <c r="D126" t="s">
        <v>1622</v>
      </c>
      <c r="E126" t="s">
        <v>1621</v>
      </c>
      <c r="G126" t="s">
        <v>129</v>
      </c>
      <c r="H126" t="s">
        <v>22</v>
      </c>
      <c r="I126" t="s">
        <v>22</v>
      </c>
      <c r="J126" t="s">
        <v>17</v>
      </c>
      <c r="K126">
        <v>94.7</v>
      </c>
      <c r="L126">
        <v>110.8</v>
      </c>
      <c r="O126" t="s">
        <v>1703</v>
      </c>
      <c r="P126" t="s">
        <v>1703</v>
      </c>
      <c r="R126" s="43"/>
      <c r="S126" s="43"/>
      <c r="T126" s="18"/>
      <c r="U126" s="18"/>
      <c r="V126" s="18"/>
    </row>
    <row r="127" spans="1:22" x14ac:dyDescent="0.3">
      <c r="A127">
        <v>1158278</v>
      </c>
      <c r="B127" t="s">
        <v>1763</v>
      </c>
      <c r="C127" t="s">
        <v>1620</v>
      </c>
      <c r="D127" t="s">
        <v>1619</v>
      </c>
      <c r="E127" t="s">
        <v>1618</v>
      </c>
      <c r="G127" t="s">
        <v>1617</v>
      </c>
      <c r="H127" t="s">
        <v>22</v>
      </c>
      <c r="I127" t="s">
        <v>22</v>
      </c>
      <c r="J127" t="s">
        <v>17</v>
      </c>
      <c r="K127">
        <v>93.3</v>
      </c>
      <c r="L127">
        <v>107</v>
      </c>
      <c r="O127" t="s">
        <v>1790</v>
      </c>
      <c r="P127" t="s">
        <v>1703</v>
      </c>
      <c r="Q127" s="20" t="s">
        <v>1748</v>
      </c>
      <c r="R127" s="43"/>
      <c r="S127" s="43"/>
      <c r="T127" s="18"/>
      <c r="U127" s="18"/>
      <c r="V127" s="18"/>
    </row>
    <row r="128" spans="1:22" x14ac:dyDescent="0.3">
      <c r="A128">
        <v>1158278</v>
      </c>
      <c r="B128" t="s">
        <v>1763</v>
      </c>
      <c r="C128" t="s">
        <v>1620</v>
      </c>
      <c r="D128" t="s">
        <v>1619</v>
      </c>
      <c r="E128" t="s">
        <v>1618</v>
      </c>
      <c r="G128" t="s">
        <v>1617</v>
      </c>
      <c r="H128" t="s">
        <v>22</v>
      </c>
      <c r="I128" t="s">
        <v>22</v>
      </c>
      <c r="J128" t="s">
        <v>17</v>
      </c>
      <c r="K128">
        <v>93.3</v>
      </c>
      <c r="L128">
        <v>107</v>
      </c>
      <c r="O128" t="s">
        <v>1790</v>
      </c>
      <c r="P128" t="s">
        <v>1703</v>
      </c>
      <c r="Q128" s="20" t="s">
        <v>1748</v>
      </c>
      <c r="R128" s="43"/>
      <c r="S128" s="43"/>
      <c r="T128" s="18"/>
      <c r="U128" s="18"/>
      <c r="V128" s="18"/>
    </row>
    <row r="129" spans="1:22" x14ac:dyDescent="0.3">
      <c r="A129">
        <v>1158278</v>
      </c>
      <c r="B129" t="s">
        <v>1763</v>
      </c>
      <c r="C129" t="s">
        <v>1615</v>
      </c>
      <c r="H129" t="s">
        <v>16</v>
      </c>
      <c r="I129" t="s">
        <v>16</v>
      </c>
      <c r="J129" t="s">
        <v>17</v>
      </c>
      <c r="K129">
        <v>0</v>
      </c>
      <c r="L129">
        <v>0</v>
      </c>
      <c r="O129" t="s">
        <v>1703</v>
      </c>
      <c r="P129" t="s">
        <v>1703</v>
      </c>
      <c r="R129" s="43"/>
      <c r="S129" s="43"/>
      <c r="T129" s="18"/>
      <c r="U129" s="18"/>
      <c r="V129" s="18"/>
    </row>
    <row r="130" spans="1:22" x14ac:dyDescent="0.3">
      <c r="A130">
        <v>1162161</v>
      </c>
      <c r="B130" t="s">
        <v>1738</v>
      </c>
      <c r="C130" t="s">
        <v>1755</v>
      </c>
      <c r="D130" t="s">
        <v>1754</v>
      </c>
      <c r="E130" t="s">
        <v>1753</v>
      </c>
      <c r="G130" t="s">
        <v>1762</v>
      </c>
      <c r="H130" t="s">
        <v>22</v>
      </c>
      <c r="I130" t="s">
        <v>22</v>
      </c>
      <c r="J130" t="s">
        <v>17</v>
      </c>
      <c r="K130">
        <v>88.9</v>
      </c>
      <c r="L130">
        <v>54.3</v>
      </c>
      <c r="O130" t="s">
        <v>1703</v>
      </c>
      <c r="P130" t="s">
        <v>1703</v>
      </c>
      <c r="R130" s="43">
        <f>COUNTIF(O130:O150,"*YES*")/COUNTA(O130:O150)</f>
        <v>0.90476190476190477</v>
      </c>
      <c r="S130" s="43">
        <f>COUNTIF(P130:P150,"*YES*")/COUNTA(P130:P150)</f>
        <v>1</v>
      </c>
    </row>
    <row r="131" spans="1:22" x14ac:dyDescent="0.3">
      <c r="A131">
        <v>1162161</v>
      </c>
      <c r="B131" t="s">
        <v>1738</v>
      </c>
      <c r="C131" t="s">
        <v>1755</v>
      </c>
      <c r="D131" t="s">
        <v>1754</v>
      </c>
      <c r="E131" t="s">
        <v>1753</v>
      </c>
      <c r="G131" t="s">
        <v>1761</v>
      </c>
      <c r="H131" t="s">
        <v>22</v>
      </c>
      <c r="I131" t="s">
        <v>22</v>
      </c>
      <c r="J131" t="s">
        <v>17</v>
      </c>
      <c r="K131">
        <v>88.9</v>
      </c>
      <c r="L131">
        <v>54.3</v>
      </c>
      <c r="O131" t="s">
        <v>1703</v>
      </c>
      <c r="P131" t="s">
        <v>1703</v>
      </c>
      <c r="R131" s="43"/>
      <c r="S131" s="43"/>
    </row>
    <row r="132" spans="1:22" x14ac:dyDescent="0.3">
      <c r="A132">
        <v>1162161</v>
      </c>
      <c r="B132" t="s">
        <v>1738</v>
      </c>
      <c r="C132" t="s">
        <v>1755</v>
      </c>
      <c r="D132" t="s">
        <v>1754</v>
      </c>
      <c r="E132" t="s">
        <v>1753</v>
      </c>
      <c r="G132" t="s">
        <v>1760</v>
      </c>
      <c r="H132" t="s">
        <v>22</v>
      </c>
      <c r="I132" t="s">
        <v>22</v>
      </c>
      <c r="J132" t="s">
        <v>17</v>
      </c>
      <c r="K132">
        <v>88.9</v>
      </c>
      <c r="L132">
        <v>54.3</v>
      </c>
      <c r="O132" t="s">
        <v>1703</v>
      </c>
      <c r="P132" t="s">
        <v>1703</v>
      </c>
      <c r="R132" s="43"/>
      <c r="S132" s="43"/>
    </row>
    <row r="133" spans="1:22" x14ac:dyDescent="0.3">
      <c r="A133">
        <v>1162161</v>
      </c>
      <c r="B133" t="s">
        <v>1738</v>
      </c>
      <c r="C133" t="s">
        <v>1755</v>
      </c>
      <c r="D133" t="s">
        <v>1754</v>
      </c>
      <c r="E133" t="s">
        <v>1753</v>
      </c>
      <c r="G133" t="s">
        <v>1759</v>
      </c>
      <c r="H133" t="s">
        <v>22</v>
      </c>
      <c r="I133" t="s">
        <v>22</v>
      </c>
      <c r="J133" t="s">
        <v>17</v>
      </c>
      <c r="K133">
        <v>88.9</v>
      </c>
      <c r="L133">
        <v>54.3</v>
      </c>
      <c r="O133" t="s">
        <v>1703</v>
      </c>
      <c r="P133" t="s">
        <v>1703</v>
      </c>
      <c r="R133" s="43"/>
      <c r="S133" s="43"/>
    </row>
    <row r="134" spans="1:22" x14ac:dyDescent="0.3">
      <c r="A134">
        <v>1162161</v>
      </c>
      <c r="B134" t="s">
        <v>1738</v>
      </c>
      <c r="C134" t="s">
        <v>1755</v>
      </c>
      <c r="D134" t="s">
        <v>1754</v>
      </c>
      <c r="E134" t="s">
        <v>1753</v>
      </c>
      <c r="G134" t="s">
        <v>1758</v>
      </c>
      <c r="H134" t="s">
        <v>22</v>
      </c>
      <c r="I134" t="s">
        <v>22</v>
      </c>
      <c r="J134" t="s">
        <v>17</v>
      </c>
      <c r="K134">
        <v>88.9</v>
      </c>
      <c r="L134">
        <v>54.3</v>
      </c>
      <c r="O134" t="s">
        <v>1703</v>
      </c>
      <c r="P134" t="s">
        <v>1703</v>
      </c>
      <c r="R134" s="43"/>
      <c r="S134" s="43"/>
    </row>
    <row r="135" spans="1:22" x14ac:dyDescent="0.3">
      <c r="A135">
        <v>1162161</v>
      </c>
      <c r="B135" t="s">
        <v>1738</v>
      </c>
      <c r="C135" t="s">
        <v>1755</v>
      </c>
      <c r="D135" t="s">
        <v>1754</v>
      </c>
      <c r="E135" t="s">
        <v>1753</v>
      </c>
      <c r="G135" t="s">
        <v>1757</v>
      </c>
      <c r="H135" t="s">
        <v>22</v>
      </c>
      <c r="I135" t="s">
        <v>22</v>
      </c>
      <c r="J135" t="s">
        <v>17</v>
      </c>
      <c r="K135">
        <v>88.9</v>
      </c>
      <c r="L135">
        <v>54.3</v>
      </c>
      <c r="O135" t="s">
        <v>1703</v>
      </c>
      <c r="P135" t="s">
        <v>1703</v>
      </c>
      <c r="R135" s="43"/>
      <c r="S135" s="43"/>
    </row>
    <row r="136" spans="1:22" x14ac:dyDescent="0.3">
      <c r="A136">
        <v>1162161</v>
      </c>
      <c r="B136" t="s">
        <v>1738</v>
      </c>
      <c r="C136" t="s">
        <v>1755</v>
      </c>
      <c r="D136" t="s">
        <v>1754</v>
      </c>
      <c r="E136" t="s">
        <v>1753</v>
      </c>
      <c r="G136" t="s">
        <v>1756</v>
      </c>
      <c r="H136" t="s">
        <v>22</v>
      </c>
      <c r="I136" t="s">
        <v>22</v>
      </c>
      <c r="J136" t="s">
        <v>17</v>
      </c>
      <c r="K136">
        <v>88.9</v>
      </c>
      <c r="L136">
        <v>54.3</v>
      </c>
      <c r="O136" t="s">
        <v>1703</v>
      </c>
      <c r="P136" t="s">
        <v>1703</v>
      </c>
      <c r="R136" s="43"/>
      <c r="S136" s="43"/>
    </row>
    <row r="137" spans="1:22" x14ac:dyDescent="0.3">
      <c r="A137">
        <v>1162161</v>
      </c>
      <c r="B137" t="s">
        <v>1738</v>
      </c>
      <c r="C137" t="s">
        <v>1755</v>
      </c>
      <c r="D137" t="s">
        <v>1754</v>
      </c>
      <c r="E137" t="s">
        <v>1753</v>
      </c>
      <c r="G137" t="s">
        <v>1752</v>
      </c>
      <c r="H137" t="s">
        <v>22</v>
      </c>
      <c r="I137" t="s">
        <v>22</v>
      </c>
      <c r="J137" t="s">
        <v>17</v>
      </c>
      <c r="K137">
        <v>88.9</v>
      </c>
      <c r="L137">
        <v>54.3</v>
      </c>
      <c r="O137" t="s">
        <v>1703</v>
      </c>
      <c r="P137" t="s">
        <v>1703</v>
      </c>
      <c r="R137" s="43"/>
      <c r="S137" s="43"/>
    </row>
    <row r="138" spans="1:22" x14ac:dyDescent="0.3">
      <c r="A138">
        <v>1162161</v>
      </c>
      <c r="B138" t="s">
        <v>1738</v>
      </c>
      <c r="C138" t="s">
        <v>1751</v>
      </c>
      <c r="D138" t="s">
        <v>1750</v>
      </c>
      <c r="E138" t="s">
        <v>1749</v>
      </c>
      <c r="H138" t="s">
        <v>46</v>
      </c>
      <c r="I138" t="s">
        <v>46</v>
      </c>
      <c r="J138" t="s">
        <v>17</v>
      </c>
      <c r="K138">
        <v>100</v>
      </c>
      <c r="L138">
        <v>50</v>
      </c>
      <c r="O138" t="s">
        <v>1790</v>
      </c>
      <c r="P138" t="s">
        <v>1703</v>
      </c>
      <c r="Q138" s="20" t="s">
        <v>1748</v>
      </c>
      <c r="R138" s="43"/>
      <c r="S138" s="43"/>
    </row>
    <row r="139" spans="1:22" ht="43.2" x14ac:dyDescent="0.3">
      <c r="A139">
        <v>1162161</v>
      </c>
      <c r="B139" t="s">
        <v>1738</v>
      </c>
      <c r="C139" t="s">
        <v>1747</v>
      </c>
      <c r="D139" t="s">
        <v>1747</v>
      </c>
      <c r="E139" t="s">
        <v>1746</v>
      </c>
      <c r="H139" t="s">
        <v>22</v>
      </c>
      <c r="I139" t="s">
        <v>22</v>
      </c>
      <c r="J139" t="s">
        <v>17</v>
      </c>
      <c r="K139">
        <v>100</v>
      </c>
      <c r="L139">
        <v>111</v>
      </c>
      <c r="M139" t="s">
        <v>1745</v>
      </c>
      <c r="N139" t="s">
        <v>1744</v>
      </c>
      <c r="O139" t="s">
        <v>1790</v>
      </c>
      <c r="P139" t="s">
        <v>1703</v>
      </c>
      <c r="Q139" s="19" t="s">
        <v>1742</v>
      </c>
      <c r="R139" s="43"/>
      <c r="S139" s="43"/>
    </row>
    <row r="140" spans="1:22" ht="28.8" x14ac:dyDescent="0.3">
      <c r="A140">
        <v>1162161</v>
      </c>
      <c r="B140" t="s">
        <v>1738</v>
      </c>
      <c r="C140" t="s">
        <v>1740</v>
      </c>
      <c r="D140" t="s">
        <v>1089</v>
      </c>
      <c r="E140" t="s">
        <v>1088</v>
      </c>
      <c r="G140" t="s">
        <v>1098</v>
      </c>
      <c r="H140" t="s">
        <v>22</v>
      </c>
      <c r="I140" t="s">
        <v>22</v>
      </c>
      <c r="J140" t="s">
        <v>17</v>
      </c>
      <c r="K140">
        <v>92.3</v>
      </c>
      <c r="L140">
        <v>111.4</v>
      </c>
      <c r="O140" t="s">
        <v>1703</v>
      </c>
      <c r="P140" t="s">
        <v>1703</v>
      </c>
      <c r="Q140" s="4" t="s">
        <v>1741</v>
      </c>
      <c r="R140" s="43"/>
      <c r="S140" s="43"/>
    </row>
    <row r="141" spans="1:22" x14ac:dyDescent="0.3">
      <c r="A141">
        <v>1162161</v>
      </c>
      <c r="B141" t="s">
        <v>1738</v>
      </c>
      <c r="C141" t="s">
        <v>1740</v>
      </c>
      <c r="D141" t="s">
        <v>1089</v>
      </c>
      <c r="E141" t="s">
        <v>1088</v>
      </c>
      <c r="G141" t="s">
        <v>1097</v>
      </c>
      <c r="H141" t="s">
        <v>22</v>
      </c>
      <c r="I141" t="s">
        <v>22</v>
      </c>
      <c r="J141" t="s">
        <v>17</v>
      </c>
      <c r="K141">
        <v>92.3</v>
      </c>
      <c r="L141">
        <v>111.4</v>
      </c>
      <c r="O141" t="s">
        <v>1703</v>
      </c>
      <c r="P141" t="s">
        <v>1703</v>
      </c>
      <c r="R141" s="43"/>
      <c r="S141" s="43"/>
    </row>
    <row r="142" spans="1:22" ht="15" customHeight="1" x14ac:dyDescent="0.3">
      <c r="A142">
        <v>1162161</v>
      </c>
      <c r="B142" t="s">
        <v>1738</v>
      </c>
      <c r="C142" t="s">
        <v>1740</v>
      </c>
      <c r="D142" t="s">
        <v>1089</v>
      </c>
      <c r="E142" t="s">
        <v>1088</v>
      </c>
      <c r="G142" t="s">
        <v>1096</v>
      </c>
      <c r="H142" t="s">
        <v>22</v>
      </c>
      <c r="I142" t="s">
        <v>22</v>
      </c>
      <c r="J142" t="s">
        <v>17</v>
      </c>
      <c r="K142">
        <v>92.3</v>
      </c>
      <c r="L142">
        <v>111.4</v>
      </c>
      <c r="O142" t="s">
        <v>1703</v>
      </c>
      <c r="P142" t="s">
        <v>1703</v>
      </c>
      <c r="R142" s="43"/>
      <c r="S142" s="43"/>
    </row>
    <row r="143" spans="1:22" x14ac:dyDescent="0.3">
      <c r="A143">
        <v>1162161</v>
      </c>
      <c r="B143" t="s">
        <v>1738</v>
      </c>
      <c r="C143" t="s">
        <v>1740</v>
      </c>
      <c r="D143" t="s">
        <v>1089</v>
      </c>
      <c r="E143" t="s">
        <v>1088</v>
      </c>
      <c r="G143" t="s">
        <v>1095</v>
      </c>
      <c r="H143" t="s">
        <v>22</v>
      </c>
      <c r="I143" t="s">
        <v>22</v>
      </c>
      <c r="J143" t="s">
        <v>17</v>
      </c>
      <c r="K143">
        <v>92.3</v>
      </c>
      <c r="L143">
        <v>111.4</v>
      </c>
      <c r="O143" t="s">
        <v>1703</v>
      </c>
      <c r="P143" t="s">
        <v>1703</v>
      </c>
      <c r="R143" s="43"/>
      <c r="S143" s="43"/>
    </row>
    <row r="144" spans="1:22" x14ac:dyDescent="0.3">
      <c r="A144">
        <v>1162161</v>
      </c>
      <c r="B144" t="s">
        <v>1738</v>
      </c>
      <c r="C144" t="s">
        <v>1740</v>
      </c>
      <c r="D144" t="s">
        <v>1089</v>
      </c>
      <c r="E144" t="s">
        <v>1088</v>
      </c>
      <c r="G144" t="s">
        <v>1094</v>
      </c>
      <c r="H144" t="s">
        <v>22</v>
      </c>
      <c r="I144" t="s">
        <v>22</v>
      </c>
      <c r="J144" t="s">
        <v>17</v>
      </c>
      <c r="K144">
        <v>92.3</v>
      </c>
      <c r="L144">
        <v>111.4</v>
      </c>
      <c r="O144" t="s">
        <v>1703</v>
      </c>
      <c r="P144" t="s">
        <v>1703</v>
      </c>
      <c r="R144" s="43"/>
      <c r="S144" s="43"/>
    </row>
    <row r="145" spans="1:19" x14ac:dyDescent="0.3">
      <c r="A145">
        <v>1162161</v>
      </c>
      <c r="B145" t="s">
        <v>1738</v>
      </c>
      <c r="C145" t="s">
        <v>1740</v>
      </c>
      <c r="D145" t="s">
        <v>1089</v>
      </c>
      <c r="E145" t="s">
        <v>1088</v>
      </c>
      <c r="G145" t="s">
        <v>1093</v>
      </c>
      <c r="H145" t="s">
        <v>22</v>
      </c>
      <c r="I145" t="s">
        <v>22</v>
      </c>
      <c r="J145" t="s">
        <v>17</v>
      </c>
      <c r="K145">
        <v>92.3</v>
      </c>
      <c r="L145">
        <v>111.4</v>
      </c>
      <c r="O145" t="s">
        <v>1703</v>
      </c>
      <c r="P145" t="s">
        <v>1703</v>
      </c>
      <c r="R145" s="43"/>
      <c r="S145" s="43"/>
    </row>
    <row r="146" spans="1:19" x14ac:dyDescent="0.3">
      <c r="A146">
        <v>1162161</v>
      </c>
      <c r="B146" t="s">
        <v>1738</v>
      </c>
      <c r="C146" t="s">
        <v>1740</v>
      </c>
      <c r="D146" t="s">
        <v>1089</v>
      </c>
      <c r="E146" t="s">
        <v>1088</v>
      </c>
      <c r="G146" t="s">
        <v>1092</v>
      </c>
      <c r="H146" t="s">
        <v>22</v>
      </c>
      <c r="I146" t="s">
        <v>22</v>
      </c>
      <c r="J146" t="s">
        <v>17</v>
      </c>
      <c r="K146">
        <v>92.3</v>
      </c>
      <c r="L146">
        <v>111.4</v>
      </c>
      <c r="O146" t="s">
        <v>1703</v>
      </c>
      <c r="P146" t="s">
        <v>1703</v>
      </c>
      <c r="R146" s="43"/>
      <c r="S146" s="43"/>
    </row>
    <row r="147" spans="1:19" x14ac:dyDescent="0.3">
      <c r="A147">
        <v>1162161</v>
      </c>
      <c r="B147" t="s">
        <v>1738</v>
      </c>
      <c r="C147" t="s">
        <v>1740</v>
      </c>
      <c r="D147" t="s">
        <v>1089</v>
      </c>
      <c r="E147" t="s">
        <v>1088</v>
      </c>
      <c r="G147" t="s">
        <v>1091</v>
      </c>
      <c r="H147" t="s">
        <v>22</v>
      </c>
      <c r="I147" t="s">
        <v>22</v>
      </c>
      <c r="J147" t="s">
        <v>17</v>
      </c>
      <c r="K147">
        <v>92.3</v>
      </c>
      <c r="L147">
        <v>111.4</v>
      </c>
      <c r="O147" t="s">
        <v>1703</v>
      </c>
      <c r="P147" t="s">
        <v>1703</v>
      </c>
      <c r="R147" s="43"/>
      <c r="S147" s="43"/>
    </row>
    <row r="148" spans="1:19" x14ac:dyDescent="0.3">
      <c r="A148">
        <v>1162161</v>
      </c>
      <c r="B148" t="s">
        <v>1738</v>
      </c>
      <c r="C148" t="s">
        <v>1740</v>
      </c>
      <c r="D148" t="s">
        <v>1089</v>
      </c>
      <c r="E148" t="s">
        <v>1088</v>
      </c>
      <c r="G148" t="s">
        <v>1087</v>
      </c>
      <c r="H148" t="s">
        <v>22</v>
      </c>
      <c r="I148" t="s">
        <v>22</v>
      </c>
      <c r="J148" t="s">
        <v>17</v>
      </c>
      <c r="K148">
        <v>92.3</v>
      </c>
      <c r="L148">
        <v>111.4</v>
      </c>
      <c r="O148" t="s">
        <v>1703</v>
      </c>
      <c r="P148" t="s">
        <v>1703</v>
      </c>
      <c r="R148" s="43"/>
      <c r="S148" s="43"/>
    </row>
    <row r="149" spans="1:19" x14ac:dyDescent="0.3">
      <c r="A149">
        <v>1162161</v>
      </c>
      <c r="B149" t="s">
        <v>1738</v>
      </c>
      <c r="C149" t="s">
        <v>1739</v>
      </c>
      <c r="H149" t="s">
        <v>16</v>
      </c>
      <c r="I149" t="s">
        <v>16</v>
      </c>
      <c r="J149" t="s">
        <v>17</v>
      </c>
      <c r="K149">
        <v>0</v>
      </c>
      <c r="L149">
        <v>0</v>
      </c>
      <c r="O149" t="s">
        <v>1703</v>
      </c>
      <c r="P149" t="s">
        <v>1703</v>
      </c>
      <c r="R149" s="43"/>
      <c r="S149" s="43"/>
    </row>
    <row r="150" spans="1:19" x14ac:dyDescent="0.3">
      <c r="A150">
        <v>1162161</v>
      </c>
      <c r="B150" t="s">
        <v>1738</v>
      </c>
      <c r="C150" t="s">
        <v>617</v>
      </c>
      <c r="H150" t="s">
        <v>16</v>
      </c>
      <c r="I150" t="s">
        <v>16</v>
      </c>
      <c r="J150" t="s">
        <v>17</v>
      </c>
      <c r="K150">
        <v>0</v>
      </c>
      <c r="L150">
        <v>0</v>
      </c>
      <c r="O150" t="s">
        <v>1703</v>
      </c>
      <c r="P150" t="s">
        <v>1703</v>
      </c>
      <c r="R150" s="43"/>
      <c r="S150" s="43"/>
    </row>
    <row r="151" spans="1:19" x14ac:dyDescent="0.3">
      <c r="A151">
        <v>1164483</v>
      </c>
      <c r="B151" t="s">
        <v>1735</v>
      </c>
      <c r="C151" t="s">
        <v>1090</v>
      </c>
      <c r="D151" t="s">
        <v>1089</v>
      </c>
      <c r="E151" t="s">
        <v>1088</v>
      </c>
      <c r="G151" t="s">
        <v>1098</v>
      </c>
      <c r="H151" t="s">
        <v>46</v>
      </c>
      <c r="I151" t="s">
        <v>46</v>
      </c>
      <c r="J151" t="s">
        <v>17</v>
      </c>
      <c r="K151">
        <v>100</v>
      </c>
      <c r="L151">
        <v>50</v>
      </c>
      <c r="O151" t="s">
        <v>1703</v>
      </c>
      <c r="P151" t="s">
        <v>1703</v>
      </c>
      <c r="R151" s="43">
        <f>COUNTIF(O151:O162,"*YES*")/COUNTA(O151:O162)</f>
        <v>1</v>
      </c>
      <c r="S151" s="43">
        <f>COUNTIF(P151:P162,"*YES*")/COUNTA(P151:P162)</f>
        <v>1</v>
      </c>
    </row>
    <row r="152" spans="1:19" x14ac:dyDescent="0.3">
      <c r="A152">
        <v>1164483</v>
      </c>
      <c r="B152" t="s">
        <v>1735</v>
      </c>
      <c r="C152" t="s">
        <v>1090</v>
      </c>
      <c r="D152" t="s">
        <v>1089</v>
      </c>
      <c r="E152" t="s">
        <v>1088</v>
      </c>
      <c r="G152" t="s">
        <v>1097</v>
      </c>
      <c r="H152" t="s">
        <v>46</v>
      </c>
      <c r="I152" t="s">
        <v>46</v>
      </c>
      <c r="J152" t="s">
        <v>17</v>
      </c>
      <c r="K152">
        <v>100</v>
      </c>
      <c r="L152">
        <v>50</v>
      </c>
      <c r="O152" t="s">
        <v>1703</v>
      </c>
      <c r="P152" t="s">
        <v>1703</v>
      </c>
      <c r="R152" s="43"/>
      <c r="S152" s="43"/>
    </row>
    <row r="153" spans="1:19" x14ac:dyDescent="0.3">
      <c r="A153">
        <v>1164483</v>
      </c>
      <c r="B153" t="s">
        <v>1735</v>
      </c>
      <c r="C153" t="s">
        <v>1090</v>
      </c>
      <c r="D153" t="s">
        <v>1089</v>
      </c>
      <c r="E153" t="s">
        <v>1088</v>
      </c>
      <c r="G153" t="s">
        <v>1096</v>
      </c>
      <c r="H153" t="s">
        <v>46</v>
      </c>
      <c r="I153" t="s">
        <v>46</v>
      </c>
      <c r="J153" t="s">
        <v>17</v>
      </c>
      <c r="K153">
        <v>100</v>
      </c>
      <c r="L153">
        <v>50</v>
      </c>
      <c r="O153" t="s">
        <v>1703</v>
      </c>
      <c r="P153" t="s">
        <v>1703</v>
      </c>
      <c r="R153" s="43"/>
      <c r="S153" s="43"/>
    </row>
    <row r="154" spans="1:19" x14ac:dyDescent="0.3">
      <c r="A154">
        <v>1164483</v>
      </c>
      <c r="B154" t="s">
        <v>1735</v>
      </c>
      <c r="C154" t="s">
        <v>1090</v>
      </c>
      <c r="D154" t="s">
        <v>1089</v>
      </c>
      <c r="E154" t="s">
        <v>1088</v>
      </c>
      <c r="G154" t="s">
        <v>1095</v>
      </c>
      <c r="H154" t="s">
        <v>46</v>
      </c>
      <c r="I154" t="s">
        <v>46</v>
      </c>
      <c r="J154" t="s">
        <v>17</v>
      </c>
      <c r="K154">
        <v>100</v>
      </c>
      <c r="L154">
        <v>50</v>
      </c>
      <c r="O154" t="s">
        <v>1703</v>
      </c>
      <c r="P154" t="s">
        <v>1703</v>
      </c>
      <c r="R154" s="43"/>
      <c r="S154" s="43"/>
    </row>
    <row r="155" spans="1:19" x14ac:dyDescent="0.3">
      <c r="A155">
        <v>1164483</v>
      </c>
      <c r="B155" t="s">
        <v>1735</v>
      </c>
      <c r="C155" t="s">
        <v>1090</v>
      </c>
      <c r="D155" t="s">
        <v>1089</v>
      </c>
      <c r="E155" t="s">
        <v>1088</v>
      </c>
      <c r="G155" t="s">
        <v>1094</v>
      </c>
      <c r="H155" t="s">
        <v>46</v>
      </c>
      <c r="I155" t="s">
        <v>46</v>
      </c>
      <c r="J155" t="s">
        <v>17</v>
      </c>
      <c r="K155">
        <v>100</v>
      </c>
      <c r="L155">
        <v>50</v>
      </c>
      <c r="O155" t="s">
        <v>1703</v>
      </c>
      <c r="P155" t="s">
        <v>1703</v>
      </c>
      <c r="R155" s="43"/>
      <c r="S155" s="43"/>
    </row>
    <row r="156" spans="1:19" x14ac:dyDescent="0.3">
      <c r="A156">
        <v>1164483</v>
      </c>
      <c r="B156" t="s">
        <v>1735</v>
      </c>
      <c r="C156" t="s">
        <v>1090</v>
      </c>
      <c r="D156" t="s">
        <v>1089</v>
      </c>
      <c r="E156" t="s">
        <v>1088</v>
      </c>
      <c r="G156" t="s">
        <v>1093</v>
      </c>
      <c r="H156" t="s">
        <v>46</v>
      </c>
      <c r="I156" t="s">
        <v>46</v>
      </c>
      <c r="J156" t="s">
        <v>17</v>
      </c>
      <c r="K156">
        <v>100</v>
      </c>
      <c r="L156">
        <v>50</v>
      </c>
      <c r="O156" t="s">
        <v>1703</v>
      </c>
      <c r="P156" t="s">
        <v>1703</v>
      </c>
      <c r="R156" s="43"/>
      <c r="S156" s="43"/>
    </row>
    <row r="157" spans="1:19" x14ac:dyDescent="0.3">
      <c r="A157">
        <v>1164483</v>
      </c>
      <c r="B157" t="s">
        <v>1735</v>
      </c>
      <c r="C157" t="s">
        <v>1090</v>
      </c>
      <c r="D157" t="s">
        <v>1089</v>
      </c>
      <c r="E157" t="s">
        <v>1088</v>
      </c>
      <c r="G157" t="s">
        <v>1092</v>
      </c>
      <c r="H157" t="s">
        <v>46</v>
      </c>
      <c r="I157" t="s">
        <v>46</v>
      </c>
      <c r="J157" t="s">
        <v>17</v>
      </c>
      <c r="K157">
        <v>100</v>
      </c>
      <c r="L157">
        <v>50</v>
      </c>
      <c r="O157" t="s">
        <v>1703</v>
      </c>
      <c r="P157" t="s">
        <v>1703</v>
      </c>
      <c r="R157" s="43"/>
      <c r="S157" s="43"/>
    </row>
    <row r="158" spans="1:19" x14ac:dyDescent="0.3">
      <c r="A158">
        <v>1164483</v>
      </c>
      <c r="B158" t="s">
        <v>1735</v>
      </c>
      <c r="C158" t="s">
        <v>1090</v>
      </c>
      <c r="D158" t="s">
        <v>1089</v>
      </c>
      <c r="E158" t="s">
        <v>1088</v>
      </c>
      <c r="G158" t="s">
        <v>1091</v>
      </c>
      <c r="H158" t="s">
        <v>46</v>
      </c>
      <c r="I158" t="s">
        <v>46</v>
      </c>
      <c r="J158" t="s">
        <v>17</v>
      </c>
      <c r="K158">
        <v>100</v>
      </c>
      <c r="L158">
        <v>50</v>
      </c>
      <c r="O158" t="s">
        <v>1703</v>
      </c>
      <c r="P158" t="s">
        <v>1703</v>
      </c>
      <c r="R158" s="43"/>
      <c r="S158" s="43"/>
    </row>
    <row r="159" spans="1:19" x14ac:dyDescent="0.3">
      <c r="A159">
        <v>1164483</v>
      </c>
      <c r="B159" t="s">
        <v>1735</v>
      </c>
      <c r="C159" t="s">
        <v>1090</v>
      </c>
      <c r="D159" t="s">
        <v>1089</v>
      </c>
      <c r="E159" t="s">
        <v>1088</v>
      </c>
      <c r="G159" t="s">
        <v>1087</v>
      </c>
      <c r="H159" t="s">
        <v>46</v>
      </c>
      <c r="I159" t="s">
        <v>46</v>
      </c>
      <c r="J159" t="s">
        <v>17</v>
      </c>
      <c r="K159">
        <v>100</v>
      </c>
      <c r="L159">
        <v>50</v>
      </c>
      <c r="O159" t="s">
        <v>1703</v>
      </c>
      <c r="P159" t="s">
        <v>1703</v>
      </c>
      <c r="R159" s="43"/>
      <c r="S159" s="43"/>
    </row>
    <row r="160" spans="1:19" x14ac:dyDescent="0.3">
      <c r="A160">
        <v>1164483</v>
      </c>
      <c r="B160" t="s">
        <v>1735</v>
      </c>
      <c r="C160" t="s">
        <v>1737</v>
      </c>
      <c r="H160" t="s">
        <v>16</v>
      </c>
      <c r="I160" t="s">
        <v>16</v>
      </c>
      <c r="J160" t="s">
        <v>17</v>
      </c>
      <c r="K160">
        <v>0</v>
      </c>
      <c r="L160">
        <v>0</v>
      </c>
      <c r="O160" t="s">
        <v>1703</v>
      </c>
      <c r="P160" t="s">
        <v>1703</v>
      </c>
      <c r="R160" s="43"/>
      <c r="S160" s="43"/>
    </row>
    <row r="161" spans="1:19" x14ac:dyDescent="0.3">
      <c r="A161">
        <v>1164483</v>
      </c>
      <c r="B161" t="s">
        <v>1735</v>
      </c>
      <c r="C161" t="s">
        <v>1736</v>
      </c>
      <c r="H161" t="s">
        <v>16</v>
      </c>
      <c r="I161" t="s">
        <v>16</v>
      </c>
      <c r="J161" t="s">
        <v>17</v>
      </c>
      <c r="K161">
        <v>0</v>
      </c>
      <c r="L161">
        <v>0</v>
      </c>
      <c r="O161" t="s">
        <v>1703</v>
      </c>
      <c r="P161" t="s">
        <v>1703</v>
      </c>
      <c r="R161" s="43"/>
      <c r="S161" s="43"/>
    </row>
    <row r="162" spans="1:19" x14ac:dyDescent="0.3">
      <c r="A162">
        <v>1164483</v>
      </c>
      <c r="B162" t="s">
        <v>1735</v>
      </c>
      <c r="C162" t="s">
        <v>1734</v>
      </c>
      <c r="H162" t="s">
        <v>16</v>
      </c>
      <c r="I162" t="s">
        <v>16</v>
      </c>
      <c r="J162" t="s">
        <v>17</v>
      </c>
      <c r="K162">
        <v>0</v>
      </c>
      <c r="L162">
        <v>0</v>
      </c>
      <c r="O162" t="s">
        <v>1703</v>
      </c>
      <c r="P162" t="s">
        <v>1703</v>
      </c>
      <c r="R162" s="43"/>
      <c r="S162" s="43"/>
    </row>
    <row r="163" spans="1:19" x14ac:dyDescent="0.3">
      <c r="A163">
        <v>1165987</v>
      </c>
      <c r="B163" t="s">
        <v>1721</v>
      </c>
      <c r="C163" t="s">
        <v>1733</v>
      </c>
      <c r="H163" t="s">
        <v>16</v>
      </c>
      <c r="I163" t="s">
        <v>16</v>
      </c>
      <c r="J163" t="s">
        <v>17</v>
      </c>
      <c r="K163">
        <v>0</v>
      </c>
      <c r="L163">
        <v>0</v>
      </c>
      <c r="O163" t="s">
        <v>1703</v>
      </c>
      <c r="P163" t="s">
        <v>1703</v>
      </c>
      <c r="R163" s="43">
        <f>COUNTIF(O163:O181,"*YES*")/COUNTA(O163:O181)</f>
        <v>1</v>
      </c>
      <c r="S163" s="43">
        <f>COUNTIF(P163:P181,"*YES*")/COUNTA(P163:P181)</f>
        <v>1</v>
      </c>
    </row>
    <row r="164" spans="1:19" x14ac:dyDescent="0.3">
      <c r="A164">
        <v>1165987</v>
      </c>
      <c r="B164" t="s">
        <v>1721</v>
      </c>
      <c r="C164" t="s">
        <v>1727</v>
      </c>
      <c r="D164" t="s">
        <v>1726</v>
      </c>
      <c r="E164" t="s">
        <v>1725</v>
      </c>
      <c r="G164" t="s">
        <v>1732</v>
      </c>
      <c r="H164" t="s">
        <v>22</v>
      </c>
      <c r="I164" t="s">
        <v>22</v>
      </c>
      <c r="J164" t="s">
        <v>17</v>
      </c>
      <c r="K164">
        <v>82.8</v>
      </c>
      <c r="L164">
        <v>103.7</v>
      </c>
      <c r="O164" t="s">
        <v>1703</v>
      </c>
      <c r="P164" t="s">
        <v>1703</v>
      </c>
      <c r="R164" s="43"/>
      <c r="S164" s="43"/>
    </row>
    <row r="165" spans="1:19" x14ac:dyDescent="0.3">
      <c r="A165">
        <v>1165987</v>
      </c>
      <c r="B165" t="s">
        <v>1721</v>
      </c>
      <c r="C165" t="s">
        <v>1727</v>
      </c>
      <c r="D165" t="s">
        <v>1726</v>
      </c>
      <c r="E165" t="s">
        <v>1725</v>
      </c>
      <c r="G165" t="s">
        <v>1731</v>
      </c>
      <c r="H165" t="s">
        <v>22</v>
      </c>
      <c r="I165" t="s">
        <v>22</v>
      </c>
      <c r="J165" t="s">
        <v>17</v>
      </c>
      <c r="K165">
        <v>82.8</v>
      </c>
      <c r="L165">
        <v>103.7</v>
      </c>
      <c r="O165" t="s">
        <v>1703</v>
      </c>
      <c r="P165" t="s">
        <v>1703</v>
      </c>
      <c r="R165" s="43"/>
      <c r="S165" s="43"/>
    </row>
    <row r="166" spans="1:19" x14ac:dyDescent="0.3">
      <c r="A166">
        <v>1165987</v>
      </c>
      <c r="B166" t="s">
        <v>1721</v>
      </c>
      <c r="C166" t="s">
        <v>1727</v>
      </c>
      <c r="D166" t="s">
        <v>1726</v>
      </c>
      <c r="E166" t="s">
        <v>1725</v>
      </c>
      <c r="G166" t="s">
        <v>1730</v>
      </c>
      <c r="H166" t="s">
        <v>22</v>
      </c>
      <c r="I166" t="s">
        <v>22</v>
      </c>
      <c r="J166" t="s">
        <v>17</v>
      </c>
      <c r="K166">
        <v>82.8</v>
      </c>
      <c r="L166">
        <v>103.7</v>
      </c>
      <c r="O166" t="s">
        <v>1703</v>
      </c>
      <c r="P166" t="s">
        <v>1703</v>
      </c>
      <c r="R166" s="43"/>
      <c r="S166" s="43"/>
    </row>
    <row r="167" spans="1:19" x14ac:dyDescent="0.3">
      <c r="A167">
        <v>1165987</v>
      </c>
      <c r="B167" t="s">
        <v>1721</v>
      </c>
      <c r="C167" t="s">
        <v>1727</v>
      </c>
      <c r="D167" t="s">
        <v>1726</v>
      </c>
      <c r="E167" t="s">
        <v>1725</v>
      </c>
      <c r="G167" t="s">
        <v>1729</v>
      </c>
      <c r="H167" t="s">
        <v>22</v>
      </c>
      <c r="I167" t="s">
        <v>22</v>
      </c>
      <c r="J167" t="s">
        <v>17</v>
      </c>
      <c r="K167">
        <v>82.8</v>
      </c>
      <c r="L167">
        <v>103.7</v>
      </c>
      <c r="O167" t="s">
        <v>1703</v>
      </c>
      <c r="P167" t="s">
        <v>1703</v>
      </c>
      <c r="R167" s="43"/>
      <c r="S167" s="43"/>
    </row>
    <row r="168" spans="1:19" x14ac:dyDescent="0.3">
      <c r="A168">
        <v>1165987</v>
      </c>
      <c r="B168" t="s">
        <v>1721</v>
      </c>
      <c r="C168" t="s">
        <v>1727</v>
      </c>
      <c r="D168" t="s">
        <v>1726</v>
      </c>
      <c r="E168" t="s">
        <v>1725</v>
      </c>
      <c r="G168" t="s">
        <v>1728</v>
      </c>
      <c r="H168" t="s">
        <v>22</v>
      </c>
      <c r="I168" t="s">
        <v>22</v>
      </c>
      <c r="J168" t="s">
        <v>17</v>
      </c>
      <c r="K168">
        <v>82.8</v>
      </c>
      <c r="L168">
        <v>103.7</v>
      </c>
      <c r="O168" t="s">
        <v>1703</v>
      </c>
      <c r="P168" t="s">
        <v>1703</v>
      </c>
      <c r="R168" s="43"/>
      <c r="S168" s="43"/>
    </row>
    <row r="169" spans="1:19" x14ac:dyDescent="0.3">
      <c r="A169">
        <v>1165987</v>
      </c>
      <c r="B169" t="s">
        <v>1721</v>
      </c>
      <c r="C169" t="s">
        <v>1727</v>
      </c>
      <c r="D169" t="s">
        <v>1726</v>
      </c>
      <c r="E169" t="s">
        <v>1725</v>
      </c>
      <c r="G169" t="s">
        <v>1724</v>
      </c>
      <c r="H169" t="s">
        <v>22</v>
      </c>
      <c r="I169" t="s">
        <v>22</v>
      </c>
      <c r="J169" t="s">
        <v>17</v>
      </c>
      <c r="K169">
        <v>82.8</v>
      </c>
      <c r="L169">
        <v>103.7</v>
      </c>
      <c r="O169" t="s">
        <v>1703</v>
      </c>
      <c r="P169" t="s">
        <v>1703</v>
      </c>
      <c r="R169" s="43"/>
      <c r="S169" s="43"/>
    </row>
    <row r="170" spans="1:19" x14ac:dyDescent="0.3">
      <c r="A170">
        <v>1165987</v>
      </c>
      <c r="B170" t="s">
        <v>1721</v>
      </c>
      <c r="C170" t="s">
        <v>1723</v>
      </c>
      <c r="H170" t="s">
        <v>16</v>
      </c>
      <c r="I170" t="s">
        <v>16</v>
      </c>
      <c r="J170" t="s">
        <v>17</v>
      </c>
      <c r="K170">
        <v>0</v>
      </c>
      <c r="L170">
        <v>0</v>
      </c>
      <c r="O170" t="s">
        <v>1703</v>
      </c>
      <c r="P170" t="s">
        <v>1703</v>
      </c>
      <c r="R170" s="43"/>
      <c r="S170" s="43"/>
    </row>
    <row r="171" spans="1:19" x14ac:dyDescent="0.3">
      <c r="A171">
        <v>1165987</v>
      </c>
      <c r="B171" t="s">
        <v>1721</v>
      </c>
      <c r="C171" t="s">
        <v>1722</v>
      </c>
      <c r="H171" t="s">
        <v>16</v>
      </c>
      <c r="I171" t="s">
        <v>16</v>
      </c>
      <c r="J171" t="s">
        <v>17</v>
      </c>
      <c r="K171">
        <v>0</v>
      </c>
      <c r="L171">
        <v>0</v>
      </c>
      <c r="O171" t="s">
        <v>1703</v>
      </c>
      <c r="P171" t="s">
        <v>1703</v>
      </c>
      <c r="R171" s="43"/>
      <c r="S171" s="43"/>
    </row>
    <row r="172" spans="1:19" x14ac:dyDescent="0.3">
      <c r="A172">
        <v>1165987</v>
      </c>
      <c r="B172" t="s">
        <v>1721</v>
      </c>
      <c r="C172" t="s">
        <v>1720</v>
      </c>
      <c r="H172" t="s">
        <v>16</v>
      </c>
      <c r="I172" t="s">
        <v>16</v>
      </c>
      <c r="J172" t="s">
        <v>17</v>
      </c>
      <c r="K172">
        <v>0</v>
      </c>
      <c r="L172">
        <v>0</v>
      </c>
      <c r="O172" t="s">
        <v>1703</v>
      </c>
      <c r="P172" t="s">
        <v>1703</v>
      </c>
      <c r="R172" s="43"/>
      <c r="S172" s="43"/>
    </row>
    <row r="173" spans="1:19" x14ac:dyDescent="0.3">
      <c r="A173">
        <v>1169135</v>
      </c>
      <c r="B173" t="s">
        <v>1718</v>
      </c>
      <c r="C173" t="s">
        <v>1103</v>
      </c>
      <c r="H173" t="s">
        <v>16</v>
      </c>
      <c r="I173" t="s">
        <v>16</v>
      </c>
      <c r="J173" t="s">
        <v>17</v>
      </c>
      <c r="K173">
        <v>0</v>
      </c>
      <c r="L173">
        <v>0</v>
      </c>
      <c r="O173" t="s">
        <v>1703</v>
      </c>
      <c r="P173" t="s">
        <v>1703</v>
      </c>
      <c r="R173" s="43"/>
      <c r="S173" s="43"/>
    </row>
    <row r="174" spans="1:19" x14ac:dyDescent="0.3">
      <c r="A174">
        <v>1169135</v>
      </c>
      <c r="B174" t="s">
        <v>1718</v>
      </c>
      <c r="C174" t="s">
        <v>1719</v>
      </c>
      <c r="H174" t="s">
        <v>16</v>
      </c>
      <c r="I174" t="s">
        <v>16</v>
      </c>
      <c r="J174" t="s">
        <v>17</v>
      </c>
      <c r="K174">
        <v>0</v>
      </c>
      <c r="L174">
        <v>0</v>
      </c>
      <c r="O174" t="s">
        <v>1703</v>
      </c>
      <c r="P174" t="s">
        <v>1703</v>
      </c>
      <c r="R174" s="43"/>
      <c r="S174" s="43"/>
    </row>
    <row r="175" spans="1:19" x14ac:dyDescent="0.3">
      <c r="A175">
        <v>1169135</v>
      </c>
      <c r="B175" t="s">
        <v>1718</v>
      </c>
      <c r="C175" t="s">
        <v>1611</v>
      </c>
      <c r="H175" t="s">
        <v>16</v>
      </c>
      <c r="I175" t="s">
        <v>16</v>
      </c>
      <c r="J175" t="s">
        <v>17</v>
      </c>
      <c r="K175">
        <v>0</v>
      </c>
      <c r="L175">
        <v>0</v>
      </c>
      <c r="O175" t="s">
        <v>1703</v>
      </c>
      <c r="P175" t="s">
        <v>1703</v>
      </c>
      <c r="R175" s="43"/>
      <c r="S175" s="43"/>
    </row>
    <row r="176" spans="1:19" x14ac:dyDescent="0.3">
      <c r="A176">
        <v>1169135</v>
      </c>
      <c r="B176" t="s">
        <v>1718</v>
      </c>
      <c r="C176" t="s">
        <v>1604</v>
      </c>
      <c r="D176" t="s">
        <v>1603</v>
      </c>
      <c r="E176" t="s">
        <v>1602</v>
      </c>
      <c r="G176" t="s">
        <v>1610</v>
      </c>
      <c r="H176" t="s">
        <v>46</v>
      </c>
      <c r="I176" t="s">
        <v>46</v>
      </c>
      <c r="J176" t="s">
        <v>17</v>
      </c>
      <c r="K176">
        <v>100</v>
      </c>
      <c r="L176">
        <v>50</v>
      </c>
      <c r="O176" t="s">
        <v>1703</v>
      </c>
      <c r="P176" t="s">
        <v>1703</v>
      </c>
      <c r="R176" s="43"/>
      <c r="S176" s="43"/>
    </row>
    <row r="177" spans="1:19" x14ac:dyDescent="0.3">
      <c r="A177">
        <v>1169135</v>
      </c>
      <c r="B177" t="s">
        <v>1718</v>
      </c>
      <c r="C177" t="s">
        <v>1604</v>
      </c>
      <c r="D177" t="s">
        <v>1603</v>
      </c>
      <c r="E177" t="s">
        <v>1602</v>
      </c>
      <c r="G177" t="s">
        <v>1609</v>
      </c>
      <c r="H177" t="s">
        <v>46</v>
      </c>
      <c r="I177" t="s">
        <v>46</v>
      </c>
      <c r="J177" t="s">
        <v>17</v>
      </c>
      <c r="K177">
        <v>100</v>
      </c>
      <c r="L177">
        <v>50</v>
      </c>
      <c r="O177" t="s">
        <v>1703</v>
      </c>
      <c r="P177" t="s">
        <v>1703</v>
      </c>
      <c r="R177" s="43"/>
      <c r="S177" s="43"/>
    </row>
    <row r="178" spans="1:19" x14ac:dyDescent="0.3">
      <c r="A178">
        <v>1169135</v>
      </c>
      <c r="B178" t="s">
        <v>1718</v>
      </c>
      <c r="C178" t="s">
        <v>1604</v>
      </c>
      <c r="D178" t="s">
        <v>1603</v>
      </c>
      <c r="E178" t="s">
        <v>1602</v>
      </c>
      <c r="G178" t="s">
        <v>1608</v>
      </c>
      <c r="H178" t="s">
        <v>46</v>
      </c>
      <c r="I178" t="s">
        <v>46</v>
      </c>
      <c r="J178" t="s">
        <v>17</v>
      </c>
      <c r="K178">
        <v>100</v>
      </c>
      <c r="L178">
        <v>50</v>
      </c>
      <c r="O178" t="s">
        <v>1703</v>
      </c>
      <c r="P178" t="s">
        <v>1703</v>
      </c>
      <c r="R178" s="43"/>
      <c r="S178" s="43"/>
    </row>
    <row r="179" spans="1:19" x14ac:dyDescent="0.3">
      <c r="A179">
        <v>1169135</v>
      </c>
      <c r="B179" t="s">
        <v>1718</v>
      </c>
      <c r="C179" t="s">
        <v>1604</v>
      </c>
      <c r="D179" t="s">
        <v>1603</v>
      </c>
      <c r="E179" t="s">
        <v>1602</v>
      </c>
      <c r="G179" t="s">
        <v>1607</v>
      </c>
      <c r="H179" t="s">
        <v>46</v>
      </c>
      <c r="I179" t="s">
        <v>46</v>
      </c>
      <c r="J179" t="s">
        <v>17</v>
      </c>
      <c r="K179">
        <v>100</v>
      </c>
      <c r="L179">
        <v>50</v>
      </c>
      <c r="O179" t="s">
        <v>1703</v>
      </c>
      <c r="P179" t="s">
        <v>1703</v>
      </c>
      <c r="R179" s="43"/>
      <c r="S179" s="43"/>
    </row>
    <row r="180" spans="1:19" x14ac:dyDescent="0.3">
      <c r="A180">
        <v>1169135</v>
      </c>
      <c r="B180" t="s">
        <v>1718</v>
      </c>
      <c r="C180" t="s">
        <v>1604</v>
      </c>
      <c r="D180" t="s">
        <v>1603</v>
      </c>
      <c r="E180" t="s">
        <v>1602</v>
      </c>
      <c r="G180" t="s">
        <v>1606</v>
      </c>
      <c r="H180" t="s">
        <v>46</v>
      </c>
      <c r="I180" t="s">
        <v>46</v>
      </c>
      <c r="J180" t="s">
        <v>17</v>
      </c>
      <c r="K180">
        <v>100</v>
      </c>
      <c r="L180">
        <v>50</v>
      </c>
      <c r="O180" t="s">
        <v>1703</v>
      </c>
      <c r="P180" t="s">
        <v>1703</v>
      </c>
      <c r="R180" s="43"/>
      <c r="S180" s="43"/>
    </row>
    <row r="181" spans="1:19" x14ac:dyDescent="0.3">
      <c r="A181">
        <v>1169135</v>
      </c>
      <c r="B181" t="s">
        <v>1718</v>
      </c>
      <c r="C181" t="s">
        <v>1604</v>
      </c>
      <c r="D181" t="s">
        <v>1603</v>
      </c>
      <c r="E181" t="s">
        <v>1602</v>
      </c>
      <c r="G181" t="s">
        <v>1601</v>
      </c>
      <c r="H181" t="s">
        <v>46</v>
      </c>
      <c r="I181" t="s">
        <v>46</v>
      </c>
      <c r="J181" t="s">
        <v>17</v>
      </c>
      <c r="K181">
        <v>100</v>
      </c>
      <c r="L181">
        <v>50</v>
      </c>
      <c r="O181" t="s">
        <v>1703</v>
      </c>
      <c r="P181" t="s">
        <v>1703</v>
      </c>
      <c r="R181" s="43"/>
      <c r="S181" s="43"/>
    </row>
    <row r="182" spans="1:19" x14ac:dyDescent="0.3">
      <c r="A182">
        <v>1178296</v>
      </c>
      <c r="B182" t="s">
        <v>1705</v>
      </c>
      <c r="C182" t="s">
        <v>1717</v>
      </c>
      <c r="H182" t="s">
        <v>16</v>
      </c>
      <c r="I182" t="s">
        <v>16</v>
      </c>
      <c r="J182" t="s">
        <v>17</v>
      </c>
      <c r="K182">
        <v>0</v>
      </c>
      <c r="L182">
        <v>0</v>
      </c>
      <c r="O182" t="s">
        <v>1703</v>
      </c>
      <c r="P182" t="s">
        <v>1703</v>
      </c>
      <c r="R182" s="43">
        <f>COUNTIF(O182:O192,"*YES*")/COUNTA(O182:O192)</f>
        <v>1</v>
      </c>
      <c r="S182" s="43">
        <f>COUNTIF(P182:P192,"*YES*")/COUNTA(P182:P192)</f>
        <v>1</v>
      </c>
    </row>
    <row r="183" spans="1:19" x14ac:dyDescent="0.3">
      <c r="A183">
        <v>1178296</v>
      </c>
      <c r="B183" t="s">
        <v>1705</v>
      </c>
      <c r="C183" t="s">
        <v>1716</v>
      </c>
      <c r="H183" t="s">
        <v>16</v>
      </c>
      <c r="I183" t="s">
        <v>16</v>
      </c>
      <c r="J183" t="s">
        <v>17</v>
      </c>
      <c r="K183">
        <v>0</v>
      </c>
      <c r="L183">
        <v>0</v>
      </c>
      <c r="O183" t="s">
        <v>1703</v>
      </c>
      <c r="P183" t="s">
        <v>1703</v>
      </c>
      <c r="R183" s="43"/>
      <c r="S183" s="43"/>
    </row>
    <row r="184" spans="1:19" x14ac:dyDescent="0.3">
      <c r="A184">
        <v>1178296</v>
      </c>
      <c r="B184" t="s">
        <v>1705</v>
      </c>
      <c r="C184" t="s">
        <v>1708</v>
      </c>
      <c r="D184" t="s">
        <v>1708</v>
      </c>
      <c r="E184" t="s">
        <v>1707</v>
      </c>
      <c r="G184" t="s">
        <v>1715</v>
      </c>
      <c r="H184" t="s">
        <v>22</v>
      </c>
      <c r="I184" t="s">
        <v>22</v>
      </c>
      <c r="J184" t="s">
        <v>17</v>
      </c>
      <c r="K184">
        <v>100</v>
      </c>
      <c r="L184">
        <v>118</v>
      </c>
      <c r="O184" t="s">
        <v>1703</v>
      </c>
      <c r="P184" t="s">
        <v>1703</v>
      </c>
      <c r="R184" s="43"/>
      <c r="S184" s="43"/>
    </row>
    <row r="185" spans="1:19" x14ac:dyDescent="0.3">
      <c r="A185">
        <v>1178296</v>
      </c>
      <c r="B185" t="s">
        <v>1705</v>
      </c>
      <c r="C185" t="s">
        <v>1708</v>
      </c>
      <c r="D185" t="s">
        <v>1708</v>
      </c>
      <c r="E185" t="s">
        <v>1707</v>
      </c>
      <c r="G185" t="s">
        <v>1714</v>
      </c>
      <c r="H185" t="s">
        <v>22</v>
      </c>
      <c r="I185" t="s">
        <v>22</v>
      </c>
      <c r="J185" t="s">
        <v>17</v>
      </c>
      <c r="K185">
        <v>100</v>
      </c>
      <c r="L185">
        <v>118</v>
      </c>
      <c r="O185" t="s">
        <v>1703</v>
      </c>
      <c r="P185" t="s">
        <v>1703</v>
      </c>
      <c r="R185" s="43"/>
      <c r="S185" s="43"/>
    </row>
    <row r="186" spans="1:19" x14ac:dyDescent="0.3">
      <c r="A186">
        <v>1178296</v>
      </c>
      <c r="B186" t="s">
        <v>1705</v>
      </c>
      <c r="C186" t="s">
        <v>1708</v>
      </c>
      <c r="D186" t="s">
        <v>1708</v>
      </c>
      <c r="E186" t="s">
        <v>1707</v>
      </c>
      <c r="G186" t="s">
        <v>1713</v>
      </c>
      <c r="H186" t="s">
        <v>22</v>
      </c>
      <c r="I186" t="s">
        <v>22</v>
      </c>
      <c r="J186" t="s">
        <v>17</v>
      </c>
      <c r="K186">
        <v>100</v>
      </c>
      <c r="L186">
        <v>118</v>
      </c>
      <c r="O186" t="s">
        <v>1703</v>
      </c>
      <c r="P186" t="s">
        <v>1703</v>
      </c>
      <c r="R186" s="43"/>
      <c r="S186" s="43"/>
    </row>
    <row r="187" spans="1:19" x14ac:dyDescent="0.3">
      <c r="A187">
        <v>1178296</v>
      </c>
      <c r="B187" t="s">
        <v>1705</v>
      </c>
      <c r="C187" t="s">
        <v>1708</v>
      </c>
      <c r="D187" t="s">
        <v>1708</v>
      </c>
      <c r="E187" t="s">
        <v>1707</v>
      </c>
      <c r="G187" t="s">
        <v>1712</v>
      </c>
      <c r="H187" t="s">
        <v>22</v>
      </c>
      <c r="I187" t="s">
        <v>22</v>
      </c>
      <c r="J187" t="s">
        <v>17</v>
      </c>
      <c r="K187">
        <v>100</v>
      </c>
      <c r="L187">
        <v>118</v>
      </c>
      <c r="O187" t="s">
        <v>1703</v>
      </c>
      <c r="P187" t="s">
        <v>1703</v>
      </c>
      <c r="R187" s="43"/>
      <c r="S187" s="43"/>
    </row>
    <row r="188" spans="1:19" x14ac:dyDescent="0.3">
      <c r="A188">
        <v>1178296</v>
      </c>
      <c r="B188" t="s">
        <v>1705</v>
      </c>
      <c r="C188" t="s">
        <v>1708</v>
      </c>
      <c r="D188" t="s">
        <v>1708</v>
      </c>
      <c r="E188" t="s">
        <v>1707</v>
      </c>
      <c r="G188" t="s">
        <v>1711</v>
      </c>
      <c r="H188" t="s">
        <v>22</v>
      </c>
      <c r="I188" t="s">
        <v>22</v>
      </c>
      <c r="J188" t="s">
        <v>17</v>
      </c>
      <c r="K188">
        <v>100</v>
      </c>
      <c r="L188">
        <v>118</v>
      </c>
      <c r="O188" t="s">
        <v>1703</v>
      </c>
      <c r="P188" t="s">
        <v>1703</v>
      </c>
      <c r="R188" s="43"/>
      <c r="S188" s="43"/>
    </row>
    <row r="189" spans="1:19" x14ac:dyDescent="0.3">
      <c r="A189">
        <v>1178296</v>
      </c>
      <c r="B189" t="s">
        <v>1705</v>
      </c>
      <c r="C189" t="s">
        <v>1708</v>
      </c>
      <c r="D189" t="s">
        <v>1708</v>
      </c>
      <c r="E189" t="s">
        <v>1707</v>
      </c>
      <c r="G189" t="s">
        <v>1710</v>
      </c>
      <c r="H189" t="s">
        <v>22</v>
      </c>
      <c r="I189" t="s">
        <v>22</v>
      </c>
      <c r="J189" t="s">
        <v>17</v>
      </c>
      <c r="K189">
        <v>100</v>
      </c>
      <c r="L189">
        <v>118</v>
      </c>
      <c r="O189" t="s">
        <v>1703</v>
      </c>
      <c r="P189" t="s">
        <v>1703</v>
      </c>
      <c r="R189" s="43"/>
      <c r="S189" s="43"/>
    </row>
    <row r="190" spans="1:19" x14ac:dyDescent="0.3">
      <c r="A190">
        <v>1178296</v>
      </c>
      <c r="B190" t="s">
        <v>1705</v>
      </c>
      <c r="C190" t="s">
        <v>1708</v>
      </c>
      <c r="D190" t="s">
        <v>1708</v>
      </c>
      <c r="E190" t="s">
        <v>1707</v>
      </c>
      <c r="G190" t="s">
        <v>1709</v>
      </c>
      <c r="H190" t="s">
        <v>22</v>
      </c>
      <c r="I190" t="s">
        <v>22</v>
      </c>
      <c r="J190" t="s">
        <v>17</v>
      </c>
      <c r="K190">
        <v>100</v>
      </c>
      <c r="L190">
        <v>118</v>
      </c>
      <c r="O190" t="s">
        <v>1703</v>
      </c>
      <c r="P190" t="s">
        <v>1703</v>
      </c>
      <c r="R190" s="43"/>
      <c r="S190" s="43"/>
    </row>
    <row r="191" spans="1:19" x14ac:dyDescent="0.3">
      <c r="A191">
        <v>1178296</v>
      </c>
      <c r="B191" t="s">
        <v>1705</v>
      </c>
      <c r="C191" t="s">
        <v>1708</v>
      </c>
      <c r="D191" t="s">
        <v>1708</v>
      </c>
      <c r="E191" t="s">
        <v>1707</v>
      </c>
      <c r="G191" t="s">
        <v>1706</v>
      </c>
      <c r="H191" t="s">
        <v>22</v>
      </c>
      <c r="I191" t="s">
        <v>22</v>
      </c>
      <c r="J191" t="s">
        <v>17</v>
      </c>
      <c r="K191">
        <v>100</v>
      </c>
      <c r="L191">
        <v>118</v>
      </c>
      <c r="O191" t="s">
        <v>1703</v>
      </c>
      <c r="P191" t="s">
        <v>1703</v>
      </c>
      <c r="R191" s="43"/>
      <c r="S191" s="43"/>
    </row>
    <row r="192" spans="1:19" x14ac:dyDescent="0.3">
      <c r="A192">
        <v>1178296</v>
      </c>
      <c r="B192" t="s">
        <v>1705</v>
      </c>
      <c r="C192" t="s">
        <v>1704</v>
      </c>
      <c r="H192" t="s">
        <v>16</v>
      </c>
      <c r="I192" t="s">
        <v>16</v>
      </c>
      <c r="J192" t="s">
        <v>17</v>
      </c>
      <c r="K192">
        <v>0</v>
      </c>
      <c r="L192">
        <v>0</v>
      </c>
      <c r="O192" t="s">
        <v>1703</v>
      </c>
      <c r="P192" t="s">
        <v>1703</v>
      </c>
      <c r="R192" s="43"/>
      <c r="S192" s="43"/>
    </row>
    <row r="193" spans="1:12" x14ac:dyDescent="0.3">
      <c r="A193">
        <v>1178297</v>
      </c>
      <c r="B193" t="s">
        <v>1701</v>
      </c>
      <c r="C193" t="s">
        <v>1090</v>
      </c>
      <c r="D193" t="s">
        <v>1089</v>
      </c>
      <c r="E193" t="s">
        <v>1088</v>
      </c>
      <c r="G193" t="s">
        <v>1098</v>
      </c>
      <c r="H193" t="s">
        <v>46</v>
      </c>
      <c r="I193" t="s">
        <v>46</v>
      </c>
      <c r="J193" t="s">
        <v>17</v>
      </c>
      <c r="K193">
        <v>100</v>
      </c>
      <c r="L193">
        <v>50</v>
      </c>
    </row>
    <row r="194" spans="1:12" x14ac:dyDescent="0.3">
      <c r="A194">
        <v>1178297</v>
      </c>
      <c r="B194" t="s">
        <v>1701</v>
      </c>
      <c r="C194" t="s">
        <v>1090</v>
      </c>
      <c r="D194" t="s">
        <v>1089</v>
      </c>
      <c r="E194" t="s">
        <v>1088</v>
      </c>
      <c r="G194" t="s">
        <v>1097</v>
      </c>
      <c r="H194" t="s">
        <v>46</v>
      </c>
      <c r="I194" t="s">
        <v>46</v>
      </c>
      <c r="J194" t="s">
        <v>17</v>
      </c>
      <c r="K194">
        <v>100</v>
      </c>
      <c r="L194">
        <v>50</v>
      </c>
    </row>
    <row r="195" spans="1:12" x14ac:dyDescent="0.3">
      <c r="A195">
        <v>1178297</v>
      </c>
      <c r="B195" t="s">
        <v>1701</v>
      </c>
      <c r="C195" t="s">
        <v>1090</v>
      </c>
      <c r="D195" t="s">
        <v>1089</v>
      </c>
      <c r="E195" t="s">
        <v>1088</v>
      </c>
      <c r="G195" t="s">
        <v>1096</v>
      </c>
      <c r="H195" t="s">
        <v>46</v>
      </c>
      <c r="I195" t="s">
        <v>46</v>
      </c>
      <c r="J195" t="s">
        <v>17</v>
      </c>
      <c r="K195">
        <v>100</v>
      </c>
      <c r="L195">
        <v>50</v>
      </c>
    </row>
    <row r="196" spans="1:12" x14ac:dyDescent="0.3">
      <c r="A196">
        <v>1178297</v>
      </c>
      <c r="B196" t="s">
        <v>1701</v>
      </c>
      <c r="C196" t="s">
        <v>1090</v>
      </c>
      <c r="D196" t="s">
        <v>1089</v>
      </c>
      <c r="E196" t="s">
        <v>1088</v>
      </c>
      <c r="G196" t="s">
        <v>1095</v>
      </c>
      <c r="H196" t="s">
        <v>46</v>
      </c>
      <c r="I196" t="s">
        <v>46</v>
      </c>
      <c r="J196" t="s">
        <v>17</v>
      </c>
      <c r="K196">
        <v>100</v>
      </c>
      <c r="L196">
        <v>50</v>
      </c>
    </row>
    <row r="197" spans="1:12" x14ac:dyDescent="0.3">
      <c r="A197">
        <v>1178297</v>
      </c>
      <c r="B197" t="s">
        <v>1701</v>
      </c>
      <c r="C197" t="s">
        <v>1090</v>
      </c>
      <c r="D197" t="s">
        <v>1089</v>
      </c>
      <c r="E197" t="s">
        <v>1088</v>
      </c>
      <c r="G197" t="s">
        <v>1094</v>
      </c>
      <c r="H197" t="s">
        <v>46</v>
      </c>
      <c r="I197" t="s">
        <v>46</v>
      </c>
      <c r="J197" t="s">
        <v>17</v>
      </c>
      <c r="K197">
        <v>100</v>
      </c>
      <c r="L197">
        <v>50</v>
      </c>
    </row>
    <row r="198" spans="1:12" x14ac:dyDescent="0.3">
      <c r="A198">
        <v>1178297</v>
      </c>
      <c r="B198" t="s">
        <v>1701</v>
      </c>
      <c r="C198" t="s">
        <v>1090</v>
      </c>
      <c r="D198" t="s">
        <v>1089</v>
      </c>
      <c r="E198" t="s">
        <v>1088</v>
      </c>
      <c r="G198" t="s">
        <v>1093</v>
      </c>
      <c r="H198" t="s">
        <v>46</v>
      </c>
      <c r="I198" t="s">
        <v>46</v>
      </c>
      <c r="J198" t="s">
        <v>17</v>
      </c>
      <c r="K198">
        <v>100</v>
      </c>
      <c r="L198">
        <v>50</v>
      </c>
    </row>
    <row r="199" spans="1:12" x14ac:dyDescent="0.3">
      <c r="A199">
        <v>1178297</v>
      </c>
      <c r="B199" t="s">
        <v>1701</v>
      </c>
      <c r="C199" t="s">
        <v>1090</v>
      </c>
      <c r="D199" t="s">
        <v>1089</v>
      </c>
      <c r="E199" t="s">
        <v>1088</v>
      </c>
      <c r="G199" t="s">
        <v>1092</v>
      </c>
      <c r="H199" t="s">
        <v>46</v>
      </c>
      <c r="I199" t="s">
        <v>46</v>
      </c>
      <c r="J199" t="s">
        <v>17</v>
      </c>
      <c r="K199">
        <v>100</v>
      </c>
      <c r="L199">
        <v>50</v>
      </c>
    </row>
    <row r="200" spans="1:12" x14ac:dyDescent="0.3">
      <c r="A200">
        <v>1178297</v>
      </c>
      <c r="B200" t="s">
        <v>1701</v>
      </c>
      <c r="C200" t="s">
        <v>1090</v>
      </c>
      <c r="D200" t="s">
        <v>1089</v>
      </c>
      <c r="E200" t="s">
        <v>1088</v>
      </c>
      <c r="G200" t="s">
        <v>1091</v>
      </c>
      <c r="H200" t="s">
        <v>46</v>
      </c>
      <c r="I200" t="s">
        <v>46</v>
      </c>
      <c r="J200" t="s">
        <v>17</v>
      </c>
      <c r="K200">
        <v>100</v>
      </c>
      <c r="L200">
        <v>50</v>
      </c>
    </row>
    <row r="201" spans="1:12" x14ac:dyDescent="0.3">
      <c r="A201">
        <v>1178297</v>
      </c>
      <c r="B201" t="s">
        <v>1701</v>
      </c>
      <c r="C201" t="s">
        <v>1090</v>
      </c>
      <c r="D201" t="s">
        <v>1089</v>
      </c>
      <c r="E201" t="s">
        <v>1088</v>
      </c>
      <c r="G201" t="s">
        <v>1087</v>
      </c>
      <c r="H201" t="s">
        <v>46</v>
      </c>
      <c r="I201" t="s">
        <v>46</v>
      </c>
      <c r="J201" t="s">
        <v>17</v>
      </c>
      <c r="K201">
        <v>100</v>
      </c>
      <c r="L201">
        <v>50</v>
      </c>
    </row>
    <row r="202" spans="1:12" x14ac:dyDescent="0.3">
      <c r="A202">
        <v>1178297</v>
      </c>
      <c r="B202" t="s">
        <v>1701</v>
      </c>
      <c r="C202" t="s">
        <v>1702</v>
      </c>
      <c r="H202" t="s">
        <v>16</v>
      </c>
      <c r="I202" t="s">
        <v>16</v>
      </c>
      <c r="J202" t="s">
        <v>17</v>
      </c>
      <c r="K202">
        <v>0</v>
      </c>
      <c r="L202">
        <v>0</v>
      </c>
    </row>
    <row r="203" spans="1:12" x14ac:dyDescent="0.3">
      <c r="A203">
        <v>1178297</v>
      </c>
      <c r="B203" t="s">
        <v>1701</v>
      </c>
      <c r="C203" t="s">
        <v>627</v>
      </c>
      <c r="H203" t="s">
        <v>16</v>
      </c>
      <c r="I203" t="s">
        <v>16</v>
      </c>
      <c r="J203" t="s">
        <v>17</v>
      </c>
      <c r="K203">
        <v>0</v>
      </c>
      <c r="L203">
        <v>0</v>
      </c>
    </row>
    <row r="204" spans="1:12" x14ac:dyDescent="0.3">
      <c r="A204">
        <v>1178297</v>
      </c>
      <c r="B204" t="s">
        <v>1701</v>
      </c>
      <c r="C204" t="s">
        <v>1700</v>
      </c>
      <c r="H204" t="s">
        <v>16</v>
      </c>
      <c r="I204" t="s">
        <v>16</v>
      </c>
      <c r="J204" t="s">
        <v>17</v>
      </c>
      <c r="K204">
        <v>0</v>
      </c>
      <c r="L204">
        <v>0</v>
      </c>
    </row>
    <row r="205" spans="1:12" x14ac:dyDescent="0.3">
      <c r="A205">
        <v>1183655</v>
      </c>
      <c r="B205" t="s">
        <v>1627</v>
      </c>
      <c r="C205" t="s">
        <v>1699</v>
      </c>
      <c r="H205" t="s">
        <v>16</v>
      </c>
      <c r="I205" t="s">
        <v>16</v>
      </c>
      <c r="J205" t="s">
        <v>17</v>
      </c>
      <c r="K205">
        <v>0</v>
      </c>
      <c r="L205">
        <v>0</v>
      </c>
    </row>
    <row r="206" spans="1:12" x14ac:dyDescent="0.3">
      <c r="A206">
        <v>1183655</v>
      </c>
      <c r="B206" t="s">
        <v>1627</v>
      </c>
      <c r="C206" t="s">
        <v>1698</v>
      </c>
      <c r="H206" t="s">
        <v>16</v>
      </c>
      <c r="I206" t="s">
        <v>16</v>
      </c>
      <c r="J206" t="s">
        <v>17</v>
      </c>
      <c r="K206">
        <v>0</v>
      </c>
      <c r="L206">
        <v>0</v>
      </c>
    </row>
    <row r="207" spans="1:12" x14ac:dyDescent="0.3">
      <c r="A207">
        <v>1183655</v>
      </c>
      <c r="B207" t="s">
        <v>1627</v>
      </c>
      <c r="C207" t="s">
        <v>1697</v>
      </c>
      <c r="H207" t="s">
        <v>16</v>
      </c>
      <c r="I207" t="s">
        <v>16</v>
      </c>
      <c r="J207" t="s">
        <v>17</v>
      </c>
      <c r="K207">
        <v>0</v>
      </c>
      <c r="L207">
        <v>0</v>
      </c>
    </row>
    <row r="208" spans="1:12" x14ac:dyDescent="0.3">
      <c r="A208">
        <v>1183655</v>
      </c>
      <c r="B208" t="s">
        <v>1627</v>
      </c>
      <c r="C208" t="s">
        <v>1696</v>
      </c>
      <c r="H208" t="s">
        <v>16</v>
      </c>
      <c r="I208" t="s">
        <v>16</v>
      </c>
      <c r="J208" t="s">
        <v>17</v>
      </c>
      <c r="K208">
        <v>0</v>
      </c>
      <c r="L208">
        <v>0</v>
      </c>
    </row>
    <row r="209" spans="1:14" x14ac:dyDescent="0.3">
      <c r="A209">
        <v>1183655</v>
      </c>
      <c r="B209" t="s">
        <v>1627</v>
      </c>
      <c r="C209" t="s">
        <v>1695</v>
      </c>
      <c r="H209" t="s">
        <v>16</v>
      </c>
      <c r="I209" t="s">
        <v>16</v>
      </c>
      <c r="J209" t="s">
        <v>17</v>
      </c>
      <c r="K209">
        <v>0</v>
      </c>
      <c r="L209">
        <v>0</v>
      </c>
    </row>
    <row r="210" spans="1:14" x14ac:dyDescent="0.3">
      <c r="A210">
        <v>1183655</v>
      </c>
      <c r="B210" t="s">
        <v>1627</v>
      </c>
      <c r="C210" t="s">
        <v>1679</v>
      </c>
      <c r="D210" t="s">
        <v>1678</v>
      </c>
      <c r="E210" t="s">
        <v>1677</v>
      </c>
      <c r="G210" t="s">
        <v>1694</v>
      </c>
      <c r="H210" t="s">
        <v>46</v>
      </c>
      <c r="I210" t="s">
        <v>46</v>
      </c>
      <c r="J210" t="s">
        <v>17</v>
      </c>
      <c r="K210">
        <v>100</v>
      </c>
      <c r="L210">
        <v>50</v>
      </c>
      <c r="M210" t="s">
        <v>1675</v>
      </c>
      <c r="N210" t="s">
        <v>1674</v>
      </c>
    </row>
    <row r="211" spans="1:14" x14ac:dyDescent="0.3">
      <c r="A211">
        <v>1183655</v>
      </c>
      <c r="B211" t="s">
        <v>1627</v>
      </c>
      <c r="C211" t="s">
        <v>1679</v>
      </c>
      <c r="D211" t="s">
        <v>1678</v>
      </c>
      <c r="E211" t="s">
        <v>1677</v>
      </c>
      <c r="G211" t="s">
        <v>1693</v>
      </c>
      <c r="H211" t="s">
        <v>46</v>
      </c>
      <c r="I211" t="s">
        <v>46</v>
      </c>
      <c r="J211" t="s">
        <v>17</v>
      </c>
      <c r="K211">
        <v>100</v>
      </c>
      <c r="L211">
        <v>50</v>
      </c>
      <c r="M211" t="s">
        <v>1675</v>
      </c>
      <c r="N211" t="s">
        <v>1674</v>
      </c>
    </row>
    <row r="212" spans="1:14" x14ac:dyDescent="0.3">
      <c r="A212">
        <v>1183655</v>
      </c>
      <c r="B212" t="s">
        <v>1627</v>
      </c>
      <c r="C212" t="s">
        <v>1679</v>
      </c>
      <c r="D212" t="s">
        <v>1678</v>
      </c>
      <c r="E212" t="s">
        <v>1677</v>
      </c>
      <c r="G212" t="s">
        <v>1692</v>
      </c>
      <c r="H212" t="s">
        <v>46</v>
      </c>
      <c r="I212" t="s">
        <v>46</v>
      </c>
      <c r="J212" t="s">
        <v>17</v>
      </c>
      <c r="K212">
        <v>100</v>
      </c>
      <c r="L212">
        <v>50</v>
      </c>
      <c r="M212" t="s">
        <v>1675</v>
      </c>
      <c r="N212" t="s">
        <v>1674</v>
      </c>
    </row>
    <row r="213" spans="1:14" x14ac:dyDescent="0.3">
      <c r="A213">
        <v>1183655</v>
      </c>
      <c r="B213" t="s">
        <v>1627</v>
      </c>
      <c r="C213" t="s">
        <v>1679</v>
      </c>
      <c r="D213" t="s">
        <v>1678</v>
      </c>
      <c r="E213" t="s">
        <v>1677</v>
      </c>
      <c r="G213" t="s">
        <v>1691</v>
      </c>
      <c r="H213" t="s">
        <v>46</v>
      </c>
      <c r="I213" t="s">
        <v>46</v>
      </c>
      <c r="J213" t="s">
        <v>17</v>
      </c>
      <c r="K213">
        <v>100</v>
      </c>
      <c r="L213">
        <v>50</v>
      </c>
      <c r="M213" t="s">
        <v>1675</v>
      </c>
      <c r="N213" t="s">
        <v>1674</v>
      </c>
    </row>
    <row r="214" spans="1:14" x14ac:dyDescent="0.3">
      <c r="A214">
        <v>1183655</v>
      </c>
      <c r="B214" t="s">
        <v>1627</v>
      </c>
      <c r="C214" t="s">
        <v>1679</v>
      </c>
      <c r="D214" t="s">
        <v>1678</v>
      </c>
      <c r="E214" t="s">
        <v>1677</v>
      </c>
      <c r="G214" t="s">
        <v>1690</v>
      </c>
      <c r="H214" t="s">
        <v>46</v>
      </c>
      <c r="I214" t="s">
        <v>46</v>
      </c>
      <c r="J214" t="s">
        <v>17</v>
      </c>
      <c r="K214">
        <v>100</v>
      </c>
      <c r="L214">
        <v>50</v>
      </c>
      <c r="M214" t="s">
        <v>1675</v>
      </c>
      <c r="N214" t="s">
        <v>1674</v>
      </c>
    </row>
    <row r="215" spans="1:14" x14ac:dyDescent="0.3">
      <c r="A215">
        <v>1183655</v>
      </c>
      <c r="B215" t="s">
        <v>1627</v>
      </c>
      <c r="C215" t="s">
        <v>1679</v>
      </c>
      <c r="D215" t="s">
        <v>1678</v>
      </c>
      <c r="E215" t="s">
        <v>1677</v>
      </c>
      <c r="G215" t="s">
        <v>1689</v>
      </c>
      <c r="H215" t="s">
        <v>46</v>
      </c>
      <c r="I215" t="s">
        <v>46</v>
      </c>
      <c r="J215" t="s">
        <v>17</v>
      </c>
      <c r="K215">
        <v>100</v>
      </c>
      <c r="L215">
        <v>50</v>
      </c>
      <c r="M215" t="s">
        <v>1675</v>
      </c>
      <c r="N215" t="s">
        <v>1674</v>
      </c>
    </row>
    <row r="216" spans="1:14" x14ac:dyDescent="0.3">
      <c r="A216">
        <v>1183655</v>
      </c>
      <c r="B216" t="s">
        <v>1627</v>
      </c>
      <c r="C216" t="s">
        <v>1679</v>
      </c>
      <c r="D216" t="s">
        <v>1678</v>
      </c>
      <c r="E216" t="s">
        <v>1677</v>
      </c>
      <c r="G216" t="s">
        <v>1688</v>
      </c>
      <c r="H216" t="s">
        <v>46</v>
      </c>
      <c r="I216" t="s">
        <v>46</v>
      </c>
      <c r="J216" t="s">
        <v>17</v>
      </c>
      <c r="K216">
        <v>100</v>
      </c>
      <c r="L216">
        <v>50</v>
      </c>
      <c r="M216" t="s">
        <v>1675</v>
      </c>
      <c r="N216" t="s">
        <v>1674</v>
      </c>
    </row>
    <row r="217" spans="1:14" x14ac:dyDescent="0.3">
      <c r="A217">
        <v>1183655</v>
      </c>
      <c r="B217" t="s">
        <v>1627</v>
      </c>
      <c r="C217" t="s">
        <v>1679</v>
      </c>
      <c r="D217" t="s">
        <v>1678</v>
      </c>
      <c r="E217" t="s">
        <v>1677</v>
      </c>
      <c r="G217" t="s">
        <v>1687</v>
      </c>
      <c r="H217" t="s">
        <v>46</v>
      </c>
      <c r="I217" t="s">
        <v>46</v>
      </c>
      <c r="J217" t="s">
        <v>17</v>
      </c>
      <c r="K217">
        <v>100</v>
      </c>
      <c r="L217">
        <v>50</v>
      </c>
      <c r="M217" t="s">
        <v>1675</v>
      </c>
      <c r="N217" t="s">
        <v>1674</v>
      </c>
    </row>
    <row r="218" spans="1:14" x14ac:dyDescent="0.3">
      <c r="A218">
        <v>1183655</v>
      </c>
      <c r="B218" t="s">
        <v>1627</v>
      </c>
      <c r="C218" t="s">
        <v>1679</v>
      </c>
      <c r="D218" t="s">
        <v>1678</v>
      </c>
      <c r="E218" t="s">
        <v>1677</v>
      </c>
      <c r="G218" t="s">
        <v>1686</v>
      </c>
      <c r="H218" t="s">
        <v>46</v>
      </c>
      <c r="I218" t="s">
        <v>46</v>
      </c>
      <c r="J218" t="s">
        <v>17</v>
      </c>
      <c r="K218">
        <v>100</v>
      </c>
      <c r="L218">
        <v>50</v>
      </c>
      <c r="M218" t="s">
        <v>1675</v>
      </c>
      <c r="N218" t="s">
        <v>1674</v>
      </c>
    </row>
    <row r="219" spans="1:14" x14ac:dyDescent="0.3">
      <c r="A219">
        <v>1183655</v>
      </c>
      <c r="B219" t="s">
        <v>1627</v>
      </c>
      <c r="C219" t="s">
        <v>1679</v>
      </c>
      <c r="D219" t="s">
        <v>1678</v>
      </c>
      <c r="E219" t="s">
        <v>1677</v>
      </c>
      <c r="G219" t="s">
        <v>1685</v>
      </c>
      <c r="H219" t="s">
        <v>46</v>
      </c>
      <c r="I219" t="s">
        <v>46</v>
      </c>
      <c r="J219" t="s">
        <v>17</v>
      </c>
      <c r="K219">
        <v>100</v>
      </c>
      <c r="L219">
        <v>50</v>
      </c>
      <c r="M219" t="s">
        <v>1675</v>
      </c>
      <c r="N219" t="s">
        <v>1674</v>
      </c>
    </row>
    <row r="220" spans="1:14" x14ac:dyDescent="0.3">
      <c r="A220">
        <v>1183655</v>
      </c>
      <c r="B220" t="s">
        <v>1627</v>
      </c>
      <c r="C220" t="s">
        <v>1679</v>
      </c>
      <c r="D220" t="s">
        <v>1678</v>
      </c>
      <c r="E220" t="s">
        <v>1677</v>
      </c>
      <c r="G220" t="s">
        <v>1684</v>
      </c>
      <c r="H220" t="s">
        <v>46</v>
      </c>
      <c r="I220" t="s">
        <v>46</v>
      </c>
      <c r="J220" t="s">
        <v>17</v>
      </c>
      <c r="K220">
        <v>100</v>
      </c>
      <c r="L220">
        <v>50</v>
      </c>
      <c r="M220" t="s">
        <v>1675</v>
      </c>
      <c r="N220" t="s">
        <v>1674</v>
      </c>
    </row>
    <row r="221" spans="1:14" x14ac:dyDescent="0.3">
      <c r="A221">
        <v>1183655</v>
      </c>
      <c r="B221" t="s">
        <v>1627</v>
      </c>
      <c r="C221" t="s">
        <v>1679</v>
      </c>
      <c r="D221" t="s">
        <v>1678</v>
      </c>
      <c r="E221" t="s">
        <v>1677</v>
      </c>
      <c r="G221" t="s">
        <v>1683</v>
      </c>
      <c r="H221" t="s">
        <v>46</v>
      </c>
      <c r="I221" t="s">
        <v>46</v>
      </c>
      <c r="J221" t="s">
        <v>17</v>
      </c>
      <c r="K221">
        <v>100</v>
      </c>
      <c r="L221">
        <v>50</v>
      </c>
      <c r="M221" t="s">
        <v>1675</v>
      </c>
      <c r="N221" t="s">
        <v>1674</v>
      </c>
    </row>
    <row r="222" spans="1:14" x14ac:dyDescent="0.3">
      <c r="A222">
        <v>1183655</v>
      </c>
      <c r="B222" t="s">
        <v>1627</v>
      </c>
      <c r="C222" t="s">
        <v>1679</v>
      </c>
      <c r="D222" t="s">
        <v>1678</v>
      </c>
      <c r="E222" t="s">
        <v>1677</v>
      </c>
      <c r="G222" t="s">
        <v>1682</v>
      </c>
      <c r="H222" t="s">
        <v>46</v>
      </c>
      <c r="I222" t="s">
        <v>46</v>
      </c>
      <c r="J222" t="s">
        <v>17</v>
      </c>
      <c r="K222">
        <v>100</v>
      </c>
      <c r="L222">
        <v>50</v>
      </c>
      <c r="M222" t="s">
        <v>1675</v>
      </c>
      <c r="N222" t="s">
        <v>1674</v>
      </c>
    </row>
    <row r="223" spans="1:14" x14ac:dyDescent="0.3">
      <c r="A223">
        <v>1183655</v>
      </c>
      <c r="B223" t="s">
        <v>1627</v>
      </c>
      <c r="C223" t="s">
        <v>1679</v>
      </c>
      <c r="D223" t="s">
        <v>1678</v>
      </c>
      <c r="E223" t="s">
        <v>1677</v>
      </c>
      <c r="G223" t="s">
        <v>1681</v>
      </c>
      <c r="H223" t="s">
        <v>46</v>
      </c>
      <c r="I223" t="s">
        <v>46</v>
      </c>
      <c r="J223" t="s">
        <v>17</v>
      </c>
      <c r="K223">
        <v>100</v>
      </c>
      <c r="L223">
        <v>50</v>
      </c>
      <c r="M223" t="s">
        <v>1675</v>
      </c>
      <c r="N223" t="s">
        <v>1674</v>
      </c>
    </row>
    <row r="224" spans="1:14" x14ac:dyDescent="0.3">
      <c r="A224">
        <v>1183655</v>
      </c>
      <c r="B224" t="s">
        <v>1627</v>
      </c>
      <c r="C224" t="s">
        <v>1679</v>
      </c>
      <c r="D224" t="s">
        <v>1678</v>
      </c>
      <c r="E224" t="s">
        <v>1677</v>
      </c>
      <c r="G224" t="s">
        <v>1680</v>
      </c>
      <c r="H224" t="s">
        <v>46</v>
      </c>
      <c r="I224" t="s">
        <v>46</v>
      </c>
      <c r="J224" t="s">
        <v>17</v>
      </c>
      <c r="K224">
        <v>100</v>
      </c>
      <c r="L224">
        <v>50</v>
      </c>
      <c r="M224" t="s">
        <v>1675</v>
      </c>
      <c r="N224" t="s">
        <v>1674</v>
      </c>
    </row>
    <row r="225" spans="1:14" x14ac:dyDescent="0.3">
      <c r="A225">
        <v>1183655</v>
      </c>
      <c r="B225" t="s">
        <v>1627</v>
      </c>
      <c r="C225" t="s">
        <v>1679</v>
      </c>
      <c r="D225" t="s">
        <v>1678</v>
      </c>
      <c r="E225" t="s">
        <v>1677</v>
      </c>
      <c r="G225" t="s">
        <v>1676</v>
      </c>
      <c r="H225" t="s">
        <v>46</v>
      </c>
      <c r="I225" t="s">
        <v>46</v>
      </c>
      <c r="J225" t="s">
        <v>17</v>
      </c>
      <c r="K225">
        <v>100</v>
      </c>
      <c r="L225">
        <v>50</v>
      </c>
      <c r="M225" t="s">
        <v>1675</v>
      </c>
      <c r="N225" t="s">
        <v>1674</v>
      </c>
    </row>
    <row r="226" spans="1:14" x14ac:dyDescent="0.3">
      <c r="A226">
        <v>1183655</v>
      </c>
      <c r="B226" t="s">
        <v>1627</v>
      </c>
      <c r="C226" t="s">
        <v>1641</v>
      </c>
      <c r="D226" t="s">
        <v>1640</v>
      </c>
      <c r="E226" t="s">
        <v>1639</v>
      </c>
      <c r="F226" t="s">
        <v>1638</v>
      </c>
      <c r="G226" t="s">
        <v>1673</v>
      </c>
      <c r="H226" t="s">
        <v>46</v>
      </c>
      <c r="I226" t="s">
        <v>46</v>
      </c>
      <c r="J226" t="s">
        <v>17</v>
      </c>
      <c r="K226">
        <v>100</v>
      </c>
      <c r="L226">
        <v>80</v>
      </c>
      <c r="M226" t="s">
        <v>1636</v>
      </c>
      <c r="N226" t="s">
        <v>1635</v>
      </c>
    </row>
    <row r="227" spans="1:14" x14ac:dyDescent="0.3">
      <c r="A227">
        <v>1183655</v>
      </c>
      <c r="B227" t="s">
        <v>1627</v>
      </c>
      <c r="C227" t="s">
        <v>1641</v>
      </c>
      <c r="D227" t="s">
        <v>1640</v>
      </c>
      <c r="E227" t="s">
        <v>1639</v>
      </c>
      <c r="F227" t="s">
        <v>1638</v>
      </c>
      <c r="G227" t="s">
        <v>1672</v>
      </c>
      <c r="H227" t="s">
        <v>46</v>
      </c>
      <c r="I227" t="s">
        <v>46</v>
      </c>
      <c r="J227" t="s">
        <v>17</v>
      </c>
      <c r="K227">
        <v>100</v>
      </c>
      <c r="L227">
        <v>80</v>
      </c>
      <c r="M227" t="s">
        <v>1636</v>
      </c>
      <c r="N227" t="s">
        <v>1635</v>
      </c>
    </row>
    <row r="228" spans="1:14" x14ac:dyDescent="0.3">
      <c r="A228">
        <v>1183655</v>
      </c>
      <c r="B228" t="s">
        <v>1627</v>
      </c>
      <c r="C228" t="s">
        <v>1641</v>
      </c>
      <c r="D228" t="s">
        <v>1640</v>
      </c>
      <c r="E228" t="s">
        <v>1639</v>
      </c>
      <c r="F228" t="s">
        <v>1638</v>
      </c>
      <c r="G228" t="s">
        <v>1671</v>
      </c>
      <c r="H228" t="s">
        <v>46</v>
      </c>
      <c r="I228" t="s">
        <v>46</v>
      </c>
      <c r="J228" t="s">
        <v>17</v>
      </c>
      <c r="K228">
        <v>100</v>
      </c>
      <c r="L228">
        <v>80</v>
      </c>
      <c r="M228" t="s">
        <v>1636</v>
      </c>
      <c r="N228" t="s">
        <v>1635</v>
      </c>
    </row>
    <row r="229" spans="1:14" x14ac:dyDescent="0.3">
      <c r="A229">
        <v>1183655</v>
      </c>
      <c r="B229" t="s">
        <v>1627</v>
      </c>
      <c r="C229" t="s">
        <v>1641</v>
      </c>
      <c r="D229" t="s">
        <v>1640</v>
      </c>
      <c r="E229" t="s">
        <v>1639</v>
      </c>
      <c r="F229" t="s">
        <v>1638</v>
      </c>
      <c r="G229" t="s">
        <v>1670</v>
      </c>
      <c r="H229" t="s">
        <v>46</v>
      </c>
      <c r="I229" t="s">
        <v>46</v>
      </c>
      <c r="J229" t="s">
        <v>17</v>
      </c>
      <c r="K229">
        <v>100</v>
      </c>
      <c r="L229">
        <v>80</v>
      </c>
      <c r="M229" t="s">
        <v>1636</v>
      </c>
      <c r="N229" t="s">
        <v>1635</v>
      </c>
    </row>
    <row r="230" spans="1:14" x14ac:dyDescent="0.3">
      <c r="A230">
        <v>1183655</v>
      </c>
      <c r="B230" t="s">
        <v>1627</v>
      </c>
      <c r="C230" t="s">
        <v>1641</v>
      </c>
      <c r="D230" t="s">
        <v>1640</v>
      </c>
      <c r="E230" t="s">
        <v>1639</v>
      </c>
      <c r="F230" t="s">
        <v>1638</v>
      </c>
      <c r="G230" t="s">
        <v>1669</v>
      </c>
      <c r="H230" t="s">
        <v>46</v>
      </c>
      <c r="I230" t="s">
        <v>46</v>
      </c>
      <c r="J230" t="s">
        <v>17</v>
      </c>
      <c r="K230">
        <v>100</v>
      </c>
      <c r="L230">
        <v>80</v>
      </c>
      <c r="M230" t="s">
        <v>1636</v>
      </c>
      <c r="N230" t="s">
        <v>1635</v>
      </c>
    </row>
    <row r="231" spans="1:14" x14ac:dyDescent="0.3">
      <c r="A231">
        <v>1183655</v>
      </c>
      <c r="B231" t="s">
        <v>1627</v>
      </c>
      <c r="C231" t="s">
        <v>1641</v>
      </c>
      <c r="D231" t="s">
        <v>1640</v>
      </c>
      <c r="E231" t="s">
        <v>1639</v>
      </c>
      <c r="F231" t="s">
        <v>1638</v>
      </c>
      <c r="G231" t="s">
        <v>1668</v>
      </c>
      <c r="H231" t="s">
        <v>46</v>
      </c>
      <c r="I231" t="s">
        <v>46</v>
      </c>
      <c r="J231" t="s">
        <v>17</v>
      </c>
      <c r="K231">
        <v>100</v>
      </c>
      <c r="L231">
        <v>80</v>
      </c>
      <c r="M231" t="s">
        <v>1636</v>
      </c>
      <c r="N231" t="s">
        <v>1635</v>
      </c>
    </row>
    <row r="232" spans="1:14" x14ac:dyDescent="0.3">
      <c r="A232">
        <v>1183655</v>
      </c>
      <c r="B232" t="s">
        <v>1627</v>
      </c>
      <c r="C232" t="s">
        <v>1641</v>
      </c>
      <c r="D232" t="s">
        <v>1640</v>
      </c>
      <c r="E232" t="s">
        <v>1639</v>
      </c>
      <c r="F232" t="s">
        <v>1638</v>
      </c>
      <c r="G232" t="s">
        <v>1667</v>
      </c>
      <c r="H232" t="s">
        <v>46</v>
      </c>
      <c r="I232" t="s">
        <v>46</v>
      </c>
      <c r="J232" t="s">
        <v>17</v>
      </c>
      <c r="K232">
        <v>100</v>
      </c>
      <c r="L232">
        <v>80</v>
      </c>
      <c r="M232" t="s">
        <v>1636</v>
      </c>
      <c r="N232" t="s">
        <v>1635</v>
      </c>
    </row>
    <row r="233" spans="1:14" x14ac:dyDescent="0.3">
      <c r="A233">
        <v>1183655</v>
      </c>
      <c r="B233" t="s">
        <v>1627</v>
      </c>
      <c r="C233" t="s">
        <v>1641</v>
      </c>
      <c r="D233" t="s">
        <v>1640</v>
      </c>
      <c r="E233" t="s">
        <v>1639</v>
      </c>
      <c r="F233" t="s">
        <v>1638</v>
      </c>
      <c r="G233" t="s">
        <v>1666</v>
      </c>
      <c r="H233" t="s">
        <v>46</v>
      </c>
      <c r="I233" t="s">
        <v>46</v>
      </c>
      <c r="J233" t="s">
        <v>17</v>
      </c>
      <c r="K233">
        <v>100</v>
      </c>
      <c r="L233">
        <v>80</v>
      </c>
      <c r="M233" t="s">
        <v>1636</v>
      </c>
      <c r="N233" t="s">
        <v>1635</v>
      </c>
    </row>
    <row r="234" spans="1:14" x14ac:dyDescent="0.3">
      <c r="A234">
        <v>1183655</v>
      </c>
      <c r="B234" t="s">
        <v>1627</v>
      </c>
      <c r="C234" t="s">
        <v>1641</v>
      </c>
      <c r="D234" t="s">
        <v>1640</v>
      </c>
      <c r="E234" t="s">
        <v>1639</v>
      </c>
      <c r="F234" t="s">
        <v>1638</v>
      </c>
      <c r="G234" t="s">
        <v>1665</v>
      </c>
      <c r="H234" t="s">
        <v>46</v>
      </c>
      <c r="I234" t="s">
        <v>46</v>
      </c>
      <c r="J234" t="s">
        <v>17</v>
      </c>
      <c r="K234">
        <v>100</v>
      </c>
      <c r="L234">
        <v>80</v>
      </c>
      <c r="M234" t="s">
        <v>1636</v>
      </c>
      <c r="N234" t="s">
        <v>1635</v>
      </c>
    </row>
    <row r="235" spans="1:14" x14ac:dyDescent="0.3">
      <c r="A235">
        <v>1183655</v>
      </c>
      <c r="B235" t="s">
        <v>1627</v>
      </c>
      <c r="C235" t="s">
        <v>1641</v>
      </c>
      <c r="D235" t="s">
        <v>1640</v>
      </c>
      <c r="E235" t="s">
        <v>1639</v>
      </c>
      <c r="F235" t="s">
        <v>1638</v>
      </c>
      <c r="G235" t="s">
        <v>1664</v>
      </c>
      <c r="H235" t="s">
        <v>46</v>
      </c>
      <c r="I235" t="s">
        <v>46</v>
      </c>
      <c r="J235" t="s">
        <v>17</v>
      </c>
      <c r="K235">
        <v>100</v>
      </c>
      <c r="L235">
        <v>80</v>
      </c>
      <c r="M235" t="s">
        <v>1636</v>
      </c>
      <c r="N235" t="s">
        <v>1635</v>
      </c>
    </row>
    <row r="236" spans="1:14" x14ac:dyDescent="0.3">
      <c r="A236">
        <v>1183655</v>
      </c>
      <c r="B236" t="s">
        <v>1627</v>
      </c>
      <c r="C236" t="s">
        <v>1641</v>
      </c>
      <c r="D236" t="s">
        <v>1640</v>
      </c>
      <c r="E236" t="s">
        <v>1639</v>
      </c>
      <c r="F236" t="s">
        <v>1638</v>
      </c>
      <c r="G236" t="s">
        <v>1663</v>
      </c>
      <c r="H236" t="s">
        <v>46</v>
      </c>
      <c r="I236" t="s">
        <v>46</v>
      </c>
      <c r="J236" t="s">
        <v>17</v>
      </c>
      <c r="K236">
        <v>100</v>
      </c>
      <c r="L236">
        <v>80</v>
      </c>
      <c r="M236" t="s">
        <v>1636</v>
      </c>
      <c r="N236" t="s">
        <v>1635</v>
      </c>
    </row>
    <row r="237" spans="1:14" x14ac:dyDescent="0.3">
      <c r="A237">
        <v>1183655</v>
      </c>
      <c r="B237" t="s">
        <v>1627</v>
      </c>
      <c r="C237" t="s">
        <v>1641</v>
      </c>
      <c r="D237" t="s">
        <v>1640</v>
      </c>
      <c r="E237" t="s">
        <v>1639</v>
      </c>
      <c r="F237" t="s">
        <v>1638</v>
      </c>
      <c r="G237" t="s">
        <v>1662</v>
      </c>
      <c r="H237" t="s">
        <v>46</v>
      </c>
      <c r="I237" t="s">
        <v>46</v>
      </c>
      <c r="J237" t="s">
        <v>17</v>
      </c>
      <c r="K237">
        <v>100</v>
      </c>
      <c r="L237">
        <v>80</v>
      </c>
      <c r="M237" t="s">
        <v>1636</v>
      </c>
      <c r="N237" t="s">
        <v>1635</v>
      </c>
    </row>
    <row r="238" spans="1:14" x14ac:dyDescent="0.3">
      <c r="A238">
        <v>1183655</v>
      </c>
      <c r="B238" t="s">
        <v>1627</v>
      </c>
      <c r="C238" t="s">
        <v>1641</v>
      </c>
      <c r="D238" t="s">
        <v>1640</v>
      </c>
      <c r="E238" t="s">
        <v>1639</v>
      </c>
      <c r="F238" t="s">
        <v>1638</v>
      </c>
      <c r="G238" t="s">
        <v>1661</v>
      </c>
      <c r="H238" t="s">
        <v>46</v>
      </c>
      <c r="I238" t="s">
        <v>46</v>
      </c>
      <c r="J238" t="s">
        <v>17</v>
      </c>
      <c r="K238">
        <v>100</v>
      </c>
      <c r="L238">
        <v>80</v>
      </c>
      <c r="M238" t="s">
        <v>1636</v>
      </c>
      <c r="N238" t="s">
        <v>1635</v>
      </c>
    </row>
    <row r="239" spans="1:14" x14ac:dyDescent="0.3">
      <c r="A239">
        <v>1183655</v>
      </c>
      <c r="B239" t="s">
        <v>1627</v>
      </c>
      <c r="C239" t="s">
        <v>1641</v>
      </c>
      <c r="D239" t="s">
        <v>1640</v>
      </c>
      <c r="E239" t="s">
        <v>1639</v>
      </c>
      <c r="F239" t="s">
        <v>1638</v>
      </c>
      <c r="G239" t="s">
        <v>1660</v>
      </c>
      <c r="H239" t="s">
        <v>46</v>
      </c>
      <c r="I239" t="s">
        <v>46</v>
      </c>
      <c r="J239" t="s">
        <v>17</v>
      </c>
      <c r="K239">
        <v>100</v>
      </c>
      <c r="L239">
        <v>80</v>
      </c>
      <c r="M239" t="s">
        <v>1636</v>
      </c>
      <c r="N239" t="s">
        <v>1635</v>
      </c>
    </row>
    <row r="240" spans="1:14" x14ac:dyDescent="0.3">
      <c r="A240">
        <v>1183655</v>
      </c>
      <c r="B240" t="s">
        <v>1627</v>
      </c>
      <c r="C240" t="s">
        <v>1641</v>
      </c>
      <c r="D240" t="s">
        <v>1640</v>
      </c>
      <c r="E240" t="s">
        <v>1639</v>
      </c>
      <c r="F240" t="s">
        <v>1638</v>
      </c>
      <c r="G240" t="s">
        <v>1659</v>
      </c>
      <c r="H240" t="s">
        <v>46</v>
      </c>
      <c r="I240" t="s">
        <v>46</v>
      </c>
      <c r="J240" t="s">
        <v>17</v>
      </c>
      <c r="K240">
        <v>100</v>
      </c>
      <c r="L240">
        <v>80</v>
      </c>
      <c r="M240" t="s">
        <v>1636</v>
      </c>
      <c r="N240" t="s">
        <v>1635</v>
      </c>
    </row>
    <row r="241" spans="1:14" x14ac:dyDescent="0.3">
      <c r="A241">
        <v>1183655</v>
      </c>
      <c r="B241" t="s">
        <v>1627</v>
      </c>
      <c r="C241" t="s">
        <v>1641</v>
      </c>
      <c r="D241" t="s">
        <v>1640</v>
      </c>
      <c r="E241" t="s">
        <v>1639</v>
      </c>
      <c r="F241" t="s">
        <v>1638</v>
      </c>
      <c r="G241" t="s">
        <v>1658</v>
      </c>
      <c r="H241" t="s">
        <v>46</v>
      </c>
      <c r="I241" t="s">
        <v>46</v>
      </c>
      <c r="J241" t="s">
        <v>17</v>
      </c>
      <c r="K241">
        <v>100</v>
      </c>
      <c r="L241">
        <v>80</v>
      </c>
      <c r="M241" t="s">
        <v>1636</v>
      </c>
      <c r="N241" t="s">
        <v>1635</v>
      </c>
    </row>
    <row r="242" spans="1:14" x14ac:dyDescent="0.3">
      <c r="A242">
        <v>1183655</v>
      </c>
      <c r="B242" t="s">
        <v>1627</v>
      </c>
      <c r="C242" t="s">
        <v>1641</v>
      </c>
      <c r="D242" t="s">
        <v>1640</v>
      </c>
      <c r="E242" t="s">
        <v>1639</v>
      </c>
      <c r="F242" t="s">
        <v>1638</v>
      </c>
      <c r="G242" t="s">
        <v>1657</v>
      </c>
      <c r="H242" t="s">
        <v>46</v>
      </c>
      <c r="I242" t="s">
        <v>46</v>
      </c>
      <c r="J242" t="s">
        <v>17</v>
      </c>
      <c r="K242">
        <v>100</v>
      </c>
      <c r="L242">
        <v>80</v>
      </c>
      <c r="M242" t="s">
        <v>1636</v>
      </c>
      <c r="N242" t="s">
        <v>1635</v>
      </c>
    </row>
    <row r="243" spans="1:14" x14ac:dyDescent="0.3">
      <c r="A243">
        <v>1183655</v>
      </c>
      <c r="B243" t="s">
        <v>1627</v>
      </c>
      <c r="C243" t="s">
        <v>1641</v>
      </c>
      <c r="D243" t="s">
        <v>1640</v>
      </c>
      <c r="E243" t="s">
        <v>1639</v>
      </c>
      <c r="F243" t="s">
        <v>1638</v>
      </c>
      <c r="G243" t="s">
        <v>1656</v>
      </c>
      <c r="H243" t="s">
        <v>46</v>
      </c>
      <c r="I243" t="s">
        <v>46</v>
      </c>
      <c r="J243" t="s">
        <v>17</v>
      </c>
      <c r="K243">
        <v>100</v>
      </c>
      <c r="L243">
        <v>80</v>
      </c>
      <c r="M243" t="s">
        <v>1636</v>
      </c>
      <c r="N243" t="s">
        <v>1635</v>
      </c>
    </row>
    <row r="244" spans="1:14" x14ac:dyDescent="0.3">
      <c r="A244">
        <v>1183655</v>
      </c>
      <c r="B244" t="s">
        <v>1627</v>
      </c>
      <c r="C244" t="s">
        <v>1641</v>
      </c>
      <c r="D244" t="s">
        <v>1640</v>
      </c>
      <c r="E244" t="s">
        <v>1639</v>
      </c>
      <c r="F244" t="s">
        <v>1638</v>
      </c>
      <c r="G244" t="s">
        <v>1655</v>
      </c>
      <c r="H244" t="s">
        <v>46</v>
      </c>
      <c r="I244" t="s">
        <v>46</v>
      </c>
      <c r="J244" t="s">
        <v>17</v>
      </c>
      <c r="K244">
        <v>100</v>
      </c>
      <c r="L244">
        <v>80</v>
      </c>
      <c r="M244" t="s">
        <v>1636</v>
      </c>
      <c r="N244" t="s">
        <v>1635</v>
      </c>
    </row>
    <row r="245" spans="1:14" x14ac:dyDescent="0.3">
      <c r="A245">
        <v>1183655</v>
      </c>
      <c r="B245" t="s">
        <v>1627</v>
      </c>
      <c r="C245" t="s">
        <v>1641</v>
      </c>
      <c r="D245" t="s">
        <v>1640</v>
      </c>
      <c r="E245" t="s">
        <v>1639</v>
      </c>
      <c r="F245" t="s">
        <v>1638</v>
      </c>
      <c r="G245" t="s">
        <v>1654</v>
      </c>
      <c r="H245" t="s">
        <v>46</v>
      </c>
      <c r="I245" t="s">
        <v>46</v>
      </c>
      <c r="J245" t="s">
        <v>17</v>
      </c>
      <c r="K245">
        <v>100</v>
      </c>
      <c r="L245">
        <v>80</v>
      </c>
      <c r="M245" t="s">
        <v>1636</v>
      </c>
      <c r="N245" t="s">
        <v>1635</v>
      </c>
    </row>
    <row r="246" spans="1:14" x14ac:dyDescent="0.3">
      <c r="A246">
        <v>1183655</v>
      </c>
      <c r="B246" t="s">
        <v>1627</v>
      </c>
      <c r="C246" t="s">
        <v>1641</v>
      </c>
      <c r="D246" t="s">
        <v>1640</v>
      </c>
      <c r="E246" t="s">
        <v>1639</v>
      </c>
      <c r="F246" t="s">
        <v>1638</v>
      </c>
      <c r="G246" t="s">
        <v>1653</v>
      </c>
      <c r="H246" t="s">
        <v>46</v>
      </c>
      <c r="I246" t="s">
        <v>46</v>
      </c>
      <c r="J246" t="s">
        <v>17</v>
      </c>
      <c r="K246">
        <v>100</v>
      </c>
      <c r="L246">
        <v>80</v>
      </c>
      <c r="M246" t="s">
        <v>1636</v>
      </c>
      <c r="N246" t="s">
        <v>1635</v>
      </c>
    </row>
    <row r="247" spans="1:14" x14ac:dyDescent="0.3">
      <c r="A247">
        <v>1183655</v>
      </c>
      <c r="B247" t="s">
        <v>1627</v>
      </c>
      <c r="C247" t="s">
        <v>1641</v>
      </c>
      <c r="D247" t="s">
        <v>1640</v>
      </c>
      <c r="E247" t="s">
        <v>1639</v>
      </c>
      <c r="F247" t="s">
        <v>1638</v>
      </c>
      <c r="G247" t="s">
        <v>1652</v>
      </c>
      <c r="H247" t="s">
        <v>46</v>
      </c>
      <c r="I247" t="s">
        <v>46</v>
      </c>
      <c r="J247" t="s">
        <v>17</v>
      </c>
      <c r="K247">
        <v>100</v>
      </c>
      <c r="L247">
        <v>80</v>
      </c>
      <c r="M247" t="s">
        <v>1636</v>
      </c>
      <c r="N247" t="s">
        <v>1635</v>
      </c>
    </row>
    <row r="248" spans="1:14" x14ac:dyDescent="0.3">
      <c r="A248">
        <v>1183655</v>
      </c>
      <c r="B248" t="s">
        <v>1627</v>
      </c>
      <c r="C248" t="s">
        <v>1641</v>
      </c>
      <c r="D248" t="s">
        <v>1640</v>
      </c>
      <c r="E248" t="s">
        <v>1639</v>
      </c>
      <c r="F248" t="s">
        <v>1638</v>
      </c>
      <c r="G248" t="s">
        <v>1651</v>
      </c>
      <c r="H248" t="s">
        <v>46</v>
      </c>
      <c r="I248" t="s">
        <v>46</v>
      </c>
      <c r="J248" t="s">
        <v>17</v>
      </c>
      <c r="K248">
        <v>100</v>
      </c>
      <c r="L248">
        <v>80</v>
      </c>
      <c r="M248" t="s">
        <v>1636</v>
      </c>
      <c r="N248" t="s">
        <v>1635</v>
      </c>
    </row>
    <row r="249" spans="1:14" x14ac:dyDescent="0.3">
      <c r="A249">
        <v>1183655</v>
      </c>
      <c r="B249" t="s">
        <v>1627</v>
      </c>
      <c r="C249" t="s">
        <v>1641</v>
      </c>
      <c r="D249" t="s">
        <v>1640</v>
      </c>
      <c r="E249" t="s">
        <v>1639</v>
      </c>
      <c r="F249" t="s">
        <v>1638</v>
      </c>
      <c r="G249" t="s">
        <v>1650</v>
      </c>
      <c r="H249" t="s">
        <v>46</v>
      </c>
      <c r="I249" t="s">
        <v>46</v>
      </c>
      <c r="J249" t="s">
        <v>17</v>
      </c>
      <c r="K249">
        <v>100</v>
      </c>
      <c r="L249">
        <v>80</v>
      </c>
      <c r="M249" t="s">
        <v>1636</v>
      </c>
      <c r="N249" t="s">
        <v>1635</v>
      </c>
    </row>
    <row r="250" spans="1:14" x14ac:dyDescent="0.3">
      <c r="A250">
        <v>1183655</v>
      </c>
      <c r="B250" t="s">
        <v>1627</v>
      </c>
      <c r="C250" t="s">
        <v>1641</v>
      </c>
      <c r="D250" t="s">
        <v>1640</v>
      </c>
      <c r="E250" t="s">
        <v>1639</v>
      </c>
      <c r="F250" t="s">
        <v>1638</v>
      </c>
      <c r="G250" t="s">
        <v>1649</v>
      </c>
      <c r="H250" t="s">
        <v>46</v>
      </c>
      <c r="I250" t="s">
        <v>46</v>
      </c>
      <c r="J250" t="s">
        <v>17</v>
      </c>
      <c r="K250">
        <v>100</v>
      </c>
      <c r="L250">
        <v>80</v>
      </c>
      <c r="M250" t="s">
        <v>1636</v>
      </c>
      <c r="N250" t="s">
        <v>1635</v>
      </c>
    </row>
    <row r="251" spans="1:14" x14ac:dyDescent="0.3">
      <c r="A251">
        <v>1183655</v>
      </c>
      <c r="B251" t="s">
        <v>1627</v>
      </c>
      <c r="C251" t="s">
        <v>1641</v>
      </c>
      <c r="D251" t="s">
        <v>1640</v>
      </c>
      <c r="E251" t="s">
        <v>1639</v>
      </c>
      <c r="F251" t="s">
        <v>1638</v>
      </c>
      <c r="G251" t="s">
        <v>1648</v>
      </c>
      <c r="H251" t="s">
        <v>46</v>
      </c>
      <c r="I251" t="s">
        <v>46</v>
      </c>
      <c r="J251" t="s">
        <v>17</v>
      </c>
      <c r="K251">
        <v>100</v>
      </c>
      <c r="L251">
        <v>80</v>
      </c>
      <c r="M251" t="s">
        <v>1636</v>
      </c>
      <c r="N251" t="s">
        <v>1635</v>
      </c>
    </row>
    <row r="252" spans="1:14" x14ac:dyDescent="0.3">
      <c r="A252">
        <v>1183655</v>
      </c>
      <c r="B252" t="s">
        <v>1627</v>
      </c>
      <c r="C252" t="s">
        <v>1641</v>
      </c>
      <c r="D252" t="s">
        <v>1640</v>
      </c>
      <c r="E252" t="s">
        <v>1639</v>
      </c>
      <c r="F252" t="s">
        <v>1638</v>
      </c>
      <c r="G252" t="s">
        <v>1647</v>
      </c>
      <c r="H252" t="s">
        <v>46</v>
      </c>
      <c r="I252" t="s">
        <v>46</v>
      </c>
      <c r="J252" t="s">
        <v>17</v>
      </c>
      <c r="K252">
        <v>100</v>
      </c>
      <c r="L252">
        <v>80</v>
      </c>
      <c r="M252" t="s">
        <v>1636</v>
      </c>
      <c r="N252" t="s">
        <v>1635</v>
      </c>
    </row>
    <row r="253" spans="1:14" x14ac:dyDescent="0.3">
      <c r="A253">
        <v>1183655</v>
      </c>
      <c r="B253" t="s">
        <v>1627</v>
      </c>
      <c r="C253" t="s">
        <v>1641</v>
      </c>
      <c r="D253" t="s">
        <v>1640</v>
      </c>
      <c r="E253" t="s">
        <v>1639</v>
      </c>
      <c r="F253" t="s">
        <v>1638</v>
      </c>
      <c r="G253" t="s">
        <v>1646</v>
      </c>
      <c r="H253" t="s">
        <v>46</v>
      </c>
      <c r="I253" t="s">
        <v>46</v>
      </c>
      <c r="J253" t="s">
        <v>17</v>
      </c>
      <c r="K253">
        <v>100</v>
      </c>
      <c r="L253">
        <v>80</v>
      </c>
      <c r="M253" t="s">
        <v>1636</v>
      </c>
      <c r="N253" t="s">
        <v>1635</v>
      </c>
    </row>
    <row r="254" spans="1:14" x14ac:dyDescent="0.3">
      <c r="A254">
        <v>1183655</v>
      </c>
      <c r="B254" t="s">
        <v>1627</v>
      </c>
      <c r="C254" t="s">
        <v>1641</v>
      </c>
      <c r="D254" t="s">
        <v>1640</v>
      </c>
      <c r="E254" t="s">
        <v>1639</v>
      </c>
      <c r="F254" t="s">
        <v>1638</v>
      </c>
      <c r="G254" t="s">
        <v>1645</v>
      </c>
      <c r="H254" t="s">
        <v>46</v>
      </c>
      <c r="I254" t="s">
        <v>46</v>
      </c>
      <c r="J254" t="s">
        <v>17</v>
      </c>
      <c r="K254">
        <v>100</v>
      </c>
      <c r="L254">
        <v>80</v>
      </c>
      <c r="M254" t="s">
        <v>1636</v>
      </c>
      <c r="N254" t="s">
        <v>1635</v>
      </c>
    </row>
    <row r="255" spans="1:14" x14ac:dyDescent="0.3">
      <c r="A255">
        <v>1183655</v>
      </c>
      <c r="B255" t="s">
        <v>1627</v>
      </c>
      <c r="C255" t="s">
        <v>1641</v>
      </c>
      <c r="D255" t="s">
        <v>1640</v>
      </c>
      <c r="E255" t="s">
        <v>1639</v>
      </c>
      <c r="F255" t="s">
        <v>1638</v>
      </c>
      <c r="G255" t="s">
        <v>1644</v>
      </c>
      <c r="H255" t="s">
        <v>46</v>
      </c>
      <c r="I255" t="s">
        <v>46</v>
      </c>
      <c r="J255" t="s">
        <v>17</v>
      </c>
      <c r="K255">
        <v>100</v>
      </c>
      <c r="L255">
        <v>80</v>
      </c>
      <c r="M255" t="s">
        <v>1636</v>
      </c>
      <c r="N255" t="s">
        <v>1635</v>
      </c>
    </row>
    <row r="256" spans="1:14" x14ac:dyDescent="0.3">
      <c r="A256">
        <v>1183655</v>
      </c>
      <c r="B256" t="s">
        <v>1627</v>
      </c>
      <c r="C256" t="s">
        <v>1641</v>
      </c>
      <c r="D256" t="s">
        <v>1640</v>
      </c>
      <c r="E256" t="s">
        <v>1639</v>
      </c>
      <c r="F256" t="s">
        <v>1638</v>
      </c>
      <c r="G256" t="s">
        <v>1643</v>
      </c>
      <c r="H256" t="s">
        <v>46</v>
      </c>
      <c r="I256" t="s">
        <v>46</v>
      </c>
      <c r="J256" t="s">
        <v>17</v>
      </c>
      <c r="K256">
        <v>100</v>
      </c>
      <c r="L256">
        <v>80</v>
      </c>
      <c r="M256" t="s">
        <v>1636</v>
      </c>
      <c r="N256" t="s">
        <v>1635</v>
      </c>
    </row>
    <row r="257" spans="1:14" x14ac:dyDescent="0.3">
      <c r="A257">
        <v>1183655</v>
      </c>
      <c r="B257" t="s">
        <v>1627</v>
      </c>
      <c r="C257" t="s">
        <v>1641</v>
      </c>
      <c r="D257" t="s">
        <v>1640</v>
      </c>
      <c r="E257" t="s">
        <v>1639</v>
      </c>
      <c r="F257" t="s">
        <v>1638</v>
      </c>
      <c r="G257" t="s">
        <v>1642</v>
      </c>
      <c r="H257" t="s">
        <v>46</v>
      </c>
      <c r="I257" t="s">
        <v>46</v>
      </c>
      <c r="J257" t="s">
        <v>17</v>
      </c>
      <c r="K257">
        <v>100</v>
      </c>
      <c r="L257">
        <v>80</v>
      </c>
      <c r="M257" t="s">
        <v>1636</v>
      </c>
      <c r="N257" t="s">
        <v>1635</v>
      </c>
    </row>
    <row r="258" spans="1:14" x14ac:dyDescent="0.3">
      <c r="A258">
        <v>1183655</v>
      </c>
      <c r="B258" t="s">
        <v>1627</v>
      </c>
      <c r="C258" t="s">
        <v>1641</v>
      </c>
      <c r="D258" t="s">
        <v>1640</v>
      </c>
      <c r="E258" t="s">
        <v>1639</v>
      </c>
      <c r="F258" t="s">
        <v>1638</v>
      </c>
      <c r="G258" t="s">
        <v>1637</v>
      </c>
      <c r="H258" t="s">
        <v>46</v>
      </c>
      <c r="I258" t="s">
        <v>46</v>
      </c>
      <c r="J258" t="s">
        <v>17</v>
      </c>
      <c r="K258">
        <v>100</v>
      </c>
      <c r="L258">
        <v>80</v>
      </c>
      <c r="M258" t="s">
        <v>1636</v>
      </c>
      <c r="N258" t="s">
        <v>1635</v>
      </c>
    </row>
    <row r="259" spans="1:14" x14ac:dyDescent="0.3">
      <c r="A259">
        <v>1183655</v>
      </c>
      <c r="B259" t="s">
        <v>1627</v>
      </c>
      <c r="C259" t="s">
        <v>1634</v>
      </c>
      <c r="H259" t="s">
        <v>16</v>
      </c>
      <c r="I259" t="s">
        <v>16</v>
      </c>
      <c r="J259" t="s">
        <v>17</v>
      </c>
      <c r="K259">
        <v>0</v>
      </c>
      <c r="L259">
        <v>0</v>
      </c>
    </row>
    <row r="260" spans="1:14" x14ac:dyDescent="0.3">
      <c r="A260">
        <v>1183655</v>
      </c>
      <c r="B260" t="s">
        <v>1627</v>
      </c>
      <c r="C260" t="s">
        <v>1633</v>
      </c>
      <c r="H260" t="s">
        <v>16</v>
      </c>
      <c r="I260" t="s">
        <v>16</v>
      </c>
      <c r="J260" t="s">
        <v>17</v>
      </c>
      <c r="K260">
        <v>0</v>
      </c>
      <c r="L260">
        <v>0</v>
      </c>
    </row>
    <row r="261" spans="1:14" x14ac:dyDescent="0.3">
      <c r="A261">
        <v>1183655</v>
      </c>
      <c r="B261" t="s">
        <v>1627</v>
      </c>
      <c r="C261" t="s">
        <v>1632</v>
      </c>
      <c r="D261" t="s">
        <v>1631</v>
      </c>
      <c r="E261" t="s">
        <v>1630</v>
      </c>
      <c r="H261" t="s">
        <v>46</v>
      </c>
      <c r="I261" t="s">
        <v>46</v>
      </c>
      <c r="J261" t="s">
        <v>17</v>
      </c>
      <c r="K261">
        <v>100</v>
      </c>
      <c r="L261">
        <v>50</v>
      </c>
      <c r="M261" t="s">
        <v>1629</v>
      </c>
      <c r="N261" t="s">
        <v>1628</v>
      </c>
    </row>
    <row r="262" spans="1:14" x14ac:dyDescent="0.3">
      <c r="A262">
        <v>1183655</v>
      </c>
      <c r="B262" t="s">
        <v>1627</v>
      </c>
      <c r="C262" t="s">
        <v>1626</v>
      </c>
      <c r="H262" t="s">
        <v>16</v>
      </c>
      <c r="I262" t="s">
        <v>16</v>
      </c>
      <c r="J262" t="s">
        <v>17</v>
      </c>
      <c r="K262">
        <v>0</v>
      </c>
      <c r="L262">
        <v>0</v>
      </c>
    </row>
    <row r="263" spans="1:14" x14ac:dyDescent="0.3">
      <c r="A263">
        <v>1188399</v>
      </c>
      <c r="B263" t="s">
        <v>1616</v>
      </c>
      <c r="C263" t="s">
        <v>618</v>
      </c>
      <c r="D263" t="s">
        <v>619</v>
      </c>
      <c r="E263" t="s">
        <v>620</v>
      </c>
      <c r="G263" t="s">
        <v>621</v>
      </c>
      <c r="H263" t="s">
        <v>46</v>
      </c>
      <c r="I263" t="s">
        <v>46</v>
      </c>
      <c r="J263" t="s">
        <v>17</v>
      </c>
      <c r="K263">
        <v>100</v>
      </c>
      <c r="L263">
        <v>80</v>
      </c>
      <c r="M263" t="s">
        <v>622</v>
      </c>
      <c r="N263" t="s">
        <v>623</v>
      </c>
    </row>
    <row r="264" spans="1:14" x14ac:dyDescent="0.3">
      <c r="A264">
        <v>1188399</v>
      </c>
      <c r="B264" t="s">
        <v>1616</v>
      </c>
      <c r="C264" t="s">
        <v>618</v>
      </c>
      <c r="D264" t="s">
        <v>619</v>
      </c>
      <c r="E264" t="s">
        <v>620</v>
      </c>
      <c r="G264" t="s">
        <v>624</v>
      </c>
      <c r="H264" t="s">
        <v>46</v>
      </c>
      <c r="I264" t="s">
        <v>46</v>
      </c>
      <c r="J264" t="s">
        <v>17</v>
      </c>
      <c r="K264">
        <v>100</v>
      </c>
      <c r="L264">
        <v>80</v>
      </c>
      <c r="M264" t="s">
        <v>622</v>
      </c>
      <c r="N264" t="s">
        <v>623</v>
      </c>
    </row>
    <row r="265" spans="1:14" x14ac:dyDescent="0.3">
      <c r="A265">
        <v>1188399</v>
      </c>
      <c r="B265" t="s">
        <v>1616</v>
      </c>
      <c r="C265" t="s">
        <v>618</v>
      </c>
      <c r="D265" t="s">
        <v>619</v>
      </c>
      <c r="E265" t="s">
        <v>620</v>
      </c>
      <c r="G265" t="s">
        <v>625</v>
      </c>
      <c r="H265" t="s">
        <v>46</v>
      </c>
      <c r="I265" t="s">
        <v>46</v>
      </c>
      <c r="J265" t="s">
        <v>17</v>
      </c>
      <c r="K265">
        <v>100</v>
      </c>
      <c r="L265">
        <v>80</v>
      </c>
      <c r="M265" t="s">
        <v>622</v>
      </c>
      <c r="N265" t="s">
        <v>623</v>
      </c>
    </row>
    <row r="266" spans="1:14" x14ac:dyDescent="0.3">
      <c r="A266">
        <v>1188399</v>
      </c>
      <c r="B266" t="s">
        <v>1616</v>
      </c>
      <c r="C266" t="s">
        <v>618</v>
      </c>
      <c r="D266" t="s">
        <v>619</v>
      </c>
      <c r="E266" t="s">
        <v>620</v>
      </c>
      <c r="G266" t="s">
        <v>626</v>
      </c>
      <c r="H266" t="s">
        <v>46</v>
      </c>
      <c r="I266" t="s">
        <v>46</v>
      </c>
      <c r="J266" t="s">
        <v>17</v>
      </c>
      <c r="K266">
        <v>100</v>
      </c>
      <c r="L266">
        <v>80</v>
      </c>
      <c r="M266" t="s">
        <v>622</v>
      </c>
      <c r="N266" t="s">
        <v>623</v>
      </c>
    </row>
    <row r="267" spans="1:14" x14ac:dyDescent="0.3">
      <c r="A267">
        <v>1188399</v>
      </c>
      <c r="B267" t="s">
        <v>1616</v>
      </c>
      <c r="C267" t="s">
        <v>1625</v>
      </c>
      <c r="H267" t="s">
        <v>16</v>
      </c>
      <c r="I267" t="s">
        <v>16</v>
      </c>
      <c r="J267" t="s">
        <v>17</v>
      </c>
      <c r="K267">
        <v>0</v>
      </c>
      <c r="L267">
        <v>0</v>
      </c>
    </row>
    <row r="268" spans="1:14" x14ac:dyDescent="0.3">
      <c r="A268">
        <v>1188399</v>
      </c>
      <c r="B268" t="s">
        <v>1616</v>
      </c>
      <c r="C268" t="s">
        <v>1624</v>
      </c>
      <c r="H268" t="s">
        <v>16</v>
      </c>
      <c r="I268" t="s">
        <v>16</v>
      </c>
      <c r="J268" t="s">
        <v>17</v>
      </c>
      <c r="K268">
        <v>0</v>
      </c>
      <c r="L268">
        <v>0</v>
      </c>
    </row>
    <row r="269" spans="1:14" x14ac:dyDescent="0.3">
      <c r="A269">
        <v>1188399</v>
      </c>
      <c r="B269" t="s">
        <v>1616</v>
      </c>
      <c r="C269" t="s">
        <v>1623</v>
      </c>
      <c r="D269" t="s">
        <v>1622</v>
      </c>
      <c r="E269" t="s">
        <v>1621</v>
      </c>
      <c r="G269" t="s">
        <v>101</v>
      </c>
      <c r="H269" t="s">
        <v>22</v>
      </c>
      <c r="I269" t="s">
        <v>22</v>
      </c>
      <c r="J269" t="s">
        <v>17</v>
      </c>
      <c r="K269">
        <v>94.7</v>
      </c>
      <c r="L269">
        <v>111.8</v>
      </c>
    </row>
    <row r="270" spans="1:14" x14ac:dyDescent="0.3">
      <c r="A270">
        <v>1188399</v>
      </c>
      <c r="B270" t="s">
        <v>1616</v>
      </c>
      <c r="C270" t="s">
        <v>1623</v>
      </c>
      <c r="D270" t="s">
        <v>1622</v>
      </c>
      <c r="E270" t="s">
        <v>1621</v>
      </c>
      <c r="G270" t="s">
        <v>102</v>
      </c>
      <c r="H270" t="s">
        <v>22</v>
      </c>
      <c r="I270" t="s">
        <v>22</v>
      </c>
      <c r="J270" t="s">
        <v>17</v>
      </c>
      <c r="K270">
        <v>94.7</v>
      </c>
      <c r="L270">
        <v>111.8</v>
      </c>
    </row>
    <row r="271" spans="1:14" x14ac:dyDescent="0.3">
      <c r="A271">
        <v>1188399</v>
      </c>
      <c r="B271" t="s">
        <v>1616</v>
      </c>
      <c r="C271" t="s">
        <v>1623</v>
      </c>
      <c r="D271" t="s">
        <v>1622</v>
      </c>
      <c r="E271" t="s">
        <v>1621</v>
      </c>
      <c r="G271" t="s">
        <v>103</v>
      </c>
      <c r="H271" t="s">
        <v>22</v>
      </c>
      <c r="I271" t="s">
        <v>22</v>
      </c>
      <c r="J271" t="s">
        <v>17</v>
      </c>
      <c r="K271">
        <v>94.7</v>
      </c>
      <c r="L271">
        <v>111.8</v>
      </c>
    </row>
    <row r="272" spans="1:14" x14ac:dyDescent="0.3">
      <c r="A272">
        <v>1188399</v>
      </c>
      <c r="B272" t="s">
        <v>1616</v>
      </c>
      <c r="C272" t="s">
        <v>1623</v>
      </c>
      <c r="D272" t="s">
        <v>1622</v>
      </c>
      <c r="E272" t="s">
        <v>1621</v>
      </c>
      <c r="G272" t="s">
        <v>104</v>
      </c>
      <c r="H272" t="s">
        <v>22</v>
      </c>
      <c r="I272" t="s">
        <v>22</v>
      </c>
      <c r="J272" t="s">
        <v>17</v>
      </c>
      <c r="K272">
        <v>94.7</v>
      </c>
      <c r="L272">
        <v>111.8</v>
      </c>
    </row>
    <row r="273" spans="1:12" x14ac:dyDescent="0.3">
      <c r="A273">
        <v>1188399</v>
      </c>
      <c r="B273" t="s">
        <v>1616</v>
      </c>
      <c r="C273" t="s">
        <v>1623</v>
      </c>
      <c r="D273" t="s">
        <v>1622</v>
      </c>
      <c r="E273" t="s">
        <v>1621</v>
      </c>
      <c r="G273" t="s">
        <v>105</v>
      </c>
      <c r="H273" t="s">
        <v>22</v>
      </c>
      <c r="I273" t="s">
        <v>22</v>
      </c>
      <c r="J273" t="s">
        <v>17</v>
      </c>
      <c r="K273">
        <v>94.7</v>
      </c>
      <c r="L273">
        <v>111.8</v>
      </c>
    </row>
    <row r="274" spans="1:12" x14ac:dyDescent="0.3">
      <c r="A274">
        <v>1188399</v>
      </c>
      <c r="B274" t="s">
        <v>1616</v>
      </c>
      <c r="C274" t="s">
        <v>1623</v>
      </c>
      <c r="D274" t="s">
        <v>1622</v>
      </c>
      <c r="E274" t="s">
        <v>1621</v>
      </c>
      <c r="G274" t="s">
        <v>106</v>
      </c>
      <c r="H274" t="s">
        <v>22</v>
      </c>
      <c r="I274" t="s">
        <v>22</v>
      </c>
      <c r="J274" t="s">
        <v>17</v>
      </c>
      <c r="K274">
        <v>94.7</v>
      </c>
      <c r="L274">
        <v>111.8</v>
      </c>
    </row>
    <row r="275" spans="1:12" x14ac:dyDescent="0.3">
      <c r="A275">
        <v>1188399</v>
      </c>
      <c r="B275" t="s">
        <v>1616</v>
      </c>
      <c r="C275" t="s">
        <v>1623</v>
      </c>
      <c r="D275" t="s">
        <v>1622</v>
      </c>
      <c r="E275" t="s">
        <v>1621</v>
      </c>
      <c r="G275" t="s">
        <v>107</v>
      </c>
      <c r="H275" t="s">
        <v>22</v>
      </c>
      <c r="I275" t="s">
        <v>22</v>
      </c>
      <c r="J275" t="s">
        <v>17</v>
      </c>
      <c r="K275">
        <v>94.7</v>
      </c>
      <c r="L275">
        <v>111.8</v>
      </c>
    </row>
    <row r="276" spans="1:12" x14ac:dyDescent="0.3">
      <c r="A276">
        <v>1188399</v>
      </c>
      <c r="B276" t="s">
        <v>1616</v>
      </c>
      <c r="C276" t="s">
        <v>1623</v>
      </c>
      <c r="D276" t="s">
        <v>1622</v>
      </c>
      <c r="E276" t="s">
        <v>1621</v>
      </c>
      <c r="G276" t="s">
        <v>108</v>
      </c>
      <c r="H276" t="s">
        <v>22</v>
      </c>
      <c r="I276" t="s">
        <v>22</v>
      </c>
      <c r="J276" t="s">
        <v>17</v>
      </c>
      <c r="K276">
        <v>94.7</v>
      </c>
      <c r="L276">
        <v>111.8</v>
      </c>
    </row>
    <row r="277" spans="1:12" x14ac:dyDescent="0.3">
      <c r="A277">
        <v>1188399</v>
      </c>
      <c r="B277" t="s">
        <v>1616</v>
      </c>
      <c r="C277" t="s">
        <v>1623</v>
      </c>
      <c r="D277" t="s">
        <v>1622</v>
      </c>
      <c r="E277" t="s">
        <v>1621</v>
      </c>
      <c r="G277" t="s">
        <v>109</v>
      </c>
      <c r="H277" t="s">
        <v>22</v>
      </c>
      <c r="I277" t="s">
        <v>22</v>
      </c>
      <c r="J277" t="s">
        <v>17</v>
      </c>
      <c r="K277">
        <v>94.7</v>
      </c>
      <c r="L277">
        <v>111.8</v>
      </c>
    </row>
    <row r="278" spans="1:12" x14ac:dyDescent="0.3">
      <c r="A278">
        <v>1188399</v>
      </c>
      <c r="B278" t="s">
        <v>1616</v>
      </c>
      <c r="C278" t="s">
        <v>1623</v>
      </c>
      <c r="D278" t="s">
        <v>1622</v>
      </c>
      <c r="E278" t="s">
        <v>1621</v>
      </c>
      <c r="G278" t="s">
        <v>110</v>
      </c>
      <c r="H278" t="s">
        <v>22</v>
      </c>
      <c r="I278" t="s">
        <v>22</v>
      </c>
      <c r="J278" t="s">
        <v>17</v>
      </c>
      <c r="K278">
        <v>94.7</v>
      </c>
      <c r="L278">
        <v>111.8</v>
      </c>
    </row>
    <row r="279" spans="1:12" x14ac:dyDescent="0.3">
      <c r="A279">
        <v>1188399</v>
      </c>
      <c r="B279" t="s">
        <v>1616</v>
      </c>
      <c r="C279" t="s">
        <v>1623</v>
      </c>
      <c r="D279" t="s">
        <v>1622</v>
      </c>
      <c r="E279" t="s">
        <v>1621</v>
      </c>
      <c r="G279" t="s">
        <v>111</v>
      </c>
      <c r="H279" t="s">
        <v>22</v>
      </c>
      <c r="I279" t="s">
        <v>22</v>
      </c>
      <c r="J279" t="s">
        <v>17</v>
      </c>
      <c r="K279">
        <v>94.7</v>
      </c>
      <c r="L279">
        <v>111.8</v>
      </c>
    </row>
    <row r="280" spans="1:12" x14ac:dyDescent="0.3">
      <c r="A280">
        <v>1188399</v>
      </c>
      <c r="B280" t="s">
        <v>1616</v>
      </c>
      <c r="C280" t="s">
        <v>1623</v>
      </c>
      <c r="D280" t="s">
        <v>1622</v>
      </c>
      <c r="E280" t="s">
        <v>1621</v>
      </c>
      <c r="G280" t="s">
        <v>112</v>
      </c>
      <c r="H280" t="s">
        <v>22</v>
      </c>
      <c r="I280" t="s">
        <v>22</v>
      </c>
      <c r="J280" t="s">
        <v>17</v>
      </c>
      <c r="K280">
        <v>94.7</v>
      </c>
      <c r="L280">
        <v>111.8</v>
      </c>
    </row>
    <row r="281" spans="1:12" x14ac:dyDescent="0.3">
      <c r="A281">
        <v>1188399</v>
      </c>
      <c r="B281" t="s">
        <v>1616</v>
      </c>
      <c r="C281" t="s">
        <v>1623</v>
      </c>
      <c r="D281" t="s">
        <v>1622</v>
      </c>
      <c r="E281" t="s">
        <v>1621</v>
      </c>
      <c r="G281" t="s">
        <v>113</v>
      </c>
      <c r="H281" t="s">
        <v>22</v>
      </c>
      <c r="I281" t="s">
        <v>22</v>
      </c>
      <c r="J281" t="s">
        <v>17</v>
      </c>
      <c r="K281">
        <v>94.7</v>
      </c>
      <c r="L281">
        <v>111.8</v>
      </c>
    </row>
    <row r="282" spans="1:12" x14ac:dyDescent="0.3">
      <c r="A282">
        <v>1188399</v>
      </c>
      <c r="B282" t="s">
        <v>1616</v>
      </c>
      <c r="C282" t="s">
        <v>1623</v>
      </c>
      <c r="D282" t="s">
        <v>1622</v>
      </c>
      <c r="E282" t="s">
        <v>1621</v>
      </c>
      <c r="G282" t="s">
        <v>114</v>
      </c>
      <c r="H282" t="s">
        <v>22</v>
      </c>
      <c r="I282" t="s">
        <v>22</v>
      </c>
      <c r="J282" t="s">
        <v>17</v>
      </c>
      <c r="K282">
        <v>94.7</v>
      </c>
      <c r="L282">
        <v>111.8</v>
      </c>
    </row>
    <row r="283" spans="1:12" x14ac:dyDescent="0.3">
      <c r="A283">
        <v>1188399</v>
      </c>
      <c r="B283" t="s">
        <v>1616</v>
      </c>
      <c r="C283" t="s">
        <v>1623</v>
      </c>
      <c r="D283" t="s">
        <v>1622</v>
      </c>
      <c r="E283" t="s">
        <v>1621</v>
      </c>
      <c r="G283" t="s">
        <v>115</v>
      </c>
      <c r="H283" t="s">
        <v>22</v>
      </c>
      <c r="I283" t="s">
        <v>22</v>
      </c>
      <c r="J283" t="s">
        <v>17</v>
      </c>
      <c r="K283">
        <v>94.7</v>
      </c>
      <c r="L283">
        <v>111.8</v>
      </c>
    </row>
    <row r="284" spans="1:12" x14ac:dyDescent="0.3">
      <c r="A284">
        <v>1188399</v>
      </c>
      <c r="B284" t="s">
        <v>1616</v>
      </c>
      <c r="C284" t="s">
        <v>1623</v>
      </c>
      <c r="D284" t="s">
        <v>1622</v>
      </c>
      <c r="E284" t="s">
        <v>1621</v>
      </c>
      <c r="G284" t="s">
        <v>116</v>
      </c>
      <c r="H284" t="s">
        <v>22</v>
      </c>
      <c r="I284" t="s">
        <v>22</v>
      </c>
      <c r="J284" t="s">
        <v>17</v>
      </c>
      <c r="K284">
        <v>94.7</v>
      </c>
      <c r="L284">
        <v>111.8</v>
      </c>
    </row>
    <row r="285" spans="1:12" x14ac:dyDescent="0.3">
      <c r="A285">
        <v>1188399</v>
      </c>
      <c r="B285" t="s">
        <v>1616</v>
      </c>
      <c r="C285" t="s">
        <v>1623</v>
      </c>
      <c r="D285" t="s">
        <v>1622</v>
      </c>
      <c r="E285" t="s">
        <v>1621</v>
      </c>
      <c r="G285" t="s">
        <v>117</v>
      </c>
      <c r="H285" t="s">
        <v>22</v>
      </c>
      <c r="I285" t="s">
        <v>22</v>
      </c>
      <c r="J285" t="s">
        <v>17</v>
      </c>
      <c r="K285">
        <v>94.7</v>
      </c>
      <c r="L285">
        <v>111.8</v>
      </c>
    </row>
    <row r="286" spans="1:12" x14ac:dyDescent="0.3">
      <c r="A286">
        <v>1188399</v>
      </c>
      <c r="B286" t="s">
        <v>1616</v>
      </c>
      <c r="C286" t="s">
        <v>1623</v>
      </c>
      <c r="D286" t="s">
        <v>1622</v>
      </c>
      <c r="E286" t="s">
        <v>1621</v>
      </c>
      <c r="G286" t="s">
        <v>118</v>
      </c>
      <c r="H286" t="s">
        <v>22</v>
      </c>
      <c r="I286" t="s">
        <v>22</v>
      </c>
      <c r="J286" t="s">
        <v>17</v>
      </c>
      <c r="K286">
        <v>94.7</v>
      </c>
      <c r="L286">
        <v>111.8</v>
      </c>
    </row>
    <row r="287" spans="1:12" x14ac:dyDescent="0.3">
      <c r="A287">
        <v>1188399</v>
      </c>
      <c r="B287" t="s">
        <v>1616</v>
      </c>
      <c r="C287" t="s">
        <v>1623</v>
      </c>
      <c r="D287" t="s">
        <v>1622</v>
      </c>
      <c r="E287" t="s">
        <v>1621</v>
      </c>
      <c r="G287" t="s">
        <v>119</v>
      </c>
      <c r="H287" t="s">
        <v>22</v>
      </c>
      <c r="I287" t="s">
        <v>22</v>
      </c>
      <c r="J287" t="s">
        <v>17</v>
      </c>
      <c r="K287">
        <v>94.7</v>
      </c>
      <c r="L287">
        <v>111.8</v>
      </c>
    </row>
    <row r="288" spans="1:12" x14ac:dyDescent="0.3">
      <c r="A288">
        <v>1188399</v>
      </c>
      <c r="B288" t="s">
        <v>1616</v>
      </c>
      <c r="C288" t="s">
        <v>1623</v>
      </c>
      <c r="D288" t="s">
        <v>1622</v>
      </c>
      <c r="E288" t="s">
        <v>1621</v>
      </c>
      <c r="G288" t="s">
        <v>120</v>
      </c>
      <c r="H288" t="s">
        <v>22</v>
      </c>
      <c r="I288" t="s">
        <v>22</v>
      </c>
      <c r="J288" t="s">
        <v>17</v>
      </c>
      <c r="K288">
        <v>94.7</v>
      </c>
      <c r="L288">
        <v>111.8</v>
      </c>
    </row>
    <row r="289" spans="1:14" x14ac:dyDescent="0.3">
      <c r="A289">
        <v>1188399</v>
      </c>
      <c r="B289" t="s">
        <v>1616</v>
      </c>
      <c r="C289" t="s">
        <v>1623</v>
      </c>
      <c r="D289" t="s">
        <v>1622</v>
      </c>
      <c r="E289" t="s">
        <v>1621</v>
      </c>
      <c r="G289" t="s">
        <v>121</v>
      </c>
      <c r="H289" t="s">
        <v>22</v>
      </c>
      <c r="I289" t="s">
        <v>22</v>
      </c>
      <c r="J289" t="s">
        <v>17</v>
      </c>
      <c r="K289">
        <v>94.7</v>
      </c>
      <c r="L289">
        <v>111.8</v>
      </c>
    </row>
    <row r="290" spans="1:14" x14ac:dyDescent="0.3">
      <c r="A290">
        <v>1188399</v>
      </c>
      <c r="B290" t="s">
        <v>1616</v>
      </c>
      <c r="C290" t="s">
        <v>1623</v>
      </c>
      <c r="D290" t="s">
        <v>1622</v>
      </c>
      <c r="E290" t="s">
        <v>1621</v>
      </c>
      <c r="G290" t="s">
        <v>122</v>
      </c>
      <c r="H290" t="s">
        <v>22</v>
      </c>
      <c r="I290" t="s">
        <v>22</v>
      </c>
      <c r="J290" t="s">
        <v>17</v>
      </c>
      <c r="K290">
        <v>94.7</v>
      </c>
      <c r="L290">
        <v>111.8</v>
      </c>
    </row>
    <row r="291" spans="1:14" x14ac:dyDescent="0.3">
      <c r="A291">
        <v>1188399</v>
      </c>
      <c r="B291" t="s">
        <v>1616</v>
      </c>
      <c r="C291" t="s">
        <v>1623</v>
      </c>
      <c r="D291" t="s">
        <v>1622</v>
      </c>
      <c r="E291" t="s">
        <v>1621</v>
      </c>
      <c r="G291" t="s">
        <v>123</v>
      </c>
      <c r="H291" t="s">
        <v>22</v>
      </c>
      <c r="I291" t="s">
        <v>22</v>
      </c>
      <c r="J291" t="s">
        <v>17</v>
      </c>
      <c r="K291">
        <v>94.7</v>
      </c>
      <c r="L291">
        <v>111.8</v>
      </c>
    </row>
    <row r="292" spans="1:14" x14ac:dyDescent="0.3">
      <c r="A292">
        <v>1188399</v>
      </c>
      <c r="B292" t="s">
        <v>1616</v>
      </c>
      <c r="C292" t="s">
        <v>1623</v>
      </c>
      <c r="D292" t="s">
        <v>1622</v>
      </c>
      <c r="E292" t="s">
        <v>1621</v>
      </c>
      <c r="G292" t="s">
        <v>124</v>
      </c>
      <c r="H292" t="s">
        <v>22</v>
      </c>
      <c r="I292" t="s">
        <v>22</v>
      </c>
      <c r="J292" t="s">
        <v>17</v>
      </c>
      <c r="K292">
        <v>94.7</v>
      </c>
      <c r="L292">
        <v>111.8</v>
      </c>
    </row>
    <row r="293" spans="1:14" x14ac:dyDescent="0.3">
      <c r="A293">
        <v>1188399</v>
      </c>
      <c r="B293" t="s">
        <v>1616</v>
      </c>
      <c r="C293" t="s">
        <v>1623</v>
      </c>
      <c r="D293" t="s">
        <v>1622</v>
      </c>
      <c r="E293" t="s">
        <v>1621</v>
      </c>
      <c r="G293" t="s">
        <v>125</v>
      </c>
      <c r="H293" t="s">
        <v>22</v>
      </c>
      <c r="I293" t="s">
        <v>22</v>
      </c>
      <c r="J293" t="s">
        <v>17</v>
      </c>
      <c r="K293">
        <v>94.7</v>
      </c>
      <c r="L293">
        <v>111.8</v>
      </c>
    </row>
    <row r="294" spans="1:14" x14ac:dyDescent="0.3">
      <c r="A294">
        <v>1188399</v>
      </c>
      <c r="B294" t="s">
        <v>1616</v>
      </c>
      <c r="C294" t="s">
        <v>1623</v>
      </c>
      <c r="D294" t="s">
        <v>1622</v>
      </c>
      <c r="E294" t="s">
        <v>1621</v>
      </c>
      <c r="G294" t="s">
        <v>126</v>
      </c>
      <c r="H294" t="s">
        <v>22</v>
      </c>
      <c r="I294" t="s">
        <v>22</v>
      </c>
      <c r="J294" t="s">
        <v>17</v>
      </c>
      <c r="K294">
        <v>94.7</v>
      </c>
      <c r="L294">
        <v>111.8</v>
      </c>
    </row>
    <row r="295" spans="1:14" x14ac:dyDescent="0.3">
      <c r="A295">
        <v>1188399</v>
      </c>
      <c r="B295" t="s">
        <v>1616</v>
      </c>
      <c r="C295" t="s">
        <v>1623</v>
      </c>
      <c r="D295" t="s">
        <v>1622</v>
      </c>
      <c r="E295" t="s">
        <v>1621</v>
      </c>
      <c r="G295" t="s">
        <v>127</v>
      </c>
      <c r="H295" t="s">
        <v>22</v>
      </c>
      <c r="I295" t="s">
        <v>22</v>
      </c>
      <c r="J295" t="s">
        <v>17</v>
      </c>
      <c r="K295">
        <v>94.7</v>
      </c>
      <c r="L295">
        <v>111.8</v>
      </c>
    </row>
    <row r="296" spans="1:14" x14ac:dyDescent="0.3">
      <c r="A296">
        <v>1188399</v>
      </c>
      <c r="B296" t="s">
        <v>1616</v>
      </c>
      <c r="C296" t="s">
        <v>1623</v>
      </c>
      <c r="D296" t="s">
        <v>1622</v>
      </c>
      <c r="E296" t="s">
        <v>1621</v>
      </c>
      <c r="G296" t="s">
        <v>128</v>
      </c>
      <c r="H296" t="s">
        <v>22</v>
      </c>
      <c r="I296" t="s">
        <v>22</v>
      </c>
      <c r="J296" t="s">
        <v>17</v>
      </c>
      <c r="K296">
        <v>94.7</v>
      </c>
      <c r="L296">
        <v>111.8</v>
      </c>
    </row>
    <row r="297" spans="1:14" x14ac:dyDescent="0.3">
      <c r="A297">
        <v>1188399</v>
      </c>
      <c r="B297" t="s">
        <v>1616</v>
      </c>
      <c r="C297" t="s">
        <v>1623</v>
      </c>
      <c r="D297" t="s">
        <v>1622</v>
      </c>
      <c r="E297" t="s">
        <v>1621</v>
      </c>
      <c r="G297" t="s">
        <v>129</v>
      </c>
      <c r="H297" t="s">
        <v>22</v>
      </c>
      <c r="I297" t="s">
        <v>22</v>
      </c>
      <c r="J297" t="s">
        <v>17</v>
      </c>
      <c r="K297">
        <v>94.7</v>
      </c>
      <c r="L297">
        <v>111.8</v>
      </c>
    </row>
    <row r="298" spans="1:14" x14ac:dyDescent="0.3">
      <c r="A298">
        <v>1188399</v>
      </c>
      <c r="B298" t="s">
        <v>1616</v>
      </c>
      <c r="C298" t="s">
        <v>1620</v>
      </c>
      <c r="D298" t="s">
        <v>1619</v>
      </c>
      <c r="E298" t="s">
        <v>1618</v>
      </c>
      <c r="G298" t="s">
        <v>1617</v>
      </c>
      <c r="H298" t="s">
        <v>22</v>
      </c>
      <c r="I298" t="s">
        <v>22</v>
      </c>
      <c r="J298" t="s">
        <v>17</v>
      </c>
      <c r="K298">
        <v>93.3</v>
      </c>
      <c r="L298">
        <v>107</v>
      </c>
    </row>
    <row r="299" spans="1:14" x14ac:dyDescent="0.3">
      <c r="A299">
        <v>1188399</v>
      </c>
      <c r="B299" t="s">
        <v>1616</v>
      </c>
      <c r="C299" t="s">
        <v>1620</v>
      </c>
      <c r="D299" t="s">
        <v>1619</v>
      </c>
      <c r="E299" t="s">
        <v>1618</v>
      </c>
      <c r="G299" t="s">
        <v>1617</v>
      </c>
      <c r="H299" t="s">
        <v>22</v>
      </c>
      <c r="I299" t="s">
        <v>22</v>
      </c>
      <c r="J299" t="s">
        <v>17</v>
      </c>
      <c r="K299">
        <v>93.3</v>
      </c>
      <c r="L299">
        <v>107</v>
      </c>
    </row>
    <row r="300" spans="1:14" x14ac:dyDescent="0.3">
      <c r="A300">
        <v>1188399</v>
      </c>
      <c r="B300" t="s">
        <v>1616</v>
      </c>
      <c r="C300" t="s">
        <v>1615</v>
      </c>
      <c r="H300" t="s">
        <v>16</v>
      </c>
      <c r="I300" t="s">
        <v>16</v>
      </c>
      <c r="J300" t="s">
        <v>17</v>
      </c>
      <c r="K300">
        <v>0</v>
      </c>
      <c r="L300">
        <v>0</v>
      </c>
    </row>
    <row r="301" spans="1:14" x14ac:dyDescent="0.3">
      <c r="A301">
        <v>1192565</v>
      </c>
      <c r="B301" t="s">
        <v>1614</v>
      </c>
      <c r="C301" t="s">
        <v>1103</v>
      </c>
      <c r="H301" t="s">
        <v>16</v>
      </c>
      <c r="I301" t="s">
        <v>16</v>
      </c>
      <c r="J301" t="s">
        <v>17</v>
      </c>
      <c r="K301">
        <v>0</v>
      </c>
      <c r="L301">
        <v>0</v>
      </c>
    </row>
    <row r="302" spans="1:14" x14ac:dyDescent="0.3">
      <c r="A302">
        <v>1192565</v>
      </c>
      <c r="B302" t="s">
        <v>1614</v>
      </c>
      <c r="C302" t="s">
        <v>1613</v>
      </c>
      <c r="H302" t="s">
        <v>16</v>
      </c>
      <c r="I302" t="s">
        <v>16</v>
      </c>
      <c r="J302" t="s">
        <v>17</v>
      </c>
      <c r="K302">
        <v>0</v>
      </c>
      <c r="L302">
        <v>0</v>
      </c>
    </row>
    <row r="303" spans="1:14" x14ac:dyDescent="0.3">
      <c r="A303">
        <v>1194190</v>
      </c>
      <c r="B303" t="s">
        <v>1605</v>
      </c>
      <c r="C303" t="s">
        <v>1102</v>
      </c>
      <c r="D303" t="s">
        <v>1101</v>
      </c>
      <c r="E303" t="s">
        <v>1100</v>
      </c>
      <c r="H303" t="s">
        <v>46</v>
      </c>
      <c r="I303" t="s">
        <v>46</v>
      </c>
      <c r="J303" t="s">
        <v>17</v>
      </c>
      <c r="K303">
        <v>100</v>
      </c>
      <c r="L303">
        <v>50</v>
      </c>
      <c r="M303" t="s">
        <v>182</v>
      </c>
      <c r="N303" t="s">
        <v>183</v>
      </c>
    </row>
    <row r="304" spans="1:14" x14ac:dyDescent="0.3">
      <c r="A304">
        <v>1194190</v>
      </c>
      <c r="B304" t="s">
        <v>1605</v>
      </c>
      <c r="C304" t="s">
        <v>1612</v>
      </c>
      <c r="H304" t="s">
        <v>16</v>
      </c>
      <c r="I304" t="s">
        <v>16</v>
      </c>
      <c r="J304" t="s">
        <v>17</v>
      </c>
      <c r="K304">
        <v>0</v>
      </c>
      <c r="L304">
        <v>0</v>
      </c>
    </row>
    <row r="305" spans="1:12" x14ac:dyDescent="0.3">
      <c r="A305">
        <v>1194190</v>
      </c>
      <c r="B305" t="s">
        <v>1605</v>
      </c>
      <c r="C305" t="s">
        <v>1090</v>
      </c>
      <c r="D305" t="s">
        <v>1089</v>
      </c>
      <c r="E305" t="s">
        <v>1088</v>
      </c>
      <c r="G305" t="s">
        <v>1098</v>
      </c>
      <c r="H305" t="s">
        <v>46</v>
      </c>
      <c r="I305" t="s">
        <v>46</v>
      </c>
      <c r="J305" t="s">
        <v>17</v>
      </c>
      <c r="K305">
        <v>100</v>
      </c>
      <c r="L305">
        <v>50</v>
      </c>
    </row>
    <row r="306" spans="1:12" x14ac:dyDescent="0.3">
      <c r="A306">
        <v>1194190</v>
      </c>
      <c r="B306" t="s">
        <v>1605</v>
      </c>
      <c r="C306" t="s">
        <v>1090</v>
      </c>
      <c r="D306" t="s">
        <v>1089</v>
      </c>
      <c r="E306" t="s">
        <v>1088</v>
      </c>
      <c r="G306" t="s">
        <v>1097</v>
      </c>
      <c r="H306" t="s">
        <v>46</v>
      </c>
      <c r="I306" t="s">
        <v>46</v>
      </c>
      <c r="J306" t="s">
        <v>17</v>
      </c>
      <c r="K306">
        <v>100</v>
      </c>
      <c r="L306">
        <v>50</v>
      </c>
    </row>
    <row r="307" spans="1:12" x14ac:dyDescent="0.3">
      <c r="A307">
        <v>1194190</v>
      </c>
      <c r="B307" t="s">
        <v>1605</v>
      </c>
      <c r="C307" t="s">
        <v>1090</v>
      </c>
      <c r="D307" t="s">
        <v>1089</v>
      </c>
      <c r="E307" t="s">
        <v>1088</v>
      </c>
      <c r="G307" t="s">
        <v>1096</v>
      </c>
      <c r="H307" t="s">
        <v>46</v>
      </c>
      <c r="I307" t="s">
        <v>46</v>
      </c>
      <c r="J307" t="s">
        <v>17</v>
      </c>
      <c r="K307">
        <v>100</v>
      </c>
      <c r="L307">
        <v>50</v>
      </c>
    </row>
    <row r="308" spans="1:12" x14ac:dyDescent="0.3">
      <c r="A308">
        <v>1194190</v>
      </c>
      <c r="B308" t="s">
        <v>1605</v>
      </c>
      <c r="C308" t="s">
        <v>1090</v>
      </c>
      <c r="D308" t="s">
        <v>1089</v>
      </c>
      <c r="E308" t="s">
        <v>1088</v>
      </c>
      <c r="G308" t="s">
        <v>1095</v>
      </c>
      <c r="H308" t="s">
        <v>46</v>
      </c>
      <c r="I308" t="s">
        <v>46</v>
      </c>
      <c r="J308" t="s">
        <v>17</v>
      </c>
      <c r="K308">
        <v>100</v>
      </c>
      <c r="L308">
        <v>50</v>
      </c>
    </row>
    <row r="309" spans="1:12" x14ac:dyDescent="0.3">
      <c r="A309">
        <v>1194190</v>
      </c>
      <c r="B309" t="s">
        <v>1605</v>
      </c>
      <c r="C309" t="s">
        <v>1090</v>
      </c>
      <c r="D309" t="s">
        <v>1089</v>
      </c>
      <c r="E309" t="s">
        <v>1088</v>
      </c>
      <c r="G309" t="s">
        <v>1094</v>
      </c>
      <c r="H309" t="s">
        <v>46</v>
      </c>
      <c r="I309" t="s">
        <v>46</v>
      </c>
      <c r="J309" t="s">
        <v>17</v>
      </c>
      <c r="K309">
        <v>100</v>
      </c>
      <c r="L309">
        <v>50</v>
      </c>
    </row>
    <row r="310" spans="1:12" x14ac:dyDescent="0.3">
      <c r="A310">
        <v>1194190</v>
      </c>
      <c r="B310" t="s">
        <v>1605</v>
      </c>
      <c r="C310" t="s">
        <v>1090</v>
      </c>
      <c r="D310" t="s">
        <v>1089</v>
      </c>
      <c r="E310" t="s">
        <v>1088</v>
      </c>
      <c r="G310" t="s">
        <v>1093</v>
      </c>
      <c r="H310" t="s">
        <v>46</v>
      </c>
      <c r="I310" t="s">
        <v>46</v>
      </c>
      <c r="J310" t="s">
        <v>17</v>
      </c>
      <c r="K310">
        <v>100</v>
      </c>
      <c r="L310">
        <v>50</v>
      </c>
    </row>
    <row r="311" spans="1:12" x14ac:dyDescent="0.3">
      <c r="A311">
        <v>1194190</v>
      </c>
      <c r="B311" t="s">
        <v>1605</v>
      </c>
      <c r="C311" t="s">
        <v>1090</v>
      </c>
      <c r="D311" t="s">
        <v>1089</v>
      </c>
      <c r="E311" t="s">
        <v>1088</v>
      </c>
      <c r="G311" t="s">
        <v>1092</v>
      </c>
      <c r="H311" t="s">
        <v>46</v>
      </c>
      <c r="I311" t="s">
        <v>46</v>
      </c>
      <c r="J311" t="s">
        <v>17</v>
      </c>
      <c r="K311">
        <v>100</v>
      </c>
      <c r="L311">
        <v>50</v>
      </c>
    </row>
    <row r="312" spans="1:12" x14ac:dyDescent="0.3">
      <c r="A312">
        <v>1194190</v>
      </c>
      <c r="B312" t="s">
        <v>1605</v>
      </c>
      <c r="C312" t="s">
        <v>1090</v>
      </c>
      <c r="D312" t="s">
        <v>1089</v>
      </c>
      <c r="E312" t="s">
        <v>1088</v>
      </c>
      <c r="G312" t="s">
        <v>1091</v>
      </c>
      <c r="H312" t="s">
        <v>46</v>
      </c>
      <c r="I312" t="s">
        <v>46</v>
      </c>
      <c r="J312" t="s">
        <v>17</v>
      </c>
      <c r="K312">
        <v>100</v>
      </c>
      <c r="L312">
        <v>50</v>
      </c>
    </row>
    <row r="313" spans="1:12" x14ac:dyDescent="0.3">
      <c r="A313">
        <v>1194190</v>
      </c>
      <c r="B313" t="s">
        <v>1605</v>
      </c>
      <c r="C313" t="s">
        <v>1090</v>
      </c>
      <c r="D313" t="s">
        <v>1089</v>
      </c>
      <c r="E313" t="s">
        <v>1088</v>
      </c>
      <c r="G313" t="s">
        <v>1087</v>
      </c>
      <c r="H313" t="s">
        <v>46</v>
      </c>
      <c r="I313" t="s">
        <v>46</v>
      </c>
      <c r="J313" t="s">
        <v>17</v>
      </c>
      <c r="K313">
        <v>100</v>
      </c>
      <c r="L313">
        <v>50</v>
      </c>
    </row>
    <row r="314" spans="1:12" x14ac:dyDescent="0.3">
      <c r="A314">
        <v>1194190</v>
      </c>
      <c r="B314" t="s">
        <v>1605</v>
      </c>
      <c r="C314" t="s">
        <v>1611</v>
      </c>
      <c r="H314" t="s">
        <v>16</v>
      </c>
      <c r="I314" t="s">
        <v>16</v>
      </c>
      <c r="J314" t="s">
        <v>17</v>
      </c>
      <c r="K314">
        <v>0</v>
      </c>
      <c r="L314">
        <v>0</v>
      </c>
    </row>
    <row r="315" spans="1:12" x14ac:dyDescent="0.3">
      <c r="A315">
        <v>1194190</v>
      </c>
      <c r="B315" t="s">
        <v>1605</v>
      </c>
      <c r="C315" t="s">
        <v>1604</v>
      </c>
      <c r="D315" t="s">
        <v>1603</v>
      </c>
      <c r="E315" t="s">
        <v>1602</v>
      </c>
      <c r="G315" t="s">
        <v>1610</v>
      </c>
      <c r="H315" t="s">
        <v>46</v>
      </c>
      <c r="I315" t="s">
        <v>46</v>
      </c>
      <c r="J315" t="s">
        <v>17</v>
      </c>
      <c r="K315">
        <v>100</v>
      </c>
      <c r="L315">
        <v>50</v>
      </c>
    </row>
    <row r="316" spans="1:12" x14ac:dyDescent="0.3">
      <c r="A316">
        <v>1194190</v>
      </c>
      <c r="B316" t="s">
        <v>1605</v>
      </c>
      <c r="C316" t="s">
        <v>1604</v>
      </c>
      <c r="D316" t="s">
        <v>1603</v>
      </c>
      <c r="E316" t="s">
        <v>1602</v>
      </c>
      <c r="G316" t="s">
        <v>1609</v>
      </c>
      <c r="H316" t="s">
        <v>46</v>
      </c>
      <c r="I316" t="s">
        <v>46</v>
      </c>
      <c r="J316" t="s">
        <v>17</v>
      </c>
      <c r="K316">
        <v>100</v>
      </c>
      <c r="L316">
        <v>50</v>
      </c>
    </row>
    <row r="317" spans="1:12" x14ac:dyDescent="0.3">
      <c r="A317">
        <v>1194190</v>
      </c>
      <c r="B317" t="s">
        <v>1605</v>
      </c>
      <c r="C317" t="s">
        <v>1604</v>
      </c>
      <c r="D317" t="s">
        <v>1603</v>
      </c>
      <c r="E317" t="s">
        <v>1602</v>
      </c>
      <c r="G317" t="s">
        <v>1608</v>
      </c>
      <c r="H317" t="s">
        <v>46</v>
      </c>
      <c r="I317" t="s">
        <v>46</v>
      </c>
      <c r="J317" t="s">
        <v>17</v>
      </c>
      <c r="K317">
        <v>100</v>
      </c>
      <c r="L317">
        <v>50</v>
      </c>
    </row>
    <row r="318" spans="1:12" x14ac:dyDescent="0.3">
      <c r="A318">
        <v>1194190</v>
      </c>
      <c r="B318" t="s">
        <v>1605</v>
      </c>
      <c r="C318" t="s">
        <v>1604</v>
      </c>
      <c r="D318" t="s">
        <v>1603</v>
      </c>
      <c r="E318" t="s">
        <v>1602</v>
      </c>
      <c r="G318" t="s">
        <v>1607</v>
      </c>
      <c r="H318" t="s">
        <v>46</v>
      </c>
      <c r="I318" t="s">
        <v>46</v>
      </c>
      <c r="J318" t="s">
        <v>17</v>
      </c>
      <c r="K318">
        <v>100</v>
      </c>
      <c r="L318">
        <v>50</v>
      </c>
    </row>
    <row r="319" spans="1:12" x14ac:dyDescent="0.3">
      <c r="A319">
        <v>1194190</v>
      </c>
      <c r="B319" t="s">
        <v>1605</v>
      </c>
      <c r="C319" t="s">
        <v>1604</v>
      </c>
      <c r="D319" t="s">
        <v>1603</v>
      </c>
      <c r="E319" t="s">
        <v>1602</v>
      </c>
      <c r="G319" t="s">
        <v>1606</v>
      </c>
      <c r="H319" t="s">
        <v>46</v>
      </c>
      <c r="I319" t="s">
        <v>46</v>
      </c>
      <c r="J319" t="s">
        <v>17</v>
      </c>
      <c r="K319">
        <v>100</v>
      </c>
      <c r="L319">
        <v>50</v>
      </c>
    </row>
    <row r="320" spans="1:12" x14ac:dyDescent="0.3">
      <c r="A320">
        <v>1194190</v>
      </c>
      <c r="B320" t="s">
        <v>1605</v>
      </c>
      <c r="C320" t="s">
        <v>1604</v>
      </c>
      <c r="D320" t="s">
        <v>1603</v>
      </c>
      <c r="E320" t="s">
        <v>1602</v>
      </c>
      <c r="G320" t="s">
        <v>1601</v>
      </c>
      <c r="H320" t="s">
        <v>46</v>
      </c>
      <c r="I320" t="s">
        <v>46</v>
      </c>
      <c r="J320" t="s">
        <v>17</v>
      </c>
      <c r="K320">
        <v>100</v>
      </c>
      <c r="L320">
        <v>50</v>
      </c>
    </row>
    <row r="321" spans="1:14" x14ac:dyDescent="0.3">
      <c r="A321">
        <v>1211157</v>
      </c>
      <c r="B321" t="s">
        <v>1229</v>
      </c>
      <c r="C321" t="s">
        <v>1600</v>
      </c>
      <c r="H321" t="s">
        <v>16</v>
      </c>
      <c r="I321" t="s">
        <v>16</v>
      </c>
      <c r="J321" t="s">
        <v>17</v>
      </c>
      <c r="K321">
        <v>0</v>
      </c>
      <c r="L321">
        <v>0</v>
      </c>
    </row>
    <row r="322" spans="1:14" x14ac:dyDescent="0.3">
      <c r="A322">
        <v>1211157</v>
      </c>
      <c r="B322" t="s">
        <v>1229</v>
      </c>
      <c r="C322" t="s">
        <v>1597</v>
      </c>
      <c r="D322" t="s">
        <v>1596</v>
      </c>
      <c r="E322" t="s">
        <v>1595</v>
      </c>
      <c r="G322" t="s">
        <v>1599</v>
      </c>
      <c r="H322" t="s">
        <v>46</v>
      </c>
      <c r="I322" t="s">
        <v>46</v>
      </c>
      <c r="J322" t="s">
        <v>17</v>
      </c>
      <c r="K322">
        <v>100</v>
      </c>
      <c r="L322">
        <v>50</v>
      </c>
    </row>
    <row r="323" spans="1:14" x14ac:dyDescent="0.3">
      <c r="A323">
        <v>1211157</v>
      </c>
      <c r="B323" t="s">
        <v>1229</v>
      </c>
      <c r="C323" t="s">
        <v>1597</v>
      </c>
      <c r="D323" t="s">
        <v>1596</v>
      </c>
      <c r="E323" t="s">
        <v>1595</v>
      </c>
      <c r="G323" t="s">
        <v>1598</v>
      </c>
      <c r="H323" t="s">
        <v>46</v>
      </c>
      <c r="I323" t="s">
        <v>46</v>
      </c>
      <c r="J323" t="s">
        <v>17</v>
      </c>
      <c r="K323">
        <v>100</v>
      </c>
      <c r="L323">
        <v>50</v>
      </c>
    </row>
    <row r="324" spans="1:14" x14ac:dyDescent="0.3">
      <c r="A324">
        <v>1211157</v>
      </c>
      <c r="B324" t="s">
        <v>1229</v>
      </c>
      <c r="C324" t="s">
        <v>1597</v>
      </c>
      <c r="D324" t="s">
        <v>1596</v>
      </c>
      <c r="E324" t="s">
        <v>1595</v>
      </c>
      <c r="G324" t="s">
        <v>1594</v>
      </c>
      <c r="H324" t="s">
        <v>46</v>
      </c>
      <c r="I324" t="s">
        <v>46</v>
      </c>
      <c r="J324" t="s">
        <v>17</v>
      </c>
      <c r="K324">
        <v>100</v>
      </c>
      <c r="L324">
        <v>50</v>
      </c>
    </row>
    <row r="325" spans="1:14" x14ac:dyDescent="0.3">
      <c r="A325">
        <v>1211157</v>
      </c>
      <c r="B325" t="s">
        <v>1229</v>
      </c>
      <c r="C325" t="s">
        <v>1587</v>
      </c>
      <c r="D325" t="s">
        <v>1586</v>
      </c>
      <c r="E325" t="s">
        <v>1585</v>
      </c>
      <c r="F325" t="s">
        <v>1584</v>
      </c>
      <c r="G325" t="s">
        <v>1593</v>
      </c>
      <c r="H325" t="s">
        <v>22</v>
      </c>
      <c r="I325" t="s">
        <v>22</v>
      </c>
      <c r="J325" t="s">
        <v>17</v>
      </c>
      <c r="K325">
        <v>94.1</v>
      </c>
      <c r="L325">
        <v>109.5</v>
      </c>
      <c r="M325" t="s">
        <v>1582</v>
      </c>
      <c r="N325" t="s">
        <v>1581</v>
      </c>
    </row>
    <row r="326" spans="1:14" x14ac:dyDescent="0.3">
      <c r="A326">
        <v>1211157</v>
      </c>
      <c r="B326" t="s">
        <v>1229</v>
      </c>
      <c r="C326" t="s">
        <v>1587</v>
      </c>
      <c r="D326" t="s">
        <v>1586</v>
      </c>
      <c r="E326" t="s">
        <v>1585</v>
      </c>
      <c r="F326" t="s">
        <v>1584</v>
      </c>
      <c r="G326" t="s">
        <v>1592</v>
      </c>
      <c r="H326" t="s">
        <v>22</v>
      </c>
      <c r="I326" t="s">
        <v>22</v>
      </c>
      <c r="J326" t="s">
        <v>17</v>
      </c>
      <c r="K326">
        <v>94.1</v>
      </c>
      <c r="L326">
        <v>109.5</v>
      </c>
      <c r="M326" t="s">
        <v>1582</v>
      </c>
      <c r="N326" t="s">
        <v>1581</v>
      </c>
    </row>
    <row r="327" spans="1:14" x14ac:dyDescent="0.3">
      <c r="A327">
        <v>1211157</v>
      </c>
      <c r="B327" t="s">
        <v>1229</v>
      </c>
      <c r="C327" t="s">
        <v>1587</v>
      </c>
      <c r="D327" t="s">
        <v>1586</v>
      </c>
      <c r="E327" t="s">
        <v>1585</v>
      </c>
      <c r="F327" t="s">
        <v>1584</v>
      </c>
      <c r="G327" t="s">
        <v>1591</v>
      </c>
      <c r="H327" t="s">
        <v>22</v>
      </c>
      <c r="I327" t="s">
        <v>22</v>
      </c>
      <c r="J327" t="s">
        <v>17</v>
      </c>
      <c r="K327">
        <v>94.1</v>
      </c>
      <c r="L327">
        <v>109.5</v>
      </c>
      <c r="M327" t="s">
        <v>1582</v>
      </c>
      <c r="N327" t="s">
        <v>1581</v>
      </c>
    </row>
    <row r="328" spans="1:14" x14ac:dyDescent="0.3">
      <c r="A328">
        <v>1211157</v>
      </c>
      <c r="B328" t="s">
        <v>1229</v>
      </c>
      <c r="C328" t="s">
        <v>1587</v>
      </c>
      <c r="D328" t="s">
        <v>1586</v>
      </c>
      <c r="E328" t="s">
        <v>1585</v>
      </c>
      <c r="F328" t="s">
        <v>1584</v>
      </c>
      <c r="G328" t="s">
        <v>1590</v>
      </c>
      <c r="H328" t="s">
        <v>22</v>
      </c>
      <c r="I328" t="s">
        <v>22</v>
      </c>
      <c r="J328" t="s">
        <v>17</v>
      </c>
      <c r="K328">
        <v>94.1</v>
      </c>
      <c r="L328">
        <v>109.5</v>
      </c>
      <c r="M328" t="s">
        <v>1582</v>
      </c>
      <c r="N328" t="s">
        <v>1581</v>
      </c>
    </row>
    <row r="329" spans="1:14" x14ac:dyDescent="0.3">
      <c r="A329">
        <v>1211157</v>
      </c>
      <c r="B329" t="s">
        <v>1229</v>
      </c>
      <c r="C329" t="s">
        <v>1587</v>
      </c>
      <c r="D329" t="s">
        <v>1586</v>
      </c>
      <c r="E329" t="s">
        <v>1585</v>
      </c>
      <c r="F329" t="s">
        <v>1584</v>
      </c>
      <c r="G329" t="s">
        <v>1589</v>
      </c>
      <c r="H329" t="s">
        <v>22</v>
      </c>
      <c r="I329" t="s">
        <v>22</v>
      </c>
      <c r="J329" t="s">
        <v>17</v>
      </c>
      <c r="K329">
        <v>94.1</v>
      </c>
      <c r="L329">
        <v>109.5</v>
      </c>
      <c r="M329" t="s">
        <v>1582</v>
      </c>
      <c r="N329" t="s">
        <v>1581</v>
      </c>
    </row>
    <row r="330" spans="1:14" x14ac:dyDescent="0.3">
      <c r="A330">
        <v>1211157</v>
      </c>
      <c r="B330" t="s">
        <v>1229</v>
      </c>
      <c r="C330" t="s">
        <v>1587</v>
      </c>
      <c r="D330" t="s">
        <v>1586</v>
      </c>
      <c r="E330" t="s">
        <v>1585</v>
      </c>
      <c r="F330" t="s">
        <v>1584</v>
      </c>
      <c r="G330" t="s">
        <v>1588</v>
      </c>
      <c r="H330" t="s">
        <v>22</v>
      </c>
      <c r="I330" t="s">
        <v>22</v>
      </c>
      <c r="J330" t="s">
        <v>17</v>
      </c>
      <c r="K330">
        <v>94.1</v>
      </c>
      <c r="L330">
        <v>109.5</v>
      </c>
      <c r="M330" t="s">
        <v>1582</v>
      </c>
      <c r="N330" t="s">
        <v>1581</v>
      </c>
    </row>
    <row r="331" spans="1:14" x14ac:dyDescent="0.3">
      <c r="A331">
        <v>1211157</v>
      </c>
      <c r="B331" t="s">
        <v>1229</v>
      </c>
      <c r="C331" t="s">
        <v>1587</v>
      </c>
      <c r="D331" t="s">
        <v>1586</v>
      </c>
      <c r="E331" t="s">
        <v>1585</v>
      </c>
      <c r="F331" t="s">
        <v>1584</v>
      </c>
      <c r="G331" t="s">
        <v>1583</v>
      </c>
      <c r="H331" t="s">
        <v>22</v>
      </c>
      <c r="I331" t="s">
        <v>22</v>
      </c>
      <c r="J331" t="s">
        <v>17</v>
      </c>
      <c r="K331">
        <v>94.1</v>
      </c>
      <c r="L331">
        <v>109.5</v>
      </c>
      <c r="M331" t="s">
        <v>1582</v>
      </c>
      <c r="N331" t="s">
        <v>1581</v>
      </c>
    </row>
    <row r="332" spans="1:14" x14ac:dyDescent="0.3">
      <c r="A332">
        <v>1211157</v>
      </c>
      <c r="B332" t="s">
        <v>1229</v>
      </c>
      <c r="C332" t="s">
        <v>1548</v>
      </c>
      <c r="D332" t="s">
        <v>1547</v>
      </c>
      <c r="E332" t="s">
        <v>1546</v>
      </c>
      <c r="G332" t="s">
        <v>1580</v>
      </c>
      <c r="H332" t="s">
        <v>22</v>
      </c>
      <c r="I332" t="s">
        <v>22</v>
      </c>
      <c r="J332" t="s">
        <v>17</v>
      </c>
      <c r="K332">
        <v>95</v>
      </c>
      <c r="L332">
        <v>109</v>
      </c>
      <c r="M332" t="s">
        <v>1544</v>
      </c>
      <c r="N332" t="s">
        <v>1543</v>
      </c>
    </row>
    <row r="333" spans="1:14" x14ac:dyDescent="0.3">
      <c r="A333">
        <v>1211157</v>
      </c>
      <c r="B333" t="s">
        <v>1229</v>
      </c>
      <c r="C333" t="s">
        <v>1548</v>
      </c>
      <c r="D333" t="s">
        <v>1547</v>
      </c>
      <c r="E333" t="s">
        <v>1546</v>
      </c>
      <c r="G333" t="s">
        <v>1579</v>
      </c>
      <c r="H333" t="s">
        <v>22</v>
      </c>
      <c r="I333" t="s">
        <v>22</v>
      </c>
      <c r="J333" t="s">
        <v>17</v>
      </c>
      <c r="K333">
        <v>95</v>
      </c>
      <c r="L333">
        <v>109</v>
      </c>
      <c r="M333" t="s">
        <v>1544</v>
      </c>
      <c r="N333" t="s">
        <v>1543</v>
      </c>
    </row>
    <row r="334" spans="1:14" x14ac:dyDescent="0.3">
      <c r="A334">
        <v>1211157</v>
      </c>
      <c r="B334" t="s">
        <v>1229</v>
      </c>
      <c r="C334" t="s">
        <v>1548</v>
      </c>
      <c r="D334" t="s">
        <v>1547</v>
      </c>
      <c r="E334" t="s">
        <v>1546</v>
      </c>
      <c r="G334" t="s">
        <v>1578</v>
      </c>
      <c r="H334" t="s">
        <v>22</v>
      </c>
      <c r="I334" t="s">
        <v>22</v>
      </c>
      <c r="J334" t="s">
        <v>17</v>
      </c>
      <c r="K334">
        <v>95</v>
      </c>
      <c r="L334">
        <v>109</v>
      </c>
      <c r="M334" t="s">
        <v>1544</v>
      </c>
      <c r="N334" t="s">
        <v>1543</v>
      </c>
    </row>
    <row r="335" spans="1:14" x14ac:dyDescent="0.3">
      <c r="A335">
        <v>1211157</v>
      </c>
      <c r="B335" t="s">
        <v>1229</v>
      </c>
      <c r="C335" t="s">
        <v>1548</v>
      </c>
      <c r="D335" t="s">
        <v>1547</v>
      </c>
      <c r="E335" t="s">
        <v>1546</v>
      </c>
      <c r="G335" t="s">
        <v>1577</v>
      </c>
      <c r="H335" t="s">
        <v>22</v>
      </c>
      <c r="I335" t="s">
        <v>22</v>
      </c>
      <c r="J335" t="s">
        <v>17</v>
      </c>
      <c r="K335">
        <v>95</v>
      </c>
      <c r="L335">
        <v>109</v>
      </c>
      <c r="M335" t="s">
        <v>1544</v>
      </c>
      <c r="N335" t="s">
        <v>1543</v>
      </c>
    </row>
    <row r="336" spans="1:14" x14ac:dyDescent="0.3">
      <c r="A336">
        <v>1211157</v>
      </c>
      <c r="B336" t="s">
        <v>1229</v>
      </c>
      <c r="C336" t="s">
        <v>1548</v>
      </c>
      <c r="D336" t="s">
        <v>1547</v>
      </c>
      <c r="E336" t="s">
        <v>1546</v>
      </c>
      <c r="G336" t="s">
        <v>1576</v>
      </c>
      <c r="H336" t="s">
        <v>22</v>
      </c>
      <c r="I336" t="s">
        <v>22</v>
      </c>
      <c r="J336" t="s">
        <v>17</v>
      </c>
      <c r="K336">
        <v>95</v>
      </c>
      <c r="L336">
        <v>109</v>
      </c>
      <c r="M336" t="s">
        <v>1544</v>
      </c>
      <c r="N336" t="s">
        <v>1543</v>
      </c>
    </row>
    <row r="337" spans="1:14" x14ac:dyDescent="0.3">
      <c r="A337">
        <v>1211157</v>
      </c>
      <c r="B337" t="s">
        <v>1229</v>
      </c>
      <c r="C337" t="s">
        <v>1548</v>
      </c>
      <c r="D337" t="s">
        <v>1547</v>
      </c>
      <c r="E337" t="s">
        <v>1546</v>
      </c>
      <c r="G337" t="s">
        <v>1575</v>
      </c>
      <c r="H337" t="s">
        <v>22</v>
      </c>
      <c r="I337" t="s">
        <v>22</v>
      </c>
      <c r="J337" t="s">
        <v>17</v>
      </c>
      <c r="K337">
        <v>95</v>
      </c>
      <c r="L337">
        <v>109</v>
      </c>
      <c r="M337" t="s">
        <v>1544</v>
      </c>
      <c r="N337" t="s">
        <v>1543</v>
      </c>
    </row>
    <row r="338" spans="1:14" x14ac:dyDescent="0.3">
      <c r="A338">
        <v>1211157</v>
      </c>
      <c r="B338" t="s">
        <v>1229</v>
      </c>
      <c r="C338" t="s">
        <v>1548</v>
      </c>
      <c r="D338" t="s">
        <v>1547</v>
      </c>
      <c r="E338" t="s">
        <v>1546</v>
      </c>
      <c r="G338" t="s">
        <v>1574</v>
      </c>
      <c r="H338" t="s">
        <v>22</v>
      </c>
      <c r="I338" t="s">
        <v>22</v>
      </c>
      <c r="J338" t="s">
        <v>17</v>
      </c>
      <c r="K338">
        <v>95</v>
      </c>
      <c r="L338">
        <v>109</v>
      </c>
      <c r="M338" t="s">
        <v>1544</v>
      </c>
      <c r="N338" t="s">
        <v>1543</v>
      </c>
    </row>
    <row r="339" spans="1:14" x14ac:dyDescent="0.3">
      <c r="A339">
        <v>1211157</v>
      </c>
      <c r="B339" t="s">
        <v>1229</v>
      </c>
      <c r="C339" t="s">
        <v>1548</v>
      </c>
      <c r="D339" t="s">
        <v>1547</v>
      </c>
      <c r="E339" t="s">
        <v>1546</v>
      </c>
      <c r="G339" t="s">
        <v>1573</v>
      </c>
      <c r="H339" t="s">
        <v>22</v>
      </c>
      <c r="I339" t="s">
        <v>22</v>
      </c>
      <c r="J339" t="s">
        <v>17</v>
      </c>
      <c r="K339">
        <v>95</v>
      </c>
      <c r="L339">
        <v>109</v>
      </c>
      <c r="M339" t="s">
        <v>1544</v>
      </c>
      <c r="N339" t="s">
        <v>1543</v>
      </c>
    </row>
    <row r="340" spans="1:14" x14ac:dyDescent="0.3">
      <c r="A340">
        <v>1211157</v>
      </c>
      <c r="B340" t="s">
        <v>1229</v>
      </c>
      <c r="C340" t="s">
        <v>1548</v>
      </c>
      <c r="D340" t="s">
        <v>1547</v>
      </c>
      <c r="E340" t="s">
        <v>1546</v>
      </c>
      <c r="G340" t="s">
        <v>1572</v>
      </c>
      <c r="H340" t="s">
        <v>22</v>
      </c>
      <c r="I340" t="s">
        <v>22</v>
      </c>
      <c r="J340" t="s">
        <v>17</v>
      </c>
      <c r="K340">
        <v>95</v>
      </c>
      <c r="L340">
        <v>109</v>
      </c>
      <c r="M340" t="s">
        <v>1544</v>
      </c>
      <c r="N340" t="s">
        <v>1543</v>
      </c>
    </row>
    <row r="341" spans="1:14" x14ac:dyDescent="0.3">
      <c r="A341">
        <v>1211157</v>
      </c>
      <c r="B341" t="s">
        <v>1229</v>
      </c>
      <c r="C341" t="s">
        <v>1548</v>
      </c>
      <c r="D341" t="s">
        <v>1547</v>
      </c>
      <c r="E341" t="s">
        <v>1546</v>
      </c>
      <c r="G341" t="s">
        <v>1571</v>
      </c>
      <c r="H341" t="s">
        <v>22</v>
      </c>
      <c r="I341" t="s">
        <v>22</v>
      </c>
      <c r="J341" t="s">
        <v>17</v>
      </c>
      <c r="K341">
        <v>95</v>
      </c>
      <c r="L341">
        <v>109</v>
      </c>
      <c r="M341" t="s">
        <v>1544</v>
      </c>
      <c r="N341" t="s">
        <v>1543</v>
      </c>
    </row>
    <row r="342" spans="1:14" x14ac:dyDescent="0.3">
      <c r="A342">
        <v>1211157</v>
      </c>
      <c r="B342" t="s">
        <v>1229</v>
      </c>
      <c r="C342" t="s">
        <v>1548</v>
      </c>
      <c r="D342" t="s">
        <v>1547</v>
      </c>
      <c r="E342" t="s">
        <v>1546</v>
      </c>
      <c r="G342" t="s">
        <v>1570</v>
      </c>
      <c r="H342" t="s">
        <v>22</v>
      </c>
      <c r="I342" t="s">
        <v>22</v>
      </c>
      <c r="J342" t="s">
        <v>17</v>
      </c>
      <c r="K342">
        <v>95</v>
      </c>
      <c r="L342">
        <v>109</v>
      </c>
      <c r="M342" t="s">
        <v>1544</v>
      </c>
      <c r="N342" t="s">
        <v>1543</v>
      </c>
    </row>
    <row r="343" spans="1:14" x14ac:dyDescent="0.3">
      <c r="A343">
        <v>1211157</v>
      </c>
      <c r="B343" t="s">
        <v>1229</v>
      </c>
      <c r="C343" t="s">
        <v>1548</v>
      </c>
      <c r="D343" t="s">
        <v>1547</v>
      </c>
      <c r="E343" t="s">
        <v>1546</v>
      </c>
      <c r="G343" t="s">
        <v>1569</v>
      </c>
      <c r="H343" t="s">
        <v>22</v>
      </c>
      <c r="I343" t="s">
        <v>22</v>
      </c>
      <c r="J343" t="s">
        <v>17</v>
      </c>
      <c r="K343">
        <v>95</v>
      </c>
      <c r="L343">
        <v>109</v>
      </c>
      <c r="M343" t="s">
        <v>1544</v>
      </c>
      <c r="N343" t="s">
        <v>1543</v>
      </c>
    </row>
    <row r="344" spans="1:14" x14ac:dyDescent="0.3">
      <c r="A344">
        <v>1211157</v>
      </c>
      <c r="B344" t="s">
        <v>1229</v>
      </c>
      <c r="C344" t="s">
        <v>1548</v>
      </c>
      <c r="D344" t="s">
        <v>1547</v>
      </c>
      <c r="E344" t="s">
        <v>1546</v>
      </c>
      <c r="G344" t="s">
        <v>1568</v>
      </c>
      <c r="H344" t="s">
        <v>22</v>
      </c>
      <c r="I344" t="s">
        <v>22</v>
      </c>
      <c r="J344" t="s">
        <v>17</v>
      </c>
      <c r="K344">
        <v>95</v>
      </c>
      <c r="L344">
        <v>109</v>
      </c>
      <c r="M344" t="s">
        <v>1544</v>
      </c>
      <c r="N344" t="s">
        <v>1543</v>
      </c>
    </row>
    <row r="345" spans="1:14" x14ac:dyDescent="0.3">
      <c r="A345">
        <v>1211157</v>
      </c>
      <c r="B345" t="s">
        <v>1229</v>
      </c>
      <c r="C345" t="s">
        <v>1548</v>
      </c>
      <c r="D345" t="s">
        <v>1547</v>
      </c>
      <c r="E345" t="s">
        <v>1546</v>
      </c>
      <c r="G345" t="s">
        <v>1567</v>
      </c>
      <c r="H345" t="s">
        <v>22</v>
      </c>
      <c r="I345" t="s">
        <v>22</v>
      </c>
      <c r="J345" t="s">
        <v>17</v>
      </c>
      <c r="K345">
        <v>95</v>
      </c>
      <c r="L345">
        <v>109</v>
      </c>
      <c r="M345" t="s">
        <v>1544</v>
      </c>
      <c r="N345" t="s">
        <v>1543</v>
      </c>
    </row>
    <row r="346" spans="1:14" x14ac:dyDescent="0.3">
      <c r="A346">
        <v>1211157</v>
      </c>
      <c r="B346" t="s">
        <v>1229</v>
      </c>
      <c r="C346" t="s">
        <v>1548</v>
      </c>
      <c r="D346" t="s">
        <v>1547</v>
      </c>
      <c r="E346" t="s">
        <v>1546</v>
      </c>
      <c r="G346" t="s">
        <v>1566</v>
      </c>
      <c r="H346" t="s">
        <v>22</v>
      </c>
      <c r="I346" t="s">
        <v>22</v>
      </c>
      <c r="J346" t="s">
        <v>17</v>
      </c>
      <c r="K346">
        <v>95</v>
      </c>
      <c r="L346">
        <v>109</v>
      </c>
      <c r="M346" t="s">
        <v>1544</v>
      </c>
      <c r="N346" t="s">
        <v>1543</v>
      </c>
    </row>
    <row r="347" spans="1:14" x14ac:dyDescent="0.3">
      <c r="A347">
        <v>1211157</v>
      </c>
      <c r="B347" t="s">
        <v>1229</v>
      </c>
      <c r="C347" t="s">
        <v>1548</v>
      </c>
      <c r="D347" t="s">
        <v>1547</v>
      </c>
      <c r="E347" t="s">
        <v>1546</v>
      </c>
      <c r="G347" t="s">
        <v>1565</v>
      </c>
      <c r="H347" t="s">
        <v>22</v>
      </c>
      <c r="I347" t="s">
        <v>22</v>
      </c>
      <c r="J347" t="s">
        <v>17</v>
      </c>
      <c r="K347">
        <v>95</v>
      </c>
      <c r="L347">
        <v>109</v>
      </c>
      <c r="M347" t="s">
        <v>1544</v>
      </c>
      <c r="N347" t="s">
        <v>1543</v>
      </c>
    </row>
    <row r="348" spans="1:14" x14ac:dyDescent="0.3">
      <c r="A348">
        <v>1211157</v>
      </c>
      <c r="B348" t="s">
        <v>1229</v>
      </c>
      <c r="C348" t="s">
        <v>1548</v>
      </c>
      <c r="D348" t="s">
        <v>1547</v>
      </c>
      <c r="E348" t="s">
        <v>1546</v>
      </c>
      <c r="G348" t="s">
        <v>1564</v>
      </c>
      <c r="H348" t="s">
        <v>22</v>
      </c>
      <c r="I348" t="s">
        <v>22</v>
      </c>
      <c r="J348" t="s">
        <v>17</v>
      </c>
      <c r="K348">
        <v>95</v>
      </c>
      <c r="L348">
        <v>109</v>
      </c>
      <c r="M348" t="s">
        <v>1544</v>
      </c>
      <c r="N348" t="s">
        <v>1543</v>
      </c>
    </row>
    <row r="349" spans="1:14" x14ac:dyDescent="0.3">
      <c r="A349">
        <v>1211157</v>
      </c>
      <c r="B349" t="s">
        <v>1229</v>
      </c>
      <c r="C349" t="s">
        <v>1548</v>
      </c>
      <c r="D349" t="s">
        <v>1547</v>
      </c>
      <c r="E349" t="s">
        <v>1546</v>
      </c>
      <c r="G349" t="s">
        <v>1563</v>
      </c>
      <c r="H349" t="s">
        <v>22</v>
      </c>
      <c r="I349" t="s">
        <v>22</v>
      </c>
      <c r="J349" t="s">
        <v>17</v>
      </c>
      <c r="K349">
        <v>95</v>
      </c>
      <c r="L349">
        <v>109</v>
      </c>
      <c r="M349" t="s">
        <v>1544</v>
      </c>
      <c r="N349" t="s">
        <v>1543</v>
      </c>
    </row>
    <row r="350" spans="1:14" x14ac:dyDescent="0.3">
      <c r="A350">
        <v>1211157</v>
      </c>
      <c r="B350" t="s">
        <v>1229</v>
      </c>
      <c r="C350" t="s">
        <v>1548</v>
      </c>
      <c r="D350" t="s">
        <v>1547</v>
      </c>
      <c r="E350" t="s">
        <v>1546</v>
      </c>
      <c r="G350" t="s">
        <v>1562</v>
      </c>
      <c r="H350" t="s">
        <v>22</v>
      </c>
      <c r="I350" t="s">
        <v>22</v>
      </c>
      <c r="J350" t="s">
        <v>17</v>
      </c>
      <c r="K350">
        <v>95</v>
      </c>
      <c r="L350">
        <v>109</v>
      </c>
      <c r="M350" t="s">
        <v>1544</v>
      </c>
      <c r="N350" t="s">
        <v>1543</v>
      </c>
    </row>
    <row r="351" spans="1:14" x14ac:dyDescent="0.3">
      <c r="A351">
        <v>1211157</v>
      </c>
      <c r="B351" t="s">
        <v>1229</v>
      </c>
      <c r="C351" t="s">
        <v>1548</v>
      </c>
      <c r="D351" t="s">
        <v>1547</v>
      </c>
      <c r="E351" t="s">
        <v>1546</v>
      </c>
      <c r="G351" t="s">
        <v>1561</v>
      </c>
      <c r="H351" t="s">
        <v>22</v>
      </c>
      <c r="I351" t="s">
        <v>22</v>
      </c>
      <c r="J351" t="s">
        <v>17</v>
      </c>
      <c r="K351">
        <v>95</v>
      </c>
      <c r="L351">
        <v>109</v>
      </c>
      <c r="M351" t="s">
        <v>1544</v>
      </c>
      <c r="N351" t="s">
        <v>1543</v>
      </c>
    </row>
    <row r="352" spans="1:14" x14ac:dyDescent="0.3">
      <c r="A352">
        <v>1211157</v>
      </c>
      <c r="B352" t="s">
        <v>1229</v>
      </c>
      <c r="C352" t="s">
        <v>1548</v>
      </c>
      <c r="D352" t="s">
        <v>1547</v>
      </c>
      <c r="E352" t="s">
        <v>1546</v>
      </c>
      <c r="G352" t="s">
        <v>1560</v>
      </c>
      <c r="H352" t="s">
        <v>22</v>
      </c>
      <c r="I352" t="s">
        <v>22</v>
      </c>
      <c r="J352" t="s">
        <v>17</v>
      </c>
      <c r="K352">
        <v>95</v>
      </c>
      <c r="L352">
        <v>109</v>
      </c>
      <c r="M352" t="s">
        <v>1544</v>
      </c>
      <c r="N352" t="s">
        <v>1543</v>
      </c>
    </row>
    <row r="353" spans="1:14" x14ac:dyDescent="0.3">
      <c r="A353">
        <v>1211157</v>
      </c>
      <c r="B353" t="s">
        <v>1229</v>
      </c>
      <c r="C353" t="s">
        <v>1548</v>
      </c>
      <c r="D353" t="s">
        <v>1547</v>
      </c>
      <c r="E353" t="s">
        <v>1546</v>
      </c>
      <c r="G353" t="s">
        <v>1559</v>
      </c>
      <c r="H353" t="s">
        <v>22</v>
      </c>
      <c r="I353" t="s">
        <v>22</v>
      </c>
      <c r="J353" t="s">
        <v>17</v>
      </c>
      <c r="K353">
        <v>95</v>
      </c>
      <c r="L353">
        <v>109</v>
      </c>
      <c r="M353" t="s">
        <v>1544</v>
      </c>
      <c r="N353" t="s">
        <v>1543</v>
      </c>
    </row>
    <row r="354" spans="1:14" x14ac:dyDescent="0.3">
      <c r="A354">
        <v>1211157</v>
      </c>
      <c r="B354" t="s">
        <v>1229</v>
      </c>
      <c r="C354" t="s">
        <v>1548</v>
      </c>
      <c r="D354" t="s">
        <v>1547</v>
      </c>
      <c r="E354" t="s">
        <v>1546</v>
      </c>
      <c r="G354" t="s">
        <v>1558</v>
      </c>
      <c r="H354" t="s">
        <v>22</v>
      </c>
      <c r="I354" t="s">
        <v>22</v>
      </c>
      <c r="J354" t="s">
        <v>17</v>
      </c>
      <c r="K354">
        <v>95</v>
      </c>
      <c r="L354">
        <v>109</v>
      </c>
      <c r="M354" t="s">
        <v>1544</v>
      </c>
      <c r="N354" t="s">
        <v>1543</v>
      </c>
    </row>
    <row r="355" spans="1:14" x14ac:dyDescent="0.3">
      <c r="A355">
        <v>1211157</v>
      </c>
      <c r="B355" t="s">
        <v>1229</v>
      </c>
      <c r="C355" t="s">
        <v>1548</v>
      </c>
      <c r="D355" t="s">
        <v>1547</v>
      </c>
      <c r="E355" t="s">
        <v>1546</v>
      </c>
      <c r="G355" t="s">
        <v>1557</v>
      </c>
      <c r="H355" t="s">
        <v>22</v>
      </c>
      <c r="I355" t="s">
        <v>22</v>
      </c>
      <c r="J355" t="s">
        <v>17</v>
      </c>
      <c r="K355">
        <v>95</v>
      </c>
      <c r="L355">
        <v>109</v>
      </c>
      <c r="M355" t="s">
        <v>1544</v>
      </c>
      <c r="N355" t="s">
        <v>1543</v>
      </c>
    </row>
    <row r="356" spans="1:14" x14ac:dyDescent="0.3">
      <c r="A356">
        <v>1211157</v>
      </c>
      <c r="B356" t="s">
        <v>1229</v>
      </c>
      <c r="C356" t="s">
        <v>1548</v>
      </c>
      <c r="D356" t="s">
        <v>1547</v>
      </c>
      <c r="E356" t="s">
        <v>1546</v>
      </c>
      <c r="G356" t="s">
        <v>1556</v>
      </c>
      <c r="H356" t="s">
        <v>22</v>
      </c>
      <c r="I356" t="s">
        <v>22</v>
      </c>
      <c r="J356" t="s">
        <v>17</v>
      </c>
      <c r="K356">
        <v>95</v>
      </c>
      <c r="L356">
        <v>109</v>
      </c>
      <c r="M356" t="s">
        <v>1544</v>
      </c>
      <c r="N356" t="s">
        <v>1543</v>
      </c>
    </row>
    <row r="357" spans="1:14" x14ac:dyDescent="0.3">
      <c r="A357">
        <v>1211157</v>
      </c>
      <c r="B357" t="s">
        <v>1229</v>
      </c>
      <c r="C357" t="s">
        <v>1548</v>
      </c>
      <c r="D357" t="s">
        <v>1547</v>
      </c>
      <c r="E357" t="s">
        <v>1546</v>
      </c>
      <c r="G357" t="s">
        <v>1555</v>
      </c>
      <c r="H357" t="s">
        <v>22</v>
      </c>
      <c r="I357" t="s">
        <v>22</v>
      </c>
      <c r="J357" t="s">
        <v>17</v>
      </c>
      <c r="K357">
        <v>95</v>
      </c>
      <c r="L357">
        <v>109</v>
      </c>
      <c r="M357" t="s">
        <v>1544</v>
      </c>
      <c r="N357" t="s">
        <v>1543</v>
      </c>
    </row>
    <row r="358" spans="1:14" x14ac:dyDescent="0.3">
      <c r="A358">
        <v>1211157</v>
      </c>
      <c r="B358" t="s">
        <v>1229</v>
      </c>
      <c r="C358" t="s">
        <v>1548</v>
      </c>
      <c r="D358" t="s">
        <v>1547</v>
      </c>
      <c r="E358" t="s">
        <v>1546</v>
      </c>
      <c r="G358" t="s">
        <v>1554</v>
      </c>
      <c r="H358" t="s">
        <v>22</v>
      </c>
      <c r="I358" t="s">
        <v>22</v>
      </c>
      <c r="J358" t="s">
        <v>17</v>
      </c>
      <c r="K358">
        <v>95</v>
      </c>
      <c r="L358">
        <v>109</v>
      </c>
      <c r="M358" t="s">
        <v>1544</v>
      </c>
      <c r="N358" t="s">
        <v>1543</v>
      </c>
    </row>
    <row r="359" spans="1:14" x14ac:dyDescent="0.3">
      <c r="A359">
        <v>1211157</v>
      </c>
      <c r="B359" t="s">
        <v>1229</v>
      </c>
      <c r="C359" t="s">
        <v>1548</v>
      </c>
      <c r="D359" t="s">
        <v>1547</v>
      </c>
      <c r="E359" t="s">
        <v>1546</v>
      </c>
      <c r="G359" t="s">
        <v>1553</v>
      </c>
      <c r="H359" t="s">
        <v>22</v>
      </c>
      <c r="I359" t="s">
        <v>22</v>
      </c>
      <c r="J359" t="s">
        <v>17</v>
      </c>
      <c r="K359">
        <v>95</v>
      </c>
      <c r="L359">
        <v>109</v>
      </c>
      <c r="M359" t="s">
        <v>1544</v>
      </c>
      <c r="N359" t="s">
        <v>1543</v>
      </c>
    </row>
    <row r="360" spans="1:14" x14ac:dyDescent="0.3">
      <c r="A360">
        <v>1211157</v>
      </c>
      <c r="B360" t="s">
        <v>1229</v>
      </c>
      <c r="C360" t="s">
        <v>1548</v>
      </c>
      <c r="D360" t="s">
        <v>1547</v>
      </c>
      <c r="E360" t="s">
        <v>1546</v>
      </c>
      <c r="G360" t="s">
        <v>1552</v>
      </c>
      <c r="H360" t="s">
        <v>22</v>
      </c>
      <c r="I360" t="s">
        <v>22</v>
      </c>
      <c r="J360" t="s">
        <v>17</v>
      </c>
      <c r="K360">
        <v>95</v>
      </c>
      <c r="L360">
        <v>109</v>
      </c>
      <c r="M360" t="s">
        <v>1544</v>
      </c>
      <c r="N360" t="s">
        <v>1543</v>
      </c>
    </row>
    <row r="361" spans="1:14" x14ac:dyDescent="0.3">
      <c r="A361">
        <v>1211157</v>
      </c>
      <c r="B361" t="s">
        <v>1229</v>
      </c>
      <c r="C361" t="s">
        <v>1548</v>
      </c>
      <c r="D361" t="s">
        <v>1547</v>
      </c>
      <c r="E361" t="s">
        <v>1546</v>
      </c>
      <c r="G361" t="s">
        <v>1551</v>
      </c>
      <c r="H361" t="s">
        <v>22</v>
      </c>
      <c r="I361" t="s">
        <v>22</v>
      </c>
      <c r="J361" t="s">
        <v>17</v>
      </c>
      <c r="K361">
        <v>95</v>
      </c>
      <c r="L361">
        <v>109</v>
      </c>
      <c r="M361" t="s">
        <v>1544</v>
      </c>
      <c r="N361" t="s">
        <v>1543</v>
      </c>
    </row>
    <row r="362" spans="1:14" x14ac:dyDescent="0.3">
      <c r="A362">
        <v>1211157</v>
      </c>
      <c r="B362" t="s">
        <v>1229</v>
      </c>
      <c r="C362" t="s">
        <v>1548</v>
      </c>
      <c r="D362" t="s">
        <v>1547</v>
      </c>
      <c r="E362" t="s">
        <v>1546</v>
      </c>
      <c r="G362" t="s">
        <v>1550</v>
      </c>
      <c r="H362" t="s">
        <v>22</v>
      </c>
      <c r="I362" t="s">
        <v>22</v>
      </c>
      <c r="J362" t="s">
        <v>17</v>
      </c>
      <c r="K362">
        <v>95</v>
      </c>
      <c r="L362">
        <v>109</v>
      </c>
      <c r="M362" t="s">
        <v>1544</v>
      </c>
      <c r="N362" t="s">
        <v>1543</v>
      </c>
    </row>
    <row r="363" spans="1:14" x14ac:dyDescent="0.3">
      <c r="A363">
        <v>1211157</v>
      </c>
      <c r="B363" t="s">
        <v>1229</v>
      </c>
      <c r="C363" t="s">
        <v>1548</v>
      </c>
      <c r="D363" t="s">
        <v>1547</v>
      </c>
      <c r="E363" t="s">
        <v>1546</v>
      </c>
      <c r="G363" t="s">
        <v>1549</v>
      </c>
      <c r="H363" t="s">
        <v>22</v>
      </c>
      <c r="I363" t="s">
        <v>22</v>
      </c>
      <c r="J363" t="s">
        <v>17</v>
      </c>
      <c r="K363">
        <v>95</v>
      </c>
      <c r="L363">
        <v>109</v>
      </c>
      <c r="M363" t="s">
        <v>1544</v>
      </c>
      <c r="N363" t="s">
        <v>1543</v>
      </c>
    </row>
    <row r="364" spans="1:14" x14ac:dyDescent="0.3">
      <c r="A364">
        <v>1211157</v>
      </c>
      <c r="B364" t="s">
        <v>1229</v>
      </c>
      <c r="C364" t="s">
        <v>1548</v>
      </c>
      <c r="D364" t="s">
        <v>1547</v>
      </c>
      <c r="E364" t="s">
        <v>1546</v>
      </c>
      <c r="G364" t="s">
        <v>1545</v>
      </c>
      <c r="H364" t="s">
        <v>22</v>
      </c>
      <c r="I364" t="s">
        <v>22</v>
      </c>
      <c r="J364" t="s">
        <v>17</v>
      </c>
      <c r="K364">
        <v>95</v>
      </c>
      <c r="L364">
        <v>109</v>
      </c>
      <c r="M364" t="s">
        <v>1544</v>
      </c>
      <c r="N364" t="s">
        <v>1543</v>
      </c>
    </row>
    <row r="365" spans="1:14" x14ac:dyDescent="0.3">
      <c r="A365">
        <v>1211157</v>
      </c>
      <c r="B365" t="s">
        <v>1229</v>
      </c>
      <c r="C365" t="s">
        <v>1528</v>
      </c>
      <c r="D365" t="s">
        <v>1527</v>
      </c>
      <c r="E365" t="s">
        <v>1526</v>
      </c>
      <c r="G365" t="s">
        <v>1542</v>
      </c>
      <c r="H365" t="s">
        <v>22</v>
      </c>
      <c r="I365" t="s">
        <v>22</v>
      </c>
      <c r="J365" t="s">
        <v>17</v>
      </c>
      <c r="K365">
        <v>92.3</v>
      </c>
      <c r="L365">
        <v>107.4</v>
      </c>
    </row>
    <row r="366" spans="1:14" x14ac:dyDescent="0.3">
      <c r="A366">
        <v>1211157</v>
      </c>
      <c r="B366" t="s">
        <v>1229</v>
      </c>
      <c r="C366" t="s">
        <v>1528</v>
      </c>
      <c r="D366" t="s">
        <v>1527</v>
      </c>
      <c r="E366" t="s">
        <v>1526</v>
      </c>
      <c r="G366" t="s">
        <v>1541</v>
      </c>
      <c r="H366" t="s">
        <v>22</v>
      </c>
      <c r="I366" t="s">
        <v>22</v>
      </c>
      <c r="J366" t="s">
        <v>17</v>
      </c>
      <c r="K366">
        <v>92.3</v>
      </c>
      <c r="L366">
        <v>107.4</v>
      </c>
    </row>
    <row r="367" spans="1:14" x14ac:dyDescent="0.3">
      <c r="A367">
        <v>1211157</v>
      </c>
      <c r="B367" t="s">
        <v>1229</v>
      </c>
      <c r="C367" t="s">
        <v>1528</v>
      </c>
      <c r="D367" t="s">
        <v>1527</v>
      </c>
      <c r="E367" t="s">
        <v>1526</v>
      </c>
      <c r="G367" t="s">
        <v>1540</v>
      </c>
      <c r="H367" t="s">
        <v>22</v>
      </c>
      <c r="I367" t="s">
        <v>22</v>
      </c>
      <c r="J367" t="s">
        <v>17</v>
      </c>
      <c r="K367">
        <v>92.3</v>
      </c>
      <c r="L367">
        <v>107.4</v>
      </c>
    </row>
    <row r="368" spans="1:14" x14ac:dyDescent="0.3">
      <c r="A368">
        <v>1211157</v>
      </c>
      <c r="B368" t="s">
        <v>1229</v>
      </c>
      <c r="C368" t="s">
        <v>1528</v>
      </c>
      <c r="D368" t="s">
        <v>1527</v>
      </c>
      <c r="E368" t="s">
        <v>1526</v>
      </c>
      <c r="G368" t="s">
        <v>1539</v>
      </c>
      <c r="H368" t="s">
        <v>22</v>
      </c>
      <c r="I368" t="s">
        <v>22</v>
      </c>
      <c r="J368" t="s">
        <v>17</v>
      </c>
      <c r="K368">
        <v>92.3</v>
      </c>
      <c r="L368">
        <v>107.4</v>
      </c>
    </row>
    <row r="369" spans="1:14" x14ac:dyDescent="0.3">
      <c r="A369">
        <v>1211157</v>
      </c>
      <c r="B369" t="s">
        <v>1229</v>
      </c>
      <c r="C369" t="s">
        <v>1528</v>
      </c>
      <c r="D369" t="s">
        <v>1527</v>
      </c>
      <c r="E369" t="s">
        <v>1526</v>
      </c>
      <c r="G369" t="s">
        <v>1538</v>
      </c>
      <c r="H369" t="s">
        <v>22</v>
      </c>
      <c r="I369" t="s">
        <v>22</v>
      </c>
      <c r="J369" t="s">
        <v>17</v>
      </c>
      <c r="K369">
        <v>92.3</v>
      </c>
      <c r="L369">
        <v>107.4</v>
      </c>
    </row>
    <row r="370" spans="1:14" x14ac:dyDescent="0.3">
      <c r="A370">
        <v>1211157</v>
      </c>
      <c r="B370" t="s">
        <v>1229</v>
      </c>
      <c r="C370" t="s">
        <v>1528</v>
      </c>
      <c r="D370" t="s">
        <v>1527</v>
      </c>
      <c r="E370" t="s">
        <v>1526</v>
      </c>
      <c r="G370" t="s">
        <v>1537</v>
      </c>
      <c r="H370" t="s">
        <v>22</v>
      </c>
      <c r="I370" t="s">
        <v>22</v>
      </c>
      <c r="J370" t="s">
        <v>17</v>
      </c>
      <c r="K370">
        <v>92.3</v>
      </c>
      <c r="L370">
        <v>107.4</v>
      </c>
    </row>
    <row r="371" spans="1:14" x14ac:dyDescent="0.3">
      <c r="A371">
        <v>1211157</v>
      </c>
      <c r="B371" t="s">
        <v>1229</v>
      </c>
      <c r="C371" t="s">
        <v>1528</v>
      </c>
      <c r="D371" t="s">
        <v>1527</v>
      </c>
      <c r="E371" t="s">
        <v>1526</v>
      </c>
      <c r="G371" t="s">
        <v>1536</v>
      </c>
      <c r="H371" t="s">
        <v>22</v>
      </c>
      <c r="I371" t="s">
        <v>22</v>
      </c>
      <c r="J371" t="s">
        <v>17</v>
      </c>
      <c r="K371">
        <v>92.3</v>
      </c>
      <c r="L371">
        <v>107.4</v>
      </c>
    </row>
    <row r="372" spans="1:14" x14ac:dyDescent="0.3">
      <c r="A372">
        <v>1211157</v>
      </c>
      <c r="B372" t="s">
        <v>1229</v>
      </c>
      <c r="C372" t="s">
        <v>1528</v>
      </c>
      <c r="D372" t="s">
        <v>1527</v>
      </c>
      <c r="E372" t="s">
        <v>1526</v>
      </c>
      <c r="G372" t="s">
        <v>1535</v>
      </c>
      <c r="H372" t="s">
        <v>22</v>
      </c>
      <c r="I372" t="s">
        <v>22</v>
      </c>
      <c r="J372" t="s">
        <v>17</v>
      </c>
      <c r="K372">
        <v>92.3</v>
      </c>
      <c r="L372">
        <v>107.4</v>
      </c>
    </row>
    <row r="373" spans="1:14" x14ac:dyDescent="0.3">
      <c r="A373">
        <v>1211157</v>
      </c>
      <c r="B373" t="s">
        <v>1229</v>
      </c>
      <c r="C373" t="s">
        <v>1528</v>
      </c>
      <c r="D373" t="s">
        <v>1527</v>
      </c>
      <c r="E373" t="s">
        <v>1526</v>
      </c>
      <c r="G373" t="s">
        <v>1534</v>
      </c>
      <c r="H373" t="s">
        <v>22</v>
      </c>
      <c r="I373" t="s">
        <v>22</v>
      </c>
      <c r="J373" t="s">
        <v>17</v>
      </c>
      <c r="K373">
        <v>92.3</v>
      </c>
      <c r="L373">
        <v>107.4</v>
      </c>
    </row>
    <row r="374" spans="1:14" x14ac:dyDescent="0.3">
      <c r="A374">
        <v>1211157</v>
      </c>
      <c r="B374" t="s">
        <v>1229</v>
      </c>
      <c r="C374" t="s">
        <v>1528</v>
      </c>
      <c r="D374" t="s">
        <v>1527</v>
      </c>
      <c r="E374" t="s">
        <v>1526</v>
      </c>
      <c r="G374" t="s">
        <v>1533</v>
      </c>
      <c r="H374" t="s">
        <v>22</v>
      </c>
      <c r="I374" t="s">
        <v>22</v>
      </c>
      <c r="J374" t="s">
        <v>17</v>
      </c>
      <c r="K374">
        <v>92.3</v>
      </c>
      <c r="L374">
        <v>107.4</v>
      </c>
    </row>
    <row r="375" spans="1:14" x14ac:dyDescent="0.3">
      <c r="A375">
        <v>1211157</v>
      </c>
      <c r="B375" t="s">
        <v>1229</v>
      </c>
      <c r="C375" t="s">
        <v>1528</v>
      </c>
      <c r="D375" t="s">
        <v>1527</v>
      </c>
      <c r="E375" t="s">
        <v>1526</v>
      </c>
      <c r="G375" t="s">
        <v>1532</v>
      </c>
      <c r="H375" t="s">
        <v>22</v>
      </c>
      <c r="I375" t="s">
        <v>22</v>
      </c>
      <c r="J375" t="s">
        <v>17</v>
      </c>
      <c r="K375">
        <v>92.3</v>
      </c>
      <c r="L375">
        <v>107.4</v>
      </c>
    </row>
    <row r="376" spans="1:14" x14ac:dyDescent="0.3">
      <c r="A376">
        <v>1211157</v>
      </c>
      <c r="B376" t="s">
        <v>1229</v>
      </c>
      <c r="C376" t="s">
        <v>1528</v>
      </c>
      <c r="D376" t="s">
        <v>1527</v>
      </c>
      <c r="E376" t="s">
        <v>1526</v>
      </c>
      <c r="G376" t="s">
        <v>1531</v>
      </c>
      <c r="H376" t="s">
        <v>22</v>
      </c>
      <c r="I376" t="s">
        <v>22</v>
      </c>
      <c r="J376" t="s">
        <v>17</v>
      </c>
      <c r="K376">
        <v>92.3</v>
      </c>
      <c r="L376">
        <v>107.4</v>
      </c>
    </row>
    <row r="377" spans="1:14" x14ac:dyDescent="0.3">
      <c r="A377">
        <v>1211157</v>
      </c>
      <c r="B377" t="s">
        <v>1229</v>
      </c>
      <c r="C377" t="s">
        <v>1528</v>
      </c>
      <c r="D377" t="s">
        <v>1527</v>
      </c>
      <c r="E377" t="s">
        <v>1526</v>
      </c>
      <c r="G377" t="s">
        <v>1530</v>
      </c>
      <c r="H377" t="s">
        <v>22</v>
      </c>
      <c r="I377" t="s">
        <v>22</v>
      </c>
      <c r="J377" t="s">
        <v>17</v>
      </c>
      <c r="K377">
        <v>92.3</v>
      </c>
      <c r="L377">
        <v>107.4</v>
      </c>
    </row>
    <row r="378" spans="1:14" x14ac:dyDescent="0.3">
      <c r="A378">
        <v>1211157</v>
      </c>
      <c r="B378" t="s">
        <v>1229</v>
      </c>
      <c r="C378" t="s">
        <v>1528</v>
      </c>
      <c r="D378" t="s">
        <v>1527</v>
      </c>
      <c r="E378" t="s">
        <v>1526</v>
      </c>
      <c r="G378" t="s">
        <v>1529</v>
      </c>
      <c r="H378" t="s">
        <v>22</v>
      </c>
      <c r="I378" t="s">
        <v>22</v>
      </c>
      <c r="J378" t="s">
        <v>17</v>
      </c>
      <c r="K378">
        <v>92.3</v>
      </c>
      <c r="L378">
        <v>107.4</v>
      </c>
    </row>
    <row r="379" spans="1:14" x14ac:dyDescent="0.3">
      <c r="A379">
        <v>1211157</v>
      </c>
      <c r="B379" t="s">
        <v>1229</v>
      </c>
      <c r="C379" t="s">
        <v>1528</v>
      </c>
      <c r="D379" t="s">
        <v>1527</v>
      </c>
      <c r="E379" t="s">
        <v>1526</v>
      </c>
      <c r="G379" t="s">
        <v>1525</v>
      </c>
      <c r="H379" t="s">
        <v>22</v>
      </c>
      <c r="I379" t="s">
        <v>22</v>
      </c>
      <c r="J379" t="s">
        <v>17</v>
      </c>
      <c r="K379">
        <v>92.3</v>
      </c>
      <c r="L379">
        <v>107.4</v>
      </c>
    </row>
    <row r="380" spans="1:14" x14ac:dyDescent="0.3">
      <c r="A380">
        <v>1211157</v>
      </c>
      <c r="B380" t="s">
        <v>1229</v>
      </c>
      <c r="C380" t="s">
        <v>1524</v>
      </c>
      <c r="H380" t="s">
        <v>16</v>
      </c>
      <c r="I380" t="s">
        <v>16</v>
      </c>
      <c r="J380" t="s">
        <v>17</v>
      </c>
      <c r="K380">
        <v>0</v>
      </c>
      <c r="L380">
        <v>0</v>
      </c>
    </row>
    <row r="381" spans="1:14" x14ac:dyDescent="0.3">
      <c r="A381">
        <v>1211157</v>
      </c>
      <c r="B381" t="s">
        <v>1229</v>
      </c>
      <c r="C381" t="s">
        <v>1523</v>
      </c>
      <c r="D381" t="s">
        <v>1523</v>
      </c>
      <c r="E381" t="s">
        <v>1522</v>
      </c>
      <c r="H381" t="s">
        <v>22</v>
      </c>
      <c r="I381" t="s">
        <v>22</v>
      </c>
      <c r="J381" t="s">
        <v>17</v>
      </c>
      <c r="K381">
        <v>100</v>
      </c>
      <c r="L381">
        <v>111</v>
      </c>
      <c r="M381" t="s">
        <v>182</v>
      </c>
      <c r="N381" t="s">
        <v>183</v>
      </c>
    </row>
    <row r="382" spans="1:14" x14ac:dyDescent="0.3">
      <c r="A382">
        <v>1211157</v>
      </c>
      <c r="B382" t="s">
        <v>1229</v>
      </c>
      <c r="C382" t="s">
        <v>1521</v>
      </c>
      <c r="H382" t="s">
        <v>16</v>
      </c>
      <c r="I382" t="s">
        <v>16</v>
      </c>
      <c r="J382" t="s">
        <v>17</v>
      </c>
      <c r="K382">
        <v>0</v>
      </c>
      <c r="L382">
        <v>0</v>
      </c>
    </row>
    <row r="383" spans="1:14" x14ac:dyDescent="0.3">
      <c r="A383">
        <v>1211157</v>
      </c>
      <c r="B383" t="s">
        <v>1229</v>
      </c>
      <c r="C383" t="s">
        <v>1520</v>
      </c>
      <c r="H383" t="s">
        <v>16</v>
      </c>
      <c r="I383" t="s">
        <v>16</v>
      </c>
      <c r="J383" t="s">
        <v>17</v>
      </c>
      <c r="K383">
        <v>0</v>
      </c>
      <c r="L383">
        <v>0</v>
      </c>
    </row>
    <row r="384" spans="1:14" x14ac:dyDescent="0.3">
      <c r="A384">
        <v>1211157</v>
      </c>
      <c r="B384" t="s">
        <v>1229</v>
      </c>
      <c r="C384" t="s">
        <v>1519</v>
      </c>
      <c r="H384" t="s">
        <v>16</v>
      </c>
      <c r="I384" t="s">
        <v>16</v>
      </c>
      <c r="J384" t="s">
        <v>17</v>
      </c>
      <c r="K384">
        <v>0</v>
      </c>
      <c r="L384">
        <v>0</v>
      </c>
    </row>
    <row r="385" spans="1:14" x14ac:dyDescent="0.3">
      <c r="A385">
        <v>1211157</v>
      </c>
      <c r="B385" t="s">
        <v>1229</v>
      </c>
      <c r="C385" t="s">
        <v>1518</v>
      </c>
      <c r="D385" t="s">
        <v>1518</v>
      </c>
      <c r="E385" t="s">
        <v>1517</v>
      </c>
      <c r="H385" t="s">
        <v>22</v>
      </c>
      <c r="I385" t="s">
        <v>22</v>
      </c>
      <c r="J385" t="s">
        <v>17</v>
      </c>
      <c r="K385">
        <v>100</v>
      </c>
      <c r="L385">
        <v>110</v>
      </c>
      <c r="M385" t="s">
        <v>182</v>
      </c>
      <c r="N385" t="s">
        <v>183</v>
      </c>
    </row>
    <row r="386" spans="1:14" x14ac:dyDescent="0.3">
      <c r="A386">
        <v>1211157</v>
      </c>
      <c r="B386" t="s">
        <v>1229</v>
      </c>
      <c r="C386" t="s">
        <v>1516</v>
      </c>
      <c r="H386" t="s">
        <v>16</v>
      </c>
      <c r="I386" t="s">
        <v>16</v>
      </c>
      <c r="J386" t="s">
        <v>17</v>
      </c>
      <c r="K386">
        <v>0</v>
      </c>
      <c r="L386">
        <v>0</v>
      </c>
    </row>
    <row r="387" spans="1:14" x14ac:dyDescent="0.3">
      <c r="A387">
        <v>1211157</v>
      </c>
      <c r="B387" t="s">
        <v>1229</v>
      </c>
      <c r="C387" t="s">
        <v>1515</v>
      </c>
      <c r="D387" t="s">
        <v>1514</v>
      </c>
      <c r="E387" t="s">
        <v>1513</v>
      </c>
      <c r="H387" t="s">
        <v>22</v>
      </c>
      <c r="I387" t="s">
        <v>22</v>
      </c>
      <c r="J387" t="s">
        <v>17</v>
      </c>
      <c r="K387">
        <v>77.3</v>
      </c>
      <c r="L387">
        <v>52.4</v>
      </c>
      <c r="M387" t="s">
        <v>1512</v>
      </c>
      <c r="N387" t="s">
        <v>1511</v>
      </c>
    </row>
    <row r="388" spans="1:14" x14ac:dyDescent="0.3">
      <c r="A388">
        <v>1211157</v>
      </c>
      <c r="B388" t="s">
        <v>1229</v>
      </c>
      <c r="C388" t="s">
        <v>1506</v>
      </c>
      <c r="D388" t="s">
        <v>1505</v>
      </c>
      <c r="E388" t="s">
        <v>1504</v>
      </c>
      <c r="G388" t="s">
        <v>1510</v>
      </c>
      <c r="H388" t="s">
        <v>46</v>
      </c>
      <c r="I388" t="s">
        <v>46</v>
      </c>
      <c r="J388" t="s">
        <v>17</v>
      </c>
      <c r="K388">
        <v>100</v>
      </c>
      <c r="L388">
        <v>50</v>
      </c>
    </row>
    <row r="389" spans="1:14" x14ac:dyDescent="0.3">
      <c r="A389">
        <v>1211157</v>
      </c>
      <c r="B389" t="s">
        <v>1229</v>
      </c>
      <c r="C389" t="s">
        <v>1506</v>
      </c>
      <c r="D389" t="s">
        <v>1505</v>
      </c>
      <c r="E389" t="s">
        <v>1504</v>
      </c>
      <c r="G389" t="s">
        <v>1509</v>
      </c>
      <c r="H389" t="s">
        <v>46</v>
      </c>
      <c r="I389" t="s">
        <v>46</v>
      </c>
      <c r="J389" t="s">
        <v>17</v>
      </c>
      <c r="K389">
        <v>100</v>
      </c>
      <c r="L389">
        <v>50</v>
      </c>
    </row>
    <row r="390" spans="1:14" x14ac:dyDescent="0.3">
      <c r="A390">
        <v>1211157</v>
      </c>
      <c r="B390" t="s">
        <v>1229</v>
      </c>
      <c r="C390" t="s">
        <v>1506</v>
      </c>
      <c r="D390" t="s">
        <v>1505</v>
      </c>
      <c r="E390" t="s">
        <v>1504</v>
      </c>
      <c r="G390" t="s">
        <v>1508</v>
      </c>
      <c r="H390" t="s">
        <v>46</v>
      </c>
      <c r="I390" t="s">
        <v>46</v>
      </c>
      <c r="J390" t="s">
        <v>17</v>
      </c>
      <c r="K390">
        <v>100</v>
      </c>
      <c r="L390">
        <v>50</v>
      </c>
    </row>
    <row r="391" spans="1:14" x14ac:dyDescent="0.3">
      <c r="A391">
        <v>1211157</v>
      </c>
      <c r="B391" t="s">
        <v>1229</v>
      </c>
      <c r="C391" t="s">
        <v>1506</v>
      </c>
      <c r="D391" t="s">
        <v>1505</v>
      </c>
      <c r="E391" t="s">
        <v>1504</v>
      </c>
      <c r="G391" t="s">
        <v>1507</v>
      </c>
      <c r="H391" t="s">
        <v>46</v>
      </c>
      <c r="I391" t="s">
        <v>46</v>
      </c>
      <c r="J391" t="s">
        <v>17</v>
      </c>
      <c r="K391">
        <v>100</v>
      </c>
      <c r="L391">
        <v>50</v>
      </c>
    </row>
    <row r="392" spans="1:14" x14ac:dyDescent="0.3">
      <c r="A392">
        <v>1211157</v>
      </c>
      <c r="B392" t="s">
        <v>1229</v>
      </c>
      <c r="C392" t="s">
        <v>1506</v>
      </c>
      <c r="D392" t="s">
        <v>1505</v>
      </c>
      <c r="E392" t="s">
        <v>1504</v>
      </c>
      <c r="G392" t="s">
        <v>1503</v>
      </c>
      <c r="H392" t="s">
        <v>46</v>
      </c>
      <c r="I392" t="s">
        <v>46</v>
      </c>
      <c r="J392" t="s">
        <v>17</v>
      </c>
      <c r="K392">
        <v>100</v>
      </c>
      <c r="L392">
        <v>50</v>
      </c>
    </row>
    <row r="393" spans="1:14" x14ac:dyDescent="0.3">
      <c r="A393">
        <v>1211157</v>
      </c>
      <c r="B393" t="s">
        <v>1229</v>
      </c>
      <c r="C393" t="s">
        <v>1491</v>
      </c>
      <c r="D393" t="s">
        <v>1490</v>
      </c>
      <c r="E393" t="s">
        <v>1489</v>
      </c>
      <c r="G393" t="s">
        <v>1502</v>
      </c>
      <c r="H393" t="s">
        <v>46</v>
      </c>
      <c r="I393" t="s">
        <v>46</v>
      </c>
      <c r="J393" t="s">
        <v>17</v>
      </c>
      <c r="K393">
        <v>100</v>
      </c>
      <c r="L393">
        <v>50</v>
      </c>
    </row>
    <row r="394" spans="1:14" x14ac:dyDescent="0.3">
      <c r="A394">
        <v>1211157</v>
      </c>
      <c r="B394" t="s">
        <v>1229</v>
      </c>
      <c r="C394" t="s">
        <v>1491</v>
      </c>
      <c r="D394" t="s">
        <v>1490</v>
      </c>
      <c r="E394" t="s">
        <v>1489</v>
      </c>
      <c r="G394" t="s">
        <v>1501</v>
      </c>
      <c r="H394" t="s">
        <v>46</v>
      </c>
      <c r="I394" t="s">
        <v>46</v>
      </c>
      <c r="J394" t="s">
        <v>17</v>
      </c>
      <c r="K394">
        <v>100</v>
      </c>
      <c r="L394">
        <v>50</v>
      </c>
    </row>
    <row r="395" spans="1:14" x14ac:dyDescent="0.3">
      <c r="A395">
        <v>1211157</v>
      </c>
      <c r="B395" t="s">
        <v>1229</v>
      </c>
      <c r="C395" t="s">
        <v>1491</v>
      </c>
      <c r="D395" t="s">
        <v>1490</v>
      </c>
      <c r="E395" t="s">
        <v>1489</v>
      </c>
      <c r="G395" t="s">
        <v>1500</v>
      </c>
      <c r="H395" t="s">
        <v>46</v>
      </c>
      <c r="I395" t="s">
        <v>46</v>
      </c>
      <c r="J395" t="s">
        <v>17</v>
      </c>
      <c r="K395">
        <v>100</v>
      </c>
      <c r="L395">
        <v>50</v>
      </c>
    </row>
    <row r="396" spans="1:14" x14ac:dyDescent="0.3">
      <c r="A396">
        <v>1211157</v>
      </c>
      <c r="B396" t="s">
        <v>1229</v>
      </c>
      <c r="C396" t="s">
        <v>1491</v>
      </c>
      <c r="D396" t="s">
        <v>1490</v>
      </c>
      <c r="E396" t="s">
        <v>1489</v>
      </c>
      <c r="G396" t="s">
        <v>1499</v>
      </c>
      <c r="H396" t="s">
        <v>46</v>
      </c>
      <c r="I396" t="s">
        <v>46</v>
      </c>
      <c r="J396" t="s">
        <v>17</v>
      </c>
      <c r="K396">
        <v>100</v>
      </c>
      <c r="L396">
        <v>50</v>
      </c>
    </row>
    <row r="397" spans="1:14" x14ac:dyDescent="0.3">
      <c r="A397">
        <v>1211157</v>
      </c>
      <c r="B397" t="s">
        <v>1229</v>
      </c>
      <c r="C397" t="s">
        <v>1491</v>
      </c>
      <c r="D397" t="s">
        <v>1490</v>
      </c>
      <c r="E397" t="s">
        <v>1489</v>
      </c>
      <c r="G397" t="s">
        <v>1498</v>
      </c>
      <c r="H397" t="s">
        <v>46</v>
      </c>
      <c r="I397" t="s">
        <v>46</v>
      </c>
      <c r="J397" t="s">
        <v>17</v>
      </c>
      <c r="K397">
        <v>100</v>
      </c>
      <c r="L397">
        <v>50</v>
      </c>
    </row>
    <row r="398" spans="1:14" x14ac:dyDescent="0.3">
      <c r="A398">
        <v>1211157</v>
      </c>
      <c r="B398" t="s">
        <v>1229</v>
      </c>
      <c r="C398" t="s">
        <v>1491</v>
      </c>
      <c r="D398" t="s">
        <v>1490</v>
      </c>
      <c r="E398" t="s">
        <v>1489</v>
      </c>
      <c r="G398" t="s">
        <v>1497</v>
      </c>
      <c r="H398" t="s">
        <v>46</v>
      </c>
      <c r="I398" t="s">
        <v>46</v>
      </c>
      <c r="J398" t="s">
        <v>17</v>
      </c>
      <c r="K398">
        <v>100</v>
      </c>
      <c r="L398">
        <v>50</v>
      </c>
    </row>
    <row r="399" spans="1:14" x14ac:dyDescent="0.3">
      <c r="A399">
        <v>1211157</v>
      </c>
      <c r="B399" t="s">
        <v>1229</v>
      </c>
      <c r="C399" t="s">
        <v>1491</v>
      </c>
      <c r="D399" t="s">
        <v>1490</v>
      </c>
      <c r="E399" t="s">
        <v>1489</v>
      </c>
      <c r="G399" t="s">
        <v>1496</v>
      </c>
      <c r="H399" t="s">
        <v>46</v>
      </c>
      <c r="I399" t="s">
        <v>46</v>
      </c>
      <c r="J399" t="s">
        <v>17</v>
      </c>
      <c r="K399">
        <v>100</v>
      </c>
      <c r="L399">
        <v>50</v>
      </c>
    </row>
    <row r="400" spans="1:14" x14ac:dyDescent="0.3">
      <c r="A400">
        <v>1211157</v>
      </c>
      <c r="B400" t="s">
        <v>1229</v>
      </c>
      <c r="C400" t="s">
        <v>1491</v>
      </c>
      <c r="D400" t="s">
        <v>1490</v>
      </c>
      <c r="E400" t="s">
        <v>1489</v>
      </c>
      <c r="G400" t="s">
        <v>1495</v>
      </c>
      <c r="H400" t="s">
        <v>46</v>
      </c>
      <c r="I400" t="s">
        <v>46</v>
      </c>
      <c r="J400" t="s">
        <v>17</v>
      </c>
      <c r="K400">
        <v>100</v>
      </c>
      <c r="L400">
        <v>50</v>
      </c>
    </row>
    <row r="401" spans="1:14" x14ac:dyDescent="0.3">
      <c r="A401">
        <v>1211157</v>
      </c>
      <c r="B401" t="s">
        <v>1229</v>
      </c>
      <c r="C401" t="s">
        <v>1491</v>
      </c>
      <c r="D401" t="s">
        <v>1490</v>
      </c>
      <c r="E401" t="s">
        <v>1489</v>
      </c>
      <c r="G401" t="s">
        <v>1494</v>
      </c>
      <c r="H401" t="s">
        <v>46</v>
      </c>
      <c r="I401" t="s">
        <v>46</v>
      </c>
      <c r="J401" t="s">
        <v>17</v>
      </c>
      <c r="K401">
        <v>100</v>
      </c>
      <c r="L401">
        <v>50</v>
      </c>
    </row>
    <row r="402" spans="1:14" x14ac:dyDescent="0.3">
      <c r="A402">
        <v>1211157</v>
      </c>
      <c r="B402" t="s">
        <v>1229</v>
      </c>
      <c r="C402" t="s">
        <v>1491</v>
      </c>
      <c r="D402" t="s">
        <v>1490</v>
      </c>
      <c r="E402" t="s">
        <v>1489</v>
      </c>
      <c r="G402" t="s">
        <v>1493</v>
      </c>
      <c r="H402" t="s">
        <v>46</v>
      </c>
      <c r="I402" t="s">
        <v>46</v>
      </c>
      <c r="J402" t="s">
        <v>17</v>
      </c>
      <c r="K402">
        <v>100</v>
      </c>
      <c r="L402">
        <v>50</v>
      </c>
    </row>
    <row r="403" spans="1:14" x14ac:dyDescent="0.3">
      <c r="A403">
        <v>1211157</v>
      </c>
      <c r="B403" t="s">
        <v>1229</v>
      </c>
      <c r="C403" t="s">
        <v>1491</v>
      </c>
      <c r="D403" t="s">
        <v>1490</v>
      </c>
      <c r="E403" t="s">
        <v>1489</v>
      </c>
      <c r="G403" t="s">
        <v>1492</v>
      </c>
      <c r="H403" t="s">
        <v>46</v>
      </c>
      <c r="I403" t="s">
        <v>46</v>
      </c>
      <c r="J403" t="s">
        <v>17</v>
      </c>
      <c r="K403">
        <v>100</v>
      </c>
      <c r="L403">
        <v>50</v>
      </c>
    </row>
    <row r="404" spans="1:14" x14ac:dyDescent="0.3">
      <c r="A404">
        <v>1211157</v>
      </c>
      <c r="B404" t="s">
        <v>1229</v>
      </c>
      <c r="C404" t="s">
        <v>1491</v>
      </c>
      <c r="D404" t="s">
        <v>1490</v>
      </c>
      <c r="E404" t="s">
        <v>1489</v>
      </c>
      <c r="G404" t="s">
        <v>1488</v>
      </c>
      <c r="H404" t="s">
        <v>46</v>
      </c>
      <c r="I404" t="s">
        <v>46</v>
      </c>
      <c r="J404" t="s">
        <v>17</v>
      </c>
      <c r="K404">
        <v>100</v>
      </c>
      <c r="L404">
        <v>50</v>
      </c>
    </row>
    <row r="405" spans="1:14" x14ac:dyDescent="0.3">
      <c r="A405">
        <v>1211157</v>
      </c>
      <c r="B405" t="s">
        <v>1229</v>
      </c>
      <c r="C405" t="s">
        <v>1487</v>
      </c>
      <c r="H405" t="s">
        <v>16</v>
      </c>
      <c r="I405" t="s">
        <v>16</v>
      </c>
      <c r="J405" t="s">
        <v>17</v>
      </c>
      <c r="K405">
        <v>0</v>
      </c>
      <c r="L405">
        <v>0</v>
      </c>
    </row>
    <row r="406" spans="1:14" x14ac:dyDescent="0.3">
      <c r="A406">
        <v>1211157</v>
      </c>
      <c r="B406" t="s">
        <v>1229</v>
      </c>
      <c r="C406" t="s">
        <v>1469</v>
      </c>
      <c r="D406" t="s">
        <v>1468</v>
      </c>
      <c r="E406" t="s">
        <v>1467</v>
      </c>
      <c r="G406" t="s">
        <v>1486</v>
      </c>
      <c r="H406" t="s">
        <v>22</v>
      </c>
      <c r="I406" t="s">
        <v>22</v>
      </c>
      <c r="J406" t="s">
        <v>17</v>
      </c>
      <c r="K406">
        <v>90.9</v>
      </c>
      <c r="L406">
        <v>109.5</v>
      </c>
      <c r="M406" t="s">
        <v>1465</v>
      </c>
      <c r="N406" t="s">
        <v>1464</v>
      </c>
    </row>
    <row r="407" spans="1:14" x14ac:dyDescent="0.3">
      <c r="A407">
        <v>1211157</v>
      </c>
      <c r="B407" t="s">
        <v>1229</v>
      </c>
      <c r="C407" t="s">
        <v>1469</v>
      </c>
      <c r="D407" t="s">
        <v>1468</v>
      </c>
      <c r="E407" t="s">
        <v>1467</v>
      </c>
      <c r="G407" t="s">
        <v>1485</v>
      </c>
      <c r="H407" t="s">
        <v>22</v>
      </c>
      <c r="I407" t="s">
        <v>22</v>
      </c>
      <c r="J407" t="s">
        <v>17</v>
      </c>
      <c r="K407">
        <v>90.9</v>
      </c>
      <c r="L407">
        <v>109.5</v>
      </c>
      <c r="M407" t="s">
        <v>1465</v>
      </c>
      <c r="N407" t="s">
        <v>1464</v>
      </c>
    </row>
    <row r="408" spans="1:14" x14ac:dyDescent="0.3">
      <c r="A408">
        <v>1211157</v>
      </c>
      <c r="B408" t="s">
        <v>1229</v>
      </c>
      <c r="C408" t="s">
        <v>1469</v>
      </c>
      <c r="D408" t="s">
        <v>1468</v>
      </c>
      <c r="E408" t="s">
        <v>1467</v>
      </c>
      <c r="G408" t="s">
        <v>1484</v>
      </c>
      <c r="H408" t="s">
        <v>22</v>
      </c>
      <c r="I408" t="s">
        <v>22</v>
      </c>
      <c r="J408" t="s">
        <v>17</v>
      </c>
      <c r="K408">
        <v>90.9</v>
      </c>
      <c r="L408">
        <v>109.5</v>
      </c>
      <c r="M408" t="s">
        <v>1465</v>
      </c>
      <c r="N408" t="s">
        <v>1464</v>
      </c>
    </row>
    <row r="409" spans="1:14" x14ac:dyDescent="0.3">
      <c r="A409">
        <v>1211157</v>
      </c>
      <c r="B409" t="s">
        <v>1229</v>
      </c>
      <c r="C409" t="s">
        <v>1469</v>
      </c>
      <c r="D409" t="s">
        <v>1468</v>
      </c>
      <c r="E409" t="s">
        <v>1467</v>
      </c>
      <c r="G409" t="s">
        <v>1483</v>
      </c>
      <c r="H409" t="s">
        <v>22</v>
      </c>
      <c r="I409" t="s">
        <v>22</v>
      </c>
      <c r="J409" t="s">
        <v>17</v>
      </c>
      <c r="K409">
        <v>90.9</v>
      </c>
      <c r="L409">
        <v>109.5</v>
      </c>
      <c r="M409" t="s">
        <v>1465</v>
      </c>
      <c r="N409" t="s">
        <v>1464</v>
      </c>
    </row>
    <row r="410" spans="1:14" x14ac:dyDescent="0.3">
      <c r="A410">
        <v>1211157</v>
      </c>
      <c r="B410" t="s">
        <v>1229</v>
      </c>
      <c r="C410" t="s">
        <v>1469</v>
      </c>
      <c r="D410" t="s">
        <v>1468</v>
      </c>
      <c r="E410" t="s">
        <v>1467</v>
      </c>
      <c r="G410" t="s">
        <v>1482</v>
      </c>
      <c r="H410" t="s">
        <v>22</v>
      </c>
      <c r="I410" t="s">
        <v>22</v>
      </c>
      <c r="J410" t="s">
        <v>17</v>
      </c>
      <c r="K410">
        <v>90.9</v>
      </c>
      <c r="L410">
        <v>109.5</v>
      </c>
      <c r="M410" t="s">
        <v>1465</v>
      </c>
      <c r="N410" t="s">
        <v>1464</v>
      </c>
    </row>
    <row r="411" spans="1:14" x14ac:dyDescent="0.3">
      <c r="A411">
        <v>1211157</v>
      </c>
      <c r="B411" t="s">
        <v>1229</v>
      </c>
      <c r="C411" t="s">
        <v>1469</v>
      </c>
      <c r="D411" t="s">
        <v>1468</v>
      </c>
      <c r="E411" t="s">
        <v>1467</v>
      </c>
      <c r="G411" t="s">
        <v>1481</v>
      </c>
      <c r="H411" t="s">
        <v>22</v>
      </c>
      <c r="I411" t="s">
        <v>22</v>
      </c>
      <c r="J411" t="s">
        <v>17</v>
      </c>
      <c r="K411">
        <v>90.9</v>
      </c>
      <c r="L411">
        <v>109.5</v>
      </c>
      <c r="M411" t="s">
        <v>1465</v>
      </c>
      <c r="N411" t="s">
        <v>1464</v>
      </c>
    </row>
    <row r="412" spans="1:14" x14ac:dyDescent="0.3">
      <c r="A412">
        <v>1211157</v>
      </c>
      <c r="B412" t="s">
        <v>1229</v>
      </c>
      <c r="C412" t="s">
        <v>1469</v>
      </c>
      <c r="D412" t="s">
        <v>1468</v>
      </c>
      <c r="E412" t="s">
        <v>1467</v>
      </c>
      <c r="G412" t="s">
        <v>1480</v>
      </c>
      <c r="H412" t="s">
        <v>22</v>
      </c>
      <c r="I412" t="s">
        <v>22</v>
      </c>
      <c r="J412" t="s">
        <v>17</v>
      </c>
      <c r="K412">
        <v>90.9</v>
      </c>
      <c r="L412">
        <v>109.5</v>
      </c>
      <c r="M412" t="s">
        <v>1465</v>
      </c>
      <c r="N412" t="s">
        <v>1464</v>
      </c>
    </row>
    <row r="413" spans="1:14" x14ac:dyDescent="0.3">
      <c r="A413">
        <v>1211157</v>
      </c>
      <c r="B413" t="s">
        <v>1229</v>
      </c>
      <c r="C413" t="s">
        <v>1469</v>
      </c>
      <c r="D413" t="s">
        <v>1468</v>
      </c>
      <c r="E413" t="s">
        <v>1467</v>
      </c>
      <c r="G413" t="s">
        <v>1479</v>
      </c>
      <c r="H413" t="s">
        <v>22</v>
      </c>
      <c r="I413" t="s">
        <v>22</v>
      </c>
      <c r="J413" t="s">
        <v>17</v>
      </c>
      <c r="K413">
        <v>90.9</v>
      </c>
      <c r="L413">
        <v>109.5</v>
      </c>
      <c r="M413" t="s">
        <v>1465</v>
      </c>
      <c r="N413" t="s">
        <v>1464</v>
      </c>
    </row>
    <row r="414" spans="1:14" x14ac:dyDescent="0.3">
      <c r="A414">
        <v>1211157</v>
      </c>
      <c r="B414" t="s">
        <v>1229</v>
      </c>
      <c r="C414" t="s">
        <v>1469</v>
      </c>
      <c r="D414" t="s">
        <v>1468</v>
      </c>
      <c r="E414" t="s">
        <v>1467</v>
      </c>
      <c r="G414" t="s">
        <v>1478</v>
      </c>
      <c r="H414" t="s">
        <v>22</v>
      </c>
      <c r="I414" t="s">
        <v>22</v>
      </c>
      <c r="J414" t="s">
        <v>17</v>
      </c>
      <c r="K414">
        <v>90.9</v>
      </c>
      <c r="L414">
        <v>109.5</v>
      </c>
      <c r="M414" t="s">
        <v>1465</v>
      </c>
      <c r="N414" t="s">
        <v>1464</v>
      </c>
    </row>
    <row r="415" spans="1:14" x14ac:dyDescent="0.3">
      <c r="A415">
        <v>1211157</v>
      </c>
      <c r="B415" t="s">
        <v>1229</v>
      </c>
      <c r="C415" t="s">
        <v>1469</v>
      </c>
      <c r="D415" t="s">
        <v>1468</v>
      </c>
      <c r="E415" t="s">
        <v>1467</v>
      </c>
      <c r="G415" t="s">
        <v>1477</v>
      </c>
      <c r="H415" t="s">
        <v>22</v>
      </c>
      <c r="I415" t="s">
        <v>22</v>
      </c>
      <c r="J415" t="s">
        <v>17</v>
      </c>
      <c r="K415">
        <v>90.9</v>
      </c>
      <c r="L415">
        <v>109.5</v>
      </c>
      <c r="M415" t="s">
        <v>1465</v>
      </c>
      <c r="N415" t="s">
        <v>1464</v>
      </c>
    </row>
    <row r="416" spans="1:14" x14ac:dyDescent="0.3">
      <c r="A416">
        <v>1211157</v>
      </c>
      <c r="B416" t="s">
        <v>1229</v>
      </c>
      <c r="C416" t="s">
        <v>1469</v>
      </c>
      <c r="D416" t="s">
        <v>1468</v>
      </c>
      <c r="E416" t="s">
        <v>1467</v>
      </c>
      <c r="G416" t="s">
        <v>1476</v>
      </c>
      <c r="H416" t="s">
        <v>22</v>
      </c>
      <c r="I416" t="s">
        <v>22</v>
      </c>
      <c r="J416" t="s">
        <v>17</v>
      </c>
      <c r="K416">
        <v>90.9</v>
      </c>
      <c r="L416">
        <v>109.5</v>
      </c>
      <c r="M416" t="s">
        <v>1465</v>
      </c>
      <c r="N416" t="s">
        <v>1464</v>
      </c>
    </row>
    <row r="417" spans="1:14" x14ac:dyDescent="0.3">
      <c r="A417">
        <v>1211157</v>
      </c>
      <c r="B417" t="s">
        <v>1229</v>
      </c>
      <c r="C417" t="s">
        <v>1469</v>
      </c>
      <c r="D417" t="s">
        <v>1468</v>
      </c>
      <c r="E417" t="s">
        <v>1467</v>
      </c>
      <c r="G417" t="s">
        <v>1475</v>
      </c>
      <c r="H417" t="s">
        <v>22</v>
      </c>
      <c r="I417" t="s">
        <v>22</v>
      </c>
      <c r="J417" t="s">
        <v>17</v>
      </c>
      <c r="K417">
        <v>90.9</v>
      </c>
      <c r="L417">
        <v>109.5</v>
      </c>
      <c r="M417" t="s">
        <v>1465</v>
      </c>
      <c r="N417" t="s">
        <v>1464</v>
      </c>
    </row>
    <row r="418" spans="1:14" x14ac:dyDescent="0.3">
      <c r="A418">
        <v>1211157</v>
      </c>
      <c r="B418" t="s">
        <v>1229</v>
      </c>
      <c r="C418" t="s">
        <v>1469</v>
      </c>
      <c r="D418" t="s">
        <v>1468</v>
      </c>
      <c r="E418" t="s">
        <v>1467</v>
      </c>
      <c r="G418" t="s">
        <v>1474</v>
      </c>
      <c r="H418" t="s">
        <v>22</v>
      </c>
      <c r="I418" t="s">
        <v>22</v>
      </c>
      <c r="J418" t="s">
        <v>17</v>
      </c>
      <c r="K418">
        <v>90.9</v>
      </c>
      <c r="L418">
        <v>109.5</v>
      </c>
      <c r="M418" t="s">
        <v>1465</v>
      </c>
      <c r="N418" t="s">
        <v>1464</v>
      </c>
    </row>
    <row r="419" spans="1:14" x14ac:dyDescent="0.3">
      <c r="A419">
        <v>1211157</v>
      </c>
      <c r="B419" t="s">
        <v>1229</v>
      </c>
      <c r="C419" t="s">
        <v>1469</v>
      </c>
      <c r="D419" t="s">
        <v>1468</v>
      </c>
      <c r="E419" t="s">
        <v>1467</v>
      </c>
      <c r="G419" t="s">
        <v>1473</v>
      </c>
      <c r="H419" t="s">
        <v>22</v>
      </c>
      <c r="I419" t="s">
        <v>22</v>
      </c>
      <c r="J419" t="s">
        <v>17</v>
      </c>
      <c r="K419">
        <v>90.9</v>
      </c>
      <c r="L419">
        <v>109.5</v>
      </c>
      <c r="M419" t="s">
        <v>1465</v>
      </c>
      <c r="N419" t="s">
        <v>1464</v>
      </c>
    </row>
    <row r="420" spans="1:14" x14ac:dyDescent="0.3">
      <c r="A420">
        <v>1211157</v>
      </c>
      <c r="B420" t="s">
        <v>1229</v>
      </c>
      <c r="C420" t="s">
        <v>1469</v>
      </c>
      <c r="D420" t="s">
        <v>1468</v>
      </c>
      <c r="E420" t="s">
        <v>1467</v>
      </c>
      <c r="G420" t="s">
        <v>1472</v>
      </c>
      <c r="H420" t="s">
        <v>22</v>
      </c>
      <c r="I420" t="s">
        <v>22</v>
      </c>
      <c r="J420" t="s">
        <v>17</v>
      </c>
      <c r="K420">
        <v>90.9</v>
      </c>
      <c r="L420">
        <v>109.5</v>
      </c>
      <c r="M420" t="s">
        <v>1465</v>
      </c>
      <c r="N420" t="s">
        <v>1464</v>
      </c>
    </row>
    <row r="421" spans="1:14" x14ac:dyDescent="0.3">
      <c r="A421">
        <v>1211157</v>
      </c>
      <c r="B421" t="s">
        <v>1229</v>
      </c>
      <c r="C421" t="s">
        <v>1469</v>
      </c>
      <c r="D421" t="s">
        <v>1468</v>
      </c>
      <c r="E421" t="s">
        <v>1467</v>
      </c>
      <c r="G421" t="s">
        <v>1471</v>
      </c>
      <c r="H421" t="s">
        <v>22</v>
      </c>
      <c r="I421" t="s">
        <v>22</v>
      </c>
      <c r="J421" t="s">
        <v>17</v>
      </c>
      <c r="K421">
        <v>90.9</v>
      </c>
      <c r="L421">
        <v>109.5</v>
      </c>
      <c r="M421" t="s">
        <v>1465</v>
      </c>
      <c r="N421" t="s">
        <v>1464</v>
      </c>
    </row>
    <row r="422" spans="1:14" x14ac:dyDescent="0.3">
      <c r="A422">
        <v>1211157</v>
      </c>
      <c r="B422" t="s">
        <v>1229</v>
      </c>
      <c r="C422" t="s">
        <v>1469</v>
      </c>
      <c r="D422" t="s">
        <v>1468</v>
      </c>
      <c r="E422" t="s">
        <v>1467</v>
      </c>
      <c r="G422" t="s">
        <v>1470</v>
      </c>
      <c r="H422" t="s">
        <v>22</v>
      </c>
      <c r="I422" t="s">
        <v>22</v>
      </c>
      <c r="J422" t="s">
        <v>17</v>
      </c>
      <c r="K422">
        <v>90.9</v>
      </c>
      <c r="L422">
        <v>109.5</v>
      </c>
      <c r="M422" t="s">
        <v>1465</v>
      </c>
      <c r="N422" t="s">
        <v>1464</v>
      </c>
    </row>
    <row r="423" spans="1:14" x14ac:dyDescent="0.3">
      <c r="A423">
        <v>1211157</v>
      </c>
      <c r="B423" t="s">
        <v>1229</v>
      </c>
      <c r="C423" t="s">
        <v>1469</v>
      </c>
      <c r="D423" t="s">
        <v>1468</v>
      </c>
      <c r="E423" t="s">
        <v>1467</v>
      </c>
      <c r="G423" t="s">
        <v>1466</v>
      </c>
      <c r="H423" t="s">
        <v>22</v>
      </c>
      <c r="I423" t="s">
        <v>22</v>
      </c>
      <c r="J423" t="s">
        <v>17</v>
      </c>
      <c r="K423">
        <v>90.9</v>
      </c>
      <c r="L423">
        <v>109.5</v>
      </c>
      <c r="M423" t="s">
        <v>1465</v>
      </c>
      <c r="N423" t="s">
        <v>1464</v>
      </c>
    </row>
    <row r="424" spans="1:14" x14ac:dyDescent="0.3">
      <c r="A424">
        <v>1211157</v>
      </c>
      <c r="B424" t="s">
        <v>1229</v>
      </c>
      <c r="C424" t="s">
        <v>1392</v>
      </c>
      <c r="D424" t="s">
        <v>1391</v>
      </c>
      <c r="E424" t="s">
        <v>1390</v>
      </c>
      <c r="F424" t="s">
        <v>1389</v>
      </c>
      <c r="G424" t="s">
        <v>1463</v>
      </c>
      <c r="H424" t="s">
        <v>46</v>
      </c>
      <c r="I424" t="s">
        <v>46</v>
      </c>
      <c r="J424" t="s">
        <v>17</v>
      </c>
      <c r="K424">
        <v>100</v>
      </c>
      <c r="L424">
        <v>50</v>
      </c>
      <c r="M424" t="s">
        <v>1387</v>
      </c>
      <c r="N424" t="s">
        <v>1386</v>
      </c>
    </row>
    <row r="425" spans="1:14" x14ac:dyDescent="0.3">
      <c r="A425">
        <v>1211157</v>
      </c>
      <c r="B425" t="s">
        <v>1229</v>
      </c>
      <c r="C425" t="s">
        <v>1392</v>
      </c>
      <c r="D425" t="s">
        <v>1391</v>
      </c>
      <c r="E425" t="s">
        <v>1390</v>
      </c>
      <c r="F425" t="s">
        <v>1389</v>
      </c>
      <c r="G425" t="s">
        <v>1462</v>
      </c>
      <c r="H425" t="s">
        <v>46</v>
      </c>
      <c r="I425" t="s">
        <v>46</v>
      </c>
      <c r="J425" t="s">
        <v>17</v>
      </c>
      <c r="K425">
        <v>100</v>
      </c>
      <c r="L425">
        <v>50</v>
      </c>
      <c r="M425" t="s">
        <v>1387</v>
      </c>
      <c r="N425" t="s">
        <v>1386</v>
      </c>
    </row>
    <row r="426" spans="1:14" x14ac:dyDescent="0.3">
      <c r="A426">
        <v>1211157</v>
      </c>
      <c r="B426" t="s">
        <v>1229</v>
      </c>
      <c r="C426" t="s">
        <v>1392</v>
      </c>
      <c r="D426" t="s">
        <v>1391</v>
      </c>
      <c r="E426" t="s">
        <v>1390</v>
      </c>
      <c r="F426" t="s">
        <v>1389</v>
      </c>
      <c r="G426" t="s">
        <v>1461</v>
      </c>
      <c r="H426" t="s">
        <v>46</v>
      </c>
      <c r="I426" t="s">
        <v>46</v>
      </c>
      <c r="J426" t="s">
        <v>17</v>
      </c>
      <c r="K426">
        <v>100</v>
      </c>
      <c r="L426">
        <v>50</v>
      </c>
      <c r="M426" t="s">
        <v>1387</v>
      </c>
      <c r="N426" t="s">
        <v>1386</v>
      </c>
    </row>
    <row r="427" spans="1:14" x14ac:dyDescent="0.3">
      <c r="A427">
        <v>1211157</v>
      </c>
      <c r="B427" t="s">
        <v>1229</v>
      </c>
      <c r="C427" t="s">
        <v>1392</v>
      </c>
      <c r="D427" t="s">
        <v>1391</v>
      </c>
      <c r="E427" t="s">
        <v>1390</v>
      </c>
      <c r="F427" t="s">
        <v>1389</v>
      </c>
      <c r="G427" t="s">
        <v>1460</v>
      </c>
      <c r="H427" t="s">
        <v>46</v>
      </c>
      <c r="I427" t="s">
        <v>46</v>
      </c>
      <c r="J427" t="s">
        <v>17</v>
      </c>
      <c r="K427">
        <v>100</v>
      </c>
      <c r="L427">
        <v>50</v>
      </c>
      <c r="M427" t="s">
        <v>1387</v>
      </c>
      <c r="N427" t="s">
        <v>1386</v>
      </c>
    </row>
    <row r="428" spans="1:14" x14ac:dyDescent="0.3">
      <c r="A428">
        <v>1211157</v>
      </c>
      <c r="B428" t="s">
        <v>1229</v>
      </c>
      <c r="C428" t="s">
        <v>1392</v>
      </c>
      <c r="D428" t="s">
        <v>1391</v>
      </c>
      <c r="E428" t="s">
        <v>1390</v>
      </c>
      <c r="F428" t="s">
        <v>1389</v>
      </c>
      <c r="G428" t="s">
        <v>1459</v>
      </c>
      <c r="H428" t="s">
        <v>46</v>
      </c>
      <c r="I428" t="s">
        <v>46</v>
      </c>
      <c r="J428" t="s">
        <v>17</v>
      </c>
      <c r="K428">
        <v>100</v>
      </c>
      <c r="L428">
        <v>50</v>
      </c>
      <c r="M428" t="s">
        <v>1387</v>
      </c>
      <c r="N428" t="s">
        <v>1386</v>
      </c>
    </row>
    <row r="429" spans="1:14" x14ac:dyDescent="0.3">
      <c r="A429">
        <v>1211157</v>
      </c>
      <c r="B429" t="s">
        <v>1229</v>
      </c>
      <c r="C429" t="s">
        <v>1392</v>
      </c>
      <c r="D429" t="s">
        <v>1391</v>
      </c>
      <c r="E429" t="s">
        <v>1390</v>
      </c>
      <c r="F429" t="s">
        <v>1389</v>
      </c>
      <c r="G429" t="s">
        <v>1458</v>
      </c>
      <c r="H429" t="s">
        <v>46</v>
      </c>
      <c r="I429" t="s">
        <v>46</v>
      </c>
      <c r="J429" t="s">
        <v>17</v>
      </c>
      <c r="K429">
        <v>100</v>
      </c>
      <c r="L429">
        <v>50</v>
      </c>
      <c r="M429" t="s">
        <v>1387</v>
      </c>
      <c r="N429" t="s">
        <v>1386</v>
      </c>
    </row>
    <row r="430" spans="1:14" x14ac:dyDescent="0.3">
      <c r="A430">
        <v>1211157</v>
      </c>
      <c r="B430" t="s">
        <v>1229</v>
      </c>
      <c r="C430" t="s">
        <v>1392</v>
      </c>
      <c r="D430" t="s">
        <v>1391</v>
      </c>
      <c r="E430" t="s">
        <v>1390</v>
      </c>
      <c r="F430" t="s">
        <v>1389</v>
      </c>
      <c r="G430" t="s">
        <v>1457</v>
      </c>
      <c r="H430" t="s">
        <v>46</v>
      </c>
      <c r="I430" t="s">
        <v>46</v>
      </c>
      <c r="J430" t="s">
        <v>17</v>
      </c>
      <c r="K430">
        <v>100</v>
      </c>
      <c r="L430">
        <v>50</v>
      </c>
      <c r="M430" t="s">
        <v>1387</v>
      </c>
      <c r="N430" t="s">
        <v>1386</v>
      </c>
    </row>
    <row r="431" spans="1:14" x14ac:dyDescent="0.3">
      <c r="A431">
        <v>1211157</v>
      </c>
      <c r="B431" t="s">
        <v>1229</v>
      </c>
      <c r="C431" t="s">
        <v>1392</v>
      </c>
      <c r="D431" t="s">
        <v>1391</v>
      </c>
      <c r="E431" t="s">
        <v>1390</v>
      </c>
      <c r="F431" t="s">
        <v>1389</v>
      </c>
      <c r="G431" t="s">
        <v>1456</v>
      </c>
      <c r="H431" t="s">
        <v>46</v>
      </c>
      <c r="I431" t="s">
        <v>46</v>
      </c>
      <c r="J431" t="s">
        <v>17</v>
      </c>
      <c r="K431">
        <v>100</v>
      </c>
      <c r="L431">
        <v>50</v>
      </c>
      <c r="M431" t="s">
        <v>1387</v>
      </c>
      <c r="N431" t="s">
        <v>1386</v>
      </c>
    </row>
    <row r="432" spans="1:14" x14ac:dyDescent="0.3">
      <c r="A432">
        <v>1211157</v>
      </c>
      <c r="B432" t="s">
        <v>1229</v>
      </c>
      <c r="C432" t="s">
        <v>1392</v>
      </c>
      <c r="D432" t="s">
        <v>1391</v>
      </c>
      <c r="E432" t="s">
        <v>1390</v>
      </c>
      <c r="F432" t="s">
        <v>1389</v>
      </c>
      <c r="G432" t="s">
        <v>1455</v>
      </c>
      <c r="H432" t="s">
        <v>46</v>
      </c>
      <c r="I432" t="s">
        <v>46</v>
      </c>
      <c r="J432" t="s">
        <v>17</v>
      </c>
      <c r="K432">
        <v>100</v>
      </c>
      <c r="L432">
        <v>50</v>
      </c>
      <c r="M432" t="s">
        <v>1387</v>
      </c>
      <c r="N432" t="s">
        <v>1386</v>
      </c>
    </row>
    <row r="433" spans="1:14" x14ac:dyDescent="0.3">
      <c r="A433">
        <v>1211157</v>
      </c>
      <c r="B433" t="s">
        <v>1229</v>
      </c>
      <c r="C433" t="s">
        <v>1392</v>
      </c>
      <c r="D433" t="s">
        <v>1391</v>
      </c>
      <c r="E433" t="s">
        <v>1390</v>
      </c>
      <c r="F433" t="s">
        <v>1389</v>
      </c>
      <c r="G433" t="s">
        <v>1454</v>
      </c>
      <c r="H433" t="s">
        <v>46</v>
      </c>
      <c r="I433" t="s">
        <v>46</v>
      </c>
      <c r="J433" t="s">
        <v>17</v>
      </c>
      <c r="K433">
        <v>100</v>
      </c>
      <c r="L433">
        <v>50</v>
      </c>
      <c r="M433" t="s">
        <v>1387</v>
      </c>
      <c r="N433" t="s">
        <v>1386</v>
      </c>
    </row>
    <row r="434" spans="1:14" x14ac:dyDescent="0.3">
      <c r="A434">
        <v>1211157</v>
      </c>
      <c r="B434" t="s">
        <v>1229</v>
      </c>
      <c r="C434" t="s">
        <v>1392</v>
      </c>
      <c r="D434" t="s">
        <v>1391</v>
      </c>
      <c r="E434" t="s">
        <v>1390</v>
      </c>
      <c r="F434" t="s">
        <v>1389</v>
      </c>
      <c r="G434" t="s">
        <v>1453</v>
      </c>
      <c r="H434" t="s">
        <v>46</v>
      </c>
      <c r="I434" t="s">
        <v>46</v>
      </c>
      <c r="J434" t="s">
        <v>17</v>
      </c>
      <c r="K434">
        <v>100</v>
      </c>
      <c r="L434">
        <v>50</v>
      </c>
      <c r="M434" t="s">
        <v>1387</v>
      </c>
      <c r="N434" t="s">
        <v>1386</v>
      </c>
    </row>
    <row r="435" spans="1:14" x14ac:dyDescent="0.3">
      <c r="A435">
        <v>1211157</v>
      </c>
      <c r="B435" t="s">
        <v>1229</v>
      </c>
      <c r="C435" t="s">
        <v>1392</v>
      </c>
      <c r="D435" t="s">
        <v>1391</v>
      </c>
      <c r="E435" t="s">
        <v>1390</v>
      </c>
      <c r="F435" t="s">
        <v>1389</v>
      </c>
      <c r="G435" t="s">
        <v>1452</v>
      </c>
      <c r="H435" t="s">
        <v>46</v>
      </c>
      <c r="I435" t="s">
        <v>46</v>
      </c>
      <c r="J435" t="s">
        <v>17</v>
      </c>
      <c r="K435">
        <v>100</v>
      </c>
      <c r="L435">
        <v>50</v>
      </c>
      <c r="M435" t="s">
        <v>1387</v>
      </c>
      <c r="N435" t="s">
        <v>1386</v>
      </c>
    </row>
    <row r="436" spans="1:14" x14ac:dyDescent="0.3">
      <c r="A436">
        <v>1211157</v>
      </c>
      <c r="B436" t="s">
        <v>1229</v>
      </c>
      <c r="C436" t="s">
        <v>1392</v>
      </c>
      <c r="D436" t="s">
        <v>1391</v>
      </c>
      <c r="E436" t="s">
        <v>1390</v>
      </c>
      <c r="F436" t="s">
        <v>1389</v>
      </c>
      <c r="G436" t="s">
        <v>1451</v>
      </c>
      <c r="H436" t="s">
        <v>46</v>
      </c>
      <c r="I436" t="s">
        <v>46</v>
      </c>
      <c r="J436" t="s">
        <v>17</v>
      </c>
      <c r="K436">
        <v>100</v>
      </c>
      <c r="L436">
        <v>50</v>
      </c>
      <c r="M436" t="s">
        <v>1387</v>
      </c>
      <c r="N436" t="s">
        <v>1386</v>
      </c>
    </row>
    <row r="437" spans="1:14" x14ac:dyDescent="0.3">
      <c r="A437">
        <v>1211157</v>
      </c>
      <c r="B437" t="s">
        <v>1229</v>
      </c>
      <c r="C437" t="s">
        <v>1392</v>
      </c>
      <c r="D437" t="s">
        <v>1391</v>
      </c>
      <c r="E437" t="s">
        <v>1390</v>
      </c>
      <c r="F437" t="s">
        <v>1389</v>
      </c>
      <c r="G437" t="s">
        <v>1450</v>
      </c>
      <c r="H437" t="s">
        <v>46</v>
      </c>
      <c r="I437" t="s">
        <v>46</v>
      </c>
      <c r="J437" t="s">
        <v>17</v>
      </c>
      <c r="K437">
        <v>100</v>
      </c>
      <c r="L437">
        <v>50</v>
      </c>
      <c r="M437" t="s">
        <v>1387</v>
      </c>
      <c r="N437" t="s">
        <v>1386</v>
      </c>
    </row>
    <row r="438" spans="1:14" x14ac:dyDescent="0.3">
      <c r="A438">
        <v>1211157</v>
      </c>
      <c r="B438" t="s">
        <v>1229</v>
      </c>
      <c r="C438" t="s">
        <v>1392</v>
      </c>
      <c r="D438" t="s">
        <v>1391</v>
      </c>
      <c r="E438" t="s">
        <v>1390</v>
      </c>
      <c r="F438" t="s">
        <v>1389</v>
      </c>
      <c r="G438" t="s">
        <v>1449</v>
      </c>
      <c r="H438" t="s">
        <v>46</v>
      </c>
      <c r="I438" t="s">
        <v>46</v>
      </c>
      <c r="J438" t="s">
        <v>17</v>
      </c>
      <c r="K438">
        <v>100</v>
      </c>
      <c r="L438">
        <v>50</v>
      </c>
      <c r="M438" t="s">
        <v>1387</v>
      </c>
      <c r="N438" t="s">
        <v>1386</v>
      </c>
    </row>
    <row r="439" spans="1:14" x14ac:dyDescent="0.3">
      <c r="A439">
        <v>1211157</v>
      </c>
      <c r="B439" t="s">
        <v>1229</v>
      </c>
      <c r="C439" t="s">
        <v>1392</v>
      </c>
      <c r="D439" t="s">
        <v>1391</v>
      </c>
      <c r="E439" t="s">
        <v>1390</v>
      </c>
      <c r="F439" t="s">
        <v>1389</v>
      </c>
      <c r="G439" t="s">
        <v>1448</v>
      </c>
      <c r="H439" t="s">
        <v>46</v>
      </c>
      <c r="I439" t="s">
        <v>46</v>
      </c>
      <c r="J439" t="s">
        <v>17</v>
      </c>
      <c r="K439">
        <v>100</v>
      </c>
      <c r="L439">
        <v>50</v>
      </c>
      <c r="M439" t="s">
        <v>1387</v>
      </c>
      <c r="N439" t="s">
        <v>1386</v>
      </c>
    </row>
    <row r="440" spans="1:14" x14ac:dyDescent="0.3">
      <c r="A440">
        <v>1211157</v>
      </c>
      <c r="B440" t="s">
        <v>1229</v>
      </c>
      <c r="C440" t="s">
        <v>1392</v>
      </c>
      <c r="D440" t="s">
        <v>1391</v>
      </c>
      <c r="E440" t="s">
        <v>1390</v>
      </c>
      <c r="F440" t="s">
        <v>1389</v>
      </c>
      <c r="G440" t="s">
        <v>1447</v>
      </c>
      <c r="H440" t="s">
        <v>46</v>
      </c>
      <c r="I440" t="s">
        <v>46</v>
      </c>
      <c r="J440" t="s">
        <v>17</v>
      </c>
      <c r="K440">
        <v>100</v>
      </c>
      <c r="L440">
        <v>50</v>
      </c>
      <c r="M440" t="s">
        <v>1387</v>
      </c>
      <c r="N440" t="s">
        <v>1386</v>
      </c>
    </row>
    <row r="441" spans="1:14" x14ac:dyDescent="0.3">
      <c r="A441">
        <v>1211157</v>
      </c>
      <c r="B441" t="s">
        <v>1229</v>
      </c>
      <c r="C441" t="s">
        <v>1392</v>
      </c>
      <c r="D441" t="s">
        <v>1391</v>
      </c>
      <c r="E441" t="s">
        <v>1390</v>
      </c>
      <c r="F441" t="s">
        <v>1389</v>
      </c>
      <c r="G441" t="s">
        <v>1446</v>
      </c>
      <c r="H441" t="s">
        <v>46</v>
      </c>
      <c r="I441" t="s">
        <v>46</v>
      </c>
      <c r="J441" t="s">
        <v>17</v>
      </c>
      <c r="K441">
        <v>100</v>
      </c>
      <c r="L441">
        <v>50</v>
      </c>
      <c r="M441" t="s">
        <v>1387</v>
      </c>
      <c r="N441" t="s">
        <v>1386</v>
      </c>
    </row>
    <row r="442" spans="1:14" x14ac:dyDescent="0.3">
      <c r="A442">
        <v>1211157</v>
      </c>
      <c r="B442" t="s">
        <v>1229</v>
      </c>
      <c r="C442" t="s">
        <v>1392</v>
      </c>
      <c r="D442" t="s">
        <v>1391</v>
      </c>
      <c r="E442" t="s">
        <v>1390</v>
      </c>
      <c r="F442" t="s">
        <v>1389</v>
      </c>
      <c r="G442" t="s">
        <v>1445</v>
      </c>
      <c r="H442" t="s">
        <v>46</v>
      </c>
      <c r="I442" t="s">
        <v>46</v>
      </c>
      <c r="J442" t="s">
        <v>17</v>
      </c>
      <c r="K442">
        <v>100</v>
      </c>
      <c r="L442">
        <v>50</v>
      </c>
      <c r="M442" t="s">
        <v>1387</v>
      </c>
      <c r="N442" t="s">
        <v>1386</v>
      </c>
    </row>
    <row r="443" spans="1:14" x14ac:dyDescent="0.3">
      <c r="A443">
        <v>1211157</v>
      </c>
      <c r="B443" t="s">
        <v>1229</v>
      </c>
      <c r="C443" t="s">
        <v>1392</v>
      </c>
      <c r="D443" t="s">
        <v>1391</v>
      </c>
      <c r="E443" t="s">
        <v>1390</v>
      </c>
      <c r="F443" t="s">
        <v>1389</v>
      </c>
      <c r="G443" t="s">
        <v>1444</v>
      </c>
      <c r="H443" t="s">
        <v>46</v>
      </c>
      <c r="I443" t="s">
        <v>46</v>
      </c>
      <c r="J443" t="s">
        <v>17</v>
      </c>
      <c r="K443">
        <v>100</v>
      </c>
      <c r="L443">
        <v>50</v>
      </c>
      <c r="M443" t="s">
        <v>1387</v>
      </c>
      <c r="N443" t="s">
        <v>1386</v>
      </c>
    </row>
    <row r="444" spans="1:14" x14ac:dyDescent="0.3">
      <c r="A444">
        <v>1211157</v>
      </c>
      <c r="B444" t="s">
        <v>1229</v>
      </c>
      <c r="C444" t="s">
        <v>1392</v>
      </c>
      <c r="D444" t="s">
        <v>1391</v>
      </c>
      <c r="E444" t="s">
        <v>1390</v>
      </c>
      <c r="F444" t="s">
        <v>1389</v>
      </c>
      <c r="G444" t="s">
        <v>1443</v>
      </c>
      <c r="H444" t="s">
        <v>46</v>
      </c>
      <c r="I444" t="s">
        <v>46</v>
      </c>
      <c r="J444" t="s">
        <v>17</v>
      </c>
      <c r="K444">
        <v>100</v>
      </c>
      <c r="L444">
        <v>50</v>
      </c>
      <c r="M444" t="s">
        <v>1387</v>
      </c>
      <c r="N444" t="s">
        <v>1386</v>
      </c>
    </row>
    <row r="445" spans="1:14" x14ac:dyDescent="0.3">
      <c r="A445">
        <v>1211157</v>
      </c>
      <c r="B445" t="s">
        <v>1229</v>
      </c>
      <c r="C445" t="s">
        <v>1392</v>
      </c>
      <c r="D445" t="s">
        <v>1391</v>
      </c>
      <c r="E445" t="s">
        <v>1390</v>
      </c>
      <c r="F445" t="s">
        <v>1389</v>
      </c>
      <c r="G445" t="s">
        <v>1442</v>
      </c>
      <c r="H445" t="s">
        <v>46</v>
      </c>
      <c r="I445" t="s">
        <v>46</v>
      </c>
      <c r="J445" t="s">
        <v>17</v>
      </c>
      <c r="K445">
        <v>100</v>
      </c>
      <c r="L445">
        <v>50</v>
      </c>
      <c r="M445" t="s">
        <v>1387</v>
      </c>
      <c r="N445" t="s">
        <v>1386</v>
      </c>
    </row>
    <row r="446" spans="1:14" x14ac:dyDescent="0.3">
      <c r="A446">
        <v>1211157</v>
      </c>
      <c r="B446" t="s">
        <v>1229</v>
      </c>
      <c r="C446" t="s">
        <v>1392</v>
      </c>
      <c r="D446" t="s">
        <v>1391</v>
      </c>
      <c r="E446" t="s">
        <v>1390</v>
      </c>
      <c r="F446" t="s">
        <v>1389</v>
      </c>
      <c r="G446" t="s">
        <v>1441</v>
      </c>
      <c r="H446" t="s">
        <v>46</v>
      </c>
      <c r="I446" t="s">
        <v>46</v>
      </c>
      <c r="J446" t="s">
        <v>17</v>
      </c>
      <c r="K446">
        <v>100</v>
      </c>
      <c r="L446">
        <v>50</v>
      </c>
      <c r="M446" t="s">
        <v>1387</v>
      </c>
      <c r="N446" t="s">
        <v>1386</v>
      </c>
    </row>
    <row r="447" spans="1:14" x14ac:dyDescent="0.3">
      <c r="A447">
        <v>1211157</v>
      </c>
      <c r="B447" t="s">
        <v>1229</v>
      </c>
      <c r="C447" t="s">
        <v>1392</v>
      </c>
      <c r="D447" t="s">
        <v>1391</v>
      </c>
      <c r="E447" t="s">
        <v>1390</v>
      </c>
      <c r="F447" t="s">
        <v>1389</v>
      </c>
      <c r="G447" t="s">
        <v>1440</v>
      </c>
      <c r="H447" t="s">
        <v>46</v>
      </c>
      <c r="I447" t="s">
        <v>46</v>
      </c>
      <c r="J447" t="s">
        <v>17</v>
      </c>
      <c r="K447">
        <v>100</v>
      </c>
      <c r="L447">
        <v>50</v>
      </c>
      <c r="M447" t="s">
        <v>1387</v>
      </c>
      <c r="N447" t="s">
        <v>1386</v>
      </c>
    </row>
    <row r="448" spans="1:14" x14ac:dyDescent="0.3">
      <c r="A448">
        <v>1211157</v>
      </c>
      <c r="B448" t="s">
        <v>1229</v>
      </c>
      <c r="C448" t="s">
        <v>1392</v>
      </c>
      <c r="D448" t="s">
        <v>1391</v>
      </c>
      <c r="E448" t="s">
        <v>1390</v>
      </c>
      <c r="F448" t="s">
        <v>1389</v>
      </c>
      <c r="G448" t="s">
        <v>1439</v>
      </c>
      <c r="H448" t="s">
        <v>46</v>
      </c>
      <c r="I448" t="s">
        <v>46</v>
      </c>
      <c r="J448" t="s">
        <v>17</v>
      </c>
      <c r="K448">
        <v>100</v>
      </c>
      <c r="L448">
        <v>50</v>
      </c>
      <c r="M448" t="s">
        <v>1387</v>
      </c>
      <c r="N448" t="s">
        <v>1386</v>
      </c>
    </row>
    <row r="449" spans="1:14" x14ac:dyDescent="0.3">
      <c r="A449">
        <v>1211157</v>
      </c>
      <c r="B449" t="s">
        <v>1229</v>
      </c>
      <c r="C449" t="s">
        <v>1392</v>
      </c>
      <c r="D449" t="s">
        <v>1391</v>
      </c>
      <c r="E449" t="s">
        <v>1390</v>
      </c>
      <c r="F449" t="s">
        <v>1389</v>
      </c>
      <c r="G449" t="s">
        <v>1438</v>
      </c>
      <c r="H449" t="s">
        <v>46</v>
      </c>
      <c r="I449" t="s">
        <v>46</v>
      </c>
      <c r="J449" t="s">
        <v>17</v>
      </c>
      <c r="K449">
        <v>100</v>
      </c>
      <c r="L449">
        <v>50</v>
      </c>
      <c r="M449" t="s">
        <v>1387</v>
      </c>
      <c r="N449" t="s">
        <v>1386</v>
      </c>
    </row>
    <row r="450" spans="1:14" x14ac:dyDescent="0.3">
      <c r="A450">
        <v>1211157</v>
      </c>
      <c r="B450" t="s">
        <v>1229</v>
      </c>
      <c r="C450" t="s">
        <v>1392</v>
      </c>
      <c r="D450" t="s">
        <v>1391</v>
      </c>
      <c r="E450" t="s">
        <v>1390</v>
      </c>
      <c r="F450" t="s">
        <v>1389</v>
      </c>
      <c r="G450" t="s">
        <v>1437</v>
      </c>
      <c r="H450" t="s">
        <v>46</v>
      </c>
      <c r="I450" t="s">
        <v>46</v>
      </c>
      <c r="J450" t="s">
        <v>17</v>
      </c>
      <c r="K450">
        <v>100</v>
      </c>
      <c r="L450">
        <v>50</v>
      </c>
      <c r="M450" t="s">
        <v>1387</v>
      </c>
      <c r="N450" t="s">
        <v>1386</v>
      </c>
    </row>
    <row r="451" spans="1:14" x14ac:dyDescent="0.3">
      <c r="A451">
        <v>1211157</v>
      </c>
      <c r="B451" t="s">
        <v>1229</v>
      </c>
      <c r="C451" t="s">
        <v>1392</v>
      </c>
      <c r="D451" t="s">
        <v>1391</v>
      </c>
      <c r="E451" t="s">
        <v>1390</v>
      </c>
      <c r="F451" t="s">
        <v>1389</v>
      </c>
      <c r="G451" t="s">
        <v>1436</v>
      </c>
      <c r="H451" t="s">
        <v>46</v>
      </c>
      <c r="I451" t="s">
        <v>46</v>
      </c>
      <c r="J451" t="s">
        <v>17</v>
      </c>
      <c r="K451">
        <v>100</v>
      </c>
      <c r="L451">
        <v>50</v>
      </c>
      <c r="M451" t="s">
        <v>1387</v>
      </c>
      <c r="N451" t="s">
        <v>1386</v>
      </c>
    </row>
    <row r="452" spans="1:14" x14ac:dyDescent="0.3">
      <c r="A452">
        <v>1211157</v>
      </c>
      <c r="B452" t="s">
        <v>1229</v>
      </c>
      <c r="C452" t="s">
        <v>1392</v>
      </c>
      <c r="D452" t="s">
        <v>1391</v>
      </c>
      <c r="E452" t="s">
        <v>1390</v>
      </c>
      <c r="F452" t="s">
        <v>1389</v>
      </c>
      <c r="G452" t="s">
        <v>1435</v>
      </c>
      <c r="H452" t="s">
        <v>46</v>
      </c>
      <c r="I452" t="s">
        <v>46</v>
      </c>
      <c r="J452" t="s">
        <v>17</v>
      </c>
      <c r="K452">
        <v>100</v>
      </c>
      <c r="L452">
        <v>50</v>
      </c>
      <c r="M452" t="s">
        <v>1387</v>
      </c>
      <c r="N452" t="s">
        <v>1386</v>
      </c>
    </row>
    <row r="453" spans="1:14" x14ac:dyDescent="0.3">
      <c r="A453">
        <v>1211157</v>
      </c>
      <c r="B453" t="s">
        <v>1229</v>
      </c>
      <c r="C453" t="s">
        <v>1392</v>
      </c>
      <c r="D453" t="s">
        <v>1391</v>
      </c>
      <c r="E453" t="s">
        <v>1390</v>
      </c>
      <c r="F453" t="s">
        <v>1389</v>
      </c>
      <c r="G453" t="s">
        <v>1434</v>
      </c>
      <c r="H453" t="s">
        <v>46</v>
      </c>
      <c r="I453" t="s">
        <v>46</v>
      </c>
      <c r="J453" t="s">
        <v>17</v>
      </c>
      <c r="K453">
        <v>100</v>
      </c>
      <c r="L453">
        <v>50</v>
      </c>
      <c r="M453" t="s">
        <v>1387</v>
      </c>
      <c r="N453" t="s">
        <v>1386</v>
      </c>
    </row>
    <row r="454" spans="1:14" x14ac:dyDescent="0.3">
      <c r="A454">
        <v>1211157</v>
      </c>
      <c r="B454" t="s">
        <v>1229</v>
      </c>
      <c r="C454" t="s">
        <v>1392</v>
      </c>
      <c r="D454" t="s">
        <v>1391</v>
      </c>
      <c r="E454" t="s">
        <v>1390</v>
      </c>
      <c r="F454" t="s">
        <v>1389</v>
      </c>
      <c r="G454" t="s">
        <v>1433</v>
      </c>
      <c r="H454" t="s">
        <v>46</v>
      </c>
      <c r="I454" t="s">
        <v>46</v>
      </c>
      <c r="J454" t="s">
        <v>17</v>
      </c>
      <c r="K454">
        <v>100</v>
      </c>
      <c r="L454">
        <v>50</v>
      </c>
      <c r="M454" t="s">
        <v>1387</v>
      </c>
      <c r="N454" t="s">
        <v>1386</v>
      </c>
    </row>
    <row r="455" spans="1:14" x14ac:dyDescent="0.3">
      <c r="A455">
        <v>1211157</v>
      </c>
      <c r="B455" t="s">
        <v>1229</v>
      </c>
      <c r="C455" t="s">
        <v>1392</v>
      </c>
      <c r="D455" t="s">
        <v>1391</v>
      </c>
      <c r="E455" t="s">
        <v>1390</v>
      </c>
      <c r="F455" t="s">
        <v>1389</v>
      </c>
      <c r="G455" t="s">
        <v>1432</v>
      </c>
      <c r="H455" t="s">
        <v>46</v>
      </c>
      <c r="I455" t="s">
        <v>46</v>
      </c>
      <c r="J455" t="s">
        <v>17</v>
      </c>
      <c r="K455">
        <v>100</v>
      </c>
      <c r="L455">
        <v>50</v>
      </c>
      <c r="M455" t="s">
        <v>1387</v>
      </c>
      <c r="N455" t="s">
        <v>1386</v>
      </c>
    </row>
    <row r="456" spans="1:14" x14ac:dyDescent="0.3">
      <c r="A456">
        <v>1211157</v>
      </c>
      <c r="B456" t="s">
        <v>1229</v>
      </c>
      <c r="C456" t="s">
        <v>1392</v>
      </c>
      <c r="D456" t="s">
        <v>1391</v>
      </c>
      <c r="E456" t="s">
        <v>1390</v>
      </c>
      <c r="F456" t="s">
        <v>1389</v>
      </c>
      <c r="G456" t="s">
        <v>1431</v>
      </c>
      <c r="H456" t="s">
        <v>46</v>
      </c>
      <c r="I456" t="s">
        <v>46</v>
      </c>
      <c r="J456" t="s">
        <v>17</v>
      </c>
      <c r="K456">
        <v>100</v>
      </c>
      <c r="L456">
        <v>50</v>
      </c>
      <c r="M456" t="s">
        <v>1387</v>
      </c>
      <c r="N456" t="s">
        <v>1386</v>
      </c>
    </row>
    <row r="457" spans="1:14" x14ac:dyDescent="0.3">
      <c r="A457">
        <v>1211157</v>
      </c>
      <c r="B457" t="s">
        <v>1229</v>
      </c>
      <c r="C457" t="s">
        <v>1392</v>
      </c>
      <c r="D457" t="s">
        <v>1391</v>
      </c>
      <c r="E457" t="s">
        <v>1390</v>
      </c>
      <c r="F457" t="s">
        <v>1389</v>
      </c>
      <c r="G457" t="s">
        <v>1430</v>
      </c>
      <c r="H457" t="s">
        <v>46</v>
      </c>
      <c r="I457" t="s">
        <v>46</v>
      </c>
      <c r="J457" t="s">
        <v>17</v>
      </c>
      <c r="K457">
        <v>100</v>
      </c>
      <c r="L457">
        <v>50</v>
      </c>
      <c r="M457" t="s">
        <v>1387</v>
      </c>
      <c r="N457" t="s">
        <v>1386</v>
      </c>
    </row>
    <row r="458" spans="1:14" x14ac:dyDescent="0.3">
      <c r="A458">
        <v>1211157</v>
      </c>
      <c r="B458" t="s">
        <v>1229</v>
      </c>
      <c r="C458" t="s">
        <v>1392</v>
      </c>
      <c r="D458" t="s">
        <v>1391</v>
      </c>
      <c r="E458" t="s">
        <v>1390</v>
      </c>
      <c r="F458" t="s">
        <v>1389</v>
      </c>
      <c r="G458" t="s">
        <v>1429</v>
      </c>
      <c r="H458" t="s">
        <v>46</v>
      </c>
      <c r="I458" t="s">
        <v>46</v>
      </c>
      <c r="J458" t="s">
        <v>17</v>
      </c>
      <c r="K458">
        <v>100</v>
      </c>
      <c r="L458">
        <v>50</v>
      </c>
      <c r="M458" t="s">
        <v>1387</v>
      </c>
      <c r="N458" t="s">
        <v>1386</v>
      </c>
    </row>
    <row r="459" spans="1:14" x14ac:dyDescent="0.3">
      <c r="A459">
        <v>1211157</v>
      </c>
      <c r="B459" t="s">
        <v>1229</v>
      </c>
      <c r="C459" t="s">
        <v>1392</v>
      </c>
      <c r="D459" t="s">
        <v>1391</v>
      </c>
      <c r="E459" t="s">
        <v>1390</v>
      </c>
      <c r="F459" t="s">
        <v>1389</v>
      </c>
      <c r="G459" t="s">
        <v>1428</v>
      </c>
      <c r="H459" t="s">
        <v>46</v>
      </c>
      <c r="I459" t="s">
        <v>46</v>
      </c>
      <c r="J459" t="s">
        <v>17</v>
      </c>
      <c r="K459">
        <v>100</v>
      </c>
      <c r="L459">
        <v>50</v>
      </c>
      <c r="M459" t="s">
        <v>1387</v>
      </c>
      <c r="N459" t="s">
        <v>1386</v>
      </c>
    </row>
    <row r="460" spans="1:14" x14ac:dyDescent="0.3">
      <c r="A460">
        <v>1211157</v>
      </c>
      <c r="B460" t="s">
        <v>1229</v>
      </c>
      <c r="C460" t="s">
        <v>1392</v>
      </c>
      <c r="D460" t="s">
        <v>1391</v>
      </c>
      <c r="E460" t="s">
        <v>1390</v>
      </c>
      <c r="F460" t="s">
        <v>1389</v>
      </c>
      <c r="G460" t="s">
        <v>1427</v>
      </c>
      <c r="H460" t="s">
        <v>46</v>
      </c>
      <c r="I460" t="s">
        <v>46</v>
      </c>
      <c r="J460" t="s">
        <v>17</v>
      </c>
      <c r="K460">
        <v>100</v>
      </c>
      <c r="L460">
        <v>50</v>
      </c>
      <c r="M460" t="s">
        <v>1387</v>
      </c>
      <c r="N460" t="s">
        <v>1386</v>
      </c>
    </row>
    <row r="461" spans="1:14" x14ac:dyDescent="0.3">
      <c r="A461">
        <v>1211157</v>
      </c>
      <c r="B461" t="s">
        <v>1229</v>
      </c>
      <c r="C461" t="s">
        <v>1392</v>
      </c>
      <c r="D461" t="s">
        <v>1391</v>
      </c>
      <c r="E461" t="s">
        <v>1390</v>
      </c>
      <c r="F461" t="s">
        <v>1389</v>
      </c>
      <c r="G461" t="s">
        <v>1426</v>
      </c>
      <c r="H461" t="s">
        <v>46</v>
      </c>
      <c r="I461" t="s">
        <v>46</v>
      </c>
      <c r="J461" t="s">
        <v>17</v>
      </c>
      <c r="K461">
        <v>100</v>
      </c>
      <c r="L461">
        <v>50</v>
      </c>
      <c r="M461" t="s">
        <v>1387</v>
      </c>
      <c r="N461" t="s">
        <v>1386</v>
      </c>
    </row>
    <row r="462" spans="1:14" x14ac:dyDescent="0.3">
      <c r="A462">
        <v>1211157</v>
      </c>
      <c r="B462" t="s">
        <v>1229</v>
      </c>
      <c r="C462" t="s">
        <v>1392</v>
      </c>
      <c r="D462" t="s">
        <v>1391</v>
      </c>
      <c r="E462" t="s">
        <v>1390</v>
      </c>
      <c r="F462" t="s">
        <v>1389</v>
      </c>
      <c r="G462" t="s">
        <v>1425</v>
      </c>
      <c r="H462" t="s">
        <v>46</v>
      </c>
      <c r="I462" t="s">
        <v>46</v>
      </c>
      <c r="J462" t="s">
        <v>17</v>
      </c>
      <c r="K462">
        <v>100</v>
      </c>
      <c r="L462">
        <v>50</v>
      </c>
      <c r="M462" t="s">
        <v>1387</v>
      </c>
      <c r="N462" t="s">
        <v>1386</v>
      </c>
    </row>
    <row r="463" spans="1:14" x14ac:dyDescent="0.3">
      <c r="A463">
        <v>1211157</v>
      </c>
      <c r="B463" t="s">
        <v>1229</v>
      </c>
      <c r="C463" t="s">
        <v>1392</v>
      </c>
      <c r="D463" t="s">
        <v>1391</v>
      </c>
      <c r="E463" t="s">
        <v>1390</v>
      </c>
      <c r="F463" t="s">
        <v>1389</v>
      </c>
      <c r="G463" t="s">
        <v>1424</v>
      </c>
      <c r="H463" t="s">
        <v>46</v>
      </c>
      <c r="I463" t="s">
        <v>46</v>
      </c>
      <c r="J463" t="s">
        <v>17</v>
      </c>
      <c r="K463">
        <v>100</v>
      </c>
      <c r="L463">
        <v>50</v>
      </c>
      <c r="M463" t="s">
        <v>1387</v>
      </c>
      <c r="N463" t="s">
        <v>1386</v>
      </c>
    </row>
    <row r="464" spans="1:14" x14ac:dyDescent="0.3">
      <c r="A464">
        <v>1211157</v>
      </c>
      <c r="B464" t="s">
        <v>1229</v>
      </c>
      <c r="C464" t="s">
        <v>1392</v>
      </c>
      <c r="D464" t="s">
        <v>1391</v>
      </c>
      <c r="E464" t="s">
        <v>1390</v>
      </c>
      <c r="F464" t="s">
        <v>1389</v>
      </c>
      <c r="G464" t="s">
        <v>1423</v>
      </c>
      <c r="H464" t="s">
        <v>46</v>
      </c>
      <c r="I464" t="s">
        <v>46</v>
      </c>
      <c r="J464" t="s">
        <v>17</v>
      </c>
      <c r="K464">
        <v>100</v>
      </c>
      <c r="L464">
        <v>50</v>
      </c>
      <c r="M464" t="s">
        <v>1387</v>
      </c>
      <c r="N464" t="s">
        <v>1386</v>
      </c>
    </row>
    <row r="465" spans="1:14" x14ac:dyDescent="0.3">
      <c r="A465">
        <v>1211157</v>
      </c>
      <c r="B465" t="s">
        <v>1229</v>
      </c>
      <c r="C465" t="s">
        <v>1392</v>
      </c>
      <c r="D465" t="s">
        <v>1391</v>
      </c>
      <c r="E465" t="s">
        <v>1390</v>
      </c>
      <c r="F465" t="s">
        <v>1389</v>
      </c>
      <c r="G465" t="s">
        <v>1422</v>
      </c>
      <c r="H465" t="s">
        <v>46</v>
      </c>
      <c r="I465" t="s">
        <v>46</v>
      </c>
      <c r="J465" t="s">
        <v>17</v>
      </c>
      <c r="K465">
        <v>100</v>
      </c>
      <c r="L465">
        <v>50</v>
      </c>
      <c r="M465" t="s">
        <v>1387</v>
      </c>
      <c r="N465" t="s">
        <v>1386</v>
      </c>
    </row>
    <row r="466" spans="1:14" x14ac:dyDescent="0.3">
      <c r="A466">
        <v>1211157</v>
      </c>
      <c r="B466" t="s">
        <v>1229</v>
      </c>
      <c r="C466" t="s">
        <v>1392</v>
      </c>
      <c r="D466" t="s">
        <v>1391</v>
      </c>
      <c r="E466" t="s">
        <v>1390</v>
      </c>
      <c r="F466" t="s">
        <v>1389</v>
      </c>
      <c r="G466" t="s">
        <v>1421</v>
      </c>
      <c r="H466" t="s">
        <v>46</v>
      </c>
      <c r="I466" t="s">
        <v>46</v>
      </c>
      <c r="J466" t="s">
        <v>17</v>
      </c>
      <c r="K466">
        <v>100</v>
      </c>
      <c r="L466">
        <v>50</v>
      </c>
      <c r="M466" t="s">
        <v>1387</v>
      </c>
      <c r="N466" t="s">
        <v>1386</v>
      </c>
    </row>
    <row r="467" spans="1:14" x14ac:dyDescent="0.3">
      <c r="A467">
        <v>1211157</v>
      </c>
      <c r="B467" t="s">
        <v>1229</v>
      </c>
      <c r="C467" t="s">
        <v>1392</v>
      </c>
      <c r="D467" t="s">
        <v>1391</v>
      </c>
      <c r="E467" t="s">
        <v>1390</v>
      </c>
      <c r="F467" t="s">
        <v>1389</v>
      </c>
      <c r="G467" t="s">
        <v>1420</v>
      </c>
      <c r="H467" t="s">
        <v>46</v>
      </c>
      <c r="I467" t="s">
        <v>46</v>
      </c>
      <c r="J467" t="s">
        <v>17</v>
      </c>
      <c r="K467">
        <v>100</v>
      </c>
      <c r="L467">
        <v>50</v>
      </c>
      <c r="M467" t="s">
        <v>1387</v>
      </c>
      <c r="N467" t="s">
        <v>1386</v>
      </c>
    </row>
    <row r="468" spans="1:14" x14ac:dyDescent="0.3">
      <c r="A468">
        <v>1211157</v>
      </c>
      <c r="B468" t="s">
        <v>1229</v>
      </c>
      <c r="C468" t="s">
        <v>1392</v>
      </c>
      <c r="D468" t="s">
        <v>1391</v>
      </c>
      <c r="E468" t="s">
        <v>1390</v>
      </c>
      <c r="F468" t="s">
        <v>1389</v>
      </c>
      <c r="G468" t="s">
        <v>1419</v>
      </c>
      <c r="H468" t="s">
        <v>46</v>
      </c>
      <c r="I468" t="s">
        <v>46</v>
      </c>
      <c r="J468" t="s">
        <v>17</v>
      </c>
      <c r="K468">
        <v>100</v>
      </c>
      <c r="L468">
        <v>50</v>
      </c>
      <c r="M468" t="s">
        <v>1387</v>
      </c>
      <c r="N468" t="s">
        <v>1386</v>
      </c>
    </row>
    <row r="469" spans="1:14" x14ac:dyDescent="0.3">
      <c r="A469">
        <v>1211157</v>
      </c>
      <c r="B469" t="s">
        <v>1229</v>
      </c>
      <c r="C469" t="s">
        <v>1392</v>
      </c>
      <c r="D469" t="s">
        <v>1391</v>
      </c>
      <c r="E469" t="s">
        <v>1390</v>
      </c>
      <c r="F469" t="s">
        <v>1389</v>
      </c>
      <c r="G469" t="s">
        <v>1418</v>
      </c>
      <c r="H469" t="s">
        <v>46</v>
      </c>
      <c r="I469" t="s">
        <v>46</v>
      </c>
      <c r="J469" t="s">
        <v>17</v>
      </c>
      <c r="K469">
        <v>100</v>
      </c>
      <c r="L469">
        <v>50</v>
      </c>
      <c r="M469" t="s">
        <v>1387</v>
      </c>
      <c r="N469" t="s">
        <v>1386</v>
      </c>
    </row>
    <row r="470" spans="1:14" x14ac:dyDescent="0.3">
      <c r="A470">
        <v>1211157</v>
      </c>
      <c r="B470" t="s">
        <v>1229</v>
      </c>
      <c r="C470" t="s">
        <v>1392</v>
      </c>
      <c r="D470" t="s">
        <v>1391</v>
      </c>
      <c r="E470" t="s">
        <v>1390</v>
      </c>
      <c r="F470" t="s">
        <v>1389</v>
      </c>
      <c r="G470" t="s">
        <v>1417</v>
      </c>
      <c r="H470" t="s">
        <v>46</v>
      </c>
      <c r="I470" t="s">
        <v>46</v>
      </c>
      <c r="J470" t="s">
        <v>17</v>
      </c>
      <c r="K470">
        <v>100</v>
      </c>
      <c r="L470">
        <v>50</v>
      </c>
      <c r="M470" t="s">
        <v>1387</v>
      </c>
      <c r="N470" t="s">
        <v>1386</v>
      </c>
    </row>
    <row r="471" spans="1:14" x14ac:dyDescent="0.3">
      <c r="A471">
        <v>1211157</v>
      </c>
      <c r="B471" t="s">
        <v>1229</v>
      </c>
      <c r="C471" t="s">
        <v>1392</v>
      </c>
      <c r="D471" t="s">
        <v>1391</v>
      </c>
      <c r="E471" t="s">
        <v>1390</v>
      </c>
      <c r="F471" t="s">
        <v>1389</v>
      </c>
      <c r="G471" t="s">
        <v>1416</v>
      </c>
      <c r="H471" t="s">
        <v>46</v>
      </c>
      <c r="I471" t="s">
        <v>46</v>
      </c>
      <c r="J471" t="s">
        <v>17</v>
      </c>
      <c r="K471">
        <v>100</v>
      </c>
      <c r="L471">
        <v>50</v>
      </c>
      <c r="M471" t="s">
        <v>1387</v>
      </c>
      <c r="N471" t="s">
        <v>1386</v>
      </c>
    </row>
    <row r="472" spans="1:14" x14ac:dyDescent="0.3">
      <c r="A472">
        <v>1211157</v>
      </c>
      <c r="B472" t="s">
        <v>1229</v>
      </c>
      <c r="C472" t="s">
        <v>1392</v>
      </c>
      <c r="D472" t="s">
        <v>1391</v>
      </c>
      <c r="E472" t="s">
        <v>1390</v>
      </c>
      <c r="F472" t="s">
        <v>1389</v>
      </c>
      <c r="G472" t="s">
        <v>1415</v>
      </c>
      <c r="H472" t="s">
        <v>46</v>
      </c>
      <c r="I472" t="s">
        <v>46</v>
      </c>
      <c r="J472" t="s">
        <v>17</v>
      </c>
      <c r="K472">
        <v>100</v>
      </c>
      <c r="L472">
        <v>50</v>
      </c>
      <c r="M472" t="s">
        <v>1387</v>
      </c>
      <c r="N472" t="s">
        <v>1386</v>
      </c>
    </row>
    <row r="473" spans="1:14" x14ac:dyDescent="0.3">
      <c r="A473">
        <v>1211157</v>
      </c>
      <c r="B473" t="s">
        <v>1229</v>
      </c>
      <c r="C473" t="s">
        <v>1392</v>
      </c>
      <c r="D473" t="s">
        <v>1391</v>
      </c>
      <c r="E473" t="s">
        <v>1390</v>
      </c>
      <c r="F473" t="s">
        <v>1389</v>
      </c>
      <c r="G473" t="s">
        <v>1414</v>
      </c>
      <c r="H473" t="s">
        <v>46</v>
      </c>
      <c r="I473" t="s">
        <v>46</v>
      </c>
      <c r="J473" t="s">
        <v>17</v>
      </c>
      <c r="K473">
        <v>100</v>
      </c>
      <c r="L473">
        <v>50</v>
      </c>
      <c r="M473" t="s">
        <v>1387</v>
      </c>
      <c r="N473" t="s">
        <v>1386</v>
      </c>
    </row>
    <row r="474" spans="1:14" x14ac:dyDescent="0.3">
      <c r="A474">
        <v>1211157</v>
      </c>
      <c r="B474" t="s">
        <v>1229</v>
      </c>
      <c r="C474" t="s">
        <v>1392</v>
      </c>
      <c r="D474" t="s">
        <v>1391</v>
      </c>
      <c r="E474" t="s">
        <v>1390</v>
      </c>
      <c r="F474" t="s">
        <v>1389</v>
      </c>
      <c r="G474" t="s">
        <v>1413</v>
      </c>
      <c r="H474" t="s">
        <v>46</v>
      </c>
      <c r="I474" t="s">
        <v>46</v>
      </c>
      <c r="J474" t="s">
        <v>17</v>
      </c>
      <c r="K474">
        <v>100</v>
      </c>
      <c r="L474">
        <v>50</v>
      </c>
      <c r="M474" t="s">
        <v>1387</v>
      </c>
      <c r="N474" t="s">
        <v>1386</v>
      </c>
    </row>
    <row r="475" spans="1:14" x14ac:dyDescent="0.3">
      <c r="A475">
        <v>1211157</v>
      </c>
      <c r="B475" t="s">
        <v>1229</v>
      </c>
      <c r="C475" t="s">
        <v>1392</v>
      </c>
      <c r="D475" t="s">
        <v>1391</v>
      </c>
      <c r="E475" t="s">
        <v>1390</v>
      </c>
      <c r="F475" t="s">
        <v>1389</v>
      </c>
      <c r="G475" t="s">
        <v>1412</v>
      </c>
      <c r="H475" t="s">
        <v>46</v>
      </c>
      <c r="I475" t="s">
        <v>46</v>
      </c>
      <c r="J475" t="s">
        <v>17</v>
      </c>
      <c r="K475">
        <v>100</v>
      </c>
      <c r="L475">
        <v>50</v>
      </c>
      <c r="M475" t="s">
        <v>1387</v>
      </c>
      <c r="N475" t="s">
        <v>1386</v>
      </c>
    </row>
    <row r="476" spans="1:14" x14ac:dyDescent="0.3">
      <c r="A476">
        <v>1211157</v>
      </c>
      <c r="B476" t="s">
        <v>1229</v>
      </c>
      <c r="C476" t="s">
        <v>1392</v>
      </c>
      <c r="D476" t="s">
        <v>1391</v>
      </c>
      <c r="E476" t="s">
        <v>1390</v>
      </c>
      <c r="F476" t="s">
        <v>1389</v>
      </c>
      <c r="G476" t="s">
        <v>1411</v>
      </c>
      <c r="H476" t="s">
        <v>46</v>
      </c>
      <c r="I476" t="s">
        <v>46</v>
      </c>
      <c r="J476" t="s">
        <v>17</v>
      </c>
      <c r="K476">
        <v>100</v>
      </c>
      <c r="L476">
        <v>50</v>
      </c>
      <c r="M476" t="s">
        <v>1387</v>
      </c>
      <c r="N476" t="s">
        <v>1386</v>
      </c>
    </row>
    <row r="477" spans="1:14" x14ac:dyDescent="0.3">
      <c r="A477">
        <v>1211157</v>
      </c>
      <c r="B477" t="s">
        <v>1229</v>
      </c>
      <c r="C477" t="s">
        <v>1392</v>
      </c>
      <c r="D477" t="s">
        <v>1391</v>
      </c>
      <c r="E477" t="s">
        <v>1390</v>
      </c>
      <c r="F477" t="s">
        <v>1389</v>
      </c>
      <c r="G477" t="s">
        <v>1410</v>
      </c>
      <c r="H477" t="s">
        <v>46</v>
      </c>
      <c r="I477" t="s">
        <v>46</v>
      </c>
      <c r="J477" t="s">
        <v>17</v>
      </c>
      <c r="K477">
        <v>100</v>
      </c>
      <c r="L477">
        <v>50</v>
      </c>
      <c r="M477" t="s">
        <v>1387</v>
      </c>
      <c r="N477" t="s">
        <v>1386</v>
      </c>
    </row>
    <row r="478" spans="1:14" x14ac:dyDescent="0.3">
      <c r="A478">
        <v>1211157</v>
      </c>
      <c r="B478" t="s">
        <v>1229</v>
      </c>
      <c r="C478" t="s">
        <v>1392</v>
      </c>
      <c r="D478" t="s">
        <v>1391</v>
      </c>
      <c r="E478" t="s">
        <v>1390</v>
      </c>
      <c r="F478" t="s">
        <v>1389</v>
      </c>
      <c r="G478" t="s">
        <v>1409</v>
      </c>
      <c r="H478" t="s">
        <v>46</v>
      </c>
      <c r="I478" t="s">
        <v>46</v>
      </c>
      <c r="J478" t="s">
        <v>17</v>
      </c>
      <c r="K478">
        <v>100</v>
      </c>
      <c r="L478">
        <v>50</v>
      </c>
      <c r="M478" t="s">
        <v>1387</v>
      </c>
      <c r="N478" t="s">
        <v>1386</v>
      </c>
    </row>
    <row r="479" spans="1:14" x14ac:dyDescent="0.3">
      <c r="A479">
        <v>1211157</v>
      </c>
      <c r="B479" t="s">
        <v>1229</v>
      </c>
      <c r="C479" t="s">
        <v>1392</v>
      </c>
      <c r="D479" t="s">
        <v>1391</v>
      </c>
      <c r="E479" t="s">
        <v>1390</v>
      </c>
      <c r="F479" t="s">
        <v>1389</v>
      </c>
      <c r="G479" t="s">
        <v>1408</v>
      </c>
      <c r="H479" t="s">
        <v>46</v>
      </c>
      <c r="I479" t="s">
        <v>46</v>
      </c>
      <c r="J479" t="s">
        <v>17</v>
      </c>
      <c r="K479">
        <v>100</v>
      </c>
      <c r="L479">
        <v>50</v>
      </c>
      <c r="M479" t="s">
        <v>1387</v>
      </c>
      <c r="N479" t="s">
        <v>1386</v>
      </c>
    </row>
    <row r="480" spans="1:14" x14ac:dyDescent="0.3">
      <c r="A480">
        <v>1211157</v>
      </c>
      <c r="B480" t="s">
        <v>1229</v>
      </c>
      <c r="C480" t="s">
        <v>1392</v>
      </c>
      <c r="D480" t="s">
        <v>1391</v>
      </c>
      <c r="E480" t="s">
        <v>1390</v>
      </c>
      <c r="F480" t="s">
        <v>1389</v>
      </c>
      <c r="G480" t="s">
        <v>1407</v>
      </c>
      <c r="H480" t="s">
        <v>46</v>
      </c>
      <c r="I480" t="s">
        <v>46</v>
      </c>
      <c r="J480" t="s">
        <v>17</v>
      </c>
      <c r="K480">
        <v>100</v>
      </c>
      <c r="L480">
        <v>50</v>
      </c>
      <c r="M480" t="s">
        <v>1387</v>
      </c>
      <c r="N480" t="s">
        <v>1386</v>
      </c>
    </row>
    <row r="481" spans="1:14" x14ac:dyDescent="0.3">
      <c r="A481">
        <v>1211157</v>
      </c>
      <c r="B481" t="s">
        <v>1229</v>
      </c>
      <c r="C481" t="s">
        <v>1392</v>
      </c>
      <c r="D481" t="s">
        <v>1391</v>
      </c>
      <c r="E481" t="s">
        <v>1390</v>
      </c>
      <c r="F481" t="s">
        <v>1389</v>
      </c>
      <c r="G481" t="s">
        <v>1406</v>
      </c>
      <c r="H481" t="s">
        <v>46</v>
      </c>
      <c r="I481" t="s">
        <v>46</v>
      </c>
      <c r="J481" t="s">
        <v>17</v>
      </c>
      <c r="K481">
        <v>100</v>
      </c>
      <c r="L481">
        <v>50</v>
      </c>
      <c r="M481" t="s">
        <v>1387</v>
      </c>
      <c r="N481" t="s">
        <v>1386</v>
      </c>
    </row>
    <row r="482" spans="1:14" x14ac:dyDescent="0.3">
      <c r="A482">
        <v>1211157</v>
      </c>
      <c r="B482" t="s">
        <v>1229</v>
      </c>
      <c r="C482" t="s">
        <v>1392</v>
      </c>
      <c r="D482" t="s">
        <v>1391</v>
      </c>
      <c r="E482" t="s">
        <v>1390</v>
      </c>
      <c r="F482" t="s">
        <v>1389</v>
      </c>
      <c r="G482" t="s">
        <v>1405</v>
      </c>
      <c r="H482" t="s">
        <v>46</v>
      </c>
      <c r="I482" t="s">
        <v>46</v>
      </c>
      <c r="J482" t="s">
        <v>17</v>
      </c>
      <c r="K482">
        <v>100</v>
      </c>
      <c r="L482">
        <v>50</v>
      </c>
      <c r="M482" t="s">
        <v>1387</v>
      </c>
      <c r="N482" t="s">
        <v>1386</v>
      </c>
    </row>
    <row r="483" spans="1:14" x14ac:dyDescent="0.3">
      <c r="A483">
        <v>1211157</v>
      </c>
      <c r="B483" t="s">
        <v>1229</v>
      </c>
      <c r="C483" t="s">
        <v>1392</v>
      </c>
      <c r="D483" t="s">
        <v>1391</v>
      </c>
      <c r="E483" t="s">
        <v>1390</v>
      </c>
      <c r="F483" t="s">
        <v>1389</v>
      </c>
      <c r="G483" t="s">
        <v>1404</v>
      </c>
      <c r="H483" t="s">
        <v>46</v>
      </c>
      <c r="I483" t="s">
        <v>46</v>
      </c>
      <c r="J483" t="s">
        <v>17</v>
      </c>
      <c r="K483">
        <v>100</v>
      </c>
      <c r="L483">
        <v>50</v>
      </c>
      <c r="M483" t="s">
        <v>1387</v>
      </c>
      <c r="N483" t="s">
        <v>1386</v>
      </c>
    </row>
    <row r="484" spans="1:14" x14ac:dyDescent="0.3">
      <c r="A484">
        <v>1211157</v>
      </c>
      <c r="B484" t="s">
        <v>1229</v>
      </c>
      <c r="C484" t="s">
        <v>1392</v>
      </c>
      <c r="D484" t="s">
        <v>1391</v>
      </c>
      <c r="E484" t="s">
        <v>1390</v>
      </c>
      <c r="F484" t="s">
        <v>1389</v>
      </c>
      <c r="G484" t="s">
        <v>1403</v>
      </c>
      <c r="H484" t="s">
        <v>46</v>
      </c>
      <c r="I484" t="s">
        <v>46</v>
      </c>
      <c r="J484" t="s">
        <v>17</v>
      </c>
      <c r="K484">
        <v>100</v>
      </c>
      <c r="L484">
        <v>50</v>
      </c>
      <c r="M484" t="s">
        <v>1387</v>
      </c>
      <c r="N484" t="s">
        <v>1386</v>
      </c>
    </row>
    <row r="485" spans="1:14" x14ac:dyDescent="0.3">
      <c r="A485">
        <v>1211157</v>
      </c>
      <c r="B485" t="s">
        <v>1229</v>
      </c>
      <c r="C485" t="s">
        <v>1392</v>
      </c>
      <c r="D485" t="s">
        <v>1391</v>
      </c>
      <c r="E485" t="s">
        <v>1390</v>
      </c>
      <c r="F485" t="s">
        <v>1389</v>
      </c>
      <c r="G485" t="s">
        <v>1402</v>
      </c>
      <c r="H485" t="s">
        <v>46</v>
      </c>
      <c r="I485" t="s">
        <v>46</v>
      </c>
      <c r="J485" t="s">
        <v>17</v>
      </c>
      <c r="K485">
        <v>100</v>
      </c>
      <c r="L485">
        <v>50</v>
      </c>
      <c r="M485" t="s">
        <v>1387</v>
      </c>
      <c r="N485" t="s">
        <v>1386</v>
      </c>
    </row>
    <row r="486" spans="1:14" x14ac:dyDescent="0.3">
      <c r="A486">
        <v>1211157</v>
      </c>
      <c r="B486" t="s">
        <v>1229</v>
      </c>
      <c r="C486" t="s">
        <v>1392</v>
      </c>
      <c r="D486" t="s">
        <v>1391</v>
      </c>
      <c r="E486" t="s">
        <v>1390</v>
      </c>
      <c r="F486" t="s">
        <v>1389</v>
      </c>
      <c r="G486" t="s">
        <v>1401</v>
      </c>
      <c r="H486" t="s">
        <v>46</v>
      </c>
      <c r="I486" t="s">
        <v>46</v>
      </c>
      <c r="J486" t="s">
        <v>17</v>
      </c>
      <c r="K486">
        <v>100</v>
      </c>
      <c r="L486">
        <v>50</v>
      </c>
      <c r="M486" t="s">
        <v>1387</v>
      </c>
      <c r="N486" t="s">
        <v>1386</v>
      </c>
    </row>
    <row r="487" spans="1:14" x14ac:dyDescent="0.3">
      <c r="A487">
        <v>1211157</v>
      </c>
      <c r="B487" t="s">
        <v>1229</v>
      </c>
      <c r="C487" t="s">
        <v>1392</v>
      </c>
      <c r="D487" t="s">
        <v>1391</v>
      </c>
      <c r="E487" t="s">
        <v>1390</v>
      </c>
      <c r="F487" t="s">
        <v>1389</v>
      </c>
      <c r="G487" t="s">
        <v>1400</v>
      </c>
      <c r="H487" t="s">
        <v>46</v>
      </c>
      <c r="I487" t="s">
        <v>46</v>
      </c>
      <c r="J487" t="s">
        <v>17</v>
      </c>
      <c r="K487">
        <v>100</v>
      </c>
      <c r="L487">
        <v>50</v>
      </c>
      <c r="M487" t="s">
        <v>1387</v>
      </c>
      <c r="N487" t="s">
        <v>1386</v>
      </c>
    </row>
    <row r="488" spans="1:14" x14ac:dyDescent="0.3">
      <c r="A488">
        <v>1211157</v>
      </c>
      <c r="B488" t="s">
        <v>1229</v>
      </c>
      <c r="C488" t="s">
        <v>1392</v>
      </c>
      <c r="D488" t="s">
        <v>1391</v>
      </c>
      <c r="E488" t="s">
        <v>1390</v>
      </c>
      <c r="F488" t="s">
        <v>1389</v>
      </c>
      <c r="G488" t="s">
        <v>1399</v>
      </c>
      <c r="H488" t="s">
        <v>46</v>
      </c>
      <c r="I488" t="s">
        <v>46</v>
      </c>
      <c r="J488" t="s">
        <v>17</v>
      </c>
      <c r="K488">
        <v>100</v>
      </c>
      <c r="L488">
        <v>50</v>
      </c>
      <c r="M488" t="s">
        <v>1387</v>
      </c>
      <c r="N488" t="s">
        <v>1386</v>
      </c>
    </row>
    <row r="489" spans="1:14" x14ac:dyDescent="0.3">
      <c r="A489">
        <v>1211157</v>
      </c>
      <c r="B489" t="s">
        <v>1229</v>
      </c>
      <c r="C489" t="s">
        <v>1392</v>
      </c>
      <c r="D489" t="s">
        <v>1391</v>
      </c>
      <c r="E489" t="s">
        <v>1390</v>
      </c>
      <c r="F489" t="s">
        <v>1389</v>
      </c>
      <c r="G489" t="s">
        <v>1398</v>
      </c>
      <c r="H489" t="s">
        <v>46</v>
      </c>
      <c r="I489" t="s">
        <v>46</v>
      </c>
      <c r="J489" t="s">
        <v>17</v>
      </c>
      <c r="K489">
        <v>100</v>
      </c>
      <c r="L489">
        <v>50</v>
      </c>
      <c r="M489" t="s">
        <v>1387</v>
      </c>
      <c r="N489" t="s">
        <v>1386</v>
      </c>
    </row>
    <row r="490" spans="1:14" x14ac:dyDescent="0.3">
      <c r="A490">
        <v>1211157</v>
      </c>
      <c r="B490" t="s">
        <v>1229</v>
      </c>
      <c r="C490" t="s">
        <v>1392</v>
      </c>
      <c r="D490" t="s">
        <v>1391</v>
      </c>
      <c r="E490" t="s">
        <v>1390</v>
      </c>
      <c r="F490" t="s">
        <v>1389</v>
      </c>
      <c r="G490" t="s">
        <v>1397</v>
      </c>
      <c r="H490" t="s">
        <v>46</v>
      </c>
      <c r="I490" t="s">
        <v>46</v>
      </c>
      <c r="J490" t="s">
        <v>17</v>
      </c>
      <c r="K490">
        <v>100</v>
      </c>
      <c r="L490">
        <v>50</v>
      </c>
      <c r="M490" t="s">
        <v>1387</v>
      </c>
      <c r="N490" t="s">
        <v>1386</v>
      </c>
    </row>
    <row r="491" spans="1:14" x14ac:dyDescent="0.3">
      <c r="A491">
        <v>1211157</v>
      </c>
      <c r="B491" t="s">
        <v>1229</v>
      </c>
      <c r="C491" t="s">
        <v>1392</v>
      </c>
      <c r="D491" t="s">
        <v>1391</v>
      </c>
      <c r="E491" t="s">
        <v>1390</v>
      </c>
      <c r="F491" t="s">
        <v>1389</v>
      </c>
      <c r="G491" t="s">
        <v>1396</v>
      </c>
      <c r="H491" t="s">
        <v>46</v>
      </c>
      <c r="I491" t="s">
        <v>46</v>
      </c>
      <c r="J491" t="s">
        <v>17</v>
      </c>
      <c r="K491">
        <v>100</v>
      </c>
      <c r="L491">
        <v>50</v>
      </c>
      <c r="M491" t="s">
        <v>1387</v>
      </c>
      <c r="N491" t="s">
        <v>1386</v>
      </c>
    </row>
    <row r="492" spans="1:14" x14ac:dyDescent="0.3">
      <c r="A492">
        <v>1211157</v>
      </c>
      <c r="B492" t="s">
        <v>1229</v>
      </c>
      <c r="C492" t="s">
        <v>1392</v>
      </c>
      <c r="D492" t="s">
        <v>1391</v>
      </c>
      <c r="E492" t="s">
        <v>1390</v>
      </c>
      <c r="F492" t="s">
        <v>1389</v>
      </c>
      <c r="G492" t="s">
        <v>1395</v>
      </c>
      <c r="H492" t="s">
        <v>46</v>
      </c>
      <c r="I492" t="s">
        <v>46</v>
      </c>
      <c r="J492" t="s">
        <v>17</v>
      </c>
      <c r="K492">
        <v>100</v>
      </c>
      <c r="L492">
        <v>50</v>
      </c>
      <c r="M492" t="s">
        <v>1387</v>
      </c>
      <c r="N492" t="s">
        <v>1386</v>
      </c>
    </row>
    <row r="493" spans="1:14" x14ac:dyDescent="0.3">
      <c r="A493">
        <v>1211157</v>
      </c>
      <c r="B493" t="s">
        <v>1229</v>
      </c>
      <c r="C493" t="s">
        <v>1392</v>
      </c>
      <c r="D493" t="s">
        <v>1391</v>
      </c>
      <c r="E493" t="s">
        <v>1390</v>
      </c>
      <c r="F493" t="s">
        <v>1389</v>
      </c>
      <c r="G493" t="s">
        <v>1394</v>
      </c>
      <c r="H493" t="s">
        <v>46</v>
      </c>
      <c r="I493" t="s">
        <v>46</v>
      </c>
      <c r="J493" t="s">
        <v>17</v>
      </c>
      <c r="K493">
        <v>100</v>
      </c>
      <c r="L493">
        <v>50</v>
      </c>
      <c r="M493" t="s">
        <v>1387</v>
      </c>
      <c r="N493" t="s">
        <v>1386</v>
      </c>
    </row>
    <row r="494" spans="1:14" x14ac:dyDescent="0.3">
      <c r="A494">
        <v>1211157</v>
      </c>
      <c r="B494" t="s">
        <v>1229</v>
      </c>
      <c r="C494" t="s">
        <v>1392</v>
      </c>
      <c r="D494" t="s">
        <v>1391</v>
      </c>
      <c r="E494" t="s">
        <v>1390</v>
      </c>
      <c r="F494" t="s">
        <v>1389</v>
      </c>
      <c r="G494" t="s">
        <v>1393</v>
      </c>
      <c r="H494" t="s">
        <v>46</v>
      </c>
      <c r="I494" t="s">
        <v>46</v>
      </c>
      <c r="J494" t="s">
        <v>17</v>
      </c>
      <c r="K494">
        <v>100</v>
      </c>
      <c r="L494">
        <v>50</v>
      </c>
      <c r="M494" t="s">
        <v>1387</v>
      </c>
      <c r="N494" t="s">
        <v>1386</v>
      </c>
    </row>
    <row r="495" spans="1:14" x14ac:dyDescent="0.3">
      <c r="A495">
        <v>1211157</v>
      </c>
      <c r="B495" t="s">
        <v>1229</v>
      </c>
      <c r="C495" t="s">
        <v>1392</v>
      </c>
      <c r="D495" t="s">
        <v>1391</v>
      </c>
      <c r="E495" t="s">
        <v>1390</v>
      </c>
      <c r="F495" t="s">
        <v>1389</v>
      </c>
      <c r="G495" t="s">
        <v>1388</v>
      </c>
      <c r="H495" t="s">
        <v>46</v>
      </c>
      <c r="I495" t="s">
        <v>46</v>
      </c>
      <c r="J495" t="s">
        <v>17</v>
      </c>
      <c r="K495">
        <v>100</v>
      </c>
      <c r="L495">
        <v>50</v>
      </c>
      <c r="M495" t="s">
        <v>1387</v>
      </c>
      <c r="N495" t="s">
        <v>1386</v>
      </c>
    </row>
    <row r="496" spans="1:14" x14ac:dyDescent="0.3">
      <c r="A496">
        <v>1211157</v>
      </c>
      <c r="B496" t="s">
        <v>1229</v>
      </c>
      <c r="C496" t="s">
        <v>1385</v>
      </c>
      <c r="D496" t="s">
        <v>1385</v>
      </c>
      <c r="E496" t="s">
        <v>1384</v>
      </c>
      <c r="H496" t="s">
        <v>22</v>
      </c>
      <c r="I496" t="s">
        <v>22</v>
      </c>
      <c r="J496" t="s">
        <v>17</v>
      </c>
      <c r="K496">
        <v>100</v>
      </c>
      <c r="L496">
        <v>110</v>
      </c>
      <c r="M496" t="s">
        <v>1383</v>
      </c>
      <c r="N496" t="s">
        <v>1382</v>
      </c>
    </row>
    <row r="497" spans="1:14" x14ac:dyDescent="0.3">
      <c r="A497">
        <v>1211157</v>
      </c>
      <c r="B497" t="s">
        <v>1229</v>
      </c>
      <c r="C497" t="s">
        <v>1381</v>
      </c>
      <c r="D497" t="s">
        <v>1380</v>
      </c>
      <c r="E497" t="s">
        <v>1379</v>
      </c>
      <c r="G497" t="s">
        <v>1378</v>
      </c>
      <c r="H497" t="s">
        <v>22</v>
      </c>
      <c r="I497" t="s">
        <v>22</v>
      </c>
      <c r="J497" t="s">
        <v>17</v>
      </c>
      <c r="K497">
        <v>88</v>
      </c>
      <c r="L497">
        <v>106.8</v>
      </c>
    </row>
    <row r="498" spans="1:14" x14ac:dyDescent="0.3">
      <c r="A498">
        <v>1211157</v>
      </c>
      <c r="B498" t="s">
        <v>1229</v>
      </c>
      <c r="C498" t="s">
        <v>1377</v>
      </c>
      <c r="H498" t="s">
        <v>16</v>
      </c>
      <c r="I498" t="s">
        <v>16</v>
      </c>
      <c r="J498" t="s">
        <v>17</v>
      </c>
      <c r="K498">
        <v>0</v>
      </c>
      <c r="L498">
        <v>0</v>
      </c>
    </row>
    <row r="499" spans="1:14" x14ac:dyDescent="0.3">
      <c r="A499">
        <v>1211157</v>
      </c>
      <c r="B499" t="s">
        <v>1229</v>
      </c>
      <c r="C499" t="s">
        <v>1376</v>
      </c>
      <c r="D499" t="s">
        <v>1376</v>
      </c>
      <c r="E499" t="s">
        <v>1375</v>
      </c>
      <c r="G499" t="s">
        <v>863</v>
      </c>
      <c r="H499" t="s">
        <v>22</v>
      </c>
      <c r="I499" t="s">
        <v>22</v>
      </c>
      <c r="J499" t="s">
        <v>17</v>
      </c>
      <c r="K499">
        <v>100</v>
      </c>
      <c r="L499">
        <v>144</v>
      </c>
      <c r="M499" t="s">
        <v>864</v>
      </c>
      <c r="N499" t="s">
        <v>865</v>
      </c>
    </row>
    <row r="500" spans="1:14" x14ac:dyDescent="0.3">
      <c r="A500">
        <v>1211157</v>
      </c>
      <c r="B500" t="s">
        <v>1229</v>
      </c>
      <c r="C500" t="s">
        <v>1376</v>
      </c>
      <c r="D500" t="s">
        <v>1376</v>
      </c>
      <c r="E500" t="s">
        <v>1375</v>
      </c>
      <c r="G500" t="s">
        <v>867</v>
      </c>
      <c r="H500" t="s">
        <v>22</v>
      </c>
      <c r="I500" t="s">
        <v>22</v>
      </c>
      <c r="J500" t="s">
        <v>17</v>
      </c>
      <c r="K500">
        <v>100</v>
      </c>
      <c r="L500">
        <v>144</v>
      </c>
      <c r="M500" t="s">
        <v>864</v>
      </c>
      <c r="N500" t="s">
        <v>865</v>
      </c>
    </row>
    <row r="501" spans="1:14" x14ac:dyDescent="0.3">
      <c r="A501">
        <v>1211157</v>
      </c>
      <c r="B501" t="s">
        <v>1229</v>
      </c>
      <c r="C501" t="s">
        <v>1376</v>
      </c>
      <c r="D501" t="s">
        <v>1376</v>
      </c>
      <c r="E501" t="s">
        <v>1375</v>
      </c>
      <c r="G501" t="s">
        <v>868</v>
      </c>
      <c r="H501" t="s">
        <v>22</v>
      </c>
      <c r="I501" t="s">
        <v>22</v>
      </c>
      <c r="J501" t="s">
        <v>17</v>
      </c>
      <c r="K501">
        <v>100</v>
      </c>
      <c r="L501">
        <v>144</v>
      </c>
      <c r="M501" t="s">
        <v>864</v>
      </c>
      <c r="N501" t="s">
        <v>865</v>
      </c>
    </row>
    <row r="502" spans="1:14" x14ac:dyDescent="0.3">
      <c r="A502">
        <v>1211157</v>
      </c>
      <c r="B502" t="s">
        <v>1229</v>
      </c>
      <c r="C502" t="s">
        <v>1376</v>
      </c>
      <c r="D502" t="s">
        <v>1376</v>
      </c>
      <c r="E502" t="s">
        <v>1375</v>
      </c>
      <c r="G502" t="s">
        <v>869</v>
      </c>
      <c r="H502" t="s">
        <v>22</v>
      </c>
      <c r="I502" t="s">
        <v>22</v>
      </c>
      <c r="J502" t="s">
        <v>17</v>
      </c>
      <c r="K502">
        <v>100</v>
      </c>
      <c r="L502">
        <v>144</v>
      </c>
      <c r="M502" t="s">
        <v>864</v>
      </c>
      <c r="N502" t="s">
        <v>865</v>
      </c>
    </row>
    <row r="503" spans="1:14" x14ac:dyDescent="0.3">
      <c r="A503">
        <v>1211157</v>
      </c>
      <c r="B503" t="s">
        <v>1229</v>
      </c>
      <c r="C503" t="s">
        <v>1376</v>
      </c>
      <c r="D503" t="s">
        <v>1376</v>
      </c>
      <c r="E503" t="s">
        <v>1375</v>
      </c>
      <c r="G503" t="s">
        <v>870</v>
      </c>
      <c r="H503" t="s">
        <v>22</v>
      </c>
      <c r="I503" t="s">
        <v>22</v>
      </c>
      <c r="J503" t="s">
        <v>17</v>
      </c>
      <c r="K503">
        <v>100</v>
      </c>
      <c r="L503">
        <v>144</v>
      </c>
      <c r="M503" t="s">
        <v>864</v>
      </c>
      <c r="N503" t="s">
        <v>865</v>
      </c>
    </row>
    <row r="504" spans="1:14" x14ac:dyDescent="0.3">
      <c r="A504">
        <v>1211157</v>
      </c>
      <c r="B504" t="s">
        <v>1229</v>
      </c>
      <c r="C504" t="s">
        <v>1376</v>
      </c>
      <c r="D504" t="s">
        <v>1376</v>
      </c>
      <c r="E504" t="s">
        <v>1375</v>
      </c>
      <c r="G504" t="s">
        <v>871</v>
      </c>
      <c r="H504" t="s">
        <v>22</v>
      </c>
      <c r="I504" t="s">
        <v>22</v>
      </c>
      <c r="J504" t="s">
        <v>17</v>
      </c>
      <c r="K504">
        <v>100</v>
      </c>
      <c r="L504">
        <v>144</v>
      </c>
      <c r="M504" t="s">
        <v>864</v>
      </c>
      <c r="N504" t="s">
        <v>865</v>
      </c>
    </row>
    <row r="505" spans="1:14" x14ac:dyDescent="0.3">
      <c r="A505">
        <v>1211157</v>
      </c>
      <c r="B505" t="s">
        <v>1229</v>
      </c>
      <c r="C505" t="s">
        <v>1376</v>
      </c>
      <c r="D505" t="s">
        <v>1376</v>
      </c>
      <c r="E505" t="s">
        <v>1375</v>
      </c>
      <c r="G505" t="s">
        <v>872</v>
      </c>
      <c r="H505" t="s">
        <v>22</v>
      </c>
      <c r="I505" t="s">
        <v>22</v>
      </c>
      <c r="J505" t="s">
        <v>17</v>
      </c>
      <c r="K505">
        <v>100</v>
      </c>
      <c r="L505">
        <v>144</v>
      </c>
      <c r="M505" t="s">
        <v>864</v>
      </c>
      <c r="N505" t="s">
        <v>865</v>
      </c>
    </row>
    <row r="506" spans="1:14" x14ac:dyDescent="0.3">
      <c r="A506">
        <v>1211157</v>
      </c>
      <c r="B506" t="s">
        <v>1229</v>
      </c>
      <c r="C506" t="s">
        <v>1376</v>
      </c>
      <c r="D506" t="s">
        <v>1376</v>
      </c>
      <c r="E506" t="s">
        <v>1375</v>
      </c>
      <c r="G506" t="s">
        <v>873</v>
      </c>
      <c r="H506" t="s">
        <v>22</v>
      </c>
      <c r="I506" t="s">
        <v>22</v>
      </c>
      <c r="J506" t="s">
        <v>17</v>
      </c>
      <c r="K506">
        <v>100</v>
      </c>
      <c r="L506">
        <v>144</v>
      </c>
      <c r="M506" t="s">
        <v>864</v>
      </c>
      <c r="N506" t="s">
        <v>865</v>
      </c>
    </row>
    <row r="507" spans="1:14" x14ac:dyDescent="0.3">
      <c r="A507">
        <v>1211157</v>
      </c>
      <c r="B507" t="s">
        <v>1229</v>
      </c>
      <c r="C507" t="s">
        <v>1346</v>
      </c>
      <c r="D507" t="s">
        <v>1345</v>
      </c>
      <c r="E507" t="s">
        <v>1344</v>
      </c>
      <c r="F507" t="s">
        <v>1343</v>
      </c>
      <c r="G507" t="s">
        <v>1374</v>
      </c>
      <c r="H507" t="s">
        <v>22</v>
      </c>
      <c r="I507" t="s">
        <v>22</v>
      </c>
      <c r="J507" t="s">
        <v>17</v>
      </c>
      <c r="K507">
        <v>95.8</v>
      </c>
      <c r="L507">
        <v>113.5</v>
      </c>
      <c r="M507" t="s">
        <v>1341</v>
      </c>
      <c r="N507" t="s">
        <v>1340</v>
      </c>
    </row>
    <row r="508" spans="1:14" x14ac:dyDescent="0.3">
      <c r="A508">
        <v>1211157</v>
      </c>
      <c r="B508" t="s">
        <v>1229</v>
      </c>
      <c r="C508" t="s">
        <v>1346</v>
      </c>
      <c r="D508" t="s">
        <v>1345</v>
      </c>
      <c r="E508" t="s">
        <v>1344</v>
      </c>
      <c r="F508" t="s">
        <v>1343</v>
      </c>
      <c r="G508" t="s">
        <v>1373</v>
      </c>
      <c r="H508" t="s">
        <v>22</v>
      </c>
      <c r="I508" t="s">
        <v>22</v>
      </c>
      <c r="J508" t="s">
        <v>17</v>
      </c>
      <c r="K508">
        <v>95.8</v>
      </c>
      <c r="L508">
        <v>113.5</v>
      </c>
      <c r="M508" t="s">
        <v>1341</v>
      </c>
      <c r="N508" t="s">
        <v>1340</v>
      </c>
    </row>
    <row r="509" spans="1:14" x14ac:dyDescent="0.3">
      <c r="A509">
        <v>1211157</v>
      </c>
      <c r="B509" t="s">
        <v>1229</v>
      </c>
      <c r="C509" t="s">
        <v>1346</v>
      </c>
      <c r="D509" t="s">
        <v>1345</v>
      </c>
      <c r="E509" t="s">
        <v>1344</v>
      </c>
      <c r="F509" t="s">
        <v>1343</v>
      </c>
      <c r="G509" t="s">
        <v>1372</v>
      </c>
      <c r="H509" t="s">
        <v>22</v>
      </c>
      <c r="I509" t="s">
        <v>22</v>
      </c>
      <c r="J509" t="s">
        <v>17</v>
      </c>
      <c r="K509">
        <v>95.8</v>
      </c>
      <c r="L509">
        <v>113.5</v>
      </c>
      <c r="M509" t="s">
        <v>1341</v>
      </c>
      <c r="N509" t="s">
        <v>1340</v>
      </c>
    </row>
    <row r="510" spans="1:14" x14ac:dyDescent="0.3">
      <c r="A510">
        <v>1211157</v>
      </c>
      <c r="B510" t="s">
        <v>1229</v>
      </c>
      <c r="C510" t="s">
        <v>1346</v>
      </c>
      <c r="D510" t="s">
        <v>1345</v>
      </c>
      <c r="E510" t="s">
        <v>1344</v>
      </c>
      <c r="F510" t="s">
        <v>1343</v>
      </c>
      <c r="G510" t="s">
        <v>1371</v>
      </c>
      <c r="H510" t="s">
        <v>22</v>
      </c>
      <c r="I510" t="s">
        <v>22</v>
      </c>
      <c r="J510" t="s">
        <v>17</v>
      </c>
      <c r="K510">
        <v>95.8</v>
      </c>
      <c r="L510">
        <v>113.5</v>
      </c>
      <c r="M510" t="s">
        <v>1341</v>
      </c>
      <c r="N510" t="s">
        <v>1340</v>
      </c>
    </row>
    <row r="511" spans="1:14" x14ac:dyDescent="0.3">
      <c r="A511">
        <v>1211157</v>
      </c>
      <c r="B511" t="s">
        <v>1229</v>
      </c>
      <c r="C511" t="s">
        <v>1346</v>
      </c>
      <c r="D511" t="s">
        <v>1345</v>
      </c>
      <c r="E511" t="s">
        <v>1344</v>
      </c>
      <c r="F511" t="s">
        <v>1343</v>
      </c>
      <c r="G511" t="s">
        <v>1370</v>
      </c>
      <c r="H511" t="s">
        <v>22</v>
      </c>
      <c r="I511" t="s">
        <v>22</v>
      </c>
      <c r="J511" t="s">
        <v>17</v>
      </c>
      <c r="K511">
        <v>95.8</v>
      </c>
      <c r="L511">
        <v>113.5</v>
      </c>
      <c r="M511" t="s">
        <v>1341</v>
      </c>
      <c r="N511" t="s">
        <v>1340</v>
      </c>
    </row>
    <row r="512" spans="1:14" x14ac:dyDescent="0.3">
      <c r="A512">
        <v>1211157</v>
      </c>
      <c r="B512" t="s">
        <v>1229</v>
      </c>
      <c r="C512" t="s">
        <v>1346</v>
      </c>
      <c r="D512" t="s">
        <v>1345</v>
      </c>
      <c r="E512" t="s">
        <v>1344</v>
      </c>
      <c r="F512" t="s">
        <v>1343</v>
      </c>
      <c r="G512" t="s">
        <v>1369</v>
      </c>
      <c r="H512" t="s">
        <v>22</v>
      </c>
      <c r="I512" t="s">
        <v>22</v>
      </c>
      <c r="J512" t="s">
        <v>17</v>
      </c>
      <c r="K512">
        <v>95.8</v>
      </c>
      <c r="L512">
        <v>113.5</v>
      </c>
      <c r="M512" t="s">
        <v>1341</v>
      </c>
      <c r="N512" t="s">
        <v>1340</v>
      </c>
    </row>
    <row r="513" spans="1:14" x14ac:dyDescent="0.3">
      <c r="A513">
        <v>1211157</v>
      </c>
      <c r="B513" t="s">
        <v>1229</v>
      </c>
      <c r="C513" t="s">
        <v>1346</v>
      </c>
      <c r="D513" t="s">
        <v>1345</v>
      </c>
      <c r="E513" t="s">
        <v>1344</v>
      </c>
      <c r="F513" t="s">
        <v>1343</v>
      </c>
      <c r="G513" t="s">
        <v>1368</v>
      </c>
      <c r="H513" t="s">
        <v>22</v>
      </c>
      <c r="I513" t="s">
        <v>22</v>
      </c>
      <c r="J513" t="s">
        <v>17</v>
      </c>
      <c r="K513">
        <v>95.8</v>
      </c>
      <c r="L513">
        <v>113.5</v>
      </c>
      <c r="M513" t="s">
        <v>1341</v>
      </c>
      <c r="N513" t="s">
        <v>1340</v>
      </c>
    </row>
    <row r="514" spans="1:14" x14ac:dyDescent="0.3">
      <c r="A514">
        <v>1211157</v>
      </c>
      <c r="B514" t="s">
        <v>1229</v>
      </c>
      <c r="C514" t="s">
        <v>1346</v>
      </c>
      <c r="D514" t="s">
        <v>1345</v>
      </c>
      <c r="E514" t="s">
        <v>1344</v>
      </c>
      <c r="F514" t="s">
        <v>1343</v>
      </c>
      <c r="G514" t="s">
        <v>1367</v>
      </c>
      <c r="H514" t="s">
        <v>22</v>
      </c>
      <c r="I514" t="s">
        <v>22</v>
      </c>
      <c r="J514" t="s">
        <v>17</v>
      </c>
      <c r="K514">
        <v>95.8</v>
      </c>
      <c r="L514">
        <v>113.5</v>
      </c>
      <c r="M514" t="s">
        <v>1341</v>
      </c>
      <c r="N514" t="s">
        <v>1340</v>
      </c>
    </row>
    <row r="515" spans="1:14" x14ac:dyDescent="0.3">
      <c r="A515">
        <v>1211157</v>
      </c>
      <c r="B515" t="s">
        <v>1229</v>
      </c>
      <c r="C515" t="s">
        <v>1346</v>
      </c>
      <c r="D515" t="s">
        <v>1345</v>
      </c>
      <c r="E515" t="s">
        <v>1344</v>
      </c>
      <c r="F515" t="s">
        <v>1343</v>
      </c>
      <c r="G515" t="s">
        <v>1366</v>
      </c>
      <c r="H515" t="s">
        <v>22</v>
      </c>
      <c r="I515" t="s">
        <v>22</v>
      </c>
      <c r="J515" t="s">
        <v>17</v>
      </c>
      <c r="K515">
        <v>95.8</v>
      </c>
      <c r="L515">
        <v>113.5</v>
      </c>
      <c r="M515" t="s">
        <v>1341</v>
      </c>
      <c r="N515" t="s">
        <v>1340</v>
      </c>
    </row>
    <row r="516" spans="1:14" x14ac:dyDescent="0.3">
      <c r="A516">
        <v>1211157</v>
      </c>
      <c r="B516" t="s">
        <v>1229</v>
      </c>
      <c r="C516" t="s">
        <v>1346</v>
      </c>
      <c r="D516" t="s">
        <v>1345</v>
      </c>
      <c r="E516" t="s">
        <v>1344</v>
      </c>
      <c r="F516" t="s">
        <v>1343</v>
      </c>
      <c r="G516" t="s">
        <v>1365</v>
      </c>
      <c r="H516" t="s">
        <v>22</v>
      </c>
      <c r="I516" t="s">
        <v>22</v>
      </c>
      <c r="J516" t="s">
        <v>17</v>
      </c>
      <c r="K516">
        <v>95.8</v>
      </c>
      <c r="L516">
        <v>113.5</v>
      </c>
      <c r="M516" t="s">
        <v>1341</v>
      </c>
      <c r="N516" t="s">
        <v>1340</v>
      </c>
    </row>
    <row r="517" spans="1:14" x14ac:dyDescent="0.3">
      <c r="A517">
        <v>1211157</v>
      </c>
      <c r="B517" t="s">
        <v>1229</v>
      </c>
      <c r="C517" t="s">
        <v>1346</v>
      </c>
      <c r="D517" t="s">
        <v>1345</v>
      </c>
      <c r="E517" t="s">
        <v>1344</v>
      </c>
      <c r="F517" t="s">
        <v>1343</v>
      </c>
      <c r="G517" t="s">
        <v>1364</v>
      </c>
      <c r="H517" t="s">
        <v>22</v>
      </c>
      <c r="I517" t="s">
        <v>22</v>
      </c>
      <c r="J517" t="s">
        <v>17</v>
      </c>
      <c r="K517">
        <v>95.8</v>
      </c>
      <c r="L517">
        <v>113.5</v>
      </c>
      <c r="M517" t="s">
        <v>1341</v>
      </c>
      <c r="N517" t="s">
        <v>1340</v>
      </c>
    </row>
    <row r="518" spans="1:14" x14ac:dyDescent="0.3">
      <c r="A518">
        <v>1211157</v>
      </c>
      <c r="B518" t="s">
        <v>1229</v>
      </c>
      <c r="C518" t="s">
        <v>1346</v>
      </c>
      <c r="D518" t="s">
        <v>1345</v>
      </c>
      <c r="E518" t="s">
        <v>1344</v>
      </c>
      <c r="F518" t="s">
        <v>1343</v>
      </c>
      <c r="G518" t="s">
        <v>1363</v>
      </c>
      <c r="H518" t="s">
        <v>22</v>
      </c>
      <c r="I518" t="s">
        <v>22</v>
      </c>
      <c r="J518" t="s">
        <v>17</v>
      </c>
      <c r="K518">
        <v>95.8</v>
      </c>
      <c r="L518">
        <v>113.5</v>
      </c>
      <c r="M518" t="s">
        <v>1341</v>
      </c>
      <c r="N518" t="s">
        <v>1340</v>
      </c>
    </row>
    <row r="519" spans="1:14" x14ac:dyDescent="0.3">
      <c r="A519">
        <v>1211157</v>
      </c>
      <c r="B519" t="s">
        <v>1229</v>
      </c>
      <c r="C519" t="s">
        <v>1346</v>
      </c>
      <c r="D519" t="s">
        <v>1345</v>
      </c>
      <c r="E519" t="s">
        <v>1344</v>
      </c>
      <c r="F519" t="s">
        <v>1343</v>
      </c>
      <c r="G519" t="s">
        <v>1362</v>
      </c>
      <c r="H519" t="s">
        <v>22</v>
      </c>
      <c r="I519" t="s">
        <v>22</v>
      </c>
      <c r="J519" t="s">
        <v>17</v>
      </c>
      <c r="K519">
        <v>95.8</v>
      </c>
      <c r="L519">
        <v>113.5</v>
      </c>
      <c r="M519" t="s">
        <v>1341</v>
      </c>
      <c r="N519" t="s">
        <v>1340</v>
      </c>
    </row>
    <row r="520" spans="1:14" x14ac:dyDescent="0.3">
      <c r="A520">
        <v>1211157</v>
      </c>
      <c r="B520" t="s">
        <v>1229</v>
      </c>
      <c r="C520" t="s">
        <v>1346</v>
      </c>
      <c r="D520" t="s">
        <v>1345</v>
      </c>
      <c r="E520" t="s">
        <v>1344</v>
      </c>
      <c r="F520" t="s">
        <v>1343</v>
      </c>
      <c r="G520" t="s">
        <v>1361</v>
      </c>
      <c r="H520" t="s">
        <v>22</v>
      </c>
      <c r="I520" t="s">
        <v>22</v>
      </c>
      <c r="J520" t="s">
        <v>17</v>
      </c>
      <c r="K520">
        <v>95.8</v>
      </c>
      <c r="L520">
        <v>113.5</v>
      </c>
      <c r="M520" t="s">
        <v>1341</v>
      </c>
      <c r="N520" t="s">
        <v>1340</v>
      </c>
    </row>
    <row r="521" spans="1:14" x14ac:dyDescent="0.3">
      <c r="A521">
        <v>1211157</v>
      </c>
      <c r="B521" t="s">
        <v>1229</v>
      </c>
      <c r="C521" t="s">
        <v>1346</v>
      </c>
      <c r="D521" t="s">
        <v>1345</v>
      </c>
      <c r="E521" t="s">
        <v>1344</v>
      </c>
      <c r="F521" t="s">
        <v>1343</v>
      </c>
      <c r="G521" t="s">
        <v>1360</v>
      </c>
      <c r="H521" t="s">
        <v>22</v>
      </c>
      <c r="I521" t="s">
        <v>22</v>
      </c>
      <c r="J521" t="s">
        <v>17</v>
      </c>
      <c r="K521">
        <v>95.8</v>
      </c>
      <c r="L521">
        <v>113.5</v>
      </c>
      <c r="M521" t="s">
        <v>1341</v>
      </c>
      <c r="N521" t="s">
        <v>1340</v>
      </c>
    </row>
    <row r="522" spans="1:14" x14ac:dyDescent="0.3">
      <c r="A522">
        <v>1211157</v>
      </c>
      <c r="B522" t="s">
        <v>1229</v>
      </c>
      <c r="C522" t="s">
        <v>1346</v>
      </c>
      <c r="D522" t="s">
        <v>1345</v>
      </c>
      <c r="E522" t="s">
        <v>1344</v>
      </c>
      <c r="F522" t="s">
        <v>1343</v>
      </c>
      <c r="G522" t="s">
        <v>1359</v>
      </c>
      <c r="H522" t="s">
        <v>22</v>
      </c>
      <c r="I522" t="s">
        <v>22</v>
      </c>
      <c r="J522" t="s">
        <v>17</v>
      </c>
      <c r="K522">
        <v>95.8</v>
      </c>
      <c r="L522">
        <v>113.5</v>
      </c>
      <c r="M522" t="s">
        <v>1341</v>
      </c>
      <c r="N522" t="s">
        <v>1340</v>
      </c>
    </row>
    <row r="523" spans="1:14" x14ac:dyDescent="0.3">
      <c r="A523">
        <v>1211157</v>
      </c>
      <c r="B523" t="s">
        <v>1229</v>
      </c>
      <c r="C523" t="s">
        <v>1346</v>
      </c>
      <c r="D523" t="s">
        <v>1345</v>
      </c>
      <c r="E523" t="s">
        <v>1344</v>
      </c>
      <c r="F523" t="s">
        <v>1343</v>
      </c>
      <c r="G523" t="s">
        <v>1358</v>
      </c>
      <c r="H523" t="s">
        <v>22</v>
      </c>
      <c r="I523" t="s">
        <v>22</v>
      </c>
      <c r="J523" t="s">
        <v>17</v>
      </c>
      <c r="K523">
        <v>95.8</v>
      </c>
      <c r="L523">
        <v>113.5</v>
      </c>
      <c r="M523" t="s">
        <v>1341</v>
      </c>
      <c r="N523" t="s">
        <v>1340</v>
      </c>
    </row>
    <row r="524" spans="1:14" x14ac:dyDescent="0.3">
      <c r="A524">
        <v>1211157</v>
      </c>
      <c r="B524" t="s">
        <v>1229</v>
      </c>
      <c r="C524" t="s">
        <v>1346</v>
      </c>
      <c r="D524" t="s">
        <v>1345</v>
      </c>
      <c r="E524" t="s">
        <v>1344</v>
      </c>
      <c r="F524" t="s">
        <v>1343</v>
      </c>
      <c r="G524" t="s">
        <v>1357</v>
      </c>
      <c r="H524" t="s">
        <v>22</v>
      </c>
      <c r="I524" t="s">
        <v>22</v>
      </c>
      <c r="J524" t="s">
        <v>17</v>
      </c>
      <c r="K524">
        <v>95.8</v>
      </c>
      <c r="L524">
        <v>113.5</v>
      </c>
      <c r="M524" t="s">
        <v>1341</v>
      </c>
      <c r="N524" t="s">
        <v>1340</v>
      </c>
    </row>
    <row r="525" spans="1:14" x14ac:dyDescent="0.3">
      <c r="A525">
        <v>1211157</v>
      </c>
      <c r="B525" t="s">
        <v>1229</v>
      </c>
      <c r="C525" t="s">
        <v>1346</v>
      </c>
      <c r="D525" t="s">
        <v>1345</v>
      </c>
      <c r="E525" t="s">
        <v>1344</v>
      </c>
      <c r="F525" t="s">
        <v>1343</v>
      </c>
      <c r="G525" t="s">
        <v>1356</v>
      </c>
      <c r="H525" t="s">
        <v>22</v>
      </c>
      <c r="I525" t="s">
        <v>22</v>
      </c>
      <c r="J525" t="s">
        <v>17</v>
      </c>
      <c r="K525">
        <v>95.8</v>
      </c>
      <c r="L525">
        <v>113.5</v>
      </c>
      <c r="M525" t="s">
        <v>1341</v>
      </c>
      <c r="N525" t="s">
        <v>1340</v>
      </c>
    </row>
    <row r="526" spans="1:14" x14ac:dyDescent="0.3">
      <c r="A526">
        <v>1211157</v>
      </c>
      <c r="B526" t="s">
        <v>1229</v>
      </c>
      <c r="C526" t="s">
        <v>1346</v>
      </c>
      <c r="D526" t="s">
        <v>1345</v>
      </c>
      <c r="E526" t="s">
        <v>1344</v>
      </c>
      <c r="F526" t="s">
        <v>1343</v>
      </c>
      <c r="G526" t="s">
        <v>1355</v>
      </c>
      <c r="H526" t="s">
        <v>22</v>
      </c>
      <c r="I526" t="s">
        <v>22</v>
      </c>
      <c r="J526" t="s">
        <v>17</v>
      </c>
      <c r="K526">
        <v>95.8</v>
      </c>
      <c r="L526">
        <v>113.5</v>
      </c>
      <c r="M526" t="s">
        <v>1341</v>
      </c>
      <c r="N526" t="s">
        <v>1340</v>
      </c>
    </row>
    <row r="527" spans="1:14" x14ac:dyDescent="0.3">
      <c r="A527">
        <v>1211157</v>
      </c>
      <c r="B527" t="s">
        <v>1229</v>
      </c>
      <c r="C527" t="s">
        <v>1346</v>
      </c>
      <c r="D527" t="s">
        <v>1345</v>
      </c>
      <c r="E527" t="s">
        <v>1344</v>
      </c>
      <c r="F527" t="s">
        <v>1343</v>
      </c>
      <c r="G527" t="s">
        <v>1354</v>
      </c>
      <c r="H527" t="s">
        <v>22</v>
      </c>
      <c r="I527" t="s">
        <v>22</v>
      </c>
      <c r="J527" t="s">
        <v>17</v>
      </c>
      <c r="K527">
        <v>95.8</v>
      </c>
      <c r="L527">
        <v>113.5</v>
      </c>
      <c r="M527" t="s">
        <v>1341</v>
      </c>
      <c r="N527" t="s">
        <v>1340</v>
      </c>
    </row>
    <row r="528" spans="1:14" x14ac:dyDescent="0.3">
      <c r="A528">
        <v>1211157</v>
      </c>
      <c r="B528" t="s">
        <v>1229</v>
      </c>
      <c r="C528" t="s">
        <v>1346</v>
      </c>
      <c r="D528" t="s">
        <v>1345</v>
      </c>
      <c r="E528" t="s">
        <v>1344</v>
      </c>
      <c r="F528" t="s">
        <v>1343</v>
      </c>
      <c r="G528" t="s">
        <v>1353</v>
      </c>
      <c r="H528" t="s">
        <v>22</v>
      </c>
      <c r="I528" t="s">
        <v>22</v>
      </c>
      <c r="J528" t="s">
        <v>17</v>
      </c>
      <c r="K528">
        <v>95.8</v>
      </c>
      <c r="L528">
        <v>113.5</v>
      </c>
      <c r="M528" t="s">
        <v>1341</v>
      </c>
      <c r="N528" t="s">
        <v>1340</v>
      </c>
    </row>
    <row r="529" spans="1:14" x14ac:dyDescent="0.3">
      <c r="A529">
        <v>1211157</v>
      </c>
      <c r="B529" t="s">
        <v>1229</v>
      </c>
      <c r="C529" t="s">
        <v>1346</v>
      </c>
      <c r="D529" t="s">
        <v>1345</v>
      </c>
      <c r="E529" t="s">
        <v>1344</v>
      </c>
      <c r="F529" t="s">
        <v>1343</v>
      </c>
      <c r="G529" t="s">
        <v>1352</v>
      </c>
      <c r="H529" t="s">
        <v>22</v>
      </c>
      <c r="I529" t="s">
        <v>22</v>
      </c>
      <c r="J529" t="s">
        <v>17</v>
      </c>
      <c r="K529">
        <v>95.8</v>
      </c>
      <c r="L529">
        <v>113.5</v>
      </c>
      <c r="M529" t="s">
        <v>1341</v>
      </c>
      <c r="N529" t="s">
        <v>1340</v>
      </c>
    </row>
    <row r="530" spans="1:14" x14ac:dyDescent="0.3">
      <c r="A530">
        <v>1211157</v>
      </c>
      <c r="B530" t="s">
        <v>1229</v>
      </c>
      <c r="C530" t="s">
        <v>1346</v>
      </c>
      <c r="D530" t="s">
        <v>1345</v>
      </c>
      <c r="E530" t="s">
        <v>1344</v>
      </c>
      <c r="F530" t="s">
        <v>1343</v>
      </c>
      <c r="G530" t="s">
        <v>1351</v>
      </c>
      <c r="H530" t="s">
        <v>22</v>
      </c>
      <c r="I530" t="s">
        <v>22</v>
      </c>
      <c r="J530" t="s">
        <v>17</v>
      </c>
      <c r="K530">
        <v>95.8</v>
      </c>
      <c r="L530">
        <v>113.5</v>
      </c>
      <c r="M530" t="s">
        <v>1341</v>
      </c>
      <c r="N530" t="s">
        <v>1340</v>
      </c>
    </row>
    <row r="531" spans="1:14" x14ac:dyDescent="0.3">
      <c r="A531">
        <v>1211157</v>
      </c>
      <c r="B531" t="s">
        <v>1229</v>
      </c>
      <c r="C531" t="s">
        <v>1346</v>
      </c>
      <c r="D531" t="s">
        <v>1345</v>
      </c>
      <c r="E531" t="s">
        <v>1344</v>
      </c>
      <c r="F531" t="s">
        <v>1343</v>
      </c>
      <c r="G531" t="s">
        <v>1350</v>
      </c>
      <c r="H531" t="s">
        <v>22</v>
      </c>
      <c r="I531" t="s">
        <v>22</v>
      </c>
      <c r="J531" t="s">
        <v>17</v>
      </c>
      <c r="K531">
        <v>95.8</v>
      </c>
      <c r="L531">
        <v>113.5</v>
      </c>
      <c r="M531" t="s">
        <v>1341</v>
      </c>
      <c r="N531" t="s">
        <v>1340</v>
      </c>
    </row>
    <row r="532" spans="1:14" x14ac:dyDescent="0.3">
      <c r="A532">
        <v>1211157</v>
      </c>
      <c r="B532" t="s">
        <v>1229</v>
      </c>
      <c r="C532" t="s">
        <v>1346</v>
      </c>
      <c r="D532" t="s">
        <v>1345</v>
      </c>
      <c r="E532" t="s">
        <v>1344</v>
      </c>
      <c r="F532" t="s">
        <v>1343</v>
      </c>
      <c r="G532" t="s">
        <v>1349</v>
      </c>
      <c r="H532" t="s">
        <v>22</v>
      </c>
      <c r="I532" t="s">
        <v>22</v>
      </c>
      <c r="J532" t="s">
        <v>17</v>
      </c>
      <c r="K532">
        <v>95.8</v>
      </c>
      <c r="L532">
        <v>113.5</v>
      </c>
      <c r="M532" t="s">
        <v>1341</v>
      </c>
      <c r="N532" t="s">
        <v>1340</v>
      </c>
    </row>
    <row r="533" spans="1:14" x14ac:dyDescent="0.3">
      <c r="A533">
        <v>1211157</v>
      </c>
      <c r="B533" t="s">
        <v>1229</v>
      </c>
      <c r="C533" t="s">
        <v>1346</v>
      </c>
      <c r="D533" t="s">
        <v>1345</v>
      </c>
      <c r="E533" t="s">
        <v>1344</v>
      </c>
      <c r="F533" t="s">
        <v>1343</v>
      </c>
      <c r="G533" t="s">
        <v>1348</v>
      </c>
      <c r="H533" t="s">
        <v>22</v>
      </c>
      <c r="I533" t="s">
        <v>22</v>
      </c>
      <c r="J533" t="s">
        <v>17</v>
      </c>
      <c r="K533">
        <v>95.8</v>
      </c>
      <c r="L533">
        <v>113.5</v>
      </c>
      <c r="M533" t="s">
        <v>1341</v>
      </c>
      <c r="N533" t="s">
        <v>1340</v>
      </c>
    </row>
    <row r="534" spans="1:14" x14ac:dyDescent="0.3">
      <c r="A534">
        <v>1211157</v>
      </c>
      <c r="B534" t="s">
        <v>1229</v>
      </c>
      <c r="C534" t="s">
        <v>1346</v>
      </c>
      <c r="D534" t="s">
        <v>1345</v>
      </c>
      <c r="E534" t="s">
        <v>1344</v>
      </c>
      <c r="F534" t="s">
        <v>1343</v>
      </c>
      <c r="G534" t="s">
        <v>1347</v>
      </c>
      <c r="H534" t="s">
        <v>22</v>
      </c>
      <c r="I534" t="s">
        <v>22</v>
      </c>
      <c r="J534" t="s">
        <v>17</v>
      </c>
      <c r="K534">
        <v>95.8</v>
      </c>
      <c r="L534">
        <v>113.5</v>
      </c>
      <c r="M534" t="s">
        <v>1341</v>
      </c>
      <c r="N534" t="s">
        <v>1340</v>
      </c>
    </row>
    <row r="535" spans="1:14" x14ac:dyDescent="0.3">
      <c r="A535">
        <v>1211157</v>
      </c>
      <c r="B535" t="s">
        <v>1229</v>
      </c>
      <c r="C535" t="s">
        <v>1346</v>
      </c>
      <c r="D535" t="s">
        <v>1345</v>
      </c>
      <c r="E535" t="s">
        <v>1344</v>
      </c>
      <c r="F535" t="s">
        <v>1343</v>
      </c>
      <c r="G535" t="s">
        <v>1342</v>
      </c>
      <c r="H535" t="s">
        <v>22</v>
      </c>
      <c r="I535" t="s">
        <v>22</v>
      </c>
      <c r="J535" t="s">
        <v>17</v>
      </c>
      <c r="K535">
        <v>95.8</v>
      </c>
      <c r="L535">
        <v>113.5</v>
      </c>
      <c r="M535" t="s">
        <v>1341</v>
      </c>
      <c r="N535" t="s">
        <v>1340</v>
      </c>
    </row>
    <row r="536" spans="1:14" x14ac:dyDescent="0.3">
      <c r="A536">
        <v>1211157</v>
      </c>
      <c r="B536" t="s">
        <v>1229</v>
      </c>
      <c r="C536" t="s">
        <v>1339</v>
      </c>
      <c r="H536" t="s">
        <v>16</v>
      </c>
      <c r="I536" t="s">
        <v>16</v>
      </c>
      <c r="J536" t="s">
        <v>17</v>
      </c>
      <c r="K536">
        <v>0</v>
      </c>
      <c r="L536">
        <v>0</v>
      </c>
    </row>
    <row r="537" spans="1:14" x14ac:dyDescent="0.3">
      <c r="A537">
        <v>1211157</v>
      </c>
      <c r="B537" t="s">
        <v>1229</v>
      </c>
      <c r="C537" t="s">
        <v>1326</v>
      </c>
      <c r="D537" t="s">
        <v>1325</v>
      </c>
      <c r="E537" t="s">
        <v>1324</v>
      </c>
      <c r="F537" t="s">
        <v>1323</v>
      </c>
      <c r="G537" t="s">
        <v>1338</v>
      </c>
      <c r="H537" t="s">
        <v>46</v>
      </c>
      <c r="I537" t="s">
        <v>46</v>
      </c>
      <c r="J537" t="s">
        <v>17</v>
      </c>
      <c r="K537">
        <v>100</v>
      </c>
      <c r="L537">
        <v>50</v>
      </c>
      <c r="M537" t="s">
        <v>1321</v>
      </c>
      <c r="N537" t="s">
        <v>1320</v>
      </c>
    </row>
    <row r="538" spans="1:14" x14ac:dyDescent="0.3">
      <c r="A538">
        <v>1211157</v>
      </c>
      <c r="B538" t="s">
        <v>1229</v>
      </c>
      <c r="C538" t="s">
        <v>1326</v>
      </c>
      <c r="D538" t="s">
        <v>1325</v>
      </c>
      <c r="E538" t="s">
        <v>1324</v>
      </c>
      <c r="F538" t="s">
        <v>1323</v>
      </c>
      <c r="G538" t="s">
        <v>1337</v>
      </c>
      <c r="H538" t="s">
        <v>46</v>
      </c>
      <c r="I538" t="s">
        <v>46</v>
      </c>
      <c r="J538" t="s">
        <v>17</v>
      </c>
      <c r="K538">
        <v>100</v>
      </c>
      <c r="L538">
        <v>50</v>
      </c>
      <c r="M538" t="s">
        <v>1321</v>
      </c>
      <c r="N538" t="s">
        <v>1320</v>
      </c>
    </row>
    <row r="539" spans="1:14" x14ac:dyDescent="0.3">
      <c r="A539">
        <v>1211157</v>
      </c>
      <c r="B539" t="s">
        <v>1229</v>
      </c>
      <c r="C539" t="s">
        <v>1326</v>
      </c>
      <c r="D539" t="s">
        <v>1325</v>
      </c>
      <c r="E539" t="s">
        <v>1324</v>
      </c>
      <c r="F539" t="s">
        <v>1323</v>
      </c>
      <c r="G539" t="s">
        <v>1336</v>
      </c>
      <c r="H539" t="s">
        <v>46</v>
      </c>
      <c r="I539" t="s">
        <v>46</v>
      </c>
      <c r="J539" t="s">
        <v>17</v>
      </c>
      <c r="K539">
        <v>100</v>
      </c>
      <c r="L539">
        <v>50</v>
      </c>
      <c r="M539" t="s">
        <v>1321</v>
      </c>
      <c r="N539" t="s">
        <v>1320</v>
      </c>
    </row>
    <row r="540" spans="1:14" x14ac:dyDescent="0.3">
      <c r="A540">
        <v>1211157</v>
      </c>
      <c r="B540" t="s">
        <v>1229</v>
      </c>
      <c r="C540" t="s">
        <v>1326</v>
      </c>
      <c r="D540" t="s">
        <v>1325</v>
      </c>
      <c r="E540" t="s">
        <v>1324</v>
      </c>
      <c r="F540" t="s">
        <v>1323</v>
      </c>
      <c r="G540" t="s">
        <v>1335</v>
      </c>
      <c r="H540" t="s">
        <v>46</v>
      </c>
      <c r="I540" t="s">
        <v>46</v>
      </c>
      <c r="J540" t="s">
        <v>17</v>
      </c>
      <c r="K540">
        <v>100</v>
      </c>
      <c r="L540">
        <v>50</v>
      </c>
      <c r="M540" t="s">
        <v>1321</v>
      </c>
      <c r="N540" t="s">
        <v>1320</v>
      </c>
    </row>
    <row r="541" spans="1:14" x14ac:dyDescent="0.3">
      <c r="A541">
        <v>1211157</v>
      </c>
      <c r="B541" t="s">
        <v>1229</v>
      </c>
      <c r="C541" t="s">
        <v>1326</v>
      </c>
      <c r="D541" t="s">
        <v>1325</v>
      </c>
      <c r="E541" t="s">
        <v>1324</v>
      </c>
      <c r="F541" t="s">
        <v>1323</v>
      </c>
      <c r="G541" t="s">
        <v>1334</v>
      </c>
      <c r="H541" t="s">
        <v>46</v>
      </c>
      <c r="I541" t="s">
        <v>46</v>
      </c>
      <c r="J541" t="s">
        <v>17</v>
      </c>
      <c r="K541">
        <v>100</v>
      </c>
      <c r="L541">
        <v>50</v>
      </c>
      <c r="M541" t="s">
        <v>1321</v>
      </c>
      <c r="N541" t="s">
        <v>1320</v>
      </c>
    </row>
    <row r="542" spans="1:14" x14ac:dyDescent="0.3">
      <c r="A542">
        <v>1211157</v>
      </c>
      <c r="B542" t="s">
        <v>1229</v>
      </c>
      <c r="C542" t="s">
        <v>1326</v>
      </c>
      <c r="D542" t="s">
        <v>1325</v>
      </c>
      <c r="E542" t="s">
        <v>1324</v>
      </c>
      <c r="F542" t="s">
        <v>1323</v>
      </c>
      <c r="G542" t="s">
        <v>1333</v>
      </c>
      <c r="H542" t="s">
        <v>46</v>
      </c>
      <c r="I542" t="s">
        <v>46</v>
      </c>
      <c r="J542" t="s">
        <v>17</v>
      </c>
      <c r="K542">
        <v>100</v>
      </c>
      <c r="L542">
        <v>50</v>
      </c>
      <c r="M542" t="s">
        <v>1321</v>
      </c>
      <c r="N542" t="s">
        <v>1320</v>
      </c>
    </row>
    <row r="543" spans="1:14" x14ac:dyDescent="0.3">
      <c r="A543">
        <v>1211157</v>
      </c>
      <c r="B543" t="s">
        <v>1229</v>
      </c>
      <c r="C543" t="s">
        <v>1326</v>
      </c>
      <c r="D543" t="s">
        <v>1325</v>
      </c>
      <c r="E543" t="s">
        <v>1324</v>
      </c>
      <c r="F543" t="s">
        <v>1323</v>
      </c>
      <c r="G543" t="s">
        <v>1332</v>
      </c>
      <c r="H543" t="s">
        <v>46</v>
      </c>
      <c r="I543" t="s">
        <v>46</v>
      </c>
      <c r="J543" t="s">
        <v>17</v>
      </c>
      <c r="K543">
        <v>100</v>
      </c>
      <c r="L543">
        <v>50</v>
      </c>
      <c r="M543" t="s">
        <v>1321</v>
      </c>
      <c r="N543" t="s">
        <v>1320</v>
      </c>
    </row>
    <row r="544" spans="1:14" x14ac:dyDescent="0.3">
      <c r="A544">
        <v>1211157</v>
      </c>
      <c r="B544" t="s">
        <v>1229</v>
      </c>
      <c r="C544" t="s">
        <v>1326</v>
      </c>
      <c r="D544" t="s">
        <v>1325</v>
      </c>
      <c r="E544" t="s">
        <v>1324</v>
      </c>
      <c r="F544" t="s">
        <v>1323</v>
      </c>
      <c r="G544" t="s">
        <v>1331</v>
      </c>
      <c r="H544" t="s">
        <v>46</v>
      </c>
      <c r="I544" t="s">
        <v>46</v>
      </c>
      <c r="J544" t="s">
        <v>17</v>
      </c>
      <c r="K544">
        <v>100</v>
      </c>
      <c r="L544">
        <v>50</v>
      </c>
      <c r="M544" t="s">
        <v>1321</v>
      </c>
      <c r="N544" t="s">
        <v>1320</v>
      </c>
    </row>
    <row r="545" spans="1:14" x14ac:dyDescent="0.3">
      <c r="A545">
        <v>1211157</v>
      </c>
      <c r="B545" t="s">
        <v>1229</v>
      </c>
      <c r="C545" t="s">
        <v>1326</v>
      </c>
      <c r="D545" t="s">
        <v>1325</v>
      </c>
      <c r="E545" t="s">
        <v>1324</v>
      </c>
      <c r="F545" t="s">
        <v>1323</v>
      </c>
      <c r="G545" t="s">
        <v>1330</v>
      </c>
      <c r="H545" t="s">
        <v>46</v>
      </c>
      <c r="I545" t="s">
        <v>46</v>
      </c>
      <c r="J545" t="s">
        <v>17</v>
      </c>
      <c r="K545">
        <v>100</v>
      </c>
      <c r="L545">
        <v>50</v>
      </c>
      <c r="M545" t="s">
        <v>1321</v>
      </c>
      <c r="N545" t="s">
        <v>1320</v>
      </c>
    </row>
    <row r="546" spans="1:14" x14ac:dyDescent="0.3">
      <c r="A546">
        <v>1211157</v>
      </c>
      <c r="B546" t="s">
        <v>1229</v>
      </c>
      <c r="C546" t="s">
        <v>1326</v>
      </c>
      <c r="D546" t="s">
        <v>1325</v>
      </c>
      <c r="E546" t="s">
        <v>1324</v>
      </c>
      <c r="F546" t="s">
        <v>1323</v>
      </c>
      <c r="G546" t="s">
        <v>1329</v>
      </c>
      <c r="H546" t="s">
        <v>46</v>
      </c>
      <c r="I546" t="s">
        <v>46</v>
      </c>
      <c r="J546" t="s">
        <v>17</v>
      </c>
      <c r="K546">
        <v>100</v>
      </c>
      <c r="L546">
        <v>50</v>
      </c>
      <c r="M546" t="s">
        <v>1321</v>
      </c>
      <c r="N546" t="s">
        <v>1320</v>
      </c>
    </row>
    <row r="547" spans="1:14" x14ac:dyDescent="0.3">
      <c r="A547">
        <v>1211157</v>
      </c>
      <c r="B547" t="s">
        <v>1229</v>
      </c>
      <c r="C547" t="s">
        <v>1326</v>
      </c>
      <c r="D547" t="s">
        <v>1325</v>
      </c>
      <c r="E547" t="s">
        <v>1324</v>
      </c>
      <c r="F547" t="s">
        <v>1323</v>
      </c>
      <c r="G547" t="s">
        <v>1328</v>
      </c>
      <c r="H547" t="s">
        <v>46</v>
      </c>
      <c r="I547" t="s">
        <v>46</v>
      </c>
      <c r="J547" t="s">
        <v>17</v>
      </c>
      <c r="K547">
        <v>100</v>
      </c>
      <c r="L547">
        <v>50</v>
      </c>
      <c r="M547" t="s">
        <v>1321</v>
      </c>
      <c r="N547" t="s">
        <v>1320</v>
      </c>
    </row>
    <row r="548" spans="1:14" x14ac:dyDescent="0.3">
      <c r="A548">
        <v>1211157</v>
      </c>
      <c r="B548" t="s">
        <v>1229</v>
      </c>
      <c r="C548" t="s">
        <v>1326</v>
      </c>
      <c r="D548" t="s">
        <v>1325</v>
      </c>
      <c r="E548" t="s">
        <v>1324</v>
      </c>
      <c r="F548" t="s">
        <v>1323</v>
      </c>
      <c r="G548" t="s">
        <v>1327</v>
      </c>
      <c r="H548" t="s">
        <v>46</v>
      </c>
      <c r="I548" t="s">
        <v>46</v>
      </c>
      <c r="J548" t="s">
        <v>17</v>
      </c>
      <c r="K548">
        <v>100</v>
      </c>
      <c r="L548">
        <v>50</v>
      </c>
      <c r="M548" t="s">
        <v>1321</v>
      </c>
      <c r="N548" t="s">
        <v>1320</v>
      </c>
    </row>
    <row r="549" spans="1:14" x14ac:dyDescent="0.3">
      <c r="A549">
        <v>1211157</v>
      </c>
      <c r="B549" t="s">
        <v>1229</v>
      </c>
      <c r="C549" t="s">
        <v>1326</v>
      </c>
      <c r="D549" t="s">
        <v>1325</v>
      </c>
      <c r="E549" t="s">
        <v>1324</v>
      </c>
      <c r="F549" t="s">
        <v>1323</v>
      </c>
      <c r="G549" t="s">
        <v>1322</v>
      </c>
      <c r="H549" t="s">
        <v>46</v>
      </c>
      <c r="I549" t="s">
        <v>46</v>
      </c>
      <c r="J549" t="s">
        <v>17</v>
      </c>
      <c r="K549">
        <v>100</v>
      </c>
      <c r="L549">
        <v>50</v>
      </c>
      <c r="M549" t="s">
        <v>1321</v>
      </c>
      <c r="N549" t="s">
        <v>1320</v>
      </c>
    </row>
    <row r="550" spans="1:14" x14ac:dyDescent="0.3">
      <c r="A550">
        <v>1211157</v>
      </c>
      <c r="B550" t="s">
        <v>1229</v>
      </c>
      <c r="C550" t="s">
        <v>1319</v>
      </c>
      <c r="H550" t="s">
        <v>16</v>
      </c>
      <c r="I550" t="s">
        <v>16</v>
      </c>
      <c r="J550" t="s">
        <v>17</v>
      </c>
      <c r="K550">
        <v>0</v>
      </c>
      <c r="L550">
        <v>0</v>
      </c>
    </row>
    <row r="551" spans="1:14" x14ac:dyDescent="0.3">
      <c r="A551">
        <v>1211157</v>
      </c>
      <c r="B551" t="s">
        <v>1229</v>
      </c>
      <c r="C551" t="s">
        <v>1318</v>
      </c>
      <c r="D551" t="s">
        <v>1317</v>
      </c>
      <c r="E551" t="s">
        <v>1316</v>
      </c>
      <c r="H551" t="s">
        <v>46</v>
      </c>
      <c r="I551" t="s">
        <v>46</v>
      </c>
      <c r="J551" t="s">
        <v>17</v>
      </c>
      <c r="K551">
        <v>100</v>
      </c>
      <c r="L551">
        <v>50</v>
      </c>
      <c r="M551" t="s">
        <v>1315</v>
      </c>
      <c r="N551" t="s">
        <v>1314</v>
      </c>
    </row>
    <row r="552" spans="1:14" x14ac:dyDescent="0.3">
      <c r="A552">
        <v>1211157</v>
      </c>
      <c r="B552" t="s">
        <v>1229</v>
      </c>
      <c r="C552" t="s">
        <v>1310</v>
      </c>
      <c r="D552" t="s">
        <v>1309</v>
      </c>
      <c r="E552" t="s">
        <v>1308</v>
      </c>
      <c r="G552" t="s">
        <v>1313</v>
      </c>
      <c r="H552" t="s">
        <v>22</v>
      </c>
      <c r="I552" t="s">
        <v>22</v>
      </c>
      <c r="J552" t="s">
        <v>17</v>
      </c>
      <c r="K552">
        <v>90</v>
      </c>
      <c r="L552">
        <v>106</v>
      </c>
    </row>
    <row r="553" spans="1:14" x14ac:dyDescent="0.3">
      <c r="A553">
        <v>1211157</v>
      </c>
      <c r="B553" t="s">
        <v>1229</v>
      </c>
      <c r="C553" t="s">
        <v>1310</v>
      </c>
      <c r="D553" t="s">
        <v>1309</v>
      </c>
      <c r="E553" t="s">
        <v>1308</v>
      </c>
      <c r="G553" t="s">
        <v>1312</v>
      </c>
      <c r="H553" t="s">
        <v>22</v>
      </c>
      <c r="I553" t="s">
        <v>22</v>
      </c>
      <c r="J553" t="s">
        <v>17</v>
      </c>
      <c r="K553">
        <v>90</v>
      </c>
      <c r="L553">
        <v>106</v>
      </c>
    </row>
    <row r="554" spans="1:14" x14ac:dyDescent="0.3">
      <c r="A554">
        <v>1211157</v>
      </c>
      <c r="B554" t="s">
        <v>1229</v>
      </c>
      <c r="C554" t="s">
        <v>1310</v>
      </c>
      <c r="D554" t="s">
        <v>1309</v>
      </c>
      <c r="E554" t="s">
        <v>1308</v>
      </c>
      <c r="G554" t="s">
        <v>1311</v>
      </c>
      <c r="H554" t="s">
        <v>22</v>
      </c>
      <c r="I554" t="s">
        <v>22</v>
      </c>
      <c r="J554" t="s">
        <v>17</v>
      </c>
      <c r="K554">
        <v>90</v>
      </c>
      <c r="L554">
        <v>106</v>
      </c>
    </row>
    <row r="555" spans="1:14" x14ac:dyDescent="0.3">
      <c r="A555">
        <v>1211157</v>
      </c>
      <c r="B555" t="s">
        <v>1229</v>
      </c>
      <c r="C555" t="s">
        <v>1310</v>
      </c>
      <c r="D555" t="s">
        <v>1309</v>
      </c>
      <c r="E555" t="s">
        <v>1308</v>
      </c>
      <c r="G555" t="s">
        <v>1307</v>
      </c>
      <c r="H555" t="s">
        <v>22</v>
      </c>
      <c r="I555" t="s">
        <v>22</v>
      </c>
      <c r="J555" t="s">
        <v>17</v>
      </c>
      <c r="K555">
        <v>90</v>
      </c>
      <c r="L555">
        <v>106</v>
      </c>
    </row>
    <row r="556" spans="1:14" x14ac:dyDescent="0.3">
      <c r="A556">
        <v>1211157</v>
      </c>
      <c r="B556" t="s">
        <v>1229</v>
      </c>
      <c r="C556" t="s">
        <v>1302</v>
      </c>
      <c r="D556" t="s">
        <v>1302</v>
      </c>
      <c r="E556" t="s">
        <v>1301</v>
      </c>
      <c r="G556" t="s">
        <v>1306</v>
      </c>
      <c r="H556" t="s">
        <v>22</v>
      </c>
      <c r="I556" t="s">
        <v>22</v>
      </c>
      <c r="J556" t="s">
        <v>17</v>
      </c>
      <c r="K556">
        <v>100</v>
      </c>
      <c r="L556">
        <v>114</v>
      </c>
      <c r="M556" t="s">
        <v>1299</v>
      </c>
      <c r="N556" t="s">
        <v>1298</v>
      </c>
    </row>
    <row r="557" spans="1:14" x14ac:dyDescent="0.3">
      <c r="A557">
        <v>1211157</v>
      </c>
      <c r="B557" t="s">
        <v>1229</v>
      </c>
      <c r="C557" t="s">
        <v>1302</v>
      </c>
      <c r="D557" t="s">
        <v>1302</v>
      </c>
      <c r="E557" t="s">
        <v>1301</v>
      </c>
      <c r="G557" t="s">
        <v>1305</v>
      </c>
      <c r="H557" t="s">
        <v>22</v>
      </c>
      <c r="I557" t="s">
        <v>22</v>
      </c>
      <c r="J557" t="s">
        <v>17</v>
      </c>
      <c r="K557">
        <v>100</v>
      </c>
      <c r="L557">
        <v>114</v>
      </c>
      <c r="M557" t="s">
        <v>1299</v>
      </c>
      <c r="N557" t="s">
        <v>1298</v>
      </c>
    </row>
    <row r="558" spans="1:14" x14ac:dyDescent="0.3">
      <c r="A558">
        <v>1211157</v>
      </c>
      <c r="B558" t="s">
        <v>1229</v>
      </c>
      <c r="C558" t="s">
        <v>1302</v>
      </c>
      <c r="D558" t="s">
        <v>1302</v>
      </c>
      <c r="E558" t="s">
        <v>1301</v>
      </c>
      <c r="G558" t="s">
        <v>1304</v>
      </c>
      <c r="H558" t="s">
        <v>22</v>
      </c>
      <c r="I558" t="s">
        <v>22</v>
      </c>
      <c r="J558" t="s">
        <v>17</v>
      </c>
      <c r="K558">
        <v>100</v>
      </c>
      <c r="L558">
        <v>114</v>
      </c>
      <c r="M558" t="s">
        <v>1299</v>
      </c>
      <c r="N558" t="s">
        <v>1298</v>
      </c>
    </row>
    <row r="559" spans="1:14" x14ac:dyDescent="0.3">
      <c r="A559">
        <v>1211157</v>
      </c>
      <c r="B559" t="s">
        <v>1229</v>
      </c>
      <c r="C559" t="s">
        <v>1302</v>
      </c>
      <c r="D559" t="s">
        <v>1302</v>
      </c>
      <c r="E559" t="s">
        <v>1301</v>
      </c>
      <c r="G559" t="s">
        <v>1303</v>
      </c>
      <c r="H559" t="s">
        <v>22</v>
      </c>
      <c r="I559" t="s">
        <v>22</v>
      </c>
      <c r="J559" t="s">
        <v>17</v>
      </c>
      <c r="K559">
        <v>100</v>
      </c>
      <c r="L559">
        <v>114</v>
      </c>
      <c r="M559" t="s">
        <v>1299</v>
      </c>
      <c r="N559" t="s">
        <v>1298</v>
      </c>
    </row>
    <row r="560" spans="1:14" x14ac:dyDescent="0.3">
      <c r="A560">
        <v>1211157</v>
      </c>
      <c r="B560" t="s">
        <v>1229</v>
      </c>
      <c r="C560" t="s">
        <v>1302</v>
      </c>
      <c r="D560" t="s">
        <v>1302</v>
      </c>
      <c r="E560" t="s">
        <v>1301</v>
      </c>
      <c r="G560" t="s">
        <v>1300</v>
      </c>
      <c r="H560" t="s">
        <v>22</v>
      </c>
      <c r="I560" t="s">
        <v>22</v>
      </c>
      <c r="J560" t="s">
        <v>17</v>
      </c>
      <c r="K560">
        <v>100</v>
      </c>
      <c r="L560">
        <v>114</v>
      </c>
      <c r="M560" t="s">
        <v>1299</v>
      </c>
      <c r="N560" t="s">
        <v>1298</v>
      </c>
    </row>
    <row r="561" spans="1:14" x14ac:dyDescent="0.3">
      <c r="A561">
        <v>1211157</v>
      </c>
      <c r="B561" t="s">
        <v>1229</v>
      </c>
      <c r="C561" t="s">
        <v>1297</v>
      </c>
      <c r="D561" t="s">
        <v>1296</v>
      </c>
      <c r="E561" t="s">
        <v>1295</v>
      </c>
      <c r="H561" t="s">
        <v>22</v>
      </c>
      <c r="I561" t="s">
        <v>22</v>
      </c>
      <c r="J561" t="s">
        <v>17</v>
      </c>
      <c r="K561">
        <v>85.7</v>
      </c>
      <c r="L561">
        <v>103.4</v>
      </c>
      <c r="M561" t="s">
        <v>1294</v>
      </c>
      <c r="N561" t="s">
        <v>1293</v>
      </c>
    </row>
    <row r="562" spans="1:14" x14ac:dyDescent="0.3">
      <c r="A562">
        <v>1211157</v>
      </c>
      <c r="B562" t="s">
        <v>1229</v>
      </c>
      <c r="C562" t="s">
        <v>1282</v>
      </c>
      <c r="D562" t="s">
        <v>1281</v>
      </c>
      <c r="E562" t="s">
        <v>1280</v>
      </c>
      <c r="G562" t="s">
        <v>1292</v>
      </c>
      <c r="H562" t="s">
        <v>22</v>
      </c>
      <c r="I562" t="s">
        <v>22</v>
      </c>
      <c r="J562" t="s">
        <v>17</v>
      </c>
      <c r="K562">
        <v>87.5</v>
      </c>
      <c r="L562">
        <v>112.5</v>
      </c>
    </row>
    <row r="563" spans="1:14" x14ac:dyDescent="0.3">
      <c r="A563">
        <v>1211157</v>
      </c>
      <c r="B563" t="s">
        <v>1229</v>
      </c>
      <c r="C563" t="s">
        <v>1282</v>
      </c>
      <c r="D563" t="s">
        <v>1281</v>
      </c>
      <c r="E563" t="s">
        <v>1280</v>
      </c>
      <c r="G563" t="s">
        <v>1291</v>
      </c>
      <c r="H563" t="s">
        <v>22</v>
      </c>
      <c r="I563" t="s">
        <v>22</v>
      </c>
      <c r="J563" t="s">
        <v>17</v>
      </c>
      <c r="K563">
        <v>87.5</v>
      </c>
      <c r="L563">
        <v>112.5</v>
      </c>
    </row>
    <row r="564" spans="1:14" x14ac:dyDescent="0.3">
      <c r="A564">
        <v>1211157</v>
      </c>
      <c r="B564" t="s">
        <v>1229</v>
      </c>
      <c r="C564" t="s">
        <v>1282</v>
      </c>
      <c r="D564" t="s">
        <v>1281</v>
      </c>
      <c r="E564" t="s">
        <v>1280</v>
      </c>
      <c r="G564" t="s">
        <v>1290</v>
      </c>
      <c r="H564" t="s">
        <v>22</v>
      </c>
      <c r="I564" t="s">
        <v>22</v>
      </c>
      <c r="J564" t="s">
        <v>17</v>
      </c>
      <c r="K564">
        <v>87.5</v>
      </c>
      <c r="L564">
        <v>112.5</v>
      </c>
    </row>
    <row r="565" spans="1:14" x14ac:dyDescent="0.3">
      <c r="A565">
        <v>1211157</v>
      </c>
      <c r="B565" t="s">
        <v>1229</v>
      </c>
      <c r="C565" t="s">
        <v>1282</v>
      </c>
      <c r="D565" t="s">
        <v>1281</v>
      </c>
      <c r="E565" t="s">
        <v>1280</v>
      </c>
      <c r="G565" t="s">
        <v>1289</v>
      </c>
      <c r="H565" t="s">
        <v>22</v>
      </c>
      <c r="I565" t="s">
        <v>22</v>
      </c>
      <c r="J565" t="s">
        <v>17</v>
      </c>
      <c r="K565">
        <v>87.5</v>
      </c>
      <c r="L565">
        <v>112.5</v>
      </c>
    </row>
    <row r="566" spans="1:14" x14ac:dyDescent="0.3">
      <c r="A566">
        <v>1211157</v>
      </c>
      <c r="B566" t="s">
        <v>1229</v>
      </c>
      <c r="C566" t="s">
        <v>1282</v>
      </c>
      <c r="D566" t="s">
        <v>1281</v>
      </c>
      <c r="E566" t="s">
        <v>1280</v>
      </c>
      <c r="G566" t="s">
        <v>1288</v>
      </c>
      <c r="H566" t="s">
        <v>22</v>
      </c>
      <c r="I566" t="s">
        <v>22</v>
      </c>
      <c r="J566" t="s">
        <v>17</v>
      </c>
      <c r="K566">
        <v>87.5</v>
      </c>
      <c r="L566">
        <v>112.5</v>
      </c>
    </row>
    <row r="567" spans="1:14" x14ac:dyDescent="0.3">
      <c r="A567">
        <v>1211157</v>
      </c>
      <c r="B567" t="s">
        <v>1229</v>
      </c>
      <c r="C567" t="s">
        <v>1282</v>
      </c>
      <c r="D567" t="s">
        <v>1281</v>
      </c>
      <c r="E567" t="s">
        <v>1280</v>
      </c>
      <c r="G567" t="s">
        <v>1287</v>
      </c>
      <c r="H567" t="s">
        <v>22</v>
      </c>
      <c r="I567" t="s">
        <v>22</v>
      </c>
      <c r="J567" t="s">
        <v>17</v>
      </c>
      <c r="K567">
        <v>87.5</v>
      </c>
      <c r="L567">
        <v>112.5</v>
      </c>
    </row>
    <row r="568" spans="1:14" x14ac:dyDescent="0.3">
      <c r="A568">
        <v>1211157</v>
      </c>
      <c r="B568" t="s">
        <v>1229</v>
      </c>
      <c r="C568" t="s">
        <v>1282</v>
      </c>
      <c r="D568" t="s">
        <v>1281</v>
      </c>
      <c r="E568" t="s">
        <v>1280</v>
      </c>
      <c r="G568" t="s">
        <v>1286</v>
      </c>
      <c r="H568" t="s">
        <v>22</v>
      </c>
      <c r="I568" t="s">
        <v>22</v>
      </c>
      <c r="J568" t="s">
        <v>17</v>
      </c>
      <c r="K568">
        <v>87.5</v>
      </c>
      <c r="L568">
        <v>112.5</v>
      </c>
    </row>
    <row r="569" spans="1:14" x14ac:dyDescent="0.3">
      <c r="A569">
        <v>1211157</v>
      </c>
      <c r="B569" t="s">
        <v>1229</v>
      </c>
      <c r="C569" t="s">
        <v>1282</v>
      </c>
      <c r="D569" t="s">
        <v>1281</v>
      </c>
      <c r="E569" t="s">
        <v>1280</v>
      </c>
      <c r="G569" t="s">
        <v>1285</v>
      </c>
      <c r="H569" t="s">
        <v>22</v>
      </c>
      <c r="I569" t="s">
        <v>22</v>
      </c>
      <c r="J569" t="s">
        <v>17</v>
      </c>
      <c r="K569">
        <v>87.5</v>
      </c>
      <c r="L569">
        <v>112.5</v>
      </c>
    </row>
    <row r="570" spans="1:14" x14ac:dyDescent="0.3">
      <c r="A570">
        <v>1211157</v>
      </c>
      <c r="B570" t="s">
        <v>1229</v>
      </c>
      <c r="C570" t="s">
        <v>1282</v>
      </c>
      <c r="D570" t="s">
        <v>1281</v>
      </c>
      <c r="E570" t="s">
        <v>1280</v>
      </c>
      <c r="G570" t="s">
        <v>1284</v>
      </c>
      <c r="H570" t="s">
        <v>22</v>
      </c>
      <c r="I570" t="s">
        <v>22</v>
      </c>
      <c r="J570" t="s">
        <v>17</v>
      </c>
      <c r="K570">
        <v>87.5</v>
      </c>
      <c r="L570">
        <v>112.5</v>
      </c>
    </row>
    <row r="571" spans="1:14" x14ac:dyDescent="0.3">
      <c r="A571">
        <v>1211157</v>
      </c>
      <c r="B571" t="s">
        <v>1229</v>
      </c>
      <c r="C571" t="s">
        <v>1282</v>
      </c>
      <c r="D571" t="s">
        <v>1281</v>
      </c>
      <c r="E571" t="s">
        <v>1280</v>
      </c>
      <c r="G571" t="s">
        <v>1283</v>
      </c>
      <c r="H571" t="s">
        <v>22</v>
      </c>
      <c r="I571" t="s">
        <v>22</v>
      </c>
      <c r="J571" t="s">
        <v>17</v>
      </c>
      <c r="K571">
        <v>87.5</v>
      </c>
      <c r="L571">
        <v>112.5</v>
      </c>
    </row>
    <row r="572" spans="1:14" x14ac:dyDescent="0.3">
      <c r="A572">
        <v>1211157</v>
      </c>
      <c r="B572" t="s">
        <v>1229</v>
      </c>
      <c r="C572" t="s">
        <v>1282</v>
      </c>
      <c r="D572" t="s">
        <v>1281</v>
      </c>
      <c r="E572" t="s">
        <v>1280</v>
      </c>
      <c r="G572" t="s">
        <v>1279</v>
      </c>
      <c r="H572" t="s">
        <v>22</v>
      </c>
      <c r="I572" t="s">
        <v>22</v>
      </c>
      <c r="J572" t="s">
        <v>17</v>
      </c>
      <c r="K572">
        <v>87.5</v>
      </c>
      <c r="L572">
        <v>112.5</v>
      </c>
    </row>
    <row r="573" spans="1:14" x14ac:dyDescent="0.3">
      <c r="A573">
        <v>1211157</v>
      </c>
      <c r="B573" t="s">
        <v>1229</v>
      </c>
      <c r="C573" t="s">
        <v>1260</v>
      </c>
      <c r="D573" t="s">
        <v>1259</v>
      </c>
      <c r="E573" t="s">
        <v>1258</v>
      </c>
      <c r="G573" t="s">
        <v>1278</v>
      </c>
      <c r="H573" t="s">
        <v>22</v>
      </c>
      <c r="I573" t="s">
        <v>22</v>
      </c>
      <c r="J573" t="s">
        <v>17</v>
      </c>
      <c r="K573">
        <v>93.8</v>
      </c>
      <c r="L573">
        <v>108.2</v>
      </c>
      <c r="M573" t="s">
        <v>1256</v>
      </c>
      <c r="N573" t="s">
        <v>1255</v>
      </c>
    </row>
    <row r="574" spans="1:14" x14ac:dyDescent="0.3">
      <c r="A574">
        <v>1211157</v>
      </c>
      <c r="B574" t="s">
        <v>1229</v>
      </c>
      <c r="C574" t="s">
        <v>1260</v>
      </c>
      <c r="D574" t="s">
        <v>1259</v>
      </c>
      <c r="E574" t="s">
        <v>1258</v>
      </c>
      <c r="G574" t="s">
        <v>1277</v>
      </c>
      <c r="H574" t="s">
        <v>22</v>
      </c>
      <c r="I574" t="s">
        <v>22</v>
      </c>
      <c r="J574" t="s">
        <v>17</v>
      </c>
      <c r="K574">
        <v>93.8</v>
      </c>
      <c r="L574">
        <v>108.2</v>
      </c>
      <c r="M574" t="s">
        <v>1256</v>
      </c>
      <c r="N574" t="s">
        <v>1255</v>
      </c>
    </row>
    <row r="575" spans="1:14" x14ac:dyDescent="0.3">
      <c r="A575">
        <v>1211157</v>
      </c>
      <c r="B575" t="s">
        <v>1229</v>
      </c>
      <c r="C575" t="s">
        <v>1260</v>
      </c>
      <c r="D575" t="s">
        <v>1259</v>
      </c>
      <c r="E575" t="s">
        <v>1258</v>
      </c>
      <c r="G575" t="s">
        <v>1276</v>
      </c>
      <c r="H575" t="s">
        <v>22</v>
      </c>
      <c r="I575" t="s">
        <v>22</v>
      </c>
      <c r="J575" t="s">
        <v>17</v>
      </c>
      <c r="K575">
        <v>93.8</v>
      </c>
      <c r="L575">
        <v>108.2</v>
      </c>
      <c r="M575" t="s">
        <v>1256</v>
      </c>
      <c r="N575" t="s">
        <v>1255</v>
      </c>
    </row>
    <row r="576" spans="1:14" x14ac:dyDescent="0.3">
      <c r="A576">
        <v>1211157</v>
      </c>
      <c r="B576" t="s">
        <v>1229</v>
      </c>
      <c r="C576" t="s">
        <v>1260</v>
      </c>
      <c r="D576" t="s">
        <v>1259</v>
      </c>
      <c r="E576" t="s">
        <v>1258</v>
      </c>
      <c r="G576" t="s">
        <v>1275</v>
      </c>
      <c r="H576" t="s">
        <v>22</v>
      </c>
      <c r="I576" t="s">
        <v>22</v>
      </c>
      <c r="J576" t="s">
        <v>17</v>
      </c>
      <c r="K576">
        <v>93.8</v>
      </c>
      <c r="L576">
        <v>108.2</v>
      </c>
      <c r="M576" t="s">
        <v>1256</v>
      </c>
      <c r="N576" t="s">
        <v>1255</v>
      </c>
    </row>
    <row r="577" spans="1:14" x14ac:dyDescent="0.3">
      <c r="A577">
        <v>1211157</v>
      </c>
      <c r="B577" t="s">
        <v>1229</v>
      </c>
      <c r="C577" t="s">
        <v>1260</v>
      </c>
      <c r="D577" t="s">
        <v>1259</v>
      </c>
      <c r="E577" t="s">
        <v>1258</v>
      </c>
      <c r="G577" t="s">
        <v>1274</v>
      </c>
      <c r="H577" t="s">
        <v>22</v>
      </c>
      <c r="I577" t="s">
        <v>22</v>
      </c>
      <c r="J577" t="s">
        <v>17</v>
      </c>
      <c r="K577">
        <v>93.8</v>
      </c>
      <c r="L577">
        <v>108.2</v>
      </c>
      <c r="M577" t="s">
        <v>1256</v>
      </c>
      <c r="N577" t="s">
        <v>1255</v>
      </c>
    </row>
    <row r="578" spans="1:14" x14ac:dyDescent="0.3">
      <c r="A578">
        <v>1211157</v>
      </c>
      <c r="B578" t="s">
        <v>1229</v>
      </c>
      <c r="C578" t="s">
        <v>1260</v>
      </c>
      <c r="D578" t="s">
        <v>1259</v>
      </c>
      <c r="E578" t="s">
        <v>1258</v>
      </c>
      <c r="G578" t="s">
        <v>1273</v>
      </c>
      <c r="H578" t="s">
        <v>22</v>
      </c>
      <c r="I578" t="s">
        <v>22</v>
      </c>
      <c r="J578" t="s">
        <v>17</v>
      </c>
      <c r="K578">
        <v>93.8</v>
      </c>
      <c r="L578">
        <v>108.2</v>
      </c>
      <c r="M578" t="s">
        <v>1256</v>
      </c>
      <c r="N578" t="s">
        <v>1255</v>
      </c>
    </row>
    <row r="579" spans="1:14" x14ac:dyDescent="0.3">
      <c r="A579">
        <v>1211157</v>
      </c>
      <c r="B579" t="s">
        <v>1229</v>
      </c>
      <c r="C579" t="s">
        <v>1260</v>
      </c>
      <c r="D579" t="s">
        <v>1259</v>
      </c>
      <c r="E579" t="s">
        <v>1258</v>
      </c>
      <c r="G579" t="s">
        <v>1272</v>
      </c>
      <c r="H579" t="s">
        <v>22</v>
      </c>
      <c r="I579" t="s">
        <v>22</v>
      </c>
      <c r="J579" t="s">
        <v>17</v>
      </c>
      <c r="K579">
        <v>93.8</v>
      </c>
      <c r="L579">
        <v>108.2</v>
      </c>
      <c r="M579" t="s">
        <v>1256</v>
      </c>
      <c r="N579" t="s">
        <v>1255</v>
      </c>
    </row>
    <row r="580" spans="1:14" x14ac:dyDescent="0.3">
      <c r="A580">
        <v>1211157</v>
      </c>
      <c r="B580" t="s">
        <v>1229</v>
      </c>
      <c r="C580" t="s">
        <v>1260</v>
      </c>
      <c r="D580" t="s">
        <v>1259</v>
      </c>
      <c r="E580" t="s">
        <v>1258</v>
      </c>
      <c r="G580" t="s">
        <v>1271</v>
      </c>
      <c r="H580" t="s">
        <v>22</v>
      </c>
      <c r="I580" t="s">
        <v>22</v>
      </c>
      <c r="J580" t="s">
        <v>17</v>
      </c>
      <c r="K580">
        <v>93.8</v>
      </c>
      <c r="L580">
        <v>108.2</v>
      </c>
      <c r="M580" t="s">
        <v>1256</v>
      </c>
      <c r="N580" t="s">
        <v>1255</v>
      </c>
    </row>
    <row r="581" spans="1:14" x14ac:dyDescent="0.3">
      <c r="A581">
        <v>1211157</v>
      </c>
      <c r="B581" t="s">
        <v>1229</v>
      </c>
      <c r="C581" t="s">
        <v>1260</v>
      </c>
      <c r="D581" t="s">
        <v>1259</v>
      </c>
      <c r="E581" t="s">
        <v>1258</v>
      </c>
      <c r="G581" t="s">
        <v>1270</v>
      </c>
      <c r="H581" t="s">
        <v>22</v>
      </c>
      <c r="I581" t="s">
        <v>22</v>
      </c>
      <c r="J581" t="s">
        <v>17</v>
      </c>
      <c r="K581">
        <v>93.8</v>
      </c>
      <c r="L581">
        <v>108.2</v>
      </c>
      <c r="M581" t="s">
        <v>1256</v>
      </c>
      <c r="N581" t="s">
        <v>1255</v>
      </c>
    </row>
    <row r="582" spans="1:14" x14ac:dyDescent="0.3">
      <c r="A582">
        <v>1211157</v>
      </c>
      <c r="B582" t="s">
        <v>1229</v>
      </c>
      <c r="C582" t="s">
        <v>1260</v>
      </c>
      <c r="D582" t="s">
        <v>1259</v>
      </c>
      <c r="E582" t="s">
        <v>1258</v>
      </c>
      <c r="G582" t="s">
        <v>1269</v>
      </c>
      <c r="H582" t="s">
        <v>22</v>
      </c>
      <c r="I582" t="s">
        <v>22</v>
      </c>
      <c r="J582" t="s">
        <v>17</v>
      </c>
      <c r="K582">
        <v>93.8</v>
      </c>
      <c r="L582">
        <v>108.2</v>
      </c>
      <c r="M582" t="s">
        <v>1256</v>
      </c>
      <c r="N582" t="s">
        <v>1255</v>
      </c>
    </row>
    <row r="583" spans="1:14" x14ac:dyDescent="0.3">
      <c r="A583">
        <v>1211157</v>
      </c>
      <c r="B583" t="s">
        <v>1229</v>
      </c>
      <c r="C583" t="s">
        <v>1260</v>
      </c>
      <c r="D583" t="s">
        <v>1259</v>
      </c>
      <c r="E583" t="s">
        <v>1258</v>
      </c>
      <c r="G583" t="s">
        <v>1268</v>
      </c>
      <c r="H583" t="s">
        <v>22</v>
      </c>
      <c r="I583" t="s">
        <v>22</v>
      </c>
      <c r="J583" t="s">
        <v>17</v>
      </c>
      <c r="K583">
        <v>93.8</v>
      </c>
      <c r="L583">
        <v>108.2</v>
      </c>
      <c r="M583" t="s">
        <v>1256</v>
      </c>
      <c r="N583" t="s">
        <v>1255</v>
      </c>
    </row>
    <row r="584" spans="1:14" x14ac:dyDescent="0.3">
      <c r="A584">
        <v>1211157</v>
      </c>
      <c r="B584" t="s">
        <v>1229</v>
      </c>
      <c r="C584" t="s">
        <v>1260</v>
      </c>
      <c r="D584" t="s">
        <v>1259</v>
      </c>
      <c r="E584" t="s">
        <v>1258</v>
      </c>
      <c r="G584" t="s">
        <v>1267</v>
      </c>
      <c r="H584" t="s">
        <v>22</v>
      </c>
      <c r="I584" t="s">
        <v>22</v>
      </c>
      <c r="J584" t="s">
        <v>17</v>
      </c>
      <c r="K584">
        <v>93.8</v>
      </c>
      <c r="L584">
        <v>108.2</v>
      </c>
      <c r="M584" t="s">
        <v>1256</v>
      </c>
      <c r="N584" t="s">
        <v>1255</v>
      </c>
    </row>
    <row r="585" spans="1:14" x14ac:dyDescent="0.3">
      <c r="A585">
        <v>1211157</v>
      </c>
      <c r="B585" t="s">
        <v>1229</v>
      </c>
      <c r="C585" t="s">
        <v>1260</v>
      </c>
      <c r="D585" t="s">
        <v>1259</v>
      </c>
      <c r="E585" t="s">
        <v>1258</v>
      </c>
      <c r="G585" t="s">
        <v>1266</v>
      </c>
      <c r="H585" t="s">
        <v>22</v>
      </c>
      <c r="I585" t="s">
        <v>22</v>
      </c>
      <c r="J585" t="s">
        <v>17</v>
      </c>
      <c r="K585">
        <v>93.8</v>
      </c>
      <c r="L585">
        <v>108.2</v>
      </c>
      <c r="M585" t="s">
        <v>1256</v>
      </c>
      <c r="N585" t="s">
        <v>1255</v>
      </c>
    </row>
    <row r="586" spans="1:14" x14ac:dyDescent="0.3">
      <c r="A586">
        <v>1211157</v>
      </c>
      <c r="B586" t="s">
        <v>1229</v>
      </c>
      <c r="C586" t="s">
        <v>1260</v>
      </c>
      <c r="D586" t="s">
        <v>1259</v>
      </c>
      <c r="E586" t="s">
        <v>1258</v>
      </c>
      <c r="G586" t="s">
        <v>1265</v>
      </c>
      <c r="H586" t="s">
        <v>22</v>
      </c>
      <c r="I586" t="s">
        <v>22</v>
      </c>
      <c r="J586" t="s">
        <v>17</v>
      </c>
      <c r="K586">
        <v>93.8</v>
      </c>
      <c r="L586">
        <v>108.2</v>
      </c>
      <c r="M586" t="s">
        <v>1256</v>
      </c>
      <c r="N586" t="s">
        <v>1255</v>
      </c>
    </row>
    <row r="587" spans="1:14" x14ac:dyDescent="0.3">
      <c r="A587">
        <v>1211157</v>
      </c>
      <c r="B587" t="s">
        <v>1229</v>
      </c>
      <c r="C587" t="s">
        <v>1260</v>
      </c>
      <c r="D587" t="s">
        <v>1259</v>
      </c>
      <c r="E587" t="s">
        <v>1258</v>
      </c>
      <c r="G587" t="s">
        <v>1264</v>
      </c>
      <c r="H587" t="s">
        <v>22</v>
      </c>
      <c r="I587" t="s">
        <v>22</v>
      </c>
      <c r="J587" t="s">
        <v>17</v>
      </c>
      <c r="K587">
        <v>93.8</v>
      </c>
      <c r="L587">
        <v>108.2</v>
      </c>
      <c r="M587" t="s">
        <v>1256</v>
      </c>
      <c r="N587" t="s">
        <v>1255</v>
      </c>
    </row>
    <row r="588" spans="1:14" x14ac:dyDescent="0.3">
      <c r="A588">
        <v>1211157</v>
      </c>
      <c r="B588" t="s">
        <v>1229</v>
      </c>
      <c r="C588" t="s">
        <v>1260</v>
      </c>
      <c r="D588" t="s">
        <v>1259</v>
      </c>
      <c r="E588" t="s">
        <v>1258</v>
      </c>
      <c r="G588" t="s">
        <v>1263</v>
      </c>
      <c r="H588" t="s">
        <v>22</v>
      </c>
      <c r="I588" t="s">
        <v>22</v>
      </c>
      <c r="J588" t="s">
        <v>17</v>
      </c>
      <c r="K588">
        <v>93.8</v>
      </c>
      <c r="L588">
        <v>108.2</v>
      </c>
      <c r="M588" t="s">
        <v>1256</v>
      </c>
      <c r="N588" t="s">
        <v>1255</v>
      </c>
    </row>
    <row r="589" spans="1:14" x14ac:dyDescent="0.3">
      <c r="A589">
        <v>1211157</v>
      </c>
      <c r="B589" t="s">
        <v>1229</v>
      </c>
      <c r="C589" t="s">
        <v>1260</v>
      </c>
      <c r="D589" t="s">
        <v>1259</v>
      </c>
      <c r="E589" t="s">
        <v>1258</v>
      </c>
      <c r="G589" t="s">
        <v>1262</v>
      </c>
      <c r="H589" t="s">
        <v>22</v>
      </c>
      <c r="I589" t="s">
        <v>22</v>
      </c>
      <c r="J589" t="s">
        <v>17</v>
      </c>
      <c r="K589">
        <v>93.8</v>
      </c>
      <c r="L589">
        <v>108.2</v>
      </c>
      <c r="M589" t="s">
        <v>1256</v>
      </c>
      <c r="N589" t="s">
        <v>1255</v>
      </c>
    </row>
    <row r="590" spans="1:14" x14ac:dyDescent="0.3">
      <c r="A590">
        <v>1211157</v>
      </c>
      <c r="B590" t="s">
        <v>1229</v>
      </c>
      <c r="C590" t="s">
        <v>1260</v>
      </c>
      <c r="D590" t="s">
        <v>1259</v>
      </c>
      <c r="E590" t="s">
        <v>1258</v>
      </c>
      <c r="G590" t="s">
        <v>1261</v>
      </c>
      <c r="H590" t="s">
        <v>22</v>
      </c>
      <c r="I590" t="s">
        <v>22</v>
      </c>
      <c r="J590" t="s">
        <v>17</v>
      </c>
      <c r="K590">
        <v>93.8</v>
      </c>
      <c r="L590">
        <v>108.2</v>
      </c>
      <c r="M590" t="s">
        <v>1256</v>
      </c>
      <c r="N590" t="s">
        <v>1255</v>
      </c>
    </row>
    <row r="591" spans="1:14" x14ac:dyDescent="0.3">
      <c r="A591">
        <v>1211157</v>
      </c>
      <c r="B591" t="s">
        <v>1229</v>
      </c>
      <c r="C591" t="s">
        <v>1260</v>
      </c>
      <c r="D591" t="s">
        <v>1259</v>
      </c>
      <c r="E591" t="s">
        <v>1258</v>
      </c>
      <c r="G591" t="s">
        <v>1257</v>
      </c>
      <c r="H591" t="s">
        <v>22</v>
      </c>
      <c r="I591" t="s">
        <v>22</v>
      </c>
      <c r="J591" t="s">
        <v>17</v>
      </c>
      <c r="K591">
        <v>93.8</v>
      </c>
      <c r="L591">
        <v>108.2</v>
      </c>
      <c r="M591" t="s">
        <v>1256</v>
      </c>
      <c r="N591" t="s">
        <v>1255</v>
      </c>
    </row>
    <row r="592" spans="1:14" x14ac:dyDescent="0.3">
      <c r="A592">
        <v>1211157</v>
      </c>
      <c r="B592" t="s">
        <v>1229</v>
      </c>
      <c r="C592" t="s">
        <v>1254</v>
      </c>
      <c r="H592" t="s">
        <v>16</v>
      </c>
      <c r="I592" t="s">
        <v>16</v>
      </c>
      <c r="J592" t="s">
        <v>17</v>
      </c>
      <c r="K592">
        <v>0</v>
      </c>
      <c r="L592">
        <v>0</v>
      </c>
    </row>
    <row r="593" spans="1:14" x14ac:dyDescent="0.3">
      <c r="A593">
        <v>1211157</v>
      </c>
      <c r="B593" t="s">
        <v>1229</v>
      </c>
      <c r="C593" t="s">
        <v>1240</v>
      </c>
      <c r="D593" t="s">
        <v>1239</v>
      </c>
      <c r="E593" t="s">
        <v>1238</v>
      </c>
      <c r="G593" t="s">
        <v>1253</v>
      </c>
      <c r="H593" t="s">
        <v>46</v>
      </c>
      <c r="I593" t="s">
        <v>46</v>
      </c>
      <c r="J593" t="s">
        <v>17</v>
      </c>
      <c r="K593">
        <v>100</v>
      </c>
      <c r="L593">
        <v>50</v>
      </c>
      <c r="M593" t="s">
        <v>1236</v>
      </c>
      <c r="N593" t="s">
        <v>1235</v>
      </c>
    </row>
    <row r="594" spans="1:14" x14ac:dyDescent="0.3">
      <c r="A594">
        <v>1211157</v>
      </c>
      <c r="B594" t="s">
        <v>1229</v>
      </c>
      <c r="C594" t="s">
        <v>1240</v>
      </c>
      <c r="D594" t="s">
        <v>1239</v>
      </c>
      <c r="E594" t="s">
        <v>1238</v>
      </c>
      <c r="G594" t="s">
        <v>1252</v>
      </c>
      <c r="H594" t="s">
        <v>46</v>
      </c>
      <c r="I594" t="s">
        <v>46</v>
      </c>
      <c r="J594" t="s">
        <v>17</v>
      </c>
      <c r="K594">
        <v>100</v>
      </c>
      <c r="L594">
        <v>50</v>
      </c>
      <c r="M594" t="s">
        <v>1236</v>
      </c>
      <c r="N594" t="s">
        <v>1235</v>
      </c>
    </row>
    <row r="595" spans="1:14" x14ac:dyDescent="0.3">
      <c r="A595">
        <v>1211157</v>
      </c>
      <c r="B595" t="s">
        <v>1229</v>
      </c>
      <c r="C595" t="s">
        <v>1240</v>
      </c>
      <c r="D595" t="s">
        <v>1239</v>
      </c>
      <c r="E595" t="s">
        <v>1238</v>
      </c>
      <c r="G595" t="s">
        <v>1251</v>
      </c>
      <c r="H595" t="s">
        <v>46</v>
      </c>
      <c r="I595" t="s">
        <v>46</v>
      </c>
      <c r="J595" t="s">
        <v>17</v>
      </c>
      <c r="K595">
        <v>100</v>
      </c>
      <c r="L595">
        <v>50</v>
      </c>
      <c r="M595" t="s">
        <v>1236</v>
      </c>
      <c r="N595" t="s">
        <v>1235</v>
      </c>
    </row>
    <row r="596" spans="1:14" x14ac:dyDescent="0.3">
      <c r="A596">
        <v>1211157</v>
      </c>
      <c r="B596" t="s">
        <v>1229</v>
      </c>
      <c r="C596" t="s">
        <v>1240</v>
      </c>
      <c r="D596" t="s">
        <v>1239</v>
      </c>
      <c r="E596" t="s">
        <v>1238</v>
      </c>
      <c r="G596" t="s">
        <v>1250</v>
      </c>
      <c r="H596" t="s">
        <v>46</v>
      </c>
      <c r="I596" t="s">
        <v>46</v>
      </c>
      <c r="J596" t="s">
        <v>17</v>
      </c>
      <c r="K596">
        <v>100</v>
      </c>
      <c r="L596">
        <v>50</v>
      </c>
      <c r="M596" t="s">
        <v>1236</v>
      </c>
      <c r="N596" t="s">
        <v>1235</v>
      </c>
    </row>
    <row r="597" spans="1:14" x14ac:dyDescent="0.3">
      <c r="A597">
        <v>1211157</v>
      </c>
      <c r="B597" t="s">
        <v>1229</v>
      </c>
      <c r="C597" t="s">
        <v>1240</v>
      </c>
      <c r="D597" t="s">
        <v>1239</v>
      </c>
      <c r="E597" t="s">
        <v>1238</v>
      </c>
      <c r="G597" t="s">
        <v>1249</v>
      </c>
      <c r="H597" t="s">
        <v>46</v>
      </c>
      <c r="I597" t="s">
        <v>46</v>
      </c>
      <c r="J597" t="s">
        <v>17</v>
      </c>
      <c r="K597">
        <v>100</v>
      </c>
      <c r="L597">
        <v>50</v>
      </c>
      <c r="M597" t="s">
        <v>1236</v>
      </c>
      <c r="N597" t="s">
        <v>1235</v>
      </c>
    </row>
    <row r="598" spans="1:14" x14ac:dyDescent="0.3">
      <c r="A598">
        <v>1211157</v>
      </c>
      <c r="B598" t="s">
        <v>1229</v>
      </c>
      <c r="C598" t="s">
        <v>1240</v>
      </c>
      <c r="D598" t="s">
        <v>1239</v>
      </c>
      <c r="E598" t="s">
        <v>1238</v>
      </c>
      <c r="G598" t="s">
        <v>1248</v>
      </c>
      <c r="H598" t="s">
        <v>46</v>
      </c>
      <c r="I598" t="s">
        <v>46</v>
      </c>
      <c r="J598" t="s">
        <v>17</v>
      </c>
      <c r="K598">
        <v>100</v>
      </c>
      <c r="L598">
        <v>50</v>
      </c>
      <c r="M598" t="s">
        <v>1236</v>
      </c>
      <c r="N598" t="s">
        <v>1235</v>
      </c>
    </row>
    <row r="599" spans="1:14" x14ac:dyDescent="0.3">
      <c r="A599">
        <v>1211157</v>
      </c>
      <c r="B599" t="s">
        <v>1229</v>
      </c>
      <c r="C599" t="s">
        <v>1240</v>
      </c>
      <c r="D599" t="s">
        <v>1239</v>
      </c>
      <c r="E599" t="s">
        <v>1238</v>
      </c>
      <c r="G599" t="s">
        <v>1247</v>
      </c>
      <c r="H599" t="s">
        <v>46</v>
      </c>
      <c r="I599" t="s">
        <v>46</v>
      </c>
      <c r="J599" t="s">
        <v>17</v>
      </c>
      <c r="K599">
        <v>100</v>
      </c>
      <c r="L599">
        <v>50</v>
      </c>
      <c r="M599" t="s">
        <v>1236</v>
      </c>
      <c r="N599" t="s">
        <v>1235</v>
      </c>
    </row>
    <row r="600" spans="1:14" x14ac:dyDescent="0.3">
      <c r="A600">
        <v>1211157</v>
      </c>
      <c r="B600" t="s">
        <v>1229</v>
      </c>
      <c r="C600" t="s">
        <v>1240</v>
      </c>
      <c r="D600" t="s">
        <v>1239</v>
      </c>
      <c r="E600" t="s">
        <v>1238</v>
      </c>
      <c r="G600" t="s">
        <v>1246</v>
      </c>
      <c r="H600" t="s">
        <v>46</v>
      </c>
      <c r="I600" t="s">
        <v>46</v>
      </c>
      <c r="J600" t="s">
        <v>17</v>
      </c>
      <c r="K600">
        <v>100</v>
      </c>
      <c r="L600">
        <v>50</v>
      </c>
      <c r="M600" t="s">
        <v>1236</v>
      </c>
      <c r="N600" t="s">
        <v>1235</v>
      </c>
    </row>
    <row r="601" spans="1:14" x14ac:dyDescent="0.3">
      <c r="A601">
        <v>1211157</v>
      </c>
      <c r="B601" t="s">
        <v>1229</v>
      </c>
      <c r="C601" t="s">
        <v>1240</v>
      </c>
      <c r="D601" t="s">
        <v>1239</v>
      </c>
      <c r="E601" t="s">
        <v>1238</v>
      </c>
      <c r="G601" t="s">
        <v>1245</v>
      </c>
      <c r="H601" t="s">
        <v>46</v>
      </c>
      <c r="I601" t="s">
        <v>46</v>
      </c>
      <c r="J601" t="s">
        <v>17</v>
      </c>
      <c r="K601">
        <v>100</v>
      </c>
      <c r="L601">
        <v>50</v>
      </c>
      <c r="M601" t="s">
        <v>1236</v>
      </c>
      <c r="N601" t="s">
        <v>1235</v>
      </c>
    </row>
    <row r="602" spans="1:14" x14ac:dyDescent="0.3">
      <c r="A602">
        <v>1211157</v>
      </c>
      <c r="B602" t="s">
        <v>1229</v>
      </c>
      <c r="C602" t="s">
        <v>1240</v>
      </c>
      <c r="D602" t="s">
        <v>1239</v>
      </c>
      <c r="E602" t="s">
        <v>1238</v>
      </c>
      <c r="G602" t="s">
        <v>1244</v>
      </c>
      <c r="H602" t="s">
        <v>46</v>
      </c>
      <c r="I602" t="s">
        <v>46</v>
      </c>
      <c r="J602" t="s">
        <v>17</v>
      </c>
      <c r="K602">
        <v>100</v>
      </c>
      <c r="L602">
        <v>50</v>
      </c>
      <c r="M602" t="s">
        <v>1236</v>
      </c>
      <c r="N602" t="s">
        <v>1235</v>
      </c>
    </row>
    <row r="603" spans="1:14" x14ac:dyDescent="0.3">
      <c r="A603">
        <v>1211157</v>
      </c>
      <c r="B603" t="s">
        <v>1229</v>
      </c>
      <c r="C603" t="s">
        <v>1240</v>
      </c>
      <c r="D603" t="s">
        <v>1239</v>
      </c>
      <c r="E603" t="s">
        <v>1238</v>
      </c>
      <c r="G603" t="s">
        <v>1243</v>
      </c>
      <c r="H603" t="s">
        <v>46</v>
      </c>
      <c r="I603" t="s">
        <v>46</v>
      </c>
      <c r="J603" t="s">
        <v>17</v>
      </c>
      <c r="K603">
        <v>100</v>
      </c>
      <c r="L603">
        <v>50</v>
      </c>
      <c r="M603" t="s">
        <v>1236</v>
      </c>
      <c r="N603" t="s">
        <v>1235</v>
      </c>
    </row>
    <row r="604" spans="1:14" x14ac:dyDescent="0.3">
      <c r="A604">
        <v>1211157</v>
      </c>
      <c r="B604" t="s">
        <v>1229</v>
      </c>
      <c r="C604" t="s">
        <v>1240</v>
      </c>
      <c r="D604" t="s">
        <v>1239</v>
      </c>
      <c r="E604" t="s">
        <v>1238</v>
      </c>
      <c r="G604" t="s">
        <v>1242</v>
      </c>
      <c r="H604" t="s">
        <v>46</v>
      </c>
      <c r="I604" t="s">
        <v>46</v>
      </c>
      <c r="J604" t="s">
        <v>17</v>
      </c>
      <c r="K604">
        <v>100</v>
      </c>
      <c r="L604">
        <v>50</v>
      </c>
      <c r="M604" t="s">
        <v>1236</v>
      </c>
      <c r="N604" t="s">
        <v>1235</v>
      </c>
    </row>
    <row r="605" spans="1:14" x14ac:dyDescent="0.3">
      <c r="A605">
        <v>1211157</v>
      </c>
      <c r="B605" t="s">
        <v>1229</v>
      </c>
      <c r="C605" t="s">
        <v>1240</v>
      </c>
      <c r="D605" t="s">
        <v>1239</v>
      </c>
      <c r="E605" t="s">
        <v>1238</v>
      </c>
      <c r="G605" t="s">
        <v>1241</v>
      </c>
      <c r="H605" t="s">
        <v>46</v>
      </c>
      <c r="I605" t="s">
        <v>46</v>
      </c>
      <c r="J605" t="s">
        <v>17</v>
      </c>
      <c r="K605">
        <v>100</v>
      </c>
      <c r="L605">
        <v>50</v>
      </c>
      <c r="M605" t="s">
        <v>1236</v>
      </c>
      <c r="N605" t="s">
        <v>1235</v>
      </c>
    </row>
    <row r="606" spans="1:14" x14ac:dyDescent="0.3">
      <c r="A606">
        <v>1211157</v>
      </c>
      <c r="B606" t="s">
        <v>1229</v>
      </c>
      <c r="C606" t="s">
        <v>1240</v>
      </c>
      <c r="D606" t="s">
        <v>1239</v>
      </c>
      <c r="E606" t="s">
        <v>1238</v>
      </c>
      <c r="G606" t="s">
        <v>1237</v>
      </c>
      <c r="H606" t="s">
        <v>46</v>
      </c>
      <c r="I606" t="s">
        <v>46</v>
      </c>
      <c r="J606" t="s">
        <v>17</v>
      </c>
      <c r="K606">
        <v>100</v>
      </c>
      <c r="L606">
        <v>50</v>
      </c>
      <c r="M606" t="s">
        <v>1236</v>
      </c>
      <c r="N606" t="s">
        <v>1235</v>
      </c>
    </row>
    <row r="607" spans="1:14" x14ac:dyDescent="0.3">
      <c r="A607">
        <v>1211157</v>
      </c>
      <c r="B607" t="s">
        <v>1229</v>
      </c>
      <c r="C607" t="s">
        <v>1234</v>
      </c>
      <c r="D607" t="s">
        <v>1233</v>
      </c>
      <c r="E607" t="s">
        <v>1232</v>
      </c>
      <c r="H607" t="s">
        <v>22</v>
      </c>
      <c r="I607" t="s">
        <v>22</v>
      </c>
      <c r="J607" t="s">
        <v>17</v>
      </c>
      <c r="K607">
        <v>73.7</v>
      </c>
      <c r="L607">
        <v>97.2</v>
      </c>
      <c r="M607" t="s">
        <v>182</v>
      </c>
      <c r="N607" t="s">
        <v>183</v>
      </c>
    </row>
    <row r="608" spans="1:14" x14ac:dyDescent="0.3">
      <c r="A608">
        <v>1211157</v>
      </c>
      <c r="B608" t="s">
        <v>1229</v>
      </c>
      <c r="C608" t="s">
        <v>1231</v>
      </c>
      <c r="H608" t="s">
        <v>16</v>
      </c>
      <c r="I608" t="s">
        <v>16</v>
      </c>
      <c r="J608" t="s">
        <v>17</v>
      </c>
      <c r="K608">
        <v>0</v>
      </c>
      <c r="L608">
        <v>0</v>
      </c>
    </row>
    <row r="609" spans="1:14" x14ac:dyDescent="0.3">
      <c r="A609">
        <v>1211157</v>
      </c>
      <c r="B609" t="s">
        <v>1229</v>
      </c>
      <c r="C609" t="s">
        <v>1230</v>
      </c>
      <c r="H609" t="s">
        <v>16</v>
      </c>
      <c r="I609" t="s">
        <v>16</v>
      </c>
      <c r="J609" t="s">
        <v>17</v>
      </c>
      <c r="K609">
        <v>0</v>
      </c>
      <c r="L609">
        <v>0</v>
      </c>
    </row>
    <row r="610" spans="1:14" x14ac:dyDescent="0.3">
      <c r="A610">
        <v>1211157</v>
      </c>
      <c r="B610" t="s">
        <v>1229</v>
      </c>
      <c r="C610" t="s">
        <v>1228</v>
      </c>
      <c r="D610" t="s">
        <v>1228</v>
      </c>
      <c r="E610" t="s">
        <v>1227</v>
      </c>
      <c r="H610" t="s">
        <v>22</v>
      </c>
      <c r="I610" t="s">
        <v>22</v>
      </c>
      <c r="J610" t="s">
        <v>17</v>
      </c>
      <c r="K610">
        <v>100</v>
      </c>
      <c r="L610">
        <v>112</v>
      </c>
      <c r="M610" t="s">
        <v>1226</v>
      </c>
      <c r="N610" t="s">
        <v>1225</v>
      </c>
    </row>
    <row r="611" spans="1:14" x14ac:dyDescent="0.3">
      <c r="A611">
        <v>1213943</v>
      </c>
      <c r="B611" t="s">
        <v>1214</v>
      </c>
      <c r="C611" t="s">
        <v>1224</v>
      </c>
      <c r="H611" t="s">
        <v>16</v>
      </c>
      <c r="I611" t="s">
        <v>16</v>
      </c>
      <c r="J611" t="s">
        <v>17</v>
      </c>
      <c r="K611">
        <v>0</v>
      </c>
      <c r="L611">
        <v>0</v>
      </c>
    </row>
    <row r="612" spans="1:14" x14ac:dyDescent="0.3">
      <c r="A612">
        <v>1213943</v>
      </c>
      <c r="B612" t="s">
        <v>1214</v>
      </c>
      <c r="C612" t="s">
        <v>1223</v>
      </c>
      <c r="H612" t="s">
        <v>16</v>
      </c>
      <c r="I612" t="s">
        <v>16</v>
      </c>
      <c r="J612" t="s">
        <v>17</v>
      </c>
      <c r="K612">
        <v>0</v>
      </c>
      <c r="L612">
        <v>0</v>
      </c>
    </row>
    <row r="613" spans="1:14" x14ac:dyDescent="0.3">
      <c r="A613">
        <v>1213943</v>
      </c>
      <c r="B613" t="s">
        <v>1214</v>
      </c>
      <c r="C613" t="s">
        <v>1222</v>
      </c>
      <c r="H613" t="s">
        <v>16</v>
      </c>
      <c r="I613" t="s">
        <v>16</v>
      </c>
      <c r="J613" t="s">
        <v>17</v>
      </c>
      <c r="K613">
        <v>0</v>
      </c>
      <c r="L613">
        <v>0</v>
      </c>
    </row>
    <row r="614" spans="1:14" x14ac:dyDescent="0.3">
      <c r="A614">
        <v>1213943</v>
      </c>
      <c r="B614" t="s">
        <v>1214</v>
      </c>
      <c r="C614" t="s">
        <v>1221</v>
      </c>
      <c r="D614" t="s">
        <v>1221</v>
      </c>
      <c r="E614" t="s">
        <v>1220</v>
      </c>
      <c r="H614" t="s">
        <v>22</v>
      </c>
      <c r="I614" t="s">
        <v>22</v>
      </c>
      <c r="J614" t="s">
        <v>17</v>
      </c>
      <c r="K614">
        <v>100</v>
      </c>
      <c r="L614">
        <v>113</v>
      </c>
      <c r="M614" t="s">
        <v>1219</v>
      </c>
      <c r="N614" t="s">
        <v>1218</v>
      </c>
    </row>
    <row r="615" spans="1:14" x14ac:dyDescent="0.3">
      <c r="A615">
        <v>1213943</v>
      </c>
      <c r="B615" t="s">
        <v>1214</v>
      </c>
      <c r="C615" t="s">
        <v>1217</v>
      </c>
      <c r="D615" t="s">
        <v>1216</v>
      </c>
      <c r="E615" t="s">
        <v>1215</v>
      </c>
      <c r="H615" t="s">
        <v>22</v>
      </c>
      <c r="I615" t="s">
        <v>22</v>
      </c>
      <c r="J615" t="s">
        <v>17</v>
      </c>
      <c r="K615">
        <v>75.900000000000006</v>
      </c>
      <c r="L615">
        <v>49.5</v>
      </c>
    </row>
    <row r="616" spans="1:14" x14ac:dyDescent="0.3">
      <c r="A616">
        <v>1213943</v>
      </c>
      <c r="B616" t="s">
        <v>1214</v>
      </c>
      <c r="C616" t="s">
        <v>1213</v>
      </c>
      <c r="H616" t="s">
        <v>16</v>
      </c>
      <c r="I616" t="s">
        <v>16</v>
      </c>
      <c r="J616" t="s">
        <v>17</v>
      </c>
      <c r="K616">
        <v>0</v>
      </c>
      <c r="L616">
        <v>0</v>
      </c>
    </row>
    <row r="617" spans="1:14" x14ac:dyDescent="0.3">
      <c r="A617">
        <v>1226337</v>
      </c>
      <c r="B617" t="s">
        <v>1210</v>
      </c>
      <c r="C617" t="s">
        <v>1212</v>
      </c>
      <c r="H617" t="s">
        <v>16</v>
      </c>
      <c r="I617" t="s">
        <v>16</v>
      </c>
      <c r="J617" t="s">
        <v>17</v>
      </c>
      <c r="K617">
        <v>0</v>
      </c>
      <c r="L617">
        <v>0</v>
      </c>
    </row>
    <row r="618" spans="1:14" x14ac:dyDescent="0.3">
      <c r="A618">
        <v>1226337</v>
      </c>
      <c r="B618" t="s">
        <v>1210</v>
      </c>
      <c r="C618" t="s">
        <v>1211</v>
      </c>
      <c r="H618" t="s">
        <v>16</v>
      </c>
      <c r="I618" t="s">
        <v>16</v>
      </c>
      <c r="J618" t="s">
        <v>17</v>
      </c>
      <c r="K618">
        <v>0</v>
      </c>
      <c r="L618">
        <v>0</v>
      </c>
    </row>
    <row r="619" spans="1:14" x14ac:dyDescent="0.3">
      <c r="A619">
        <v>1226337</v>
      </c>
      <c r="B619" t="s">
        <v>1210</v>
      </c>
      <c r="C619" t="s">
        <v>1209</v>
      </c>
      <c r="H619" t="s">
        <v>16</v>
      </c>
      <c r="I619" t="s">
        <v>16</v>
      </c>
      <c r="J619" t="s">
        <v>17</v>
      </c>
      <c r="K619">
        <v>0</v>
      </c>
      <c r="L619">
        <v>0</v>
      </c>
    </row>
    <row r="620" spans="1:14" x14ac:dyDescent="0.3">
      <c r="A620">
        <v>1237381</v>
      </c>
      <c r="B620" t="s">
        <v>1199</v>
      </c>
      <c r="C620" t="s">
        <v>1205</v>
      </c>
      <c r="D620" t="s">
        <v>1204</v>
      </c>
      <c r="E620" t="s">
        <v>1203</v>
      </c>
      <c r="G620" t="s">
        <v>1208</v>
      </c>
      <c r="H620" t="s">
        <v>22</v>
      </c>
      <c r="I620" t="s">
        <v>22</v>
      </c>
      <c r="J620" t="s">
        <v>17</v>
      </c>
      <c r="K620">
        <v>90.5</v>
      </c>
      <c r="L620">
        <v>107.3</v>
      </c>
    </row>
    <row r="621" spans="1:14" x14ac:dyDescent="0.3">
      <c r="A621">
        <v>1237381</v>
      </c>
      <c r="B621" t="s">
        <v>1199</v>
      </c>
      <c r="C621" t="s">
        <v>1205</v>
      </c>
      <c r="D621" t="s">
        <v>1204</v>
      </c>
      <c r="E621" t="s">
        <v>1203</v>
      </c>
      <c r="G621" t="s">
        <v>1207</v>
      </c>
      <c r="H621" t="s">
        <v>22</v>
      </c>
      <c r="I621" t="s">
        <v>22</v>
      </c>
      <c r="J621" t="s">
        <v>17</v>
      </c>
      <c r="K621">
        <v>90.5</v>
      </c>
      <c r="L621">
        <v>107.3</v>
      </c>
    </row>
    <row r="622" spans="1:14" x14ac:dyDescent="0.3">
      <c r="A622">
        <v>1237381</v>
      </c>
      <c r="B622" t="s">
        <v>1199</v>
      </c>
      <c r="C622" t="s">
        <v>1205</v>
      </c>
      <c r="D622" t="s">
        <v>1204</v>
      </c>
      <c r="E622" t="s">
        <v>1203</v>
      </c>
      <c r="G622" t="s">
        <v>1206</v>
      </c>
      <c r="H622" t="s">
        <v>22</v>
      </c>
      <c r="I622" t="s">
        <v>22</v>
      </c>
      <c r="J622" t="s">
        <v>17</v>
      </c>
      <c r="K622">
        <v>90.5</v>
      </c>
      <c r="L622">
        <v>107.3</v>
      </c>
    </row>
    <row r="623" spans="1:14" x14ac:dyDescent="0.3">
      <c r="A623">
        <v>1237381</v>
      </c>
      <c r="B623" t="s">
        <v>1199</v>
      </c>
      <c r="C623" t="s">
        <v>1205</v>
      </c>
      <c r="D623" t="s">
        <v>1204</v>
      </c>
      <c r="E623" t="s">
        <v>1203</v>
      </c>
      <c r="G623" t="s">
        <v>1202</v>
      </c>
      <c r="H623" t="s">
        <v>22</v>
      </c>
      <c r="I623" t="s">
        <v>22</v>
      </c>
      <c r="J623" t="s">
        <v>17</v>
      </c>
      <c r="K623">
        <v>90.5</v>
      </c>
      <c r="L623">
        <v>107.3</v>
      </c>
    </row>
    <row r="624" spans="1:14" x14ac:dyDescent="0.3">
      <c r="A624">
        <v>1237381</v>
      </c>
      <c r="B624" t="s">
        <v>1199</v>
      </c>
      <c r="C624" t="s">
        <v>1201</v>
      </c>
      <c r="H624" t="s">
        <v>16</v>
      </c>
      <c r="I624" t="s">
        <v>16</v>
      </c>
      <c r="J624" t="s">
        <v>17</v>
      </c>
      <c r="K624">
        <v>0</v>
      </c>
      <c r="L624">
        <v>0</v>
      </c>
    </row>
    <row r="625" spans="1:14" x14ac:dyDescent="0.3">
      <c r="A625">
        <v>1237381</v>
      </c>
      <c r="B625" t="s">
        <v>1199</v>
      </c>
      <c r="C625" t="s">
        <v>1200</v>
      </c>
      <c r="H625" t="s">
        <v>16</v>
      </c>
      <c r="I625" t="s">
        <v>16</v>
      </c>
      <c r="J625" t="s">
        <v>17</v>
      </c>
      <c r="K625">
        <v>0</v>
      </c>
      <c r="L625">
        <v>0</v>
      </c>
    </row>
    <row r="626" spans="1:14" x14ac:dyDescent="0.3">
      <c r="A626">
        <v>1237381</v>
      </c>
      <c r="B626" t="s">
        <v>1199</v>
      </c>
      <c r="C626" t="s">
        <v>1198</v>
      </c>
      <c r="H626" t="s">
        <v>16</v>
      </c>
      <c r="I626" t="s">
        <v>16</v>
      </c>
      <c r="J626" t="s">
        <v>17</v>
      </c>
      <c r="K626">
        <v>0</v>
      </c>
      <c r="L626">
        <v>0</v>
      </c>
    </row>
    <row r="627" spans="1:14" x14ac:dyDescent="0.3">
      <c r="A627">
        <v>1239651</v>
      </c>
      <c r="B627" t="s">
        <v>1108</v>
      </c>
      <c r="C627">
        <v>1979</v>
      </c>
      <c r="D627">
        <v>1979</v>
      </c>
      <c r="E627" t="s">
        <v>1197</v>
      </c>
      <c r="H627" t="s">
        <v>22</v>
      </c>
      <c r="I627" t="s">
        <v>22</v>
      </c>
      <c r="J627" t="s">
        <v>17</v>
      </c>
      <c r="K627">
        <v>100</v>
      </c>
      <c r="L627">
        <v>112</v>
      </c>
      <c r="M627" t="s">
        <v>241</v>
      </c>
      <c r="N627" t="s">
        <v>242</v>
      </c>
    </row>
    <row r="628" spans="1:14" x14ac:dyDescent="0.3">
      <c r="A628">
        <v>1239651</v>
      </c>
      <c r="B628" t="s">
        <v>1108</v>
      </c>
      <c r="C628" t="s">
        <v>1196</v>
      </c>
      <c r="D628" t="s">
        <v>1196</v>
      </c>
      <c r="E628" t="s">
        <v>1195</v>
      </c>
      <c r="F628" t="s">
        <v>1194</v>
      </c>
      <c r="H628" t="s">
        <v>22</v>
      </c>
      <c r="I628" t="s">
        <v>22</v>
      </c>
      <c r="J628" t="s">
        <v>17</v>
      </c>
      <c r="K628">
        <v>100</v>
      </c>
      <c r="L628">
        <v>113</v>
      </c>
      <c r="M628" t="s">
        <v>1193</v>
      </c>
      <c r="N628" t="s">
        <v>1192</v>
      </c>
    </row>
    <row r="629" spans="1:14" x14ac:dyDescent="0.3">
      <c r="A629">
        <v>1239651</v>
      </c>
      <c r="B629" t="s">
        <v>1108</v>
      </c>
      <c r="C629" t="s">
        <v>548</v>
      </c>
      <c r="D629" t="s">
        <v>1173</v>
      </c>
      <c r="E629" t="s">
        <v>1172</v>
      </c>
      <c r="F629" t="s">
        <v>1171</v>
      </c>
      <c r="G629" t="s">
        <v>1191</v>
      </c>
      <c r="H629" t="s">
        <v>22</v>
      </c>
      <c r="I629" t="s">
        <v>22</v>
      </c>
      <c r="J629" t="s">
        <v>17</v>
      </c>
      <c r="K629">
        <v>88.2</v>
      </c>
      <c r="L629">
        <v>137.9</v>
      </c>
      <c r="M629" t="s">
        <v>1169</v>
      </c>
      <c r="N629" t="s">
        <v>1168</v>
      </c>
    </row>
    <row r="630" spans="1:14" x14ac:dyDescent="0.3">
      <c r="A630">
        <v>1239651</v>
      </c>
      <c r="B630" t="s">
        <v>1108</v>
      </c>
      <c r="C630" t="s">
        <v>548</v>
      </c>
      <c r="D630" t="s">
        <v>1173</v>
      </c>
      <c r="E630" t="s">
        <v>1172</v>
      </c>
      <c r="F630" t="s">
        <v>1171</v>
      </c>
      <c r="G630" t="s">
        <v>1190</v>
      </c>
      <c r="H630" t="s">
        <v>22</v>
      </c>
      <c r="I630" t="s">
        <v>22</v>
      </c>
      <c r="J630" t="s">
        <v>17</v>
      </c>
      <c r="K630">
        <v>88.2</v>
      </c>
      <c r="L630">
        <v>137.9</v>
      </c>
      <c r="M630" t="s">
        <v>1169</v>
      </c>
      <c r="N630" t="s">
        <v>1168</v>
      </c>
    </row>
    <row r="631" spans="1:14" x14ac:dyDescent="0.3">
      <c r="A631">
        <v>1239651</v>
      </c>
      <c r="B631" t="s">
        <v>1108</v>
      </c>
      <c r="C631" t="s">
        <v>548</v>
      </c>
      <c r="D631" t="s">
        <v>1173</v>
      </c>
      <c r="E631" t="s">
        <v>1172</v>
      </c>
      <c r="F631" t="s">
        <v>1171</v>
      </c>
      <c r="G631" t="s">
        <v>1189</v>
      </c>
      <c r="H631" t="s">
        <v>22</v>
      </c>
      <c r="I631" t="s">
        <v>22</v>
      </c>
      <c r="J631" t="s">
        <v>17</v>
      </c>
      <c r="K631">
        <v>88.2</v>
      </c>
      <c r="L631">
        <v>137.9</v>
      </c>
      <c r="M631" t="s">
        <v>1169</v>
      </c>
      <c r="N631" t="s">
        <v>1168</v>
      </c>
    </row>
    <row r="632" spans="1:14" x14ac:dyDescent="0.3">
      <c r="A632">
        <v>1239651</v>
      </c>
      <c r="B632" t="s">
        <v>1108</v>
      </c>
      <c r="C632" t="s">
        <v>548</v>
      </c>
      <c r="D632" t="s">
        <v>1173</v>
      </c>
      <c r="E632" t="s">
        <v>1172</v>
      </c>
      <c r="F632" t="s">
        <v>1171</v>
      </c>
      <c r="G632" t="s">
        <v>1188</v>
      </c>
      <c r="H632" t="s">
        <v>22</v>
      </c>
      <c r="I632" t="s">
        <v>22</v>
      </c>
      <c r="J632" t="s">
        <v>17</v>
      </c>
      <c r="K632">
        <v>88.2</v>
      </c>
      <c r="L632">
        <v>137.9</v>
      </c>
      <c r="M632" t="s">
        <v>1169</v>
      </c>
      <c r="N632" t="s">
        <v>1168</v>
      </c>
    </row>
    <row r="633" spans="1:14" x14ac:dyDescent="0.3">
      <c r="A633">
        <v>1239651</v>
      </c>
      <c r="B633" t="s">
        <v>1108</v>
      </c>
      <c r="C633" t="s">
        <v>548</v>
      </c>
      <c r="D633" t="s">
        <v>1173</v>
      </c>
      <c r="E633" t="s">
        <v>1172</v>
      </c>
      <c r="F633" t="s">
        <v>1171</v>
      </c>
      <c r="G633" t="s">
        <v>1187</v>
      </c>
      <c r="H633" t="s">
        <v>22</v>
      </c>
      <c r="I633" t="s">
        <v>22</v>
      </c>
      <c r="J633" t="s">
        <v>17</v>
      </c>
      <c r="K633">
        <v>88.2</v>
      </c>
      <c r="L633">
        <v>137.9</v>
      </c>
      <c r="M633" t="s">
        <v>1169</v>
      </c>
      <c r="N633" t="s">
        <v>1168</v>
      </c>
    </row>
    <row r="634" spans="1:14" x14ac:dyDescent="0.3">
      <c r="A634">
        <v>1239651</v>
      </c>
      <c r="B634" t="s">
        <v>1108</v>
      </c>
      <c r="C634" t="s">
        <v>548</v>
      </c>
      <c r="D634" t="s">
        <v>1173</v>
      </c>
      <c r="E634" t="s">
        <v>1172</v>
      </c>
      <c r="F634" t="s">
        <v>1171</v>
      </c>
      <c r="G634" t="s">
        <v>1186</v>
      </c>
      <c r="H634" t="s">
        <v>22</v>
      </c>
      <c r="I634" t="s">
        <v>22</v>
      </c>
      <c r="J634" t="s">
        <v>17</v>
      </c>
      <c r="K634">
        <v>88.2</v>
      </c>
      <c r="L634">
        <v>137.9</v>
      </c>
      <c r="M634" t="s">
        <v>1169</v>
      </c>
      <c r="N634" t="s">
        <v>1168</v>
      </c>
    </row>
    <row r="635" spans="1:14" x14ac:dyDescent="0.3">
      <c r="A635">
        <v>1239651</v>
      </c>
      <c r="B635" t="s">
        <v>1108</v>
      </c>
      <c r="C635" t="s">
        <v>548</v>
      </c>
      <c r="D635" t="s">
        <v>1173</v>
      </c>
      <c r="E635" t="s">
        <v>1172</v>
      </c>
      <c r="F635" t="s">
        <v>1171</v>
      </c>
      <c r="G635" t="s">
        <v>1185</v>
      </c>
      <c r="H635" t="s">
        <v>22</v>
      </c>
      <c r="I635" t="s">
        <v>22</v>
      </c>
      <c r="J635" t="s">
        <v>17</v>
      </c>
      <c r="K635">
        <v>88.2</v>
      </c>
      <c r="L635">
        <v>137.9</v>
      </c>
      <c r="M635" t="s">
        <v>1169</v>
      </c>
      <c r="N635" t="s">
        <v>1168</v>
      </c>
    </row>
    <row r="636" spans="1:14" x14ac:dyDescent="0.3">
      <c r="A636">
        <v>1239651</v>
      </c>
      <c r="B636" t="s">
        <v>1108</v>
      </c>
      <c r="C636" t="s">
        <v>548</v>
      </c>
      <c r="D636" t="s">
        <v>1173</v>
      </c>
      <c r="E636" t="s">
        <v>1172</v>
      </c>
      <c r="F636" t="s">
        <v>1171</v>
      </c>
      <c r="G636" t="s">
        <v>1184</v>
      </c>
      <c r="H636" t="s">
        <v>22</v>
      </c>
      <c r="I636" t="s">
        <v>22</v>
      </c>
      <c r="J636" t="s">
        <v>17</v>
      </c>
      <c r="K636">
        <v>88.2</v>
      </c>
      <c r="L636">
        <v>137.9</v>
      </c>
      <c r="M636" t="s">
        <v>1169</v>
      </c>
      <c r="N636" t="s">
        <v>1168</v>
      </c>
    </row>
    <row r="637" spans="1:14" x14ac:dyDescent="0.3">
      <c r="A637">
        <v>1239651</v>
      </c>
      <c r="B637" t="s">
        <v>1108</v>
      </c>
      <c r="C637" t="s">
        <v>548</v>
      </c>
      <c r="D637" t="s">
        <v>1173</v>
      </c>
      <c r="E637" t="s">
        <v>1172</v>
      </c>
      <c r="F637" t="s">
        <v>1171</v>
      </c>
      <c r="G637" t="s">
        <v>1183</v>
      </c>
      <c r="H637" t="s">
        <v>22</v>
      </c>
      <c r="I637" t="s">
        <v>22</v>
      </c>
      <c r="J637" t="s">
        <v>17</v>
      </c>
      <c r="K637">
        <v>88.2</v>
      </c>
      <c r="L637">
        <v>137.9</v>
      </c>
      <c r="M637" t="s">
        <v>1169</v>
      </c>
      <c r="N637" t="s">
        <v>1168</v>
      </c>
    </row>
    <row r="638" spans="1:14" x14ac:dyDescent="0.3">
      <c r="A638">
        <v>1239651</v>
      </c>
      <c r="B638" t="s">
        <v>1108</v>
      </c>
      <c r="C638" t="s">
        <v>548</v>
      </c>
      <c r="D638" t="s">
        <v>1173</v>
      </c>
      <c r="E638" t="s">
        <v>1172</v>
      </c>
      <c r="F638" t="s">
        <v>1171</v>
      </c>
      <c r="G638" t="s">
        <v>1182</v>
      </c>
      <c r="H638" t="s">
        <v>22</v>
      </c>
      <c r="I638" t="s">
        <v>22</v>
      </c>
      <c r="J638" t="s">
        <v>17</v>
      </c>
      <c r="K638">
        <v>88.2</v>
      </c>
      <c r="L638">
        <v>137.9</v>
      </c>
      <c r="M638" t="s">
        <v>1169</v>
      </c>
      <c r="N638" t="s">
        <v>1168</v>
      </c>
    </row>
    <row r="639" spans="1:14" x14ac:dyDescent="0.3">
      <c r="A639">
        <v>1239651</v>
      </c>
      <c r="B639" t="s">
        <v>1108</v>
      </c>
      <c r="C639" t="s">
        <v>548</v>
      </c>
      <c r="D639" t="s">
        <v>1173</v>
      </c>
      <c r="E639" t="s">
        <v>1172</v>
      </c>
      <c r="F639" t="s">
        <v>1171</v>
      </c>
      <c r="G639" t="s">
        <v>1181</v>
      </c>
      <c r="H639" t="s">
        <v>22</v>
      </c>
      <c r="I639" t="s">
        <v>22</v>
      </c>
      <c r="J639" t="s">
        <v>17</v>
      </c>
      <c r="K639">
        <v>88.2</v>
      </c>
      <c r="L639">
        <v>137.9</v>
      </c>
      <c r="M639" t="s">
        <v>1169</v>
      </c>
      <c r="N639" t="s">
        <v>1168</v>
      </c>
    </row>
    <row r="640" spans="1:14" x14ac:dyDescent="0.3">
      <c r="A640">
        <v>1239651</v>
      </c>
      <c r="B640" t="s">
        <v>1108</v>
      </c>
      <c r="C640" t="s">
        <v>548</v>
      </c>
      <c r="D640" t="s">
        <v>1173</v>
      </c>
      <c r="E640" t="s">
        <v>1172</v>
      </c>
      <c r="F640" t="s">
        <v>1171</v>
      </c>
      <c r="G640" t="s">
        <v>1180</v>
      </c>
      <c r="H640" t="s">
        <v>22</v>
      </c>
      <c r="I640" t="s">
        <v>22</v>
      </c>
      <c r="J640" t="s">
        <v>17</v>
      </c>
      <c r="K640">
        <v>88.2</v>
      </c>
      <c r="L640">
        <v>137.9</v>
      </c>
      <c r="M640" t="s">
        <v>1169</v>
      </c>
      <c r="N640" t="s">
        <v>1168</v>
      </c>
    </row>
    <row r="641" spans="1:14" x14ac:dyDescent="0.3">
      <c r="A641">
        <v>1239651</v>
      </c>
      <c r="B641" t="s">
        <v>1108</v>
      </c>
      <c r="C641" t="s">
        <v>548</v>
      </c>
      <c r="D641" t="s">
        <v>1173</v>
      </c>
      <c r="E641" t="s">
        <v>1172</v>
      </c>
      <c r="F641" t="s">
        <v>1171</v>
      </c>
      <c r="G641" t="s">
        <v>1179</v>
      </c>
      <c r="H641" t="s">
        <v>22</v>
      </c>
      <c r="I641" t="s">
        <v>22</v>
      </c>
      <c r="J641" t="s">
        <v>17</v>
      </c>
      <c r="K641">
        <v>88.2</v>
      </c>
      <c r="L641">
        <v>137.9</v>
      </c>
      <c r="M641" t="s">
        <v>1169</v>
      </c>
      <c r="N641" t="s">
        <v>1168</v>
      </c>
    </row>
    <row r="642" spans="1:14" x14ac:dyDescent="0.3">
      <c r="A642">
        <v>1239651</v>
      </c>
      <c r="B642" t="s">
        <v>1108</v>
      </c>
      <c r="C642" t="s">
        <v>548</v>
      </c>
      <c r="D642" t="s">
        <v>1173</v>
      </c>
      <c r="E642" t="s">
        <v>1172</v>
      </c>
      <c r="F642" t="s">
        <v>1171</v>
      </c>
      <c r="G642" t="s">
        <v>1178</v>
      </c>
      <c r="H642" t="s">
        <v>22</v>
      </c>
      <c r="I642" t="s">
        <v>22</v>
      </c>
      <c r="J642" t="s">
        <v>17</v>
      </c>
      <c r="K642">
        <v>88.2</v>
      </c>
      <c r="L642">
        <v>137.9</v>
      </c>
      <c r="M642" t="s">
        <v>1169</v>
      </c>
      <c r="N642" t="s">
        <v>1168</v>
      </c>
    </row>
    <row r="643" spans="1:14" x14ac:dyDescent="0.3">
      <c r="A643">
        <v>1239651</v>
      </c>
      <c r="B643" t="s">
        <v>1108</v>
      </c>
      <c r="C643" t="s">
        <v>548</v>
      </c>
      <c r="D643" t="s">
        <v>1173</v>
      </c>
      <c r="E643" t="s">
        <v>1172</v>
      </c>
      <c r="F643" t="s">
        <v>1171</v>
      </c>
      <c r="G643" t="s">
        <v>1177</v>
      </c>
      <c r="H643" t="s">
        <v>22</v>
      </c>
      <c r="I643" t="s">
        <v>22</v>
      </c>
      <c r="J643" t="s">
        <v>17</v>
      </c>
      <c r="K643">
        <v>88.2</v>
      </c>
      <c r="L643">
        <v>137.9</v>
      </c>
      <c r="M643" t="s">
        <v>1169</v>
      </c>
      <c r="N643" t="s">
        <v>1168</v>
      </c>
    </row>
    <row r="644" spans="1:14" x14ac:dyDescent="0.3">
      <c r="A644">
        <v>1239651</v>
      </c>
      <c r="B644" t="s">
        <v>1108</v>
      </c>
      <c r="C644" t="s">
        <v>548</v>
      </c>
      <c r="D644" t="s">
        <v>1173</v>
      </c>
      <c r="E644" t="s">
        <v>1172</v>
      </c>
      <c r="F644" t="s">
        <v>1171</v>
      </c>
      <c r="G644" t="s">
        <v>1176</v>
      </c>
      <c r="H644" t="s">
        <v>22</v>
      </c>
      <c r="I644" t="s">
        <v>22</v>
      </c>
      <c r="J644" t="s">
        <v>17</v>
      </c>
      <c r="K644">
        <v>88.2</v>
      </c>
      <c r="L644">
        <v>137.9</v>
      </c>
      <c r="M644" t="s">
        <v>1169</v>
      </c>
      <c r="N644" t="s">
        <v>1168</v>
      </c>
    </row>
    <row r="645" spans="1:14" x14ac:dyDescent="0.3">
      <c r="A645">
        <v>1239651</v>
      </c>
      <c r="B645" t="s">
        <v>1108</v>
      </c>
      <c r="C645" t="s">
        <v>548</v>
      </c>
      <c r="D645" t="s">
        <v>1173</v>
      </c>
      <c r="E645" t="s">
        <v>1172</v>
      </c>
      <c r="F645" t="s">
        <v>1171</v>
      </c>
      <c r="G645" t="s">
        <v>1175</v>
      </c>
      <c r="H645" t="s">
        <v>22</v>
      </c>
      <c r="I645" t="s">
        <v>22</v>
      </c>
      <c r="J645" t="s">
        <v>17</v>
      </c>
      <c r="K645">
        <v>88.2</v>
      </c>
      <c r="L645">
        <v>137.9</v>
      </c>
      <c r="M645" t="s">
        <v>1169</v>
      </c>
      <c r="N645" t="s">
        <v>1168</v>
      </c>
    </row>
    <row r="646" spans="1:14" x14ac:dyDescent="0.3">
      <c r="A646">
        <v>1239651</v>
      </c>
      <c r="B646" t="s">
        <v>1108</v>
      </c>
      <c r="C646" t="s">
        <v>548</v>
      </c>
      <c r="D646" t="s">
        <v>1173</v>
      </c>
      <c r="E646" t="s">
        <v>1172</v>
      </c>
      <c r="F646" t="s">
        <v>1171</v>
      </c>
      <c r="G646" t="s">
        <v>1174</v>
      </c>
      <c r="H646" t="s">
        <v>22</v>
      </c>
      <c r="I646" t="s">
        <v>22</v>
      </c>
      <c r="J646" t="s">
        <v>17</v>
      </c>
      <c r="K646">
        <v>88.2</v>
      </c>
      <c r="L646">
        <v>137.9</v>
      </c>
      <c r="M646" t="s">
        <v>1169</v>
      </c>
      <c r="N646" t="s">
        <v>1168</v>
      </c>
    </row>
    <row r="647" spans="1:14" x14ac:dyDescent="0.3">
      <c r="A647">
        <v>1239651</v>
      </c>
      <c r="B647" t="s">
        <v>1108</v>
      </c>
      <c r="C647" t="s">
        <v>548</v>
      </c>
      <c r="D647" t="s">
        <v>1173</v>
      </c>
      <c r="E647" t="s">
        <v>1172</v>
      </c>
      <c r="F647" t="s">
        <v>1171</v>
      </c>
      <c r="G647" t="s">
        <v>1170</v>
      </c>
      <c r="H647" t="s">
        <v>22</v>
      </c>
      <c r="I647" t="s">
        <v>22</v>
      </c>
      <c r="J647" t="s">
        <v>17</v>
      </c>
      <c r="K647">
        <v>88.2</v>
      </c>
      <c r="L647">
        <v>137.9</v>
      </c>
      <c r="M647" t="s">
        <v>1169</v>
      </c>
      <c r="N647" t="s">
        <v>1168</v>
      </c>
    </row>
    <row r="648" spans="1:14" x14ac:dyDescent="0.3">
      <c r="A648">
        <v>1239651</v>
      </c>
      <c r="B648" t="s">
        <v>1108</v>
      </c>
      <c r="C648" t="s">
        <v>1161</v>
      </c>
      <c r="D648" t="s">
        <v>1160</v>
      </c>
      <c r="E648" t="s">
        <v>1159</v>
      </c>
      <c r="G648" t="s">
        <v>1167</v>
      </c>
      <c r="H648" t="s">
        <v>22</v>
      </c>
      <c r="I648" t="s">
        <v>22</v>
      </c>
      <c r="J648" t="s">
        <v>17</v>
      </c>
      <c r="K648">
        <v>91.7</v>
      </c>
      <c r="L648">
        <v>137</v>
      </c>
      <c r="M648" t="s">
        <v>622</v>
      </c>
      <c r="N648" t="s">
        <v>623</v>
      </c>
    </row>
    <row r="649" spans="1:14" x14ac:dyDescent="0.3">
      <c r="A649">
        <v>1239651</v>
      </c>
      <c r="B649" t="s">
        <v>1108</v>
      </c>
      <c r="C649" t="s">
        <v>1161</v>
      </c>
      <c r="D649" t="s">
        <v>1160</v>
      </c>
      <c r="E649" t="s">
        <v>1159</v>
      </c>
      <c r="G649" t="s">
        <v>1166</v>
      </c>
      <c r="H649" t="s">
        <v>22</v>
      </c>
      <c r="I649" t="s">
        <v>22</v>
      </c>
      <c r="J649" t="s">
        <v>17</v>
      </c>
      <c r="K649">
        <v>91.7</v>
      </c>
      <c r="L649">
        <v>137</v>
      </c>
      <c r="M649" t="s">
        <v>622</v>
      </c>
      <c r="N649" t="s">
        <v>623</v>
      </c>
    </row>
    <row r="650" spans="1:14" x14ac:dyDescent="0.3">
      <c r="A650">
        <v>1239651</v>
      </c>
      <c r="B650" t="s">
        <v>1108</v>
      </c>
      <c r="C650" t="s">
        <v>1161</v>
      </c>
      <c r="D650" t="s">
        <v>1160</v>
      </c>
      <c r="E650" t="s">
        <v>1159</v>
      </c>
      <c r="G650" t="s">
        <v>1165</v>
      </c>
      <c r="H650" t="s">
        <v>22</v>
      </c>
      <c r="I650" t="s">
        <v>22</v>
      </c>
      <c r="J650" t="s">
        <v>17</v>
      </c>
      <c r="K650">
        <v>91.7</v>
      </c>
      <c r="L650">
        <v>137</v>
      </c>
      <c r="M650" t="s">
        <v>622</v>
      </c>
      <c r="N650" t="s">
        <v>623</v>
      </c>
    </row>
    <row r="651" spans="1:14" x14ac:dyDescent="0.3">
      <c r="A651">
        <v>1239651</v>
      </c>
      <c r="B651" t="s">
        <v>1108</v>
      </c>
      <c r="C651" t="s">
        <v>1161</v>
      </c>
      <c r="D651" t="s">
        <v>1160</v>
      </c>
      <c r="E651" t="s">
        <v>1159</v>
      </c>
      <c r="G651" t="s">
        <v>1164</v>
      </c>
      <c r="H651" t="s">
        <v>22</v>
      </c>
      <c r="I651" t="s">
        <v>22</v>
      </c>
      <c r="J651" t="s">
        <v>17</v>
      </c>
      <c r="K651">
        <v>91.7</v>
      </c>
      <c r="L651">
        <v>137</v>
      </c>
      <c r="M651" t="s">
        <v>622</v>
      </c>
      <c r="N651" t="s">
        <v>623</v>
      </c>
    </row>
    <row r="652" spans="1:14" x14ac:dyDescent="0.3">
      <c r="A652">
        <v>1239651</v>
      </c>
      <c r="B652" t="s">
        <v>1108</v>
      </c>
      <c r="C652" t="s">
        <v>1161</v>
      </c>
      <c r="D652" t="s">
        <v>1160</v>
      </c>
      <c r="E652" t="s">
        <v>1159</v>
      </c>
      <c r="G652" t="s">
        <v>1163</v>
      </c>
      <c r="H652" t="s">
        <v>22</v>
      </c>
      <c r="I652" t="s">
        <v>22</v>
      </c>
      <c r="J652" t="s">
        <v>17</v>
      </c>
      <c r="K652">
        <v>91.7</v>
      </c>
      <c r="L652">
        <v>137</v>
      </c>
      <c r="M652" t="s">
        <v>622</v>
      </c>
      <c r="N652" t="s">
        <v>623</v>
      </c>
    </row>
    <row r="653" spans="1:14" x14ac:dyDescent="0.3">
      <c r="A653">
        <v>1239651</v>
      </c>
      <c r="B653" t="s">
        <v>1108</v>
      </c>
      <c r="C653" t="s">
        <v>1161</v>
      </c>
      <c r="D653" t="s">
        <v>1160</v>
      </c>
      <c r="E653" t="s">
        <v>1159</v>
      </c>
      <c r="G653" t="s">
        <v>1162</v>
      </c>
      <c r="H653" t="s">
        <v>22</v>
      </c>
      <c r="I653" t="s">
        <v>22</v>
      </c>
      <c r="J653" t="s">
        <v>17</v>
      </c>
      <c r="K653">
        <v>91.7</v>
      </c>
      <c r="L653">
        <v>137</v>
      </c>
      <c r="M653" t="s">
        <v>622</v>
      </c>
      <c r="N653" t="s">
        <v>623</v>
      </c>
    </row>
    <row r="654" spans="1:14" x14ac:dyDescent="0.3">
      <c r="A654">
        <v>1239651</v>
      </c>
      <c r="B654" t="s">
        <v>1108</v>
      </c>
      <c r="C654" t="s">
        <v>1161</v>
      </c>
      <c r="D654" t="s">
        <v>1160</v>
      </c>
      <c r="E654" t="s">
        <v>1159</v>
      </c>
      <c r="G654" t="s">
        <v>1158</v>
      </c>
      <c r="H654" t="s">
        <v>22</v>
      </c>
      <c r="I654" t="s">
        <v>22</v>
      </c>
      <c r="J654" t="s">
        <v>17</v>
      </c>
      <c r="K654">
        <v>91.7</v>
      </c>
      <c r="L654">
        <v>137</v>
      </c>
      <c r="M654" t="s">
        <v>622</v>
      </c>
      <c r="N654" t="s">
        <v>623</v>
      </c>
    </row>
    <row r="655" spans="1:14" x14ac:dyDescent="0.3">
      <c r="A655">
        <v>1239651</v>
      </c>
      <c r="B655" t="s">
        <v>1108</v>
      </c>
      <c r="C655" t="s">
        <v>1157</v>
      </c>
      <c r="H655" t="s">
        <v>16</v>
      </c>
      <c r="I655" t="s">
        <v>16</v>
      </c>
      <c r="J655" t="s">
        <v>17</v>
      </c>
      <c r="K655">
        <v>0</v>
      </c>
      <c r="L655">
        <v>0</v>
      </c>
    </row>
    <row r="656" spans="1:14" x14ac:dyDescent="0.3">
      <c r="A656">
        <v>1239651</v>
      </c>
      <c r="B656" t="s">
        <v>1108</v>
      </c>
      <c r="C656" t="s">
        <v>1156</v>
      </c>
      <c r="H656" t="s">
        <v>16</v>
      </c>
      <c r="I656" t="s">
        <v>16</v>
      </c>
      <c r="J656" t="s">
        <v>17</v>
      </c>
      <c r="K656">
        <v>0</v>
      </c>
      <c r="L656">
        <v>0</v>
      </c>
    </row>
    <row r="657" spans="1:14" x14ac:dyDescent="0.3">
      <c r="A657">
        <v>1239651</v>
      </c>
      <c r="B657" t="s">
        <v>1108</v>
      </c>
      <c r="C657" t="s">
        <v>1155</v>
      </c>
      <c r="D657" t="s">
        <v>1155</v>
      </c>
      <c r="E657" t="s">
        <v>1154</v>
      </c>
      <c r="H657" t="s">
        <v>22</v>
      </c>
      <c r="I657" t="s">
        <v>22</v>
      </c>
      <c r="J657" t="s">
        <v>17</v>
      </c>
      <c r="K657">
        <v>100</v>
      </c>
      <c r="L657">
        <v>110</v>
      </c>
      <c r="M657" t="s">
        <v>182</v>
      </c>
      <c r="N657" t="s">
        <v>183</v>
      </c>
    </row>
    <row r="658" spans="1:14" x14ac:dyDescent="0.3">
      <c r="A658">
        <v>1239651</v>
      </c>
      <c r="B658" t="s">
        <v>1108</v>
      </c>
      <c r="C658" t="s">
        <v>1123</v>
      </c>
      <c r="D658" t="s">
        <v>1122</v>
      </c>
      <c r="E658" t="s">
        <v>1121</v>
      </c>
      <c r="F658" t="s">
        <v>1120</v>
      </c>
      <c r="G658" t="s">
        <v>1153</v>
      </c>
      <c r="H658" t="s">
        <v>22</v>
      </c>
      <c r="I658" t="s">
        <v>22</v>
      </c>
      <c r="J658" t="s">
        <v>17</v>
      </c>
      <c r="K658">
        <v>91.7</v>
      </c>
      <c r="L658">
        <v>138</v>
      </c>
      <c r="M658" t="s">
        <v>1118</v>
      </c>
      <c r="N658" t="s">
        <v>1117</v>
      </c>
    </row>
    <row r="659" spans="1:14" x14ac:dyDescent="0.3">
      <c r="A659">
        <v>1239651</v>
      </c>
      <c r="B659" t="s">
        <v>1108</v>
      </c>
      <c r="C659" t="s">
        <v>1123</v>
      </c>
      <c r="D659" t="s">
        <v>1122</v>
      </c>
      <c r="E659" t="s">
        <v>1121</v>
      </c>
      <c r="F659" t="s">
        <v>1120</v>
      </c>
      <c r="G659" t="s">
        <v>1152</v>
      </c>
      <c r="H659" t="s">
        <v>22</v>
      </c>
      <c r="I659" t="s">
        <v>22</v>
      </c>
      <c r="J659" t="s">
        <v>17</v>
      </c>
      <c r="K659">
        <v>91.7</v>
      </c>
      <c r="L659">
        <v>138</v>
      </c>
      <c r="M659" t="s">
        <v>1118</v>
      </c>
      <c r="N659" t="s">
        <v>1117</v>
      </c>
    </row>
    <row r="660" spans="1:14" x14ac:dyDescent="0.3">
      <c r="A660">
        <v>1239651</v>
      </c>
      <c r="B660" t="s">
        <v>1108</v>
      </c>
      <c r="C660" t="s">
        <v>1123</v>
      </c>
      <c r="D660" t="s">
        <v>1122</v>
      </c>
      <c r="E660" t="s">
        <v>1121</v>
      </c>
      <c r="F660" t="s">
        <v>1120</v>
      </c>
      <c r="G660" t="s">
        <v>1151</v>
      </c>
      <c r="H660" t="s">
        <v>22</v>
      </c>
      <c r="I660" t="s">
        <v>22</v>
      </c>
      <c r="J660" t="s">
        <v>17</v>
      </c>
      <c r="K660">
        <v>91.7</v>
      </c>
      <c r="L660">
        <v>138</v>
      </c>
      <c r="M660" t="s">
        <v>1118</v>
      </c>
      <c r="N660" t="s">
        <v>1117</v>
      </c>
    </row>
    <row r="661" spans="1:14" x14ac:dyDescent="0.3">
      <c r="A661">
        <v>1239651</v>
      </c>
      <c r="B661" t="s">
        <v>1108</v>
      </c>
      <c r="C661" t="s">
        <v>1123</v>
      </c>
      <c r="D661" t="s">
        <v>1122</v>
      </c>
      <c r="E661" t="s">
        <v>1121</v>
      </c>
      <c r="F661" t="s">
        <v>1120</v>
      </c>
      <c r="G661" t="s">
        <v>1150</v>
      </c>
      <c r="H661" t="s">
        <v>22</v>
      </c>
      <c r="I661" t="s">
        <v>22</v>
      </c>
      <c r="J661" t="s">
        <v>17</v>
      </c>
      <c r="K661">
        <v>91.7</v>
      </c>
      <c r="L661">
        <v>138</v>
      </c>
      <c r="M661" t="s">
        <v>1118</v>
      </c>
      <c r="N661" t="s">
        <v>1117</v>
      </c>
    </row>
    <row r="662" spans="1:14" x14ac:dyDescent="0.3">
      <c r="A662">
        <v>1239651</v>
      </c>
      <c r="B662" t="s">
        <v>1108</v>
      </c>
      <c r="C662" t="s">
        <v>1123</v>
      </c>
      <c r="D662" t="s">
        <v>1122</v>
      </c>
      <c r="E662" t="s">
        <v>1121</v>
      </c>
      <c r="F662" t="s">
        <v>1120</v>
      </c>
      <c r="G662" t="s">
        <v>1149</v>
      </c>
      <c r="H662" t="s">
        <v>22</v>
      </c>
      <c r="I662" t="s">
        <v>22</v>
      </c>
      <c r="J662" t="s">
        <v>17</v>
      </c>
      <c r="K662">
        <v>91.7</v>
      </c>
      <c r="L662">
        <v>138</v>
      </c>
      <c r="M662" t="s">
        <v>1118</v>
      </c>
      <c r="N662" t="s">
        <v>1117</v>
      </c>
    </row>
    <row r="663" spans="1:14" x14ac:dyDescent="0.3">
      <c r="A663">
        <v>1239651</v>
      </c>
      <c r="B663" t="s">
        <v>1108</v>
      </c>
      <c r="C663" t="s">
        <v>1123</v>
      </c>
      <c r="D663" t="s">
        <v>1122</v>
      </c>
      <c r="E663" t="s">
        <v>1121</v>
      </c>
      <c r="F663" t="s">
        <v>1120</v>
      </c>
      <c r="G663" t="s">
        <v>1148</v>
      </c>
      <c r="H663" t="s">
        <v>22</v>
      </c>
      <c r="I663" t="s">
        <v>22</v>
      </c>
      <c r="J663" t="s">
        <v>17</v>
      </c>
      <c r="K663">
        <v>91.7</v>
      </c>
      <c r="L663">
        <v>138</v>
      </c>
      <c r="M663" t="s">
        <v>1118</v>
      </c>
      <c r="N663" t="s">
        <v>1117</v>
      </c>
    </row>
    <row r="664" spans="1:14" x14ac:dyDescent="0.3">
      <c r="A664">
        <v>1239651</v>
      </c>
      <c r="B664" t="s">
        <v>1108</v>
      </c>
      <c r="C664" t="s">
        <v>1123</v>
      </c>
      <c r="D664" t="s">
        <v>1122</v>
      </c>
      <c r="E664" t="s">
        <v>1121</v>
      </c>
      <c r="F664" t="s">
        <v>1120</v>
      </c>
      <c r="G664" t="s">
        <v>1147</v>
      </c>
      <c r="H664" t="s">
        <v>22</v>
      </c>
      <c r="I664" t="s">
        <v>22</v>
      </c>
      <c r="J664" t="s">
        <v>17</v>
      </c>
      <c r="K664">
        <v>91.7</v>
      </c>
      <c r="L664">
        <v>138</v>
      </c>
      <c r="M664" t="s">
        <v>1118</v>
      </c>
      <c r="N664" t="s">
        <v>1117</v>
      </c>
    </row>
    <row r="665" spans="1:14" x14ac:dyDescent="0.3">
      <c r="A665">
        <v>1239651</v>
      </c>
      <c r="B665" t="s">
        <v>1108</v>
      </c>
      <c r="C665" t="s">
        <v>1123</v>
      </c>
      <c r="D665" t="s">
        <v>1122</v>
      </c>
      <c r="E665" t="s">
        <v>1121</v>
      </c>
      <c r="F665" t="s">
        <v>1120</v>
      </c>
      <c r="G665" t="s">
        <v>1146</v>
      </c>
      <c r="H665" t="s">
        <v>22</v>
      </c>
      <c r="I665" t="s">
        <v>22</v>
      </c>
      <c r="J665" t="s">
        <v>17</v>
      </c>
      <c r="K665">
        <v>91.7</v>
      </c>
      <c r="L665">
        <v>138</v>
      </c>
      <c r="M665" t="s">
        <v>1118</v>
      </c>
      <c r="N665" t="s">
        <v>1117</v>
      </c>
    </row>
    <row r="666" spans="1:14" x14ac:dyDescent="0.3">
      <c r="A666">
        <v>1239651</v>
      </c>
      <c r="B666" t="s">
        <v>1108</v>
      </c>
      <c r="C666" t="s">
        <v>1123</v>
      </c>
      <c r="D666" t="s">
        <v>1122</v>
      </c>
      <c r="E666" t="s">
        <v>1121</v>
      </c>
      <c r="F666" t="s">
        <v>1120</v>
      </c>
      <c r="G666" t="s">
        <v>1145</v>
      </c>
      <c r="H666" t="s">
        <v>22</v>
      </c>
      <c r="I666" t="s">
        <v>22</v>
      </c>
      <c r="J666" t="s">
        <v>17</v>
      </c>
      <c r="K666">
        <v>91.7</v>
      </c>
      <c r="L666">
        <v>138</v>
      </c>
      <c r="M666" t="s">
        <v>1118</v>
      </c>
      <c r="N666" t="s">
        <v>1117</v>
      </c>
    </row>
    <row r="667" spans="1:14" x14ac:dyDescent="0.3">
      <c r="A667">
        <v>1239651</v>
      </c>
      <c r="B667" t="s">
        <v>1108</v>
      </c>
      <c r="C667" t="s">
        <v>1123</v>
      </c>
      <c r="D667" t="s">
        <v>1122</v>
      </c>
      <c r="E667" t="s">
        <v>1121</v>
      </c>
      <c r="F667" t="s">
        <v>1120</v>
      </c>
      <c r="G667" t="s">
        <v>1144</v>
      </c>
      <c r="H667" t="s">
        <v>22</v>
      </c>
      <c r="I667" t="s">
        <v>22</v>
      </c>
      <c r="J667" t="s">
        <v>17</v>
      </c>
      <c r="K667">
        <v>91.7</v>
      </c>
      <c r="L667">
        <v>138</v>
      </c>
      <c r="M667" t="s">
        <v>1118</v>
      </c>
      <c r="N667" t="s">
        <v>1117</v>
      </c>
    </row>
    <row r="668" spans="1:14" x14ac:dyDescent="0.3">
      <c r="A668">
        <v>1239651</v>
      </c>
      <c r="B668" t="s">
        <v>1108</v>
      </c>
      <c r="C668" t="s">
        <v>1123</v>
      </c>
      <c r="D668" t="s">
        <v>1122</v>
      </c>
      <c r="E668" t="s">
        <v>1121</v>
      </c>
      <c r="F668" t="s">
        <v>1120</v>
      </c>
      <c r="G668" t="s">
        <v>1143</v>
      </c>
      <c r="H668" t="s">
        <v>22</v>
      </c>
      <c r="I668" t="s">
        <v>22</v>
      </c>
      <c r="J668" t="s">
        <v>17</v>
      </c>
      <c r="K668">
        <v>91.7</v>
      </c>
      <c r="L668">
        <v>138</v>
      </c>
      <c r="M668" t="s">
        <v>1118</v>
      </c>
      <c r="N668" t="s">
        <v>1117</v>
      </c>
    </row>
    <row r="669" spans="1:14" x14ac:dyDescent="0.3">
      <c r="A669">
        <v>1239651</v>
      </c>
      <c r="B669" t="s">
        <v>1108</v>
      </c>
      <c r="C669" t="s">
        <v>1123</v>
      </c>
      <c r="D669" t="s">
        <v>1122</v>
      </c>
      <c r="E669" t="s">
        <v>1121</v>
      </c>
      <c r="F669" t="s">
        <v>1120</v>
      </c>
      <c r="G669" t="s">
        <v>1142</v>
      </c>
      <c r="H669" t="s">
        <v>22</v>
      </c>
      <c r="I669" t="s">
        <v>22</v>
      </c>
      <c r="J669" t="s">
        <v>17</v>
      </c>
      <c r="K669">
        <v>91.7</v>
      </c>
      <c r="L669">
        <v>138</v>
      </c>
      <c r="M669" t="s">
        <v>1118</v>
      </c>
      <c r="N669" t="s">
        <v>1117</v>
      </c>
    </row>
    <row r="670" spans="1:14" x14ac:dyDescent="0.3">
      <c r="A670">
        <v>1239651</v>
      </c>
      <c r="B670" t="s">
        <v>1108</v>
      </c>
      <c r="C670" t="s">
        <v>1123</v>
      </c>
      <c r="D670" t="s">
        <v>1122</v>
      </c>
      <c r="E670" t="s">
        <v>1121</v>
      </c>
      <c r="F670" t="s">
        <v>1120</v>
      </c>
      <c r="G670" t="s">
        <v>1141</v>
      </c>
      <c r="H670" t="s">
        <v>22</v>
      </c>
      <c r="I670" t="s">
        <v>22</v>
      </c>
      <c r="J670" t="s">
        <v>17</v>
      </c>
      <c r="K670">
        <v>91.7</v>
      </c>
      <c r="L670">
        <v>138</v>
      </c>
      <c r="M670" t="s">
        <v>1118</v>
      </c>
      <c r="N670" t="s">
        <v>1117</v>
      </c>
    </row>
    <row r="671" spans="1:14" x14ac:dyDescent="0.3">
      <c r="A671">
        <v>1239651</v>
      </c>
      <c r="B671" t="s">
        <v>1108</v>
      </c>
      <c r="C671" t="s">
        <v>1123</v>
      </c>
      <c r="D671" t="s">
        <v>1122</v>
      </c>
      <c r="E671" t="s">
        <v>1121</v>
      </c>
      <c r="F671" t="s">
        <v>1120</v>
      </c>
      <c r="G671" t="s">
        <v>1140</v>
      </c>
      <c r="H671" t="s">
        <v>22</v>
      </c>
      <c r="I671" t="s">
        <v>22</v>
      </c>
      <c r="J671" t="s">
        <v>17</v>
      </c>
      <c r="K671">
        <v>91.7</v>
      </c>
      <c r="L671">
        <v>138</v>
      </c>
      <c r="M671" t="s">
        <v>1118</v>
      </c>
      <c r="N671" t="s">
        <v>1117</v>
      </c>
    </row>
    <row r="672" spans="1:14" x14ac:dyDescent="0.3">
      <c r="A672">
        <v>1239651</v>
      </c>
      <c r="B672" t="s">
        <v>1108</v>
      </c>
      <c r="C672" t="s">
        <v>1123</v>
      </c>
      <c r="D672" t="s">
        <v>1122</v>
      </c>
      <c r="E672" t="s">
        <v>1121</v>
      </c>
      <c r="F672" t="s">
        <v>1120</v>
      </c>
      <c r="G672" t="s">
        <v>1139</v>
      </c>
      <c r="H672" t="s">
        <v>22</v>
      </c>
      <c r="I672" t="s">
        <v>22</v>
      </c>
      <c r="J672" t="s">
        <v>17</v>
      </c>
      <c r="K672">
        <v>91.7</v>
      </c>
      <c r="L672">
        <v>138</v>
      </c>
      <c r="M672" t="s">
        <v>1118</v>
      </c>
      <c r="N672" t="s">
        <v>1117</v>
      </c>
    </row>
    <row r="673" spans="1:14" x14ac:dyDescent="0.3">
      <c r="A673">
        <v>1239651</v>
      </c>
      <c r="B673" t="s">
        <v>1108</v>
      </c>
      <c r="C673" t="s">
        <v>1123</v>
      </c>
      <c r="D673" t="s">
        <v>1122</v>
      </c>
      <c r="E673" t="s">
        <v>1121</v>
      </c>
      <c r="F673" t="s">
        <v>1120</v>
      </c>
      <c r="G673" t="s">
        <v>1138</v>
      </c>
      <c r="H673" t="s">
        <v>22</v>
      </c>
      <c r="I673" t="s">
        <v>22</v>
      </c>
      <c r="J673" t="s">
        <v>17</v>
      </c>
      <c r="K673">
        <v>91.7</v>
      </c>
      <c r="L673">
        <v>138</v>
      </c>
      <c r="M673" t="s">
        <v>1118</v>
      </c>
      <c r="N673" t="s">
        <v>1117</v>
      </c>
    </row>
    <row r="674" spans="1:14" x14ac:dyDescent="0.3">
      <c r="A674">
        <v>1239651</v>
      </c>
      <c r="B674" t="s">
        <v>1108</v>
      </c>
      <c r="C674" t="s">
        <v>1123</v>
      </c>
      <c r="D674" t="s">
        <v>1122</v>
      </c>
      <c r="E674" t="s">
        <v>1121</v>
      </c>
      <c r="F674" t="s">
        <v>1120</v>
      </c>
      <c r="G674" t="s">
        <v>1137</v>
      </c>
      <c r="H674" t="s">
        <v>22</v>
      </c>
      <c r="I674" t="s">
        <v>22</v>
      </c>
      <c r="J674" t="s">
        <v>17</v>
      </c>
      <c r="K674">
        <v>91.7</v>
      </c>
      <c r="L674">
        <v>138</v>
      </c>
      <c r="M674" t="s">
        <v>1118</v>
      </c>
      <c r="N674" t="s">
        <v>1117</v>
      </c>
    </row>
    <row r="675" spans="1:14" x14ac:dyDescent="0.3">
      <c r="A675">
        <v>1239651</v>
      </c>
      <c r="B675" t="s">
        <v>1108</v>
      </c>
      <c r="C675" t="s">
        <v>1123</v>
      </c>
      <c r="D675" t="s">
        <v>1122</v>
      </c>
      <c r="E675" t="s">
        <v>1121</v>
      </c>
      <c r="F675" t="s">
        <v>1120</v>
      </c>
      <c r="G675" t="s">
        <v>1136</v>
      </c>
      <c r="H675" t="s">
        <v>22</v>
      </c>
      <c r="I675" t="s">
        <v>22</v>
      </c>
      <c r="J675" t="s">
        <v>17</v>
      </c>
      <c r="K675">
        <v>91.7</v>
      </c>
      <c r="L675">
        <v>138</v>
      </c>
      <c r="M675" t="s">
        <v>1118</v>
      </c>
      <c r="N675" t="s">
        <v>1117</v>
      </c>
    </row>
    <row r="676" spans="1:14" x14ac:dyDescent="0.3">
      <c r="A676">
        <v>1239651</v>
      </c>
      <c r="B676" t="s">
        <v>1108</v>
      </c>
      <c r="C676" t="s">
        <v>1123</v>
      </c>
      <c r="D676" t="s">
        <v>1122</v>
      </c>
      <c r="E676" t="s">
        <v>1121</v>
      </c>
      <c r="F676" t="s">
        <v>1120</v>
      </c>
      <c r="G676" t="s">
        <v>1135</v>
      </c>
      <c r="H676" t="s">
        <v>22</v>
      </c>
      <c r="I676" t="s">
        <v>22</v>
      </c>
      <c r="J676" t="s">
        <v>17</v>
      </c>
      <c r="K676">
        <v>91.7</v>
      </c>
      <c r="L676">
        <v>138</v>
      </c>
      <c r="M676" t="s">
        <v>1118</v>
      </c>
      <c r="N676" t="s">
        <v>1117</v>
      </c>
    </row>
    <row r="677" spans="1:14" x14ac:dyDescent="0.3">
      <c r="A677">
        <v>1239651</v>
      </c>
      <c r="B677" t="s">
        <v>1108</v>
      </c>
      <c r="C677" t="s">
        <v>1123</v>
      </c>
      <c r="D677" t="s">
        <v>1122</v>
      </c>
      <c r="E677" t="s">
        <v>1121</v>
      </c>
      <c r="F677" t="s">
        <v>1120</v>
      </c>
      <c r="G677" t="s">
        <v>1134</v>
      </c>
      <c r="H677" t="s">
        <v>22</v>
      </c>
      <c r="I677" t="s">
        <v>22</v>
      </c>
      <c r="J677" t="s">
        <v>17</v>
      </c>
      <c r="K677">
        <v>91.7</v>
      </c>
      <c r="L677">
        <v>138</v>
      </c>
      <c r="M677" t="s">
        <v>1118</v>
      </c>
      <c r="N677" t="s">
        <v>1117</v>
      </c>
    </row>
    <row r="678" spans="1:14" x14ac:dyDescent="0.3">
      <c r="A678">
        <v>1239651</v>
      </c>
      <c r="B678" t="s">
        <v>1108</v>
      </c>
      <c r="C678" t="s">
        <v>1123</v>
      </c>
      <c r="D678" t="s">
        <v>1122</v>
      </c>
      <c r="E678" t="s">
        <v>1121</v>
      </c>
      <c r="F678" t="s">
        <v>1120</v>
      </c>
      <c r="G678" t="s">
        <v>1133</v>
      </c>
      <c r="H678" t="s">
        <v>22</v>
      </c>
      <c r="I678" t="s">
        <v>22</v>
      </c>
      <c r="J678" t="s">
        <v>17</v>
      </c>
      <c r="K678">
        <v>91.7</v>
      </c>
      <c r="L678">
        <v>138</v>
      </c>
      <c r="M678" t="s">
        <v>1118</v>
      </c>
      <c r="N678" t="s">
        <v>1117</v>
      </c>
    </row>
    <row r="679" spans="1:14" x14ac:dyDescent="0.3">
      <c r="A679">
        <v>1239651</v>
      </c>
      <c r="B679" t="s">
        <v>1108</v>
      </c>
      <c r="C679" t="s">
        <v>1123</v>
      </c>
      <c r="D679" t="s">
        <v>1122</v>
      </c>
      <c r="E679" t="s">
        <v>1121</v>
      </c>
      <c r="F679" t="s">
        <v>1120</v>
      </c>
      <c r="G679" t="s">
        <v>1132</v>
      </c>
      <c r="H679" t="s">
        <v>22</v>
      </c>
      <c r="I679" t="s">
        <v>22</v>
      </c>
      <c r="J679" t="s">
        <v>17</v>
      </c>
      <c r="K679">
        <v>91.7</v>
      </c>
      <c r="L679">
        <v>138</v>
      </c>
      <c r="M679" t="s">
        <v>1118</v>
      </c>
      <c r="N679" t="s">
        <v>1117</v>
      </c>
    </row>
    <row r="680" spans="1:14" x14ac:dyDescent="0.3">
      <c r="A680">
        <v>1239651</v>
      </c>
      <c r="B680" t="s">
        <v>1108</v>
      </c>
      <c r="C680" t="s">
        <v>1123</v>
      </c>
      <c r="D680" t="s">
        <v>1122</v>
      </c>
      <c r="E680" t="s">
        <v>1121</v>
      </c>
      <c r="F680" t="s">
        <v>1120</v>
      </c>
      <c r="G680" t="s">
        <v>1131</v>
      </c>
      <c r="H680" t="s">
        <v>22</v>
      </c>
      <c r="I680" t="s">
        <v>22</v>
      </c>
      <c r="J680" t="s">
        <v>17</v>
      </c>
      <c r="K680">
        <v>91.7</v>
      </c>
      <c r="L680">
        <v>138</v>
      </c>
      <c r="M680" t="s">
        <v>1118</v>
      </c>
      <c r="N680" t="s">
        <v>1117</v>
      </c>
    </row>
    <row r="681" spans="1:14" x14ac:dyDescent="0.3">
      <c r="A681">
        <v>1239651</v>
      </c>
      <c r="B681" t="s">
        <v>1108</v>
      </c>
      <c r="C681" t="s">
        <v>1123</v>
      </c>
      <c r="D681" t="s">
        <v>1122</v>
      </c>
      <c r="E681" t="s">
        <v>1121</v>
      </c>
      <c r="F681" t="s">
        <v>1120</v>
      </c>
      <c r="G681" t="s">
        <v>1130</v>
      </c>
      <c r="H681" t="s">
        <v>22</v>
      </c>
      <c r="I681" t="s">
        <v>22</v>
      </c>
      <c r="J681" t="s">
        <v>17</v>
      </c>
      <c r="K681">
        <v>91.7</v>
      </c>
      <c r="L681">
        <v>138</v>
      </c>
      <c r="M681" t="s">
        <v>1118</v>
      </c>
      <c r="N681" t="s">
        <v>1117</v>
      </c>
    </row>
    <row r="682" spans="1:14" x14ac:dyDescent="0.3">
      <c r="A682">
        <v>1239651</v>
      </c>
      <c r="B682" t="s">
        <v>1108</v>
      </c>
      <c r="C682" t="s">
        <v>1123</v>
      </c>
      <c r="D682" t="s">
        <v>1122</v>
      </c>
      <c r="E682" t="s">
        <v>1121</v>
      </c>
      <c r="F682" t="s">
        <v>1120</v>
      </c>
      <c r="G682" t="s">
        <v>1129</v>
      </c>
      <c r="H682" t="s">
        <v>22</v>
      </c>
      <c r="I682" t="s">
        <v>22</v>
      </c>
      <c r="J682" t="s">
        <v>17</v>
      </c>
      <c r="K682">
        <v>91.7</v>
      </c>
      <c r="L682">
        <v>138</v>
      </c>
      <c r="M682" t="s">
        <v>1118</v>
      </c>
      <c r="N682" t="s">
        <v>1117</v>
      </c>
    </row>
    <row r="683" spans="1:14" x14ac:dyDescent="0.3">
      <c r="A683">
        <v>1239651</v>
      </c>
      <c r="B683" t="s">
        <v>1108</v>
      </c>
      <c r="C683" t="s">
        <v>1123</v>
      </c>
      <c r="D683" t="s">
        <v>1122</v>
      </c>
      <c r="E683" t="s">
        <v>1121</v>
      </c>
      <c r="F683" t="s">
        <v>1120</v>
      </c>
      <c r="G683" t="s">
        <v>1128</v>
      </c>
      <c r="H683" t="s">
        <v>22</v>
      </c>
      <c r="I683" t="s">
        <v>22</v>
      </c>
      <c r="J683" t="s">
        <v>17</v>
      </c>
      <c r="K683">
        <v>91.7</v>
      </c>
      <c r="L683">
        <v>138</v>
      </c>
      <c r="M683" t="s">
        <v>1118</v>
      </c>
      <c r="N683" t="s">
        <v>1117</v>
      </c>
    </row>
    <row r="684" spans="1:14" x14ac:dyDescent="0.3">
      <c r="A684">
        <v>1239651</v>
      </c>
      <c r="B684" t="s">
        <v>1108</v>
      </c>
      <c r="C684" t="s">
        <v>1123</v>
      </c>
      <c r="D684" t="s">
        <v>1122</v>
      </c>
      <c r="E684" t="s">
        <v>1121</v>
      </c>
      <c r="F684" t="s">
        <v>1120</v>
      </c>
      <c r="G684" t="s">
        <v>1127</v>
      </c>
      <c r="H684" t="s">
        <v>22</v>
      </c>
      <c r="I684" t="s">
        <v>22</v>
      </c>
      <c r="J684" t="s">
        <v>17</v>
      </c>
      <c r="K684">
        <v>91.7</v>
      </c>
      <c r="L684">
        <v>138</v>
      </c>
      <c r="M684" t="s">
        <v>1118</v>
      </c>
      <c r="N684" t="s">
        <v>1117</v>
      </c>
    </row>
    <row r="685" spans="1:14" x14ac:dyDescent="0.3">
      <c r="A685">
        <v>1239651</v>
      </c>
      <c r="B685" t="s">
        <v>1108</v>
      </c>
      <c r="C685" t="s">
        <v>1123</v>
      </c>
      <c r="D685" t="s">
        <v>1122</v>
      </c>
      <c r="E685" t="s">
        <v>1121</v>
      </c>
      <c r="F685" t="s">
        <v>1120</v>
      </c>
      <c r="G685" t="s">
        <v>1126</v>
      </c>
      <c r="H685" t="s">
        <v>22</v>
      </c>
      <c r="I685" t="s">
        <v>22</v>
      </c>
      <c r="J685" t="s">
        <v>17</v>
      </c>
      <c r="K685">
        <v>91.7</v>
      </c>
      <c r="L685">
        <v>138</v>
      </c>
      <c r="M685" t="s">
        <v>1118</v>
      </c>
      <c r="N685" t="s">
        <v>1117</v>
      </c>
    </row>
    <row r="686" spans="1:14" x14ac:dyDescent="0.3">
      <c r="A686">
        <v>1239651</v>
      </c>
      <c r="B686" t="s">
        <v>1108</v>
      </c>
      <c r="C686" t="s">
        <v>1123</v>
      </c>
      <c r="D686" t="s">
        <v>1122</v>
      </c>
      <c r="E686" t="s">
        <v>1121</v>
      </c>
      <c r="F686" t="s">
        <v>1120</v>
      </c>
      <c r="G686" t="s">
        <v>1125</v>
      </c>
      <c r="H686" t="s">
        <v>22</v>
      </c>
      <c r="I686" t="s">
        <v>22</v>
      </c>
      <c r="J686" t="s">
        <v>17</v>
      </c>
      <c r="K686">
        <v>91.7</v>
      </c>
      <c r="L686">
        <v>138</v>
      </c>
      <c r="M686" t="s">
        <v>1118</v>
      </c>
      <c r="N686" t="s">
        <v>1117</v>
      </c>
    </row>
    <row r="687" spans="1:14" x14ac:dyDescent="0.3">
      <c r="A687">
        <v>1239651</v>
      </c>
      <c r="B687" t="s">
        <v>1108</v>
      </c>
      <c r="C687" t="s">
        <v>1123</v>
      </c>
      <c r="D687" t="s">
        <v>1122</v>
      </c>
      <c r="E687" t="s">
        <v>1121</v>
      </c>
      <c r="F687" t="s">
        <v>1120</v>
      </c>
      <c r="G687" t="s">
        <v>1124</v>
      </c>
      <c r="H687" t="s">
        <v>22</v>
      </c>
      <c r="I687" t="s">
        <v>22</v>
      </c>
      <c r="J687" t="s">
        <v>17</v>
      </c>
      <c r="K687">
        <v>91.7</v>
      </c>
      <c r="L687">
        <v>138</v>
      </c>
      <c r="M687" t="s">
        <v>1118</v>
      </c>
      <c r="N687" t="s">
        <v>1117</v>
      </c>
    </row>
    <row r="688" spans="1:14" x14ac:dyDescent="0.3">
      <c r="A688">
        <v>1239651</v>
      </c>
      <c r="B688" t="s">
        <v>1108</v>
      </c>
      <c r="C688" t="s">
        <v>1123</v>
      </c>
      <c r="D688" t="s">
        <v>1122</v>
      </c>
      <c r="E688" t="s">
        <v>1121</v>
      </c>
      <c r="F688" t="s">
        <v>1120</v>
      </c>
      <c r="G688" t="s">
        <v>1119</v>
      </c>
      <c r="H688" t="s">
        <v>22</v>
      </c>
      <c r="I688" t="s">
        <v>22</v>
      </c>
      <c r="J688" t="s">
        <v>17</v>
      </c>
      <c r="K688">
        <v>91.7</v>
      </c>
      <c r="L688">
        <v>138</v>
      </c>
      <c r="M688" t="s">
        <v>1118</v>
      </c>
      <c r="N688" t="s">
        <v>1117</v>
      </c>
    </row>
    <row r="689" spans="1:14" x14ac:dyDescent="0.3">
      <c r="A689">
        <v>1239651</v>
      </c>
      <c r="B689" t="s">
        <v>1108</v>
      </c>
      <c r="C689" t="s">
        <v>1116</v>
      </c>
      <c r="D689" t="s">
        <v>1116</v>
      </c>
      <c r="E689" t="s">
        <v>1115</v>
      </c>
      <c r="H689" t="s">
        <v>22</v>
      </c>
      <c r="I689" t="s">
        <v>22</v>
      </c>
      <c r="J689" t="s">
        <v>17</v>
      </c>
      <c r="K689">
        <v>100</v>
      </c>
      <c r="L689">
        <v>112</v>
      </c>
      <c r="M689" t="s">
        <v>674</v>
      </c>
      <c r="N689" t="s">
        <v>1114</v>
      </c>
    </row>
    <row r="690" spans="1:14" x14ac:dyDescent="0.3">
      <c r="A690">
        <v>1239651</v>
      </c>
      <c r="B690" t="s">
        <v>1108</v>
      </c>
      <c r="C690" t="s">
        <v>1113</v>
      </c>
      <c r="D690" t="s">
        <v>1113</v>
      </c>
      <c r="E690" t="s">
        <v>1112</v>
      </c>
      <c r="H690" t="s">
        <v>22</v>
      </c>
      <c r="I690" t="s">
        <v>22</v>
      </c>
      <c r="J690" t="s">
        <v>17</v>
      </c>
      <c r="K690">
        <v>100</v>
      </c>
      <c r="L690">
        <v>112</v>
      </c>
      <c r="M690" t="s">
        <v>1111</v>
      </c>
      <c r="N690" t="s">
        <v>1110</v>
      </c>
    </row>
    <row r="691" spans="1:14" x14ac:dyDescent="0.3">
      <c r="A691">
        <v>1239651</v>
      </c>
      <c r="B691" t="s">
        <v>1108</v>
      </c>
      <c r="C691" t="s">
        <v>1109</v>
      </c>
      <c r="H691" t="s">
        <v>16</v>
      </c>
      <c r="I691" t="s">
        <v>16</v>
      </c>
      <c r="J691" t="s">
        <v>17</v>
      </c>
      <c r="K691">
        <v>0</v>
      </c>
      <c r="L691">
        <v>0</v>
      </c>
    </row>
    <row r="692" spans="1:14" x14ac:dyDescent="0.3">
      <c r="A692">
        <v>1239651</v>
      </c>
      <c r="B692" t="s">
        <v>1108</v>
      </c>
      <c r="C692" t="s">
        <v>1107</v>
      </c>
      <c r="D692" t="s">
        <v>1107</v>
      </c>
      <c r="E692" t="s">
        <v>1106</v>
      </c>
      <c r="H692" t="s">
        <v>22</v>
      </c>
      <c r="I692" t="s">
        <v>22</v>
      </c>
      <c r="J692" t="s">
        <v>17</v>
      </c>
      <c r="K692">
        <v>100</v>
      </c>
      <c r="L692">
        <v>114</v>
      </c>
      <c r="M692" t="s">
        <v>1105</v>
      </c>
      <c r="N692" t="s">
        <v>1104</v>
      </c>
    </row>
    <row r="693" spans="1:14" x14ac:dyDescent="0.3">
      <c r="A693">
        <v>1252441</v>
      </c>
      <c r="B693" t="s">
        <v>1051</v>
      </c>
      <c r="C693" t="s">
        <v>1103</v>
      </c>
      <c r="H693" t="s">
        <v>16</v>
      </c>
      <c r="I693" t="s">
        <v>16</v>
      </c>
      <c r="J693" t="s">
        <v>17</v>
      </c>
      <c r="K693">
        <v>0</v>
      </c>
      <c r="L693">
        <v>0</v>
      </c>
    </row>
    <row r="694" spans="1:14" x14ac:dyDescent="0.3">
      <c r="A694">
        <v>1252441</v>
      </c>
      <c r="B694" t="s">
        <v>1051</v>
      </c>
      <c r="C694" t="s">
        <v>1102</v>
      </c>
      <c r="D694" t="s">
        <v>1101</v>
      </c>
      <c r="E694" t="s">
        <v>1100</v>
      </c>
      <c r="H694" t="s">
        <v>46</v>
      </c>
      <c r="I694" t="s">
        <v>46</v>
      </c>
      <c r="J694" t="s">
        <v>17</v>
      </c>
      <c r="K694">
        <v>100</v>
      </c>
      <c r="L694">
        <v>50</v>
      </c>
      <c r="M694" t="s">
        <v>182</v>
      </c>
      <c r="N694" t="s">
        <v>183</v>
      </c>
    </row>
    <row r="695" spans="1:14" x14ac:dyDescent="0.3">
      <c r="A695">
        <v>1252441</v>
      </c>
      <c r="B695" t="s">
        <v>1051</v>
      </c>
      <c r="C695" t="s">
        <v>1099</v>
      </c>
      <c r="H695" t="s">
        <v>16</v>
      </c>
      <c r="I695" t="s">
        <v>16</v>
      </c>
      <c r="J695" t="s">
        <v>17</v>
      </c>
      <c r="K695">
        <v>0</v>
      </c>
      <c r="L695">
        <v>0</v>
      </c>
    </row>
    <row r="696" spans="1:14" x14ac:dyDescent="0.3">
      <c r="A696">
        <v>1252441</v>
      </c>
      <c r="B696" t="s">
        <v>1051</v>
      </c>
      <c r="C696" t="s">
        <v>1090</v>
      </c>
      <c r="D696" t="s">
        <v>1089</v>
      </c>
      <c r="E696" t="s">
        <v>1088</v>
      </c>
      <c r="G696" t="s">
        <v>1098</v>
      </c>
      <c r="H696" t="s">
        <v>46</v>
      </c>
      <c r="I696" t="s">
        <v>46</v>
      </c>
      <c r="J696" t="s">
        <v>17</v>
      </c>
      <c r="K696">
        <v>100</v>
      </c>
      <c r="L696">
        <v>50</v>
      </c>
    </row>
    <row r="697" spans="1:14" x14ac:dyDescent="0.3">
      <c r="A697">
        <v>1252441</v>
      </c>
      <c r="B697" t="s">
        <v>1051</v>
      </c>
      <c r="C697" t="s">
        <v>1090</v>
      </c>
      <c r="D697" t="s">
        <v>1089</v>
      </c>
      <c r="E697" t="s">
        <v>1088</v>
      </c>
      <c r="G697" t="s">
        <v>1097</v>
      </c>
      <c r="H697" t="s">
        <v>46</v>
      </c>
      <c r="I697" t="s">
        <v>46</v>
      </c>
      <c r="J697" t="s">
        <v>17</v>
      </c>
      <c r="K697">
        <v>100</v>
      </c>
      <c r="L697">
        <v>50</v>
      </c>
    </row>
    <row r="698" spans="1:14" x14ac:dyDescent="0.3">
      <c r="A698">
        <v>1252441</v>
      </c>
      <c r="B698" t="s">
        <v>1051</v>
      </c>
      <c r="C698" t="s">
        <v>1090</v>
      </c>
      <c r="D698" t="s">
        <v>1089</v>
      </c>
      <c r="E698" t="s">
        <v>1088</v>
      </c>
      <c r="G698" t="s">
        <v>1096</v>
      </c>
      <c r="H698" t="s">
        <v>46</v>
      </c>
      <c r="I698" t="s">
        <v>46</v>
      </c>
      <c r="J698" t="s">
        <v>17</v>
      </c>
      <c r="K698">
        <v>100</v>
      </c>
      <c r="L698">
        <v>50</v>
      </c>
    </row>
    <row r="699" spans="1:14" x14ac:dyDescent="0.3">
      <c r="A699">
        <v>1252441</v>
      </c>
      <c r="B699" t="s">
        <v>1051</v>
      </c>
      <c r="C699" t="s">
        <v>1090</v>
      </c>
      <c r="D699" t="s">
        <v>1089</v>
      </c>
      <c r="E699" t="s">
        <v>1088</v>
      </c>
      <c r="G699" t="s">
        <v>1095</v>
      </c>
      <c r="H699" t="s">
        <v>46</v>
      </c>
      <c r="I699" t="s">
        <v>46</v>
      </c>
      <c r="J699" t="s">
        <v>17</v>
      </c>
      <c r="K699">
        <v>100</v>
      </c>
      <c r="L699">
        <v>50</v>
      </c>
    </row>
    <row r="700" spans="1:14" x14ac:dyDescent="0.3">
      <c r="A700">
        <v>1252441</v>
      </c>
      <c r="B700" t="s">
        <v>1051</v>
      </c>
      <c r="C700" t="s">
        <v>1090</v>
      </c>
      <c r="D700" t="s">
        <v>1089</v>
      </c>
      <c r="E700" t="s">
        <v>1088</v>
      </c>
      <c r="G700" t="s">
        <v>1094</v>
      </c>
      <c r="H700" t="s">
        <v>46</v>
      </c>
      <c r="I700" t="s">
        <v>46</v>
      </c>
      <c r="J700" t="s">
        <v>17</v>
      </c>
      <c r="K700">
        <v>100</v>
      </c>
      <c r="L700">
        <v>50</v>
      </c>
    </row>
    <row r="701" spans="1:14" x14ac:dyDescent="0.3">
      <c r="A701">
        <v>1252441</v>
      </c>
      <c r="B701" t="s">
        <v>1051</v>
      </c>
      <c r="C701" t="s">
        <v>1090</v>
      </c>
      <c r="D701" t="s">
        <v>1089</v>
      </c>
      <c r="E701" t="s">
        <v>1088</v>
      </c>
      <c r="G701" t="s">
        <v>1093</v>
      </c>
      <c r="H701" t="s">
        <v>46</v>
      </c>
      <c r="I701" t="s">
        <v>46</v>
      </c>
      <c r="J701" t="s">
        <v>17</v>
      </c>
      <c r="K701">
        <v>100</v>
      </c>
      <c r="L701">
        <v>50</v>
      </c>
    </row>
    <row r="702" spans="1:14" x14ac:dyDescent="0.3">
      <c r="A702">
        <v>1252441</v>
      </c>
      <c r="B702" t="s">
        <v>1051</v>
      </c>
      <c r="C702" t="s">
        <v>1090</v>
      </c>
      <c r="D702" t="s">
        <v>1089</v>
      </c>
      <c r="E702" t="s">
        <v>1088</v>
      </c>
      <c r="G702" t="s">
        <v>1092</v>
      </c>
      <c r="H702" t="s">
        <v>46</v>
      </c>
      <c r="I702" t="s">
        <v>46</v>
      </c>
      <c r="J702" t="s">
        <v>17</v>
      </c>
      <c r="K702">
        <v>100</v>
      </c>
      <c r="L702">
        <v>50</v>
      </c>
    </row>
    <row r="703" spans="1:14" x14ac:dyDescent="0.3">
      <c r="A703">
        <v>1252441</v>
      </c>
      <c r="B703" t="s">
        <v>1051</v>
      </c>
      <c r="C703" t="s">
        <v>1090</v>
      </c>
      <c r="D703" t="s">
        <v>1089</v>
      </c>
      <c r="E703" t="s">
        <v>1088</v>
      </c>
      <c r="G703" t="s">
        <v>1091</v>
      </c>
      <c r="H703" t="s">
        <v>46</v>
      </c>
      <c r="I703" t="s">
        <v>46</v>
      </c>
      <c r="J703" t="s">
        <v>17</v>
      </c>
      <c r="K703">
        <v>100</v>
      </c>
      <c r="L703">
        <v>50</v>
      </c>
    </row>
    <row r="704" spans="1:14" x14ac:dyDescent="0.3">
      <c r="A704">
        <v>1252441</v>
      </c>
      <c r="B704" t="s">
        <v>1051</v>
      </c>
      <c r="C704" t="s">
        <v>1090</v>
      </c>
      <c r="D704" t="s">
        <v>1089</v>
      </c>
      <c r="E704" t="s">
        <v>1088</v>
      </c>
      <c r="G704" t="s">
        <v>1087</v>
      </c>
      <c r="H704" t="s">
        <v>46</v>
      </c>
      <c r="I704" t="s">
        <v>46</v>
      </c>
      <c r="J704" t="s">
        <v>17</v>
      </c>
      <c r="K704">
        <v>100</v>
      </c>
      <c r="L704">
        <v>50</v>
      </c>
    </row>
    <row r="705" spans="1:14" x14ac:dyDescent="0.3">
      <c r="A705">
        <v>1252441</v>
      </c>
      <c r="B705" t="s">
        <v>1051</v>
      </c>
      <c r="C705" t="s">
        <v>1086</v>
      </c>
      <c r="H705" t="s">
        <v>16</v>
      </c>
      <c r="I705" t="s">
        <v>16</v>
      </c>
      <c r="J705" t="s">
        <v>17</v>
      </c>
      <c r="K705">
        <v>0</v>
      </c>
      <c r="L705">
        <v>0</v>
      </c>
    </row>
    <row r="706" spans="1:14" x14ac:dyDescent="0.3">
      <c r="A706">
        <v>1252441</v>
      </c>
      <c r="B706" t="s">
        <v>1051</v>
      </c>
      <c r="C706" t="s">
        <v>1085</v>
      </c>
      <c r="H706" t="s">
        <v>16</v>
      </c>
      <c r="I706" t="s">
        <v>16</v>
      </c>
      <c r="J706" t="s">
        <v>17</v>
      </c>
      <c r="K706">
        <v>0</v>
      </c>
      <c r="L706">
        <v>0</v>
      </c>
    </row>
    <row r="707" spans="1:14" x14ac:dyDescent="0.3">
      <c r="A707">
        <v>1252441</v>
      </c>
      <c r="B707" t="s">
        <v>1051</v>
      </c>
      <c r="C707" t="s">
        <v>1059</v>
      </c>
      <c r="D707" t="s">
        <v>1058</v>
      </c>
      <c r="E707" t="s">
        <v>1057</v>
      </c>
      <c r="F707">
        <v>170665424</v>
      </c>
      <c r="G707" t="s">
        <v>101</v>
      </c>
      <c r="H707" t="s">
        <v>46</v>
      </c>
      <c r="I707" t="s">
        <v>46</v>
      </c>
      <c r="J707" t="s">
        <v>17</v>
      </c>
      <c r="K707">
        <v>100</v>
      </c>
      <c r="L707">
        <v>50</v>
      </c>
      <c r="M707" t="s">
        <v>1055</v>
      </c>
      <c r="N707" t="s">
        <v>1054</v>
      </c>
    </row>
    <row r="708" spans="1:14" x14ac:dyDescent="0.3">
      <c r="A708">
        <v>1252441</v>
      </c>
      <c r="B708" t="s">
        <v>1051</v>
      </c>
      <c r="C708" t="s">
        <v>1059</v>
      </c>
      <c r="D708" t="s">
        <v>1058</v>
      </c>
      <c r="E708" t="s">
        <v>1057</v>
      </c>
      <c r="F708">
        <v>170665424</v>
      </c>
      <c r="G708" t="s">
        <v>1084</v>
      </c>
      <c r="H708" t="s">
        <v>46</v>
      </c>
      <c r="I708" t="s">
        <v>46</v>
      </c>
      <c r="J708" t="s">
        <v>17</v>
      </c>
      <c r="K708">
        <v>100</v>
      </c>
      <c r="L708">
        <v>50</v>
      </c>
      <c r="M708" t="s">
        <v>1055</v>
      </c>
      <c r="N708" t="s">
        <v>1054</v>
      </c>
    </row>
    <row r="709" spans="1:14" x14ac:dyDescent="0.3">
      <c r="A709">
        <v>1252441</v>
      </c>
      <c r="B709" t="s">
        <v>1051</v>
      </c>
      <c r="C709" t="s">
        <v>1059</v>
      </c>
      <c r="D709" t="s">
        <v>1058</v>
      </c>
      <c r="E709" t="s">
        <v>1057</v>
      </c>
      <c r="F709">
        <v>170665424</v>
      </c>
      <c r="G709" t="s">
        <v>1083</v>
      </c>
      <c r="H709" t="s">
        <v>46</v>
      </c>
      <c r="I709" t="s">
        <v>46</v>
      </c>
      <c r="J709" t="s">
        <v>17</v>
      </c>
      <c r="K709">
        <v>100</v>
      </c>
      <c r="L709">
        <v>50</v>
      </c>
      <c r="M709" t="s">
        <v>1055</v>
      </c>
      <c r="N709" t="s">
        <v>1054</v>
      </c>
    </row>
    <row r="710" spans="1:14" x14ac:dyDescent="0.3">
      <c r="A710">
        <v>1252441</v>
      </c>
      <c r="B710" t="s">
        <v>1051</v>
      </c>
      <c r="C710" t="s">
        <v>1059</v>
      </c>
      <c r="D710" t="s">
        <v>1058</v>
      </c>
      <c r="E710" t="s">
        <v>1057</v>
      </c>
      <c r="F710">
        <v>170665424</v>
      </c>
      <c r="G710" t="s">
        <v>1082</v>
      </c>
      <c r="H710" t="s">
        <v>46</v>
      </c>
      <c r="I710" t="s">
        <v>46</v>
      </c>
      <c r="J710" t="s">
        <v>17</v>
      </c>
      <c r="K710">
        <v>100</v>
      </c>
      <c r="L710">
        <v>50</v>
      </c>
      <c r="M710" t="s">
        <v>1055</v>
      </c>
      <c r="N710" t="s">
        <v>1054</v>
      </c>
    </row>
    <row r="711" spans="1:14" x14ac:dyDescent="0.3">
      <c r="A711">
        <v>1252441</v>
      </c>
      <c r="B711" t="s">
        <v>1051</v>
      </c>
      <c r="C711" t="s">
        <v>1059</v>
      </c>
      <c r="D711" t="s">
        <v>1058</v>
      </c>
      <c r="E711" t="s">
        <v>1057</v>
      </c>
      <c r="F711">
        <v>170665424</v>
      </c>
      <c r="G711" t="s">
        <v>102</v>
      </c>
      <c r="H711" t="s">
        <v>46</v>
      </c>
      <c r="I711" t="s">
        <v>46</v>
      </c>
      <c r="J711" t="s">
        <v>17</v>
      </c>
      <c r="K711">
        <v>100</v>
      </c>
      <c r="L711">
        <v>50</v>
      </c>
      <c r="M711" t="s">
        <v>1055</v>
      </c>
      <c r="N711" t="s">
        <v>1054</v>
      </c>
    </row>
    <row r="712" spans="1:14" x14ac:dyDescent="0.3">
      <c r="A712">
        <v>1252441</v>
      </c>
      <c r="B712" t="s">
        <v>1051</v>
      </c>
      <c r="C712" t="s">
        <v>1059</v>
      </c>
      <c r="D712" t="s">
        <v>1058</v>
      </c>
      <c r="E712" t="s">
        <v>1057</v>
      </c>
      <c r="F712">
        <v>170665424</v>
      </c>
      <c r="G712" t="s">
        <v>103</v>
      </c>
      <c r="H712" t="s">
        <v>46</v>
      </c>
      <c r="I712" t="s">
        <v>46</v>
      </c>
      <c r="J712" t="s">
        <v>17</v>
      </c>
      <c r="K712">
        <v>100</v>
      </c>
      <c r="L712">
        <v>50</v>
      </c>
      <c r="M712" t="s">
        <v>1055</v>
      </c>
      <c r="N712" t="s">
        <v>1054</v>
      </c>
    </row>
    <row r="713" spans="1:14" x14ac:dyDescent="0.3">
      <c r="A713">
        <v>1252441</v>
      </c>
      <c r="B713" t="s">
        <v>1051</v>
      </c>
      <c r="C713" t="s">
        <v>1059</v>
      </c>
      <c r="D713" t="s">
        <v>1058</v>
      </c>
      <c r="E713" t="s">
        <v>1057</v>
      </c>
      <c r="F713">
        <v>170665424</v>
      </c>
      <c r="G713" t="s">
        <v>104</v>
      </c>
      <c r="H713" t="s">
        <v>46</v>
      </c>
      <c r="I713" t="s">
        <v>46</v>
      </c>
      <c r="J713" t="s">
        <v>17</v>
      </c>
      <c r="K713">
        <v>100</v>
      </c>
      <c r="L713">
        <v>50</v>
      </c>
      <c r="M713" t="s">
        <v>1055</v>
      </c>
      <c r="N713" t="s">
        <v>1054</v>
      </c>
    </row>
    <row r="714" spans="1:14" x14ac:dyDescent="0.3">
      <c r="A714">
        <v>1252441</v>
      </c>
      <c r="B714" t="s">
        <v>1051</v>
      </c>
      <c r="C714" t="s">
        <v>1059</v>
      </c>
      <c r="D714" t="s">
        <v>1058</v>
      </c>
      <c r="E714" t="s">
        <v>1057</v>
      </c>
      <c r="F714">
        <v>170665424</v>
      </c>
      <c r="G714" t="s">
        <v>105</v>
      </c>
      <c r="H714" t="s">
        <v>46</v>
      </c>
      <c r="I714" t="s">
        <v>46</v>
      </c>
      <c r="J714" t="s">
        <v>17</v>
      </c>
      <c r="K714">
        <v>100</v>
      </c>
      <c r="L714">
        <v>50</v>
      </c>
      <c r="M714" t="s">
        <v>1055</v>
      </c>
      <c r="N714" t="s">
        <v>1054</v>
      </c>
    </row>
    <row r="715" spans="1:14" x14ac:dyDescent="0.3">
      <c r="A715">
        <v>1252441</v>
      </c>
      <c r="B715" t="s">
        <v>1051</v>
      </c>
      <c r="C715" t="s">
        <v>1059</v>
      </c>
      <c r="D715" t="s">
        <v>1058</v>
      </c>
      <c r="E715" t="s">
        <v>1057</v>
      </c>
      <c r="F715">
        <v>170665424</v>
      </c>
      <c r="G715" t="s">
        <v>106</v>
      </c>
      <c r="H715" t="s">
        <v>46</v>
      </c>
      <c r="I715" t="s">
        <v>46</v>
      </c>
      <c r="J715" t="s">
        <v>17</v>
      </c>
      <c r="K715">
        <v>100</v>
      </c>
      <c r="L715">
        <v>50</v>
      </c>
      <c r="M715" t="s">
        <v>1055</v>
      </c>
      <c r="N715" t="s">
        <v>1054</v>
      </c>
    </row>
    <row r="716" spans="1:14" x14ac:dyDescent="0.3">
      <c r="A716">
        <v>1252441</v>
      </c>
      <c r="B716" t="s">
        <v>1051</v>
      </c>
      <c r="C716" t="s">
        <v>1059</v>
      </c>
      <c r="D716" t="s">
        <v>1058</v>
      </c>
      <c r="E716" t="s">
        <v>1057</v>
      </c>
      <c r="F716">
        <v>170665424</v>
      </c>
      <c r="G716" t="s">
        <v>107</v>
      </c>
      <c r="H716" t="s">
        <v>46</v>
      </c>
      <c r="I716" t="s">
        <v>46</v>
      </c>
      <c r="J716" t="s">
        <v>17</v>
      </c>
      <c r="K716">
        <v>100</v>
      </c>
      <c r="L716">
        <v>50</v>
      </c>
      <c r="M716" t="s">
        <v>1055</v>
      </c>
      <c r="N716" t="s">
        <v>1054</v>
      </c>
    </row>
    <row r="717" spans="1:14" x14ac:dyDescent="0.3">
      <c r="A717">
        <v>1252441</v>
      </c>
      <c r="B717" t="s">
        <v>1051</v>
      </c>
      <c r="C717" t="s">
        <v>1059</v>
      </c>
      <c r="D717" t="s">
        <v>1058</v>
      </c>
      <c r="E717" t="s">
        <v>1057</v>
      </c>
      <c r="F717">
        <v>170665424</v>
      </c>
      <c r="G717" t="s">
        <v>108</v>
      </c>
      <c r="H717" t="s">
        <v>46</v>
      </c>
      <c r="I717" t="s">
        <v>46</v>
      </c>
      <c r="J717" t="s">
        <v>17</v>
      </c>
      <c r="K717">
        <v>100</v>
      </c>
      <c r="L717">
        <v>50</v>
      </c>
      <c r="M717" t="s">
        <v>1055</v>
      </c>
      <c r="N717" t="s">
        <v>1054</v>
      </c>
    </row>
    <row r="718" spans="1:14" x14ac:dyDescent="0.3">
      <c r="A718">
        <v>1252441</v>
      </c>
      <c r="B718" t="s">
        <v>1051</v>
      </c>
      <c r="C718" t="s">
        <v>1059</v>
      </c>
      <c r="D718" t="s">
        <v>1058</v>
      </c>
      <c r="E718" t="s">
        <v>1057</v>
      </c>
      <c r="F718">
        <v>170665424</v>
      </c>
      <c r="G718" t="s">
        <v>109</v>
      </c>
      <c r="H718" t="s">
        <v>46</v>
      </c>
      <c r="I718" t="s">
        <v>46</v>
      </c>
      <c r="J718" t="s">
        <v>17</v>
      </c>
      <c r="K718">
        <v>100</v>
      </c>
      <c r="L718">
        <v>50</v>
      </c>
      <c r="M718" t="s">
        <v>1055</v>
      </c>
      <c r="N718" t="s">
        <v>1054</v>
      </c>
    </row>
    <row r="719" spans="1:14" x14ac:dyDescent="0.3">
      <c r="A719">
        <v>1252441</v>
      </c>
      <c r="B719" t="s">
        <v>1051</v>
      </c>
      <c r="C719" t="s">
        <v>1059</v>
      </c>
      <c r="D719" t="s">
        <v>1058</v>
      </c>
      <c r="E719" t="s">
        <v>1057</v>
      </c>
      <c r="F719">
        <v>170665424</v>
      </c>
      <c r="G719" t="s">
        <v>110</v>
      </c>
      <c r="H719" t="s">
        <v>46</v>
      </c>
      <c r="I719" t="s">
        <v>46</v>
      </c>
      <c r="J719" t="s">
        <v>17</v>
      </c>
      <c r="K719">
        <v>100</v>
      </c>
      <c r="L719">
        <v>50</v>
      </c>
      <c r="M719" t="s">
        <v>1055</v>
      </c>
      <c r="N719" t="s">
        <v>1054</v>
      </c>
    </row>
    <row r="720" spans="1:14" x14ac:dyDescent="0.3">
      <c r="A720">
        <v>1252441</v>
      </c>
      <c r="B720" t="s">
        <v>1051</v>
      </c>
      <c r="C720" t="s">
        <v>1059</v>
      </c>
      <c r="D720" t="s">
        <v>1058</v>
      </c>
      <c r="E720" t="s">
        <v>1057</v>
      </c>
      <c r="F720">
        <v>170665424</v>
      </c>
      <c r="G720" t="s">
        <v>111</v>
      </c>
      <c r="H720" t="s">
        <v>46</v>
      </c>
      <c r="I720" t="s">
        <v>46</v>
      </c>
      <c r="J720" t="s">
        <v>17</v>
      </c>
      <c r="K720">
        <v>100</v>
      </c>
      <c r="L720">
        <v>50</v>
      </c>
      <c r="M720" t="s">
        <v>1055</v>
      </c>
      <c r="N720" t="s">
        <v>1054</v>
      </c>
    </row>
    <row r="721" spans="1:14" x14ac:dyDescent="0.3">
      <c r="A721">
        <v>1252441</v>
      </c>
      <c r="B721" t="s">
        <v>1051</v>
      </c>
      <c r="C721" t="s">
        <v>1059</v>
      </c>
      <c r="D721" t="s">
        <v>1058</v>
      </c>
      <c r="E721" t="s">
        <v>1057</v>
      </c>
      <c r="F721">
        <v>170665424</v>
      </c>
      <c r="G721" t="s">
        <v>112</v>
      </c>
      <c r="H721" t="s">
        <v>46</v>
      </c>
      <c r="I721" t="s">
        <v>46</v>
      </c>
      <c r="J721" t="s">
        <v>17</v>
      </c>
      <c r="K721">
        <v>100</v>
      </c>
      <c r="L721">
        <v>50</v>
      </c>
      <c r="M721" t="s">
        <v>1055</v>
      </c>
      <c r="N721" t="s">
        <v>1054</v>
      </c>
    </row>
    <row r="722" spans="1:14" x14ac:dyDescent="0.3">
      <c r="A722">
        <v>1252441</v>
      </c>
      <c r="B722" t="s">
        <v>1051</v>
      </c>
      <c r="C722" t="s">
        <v>1059</v>
      </c>
      <c r="D722" t="s">
        <v>1058</v>
      </c>
      <c r="E722" t="s">
        <v>1057</v>
      </c>
      <c r="F722">
        <v>170665424</v>
      </c>
      <c r="G722" t="s">
        <v>113</v>
      </c>
      <c r="H722" t="s">
        <v>46</v>
      </c>
      <c r="I722" t="s">
        <v>46</v>
      </c>
      <c r="J722" t="s">
        <v>17</v>
      </c>
      <c r="K722">
        <v>100</v>
      </c>
      <c r="L722">
        <v>50</v>
      </c>
      <c r="M722" t="s">
        <v>1055</v>
      </c>
      <c r="N722" t="s">
        <v>1054</v>
      </c>
    </row>
    <row r="723" spans="1:14" x14ac:dyDescent="0.3">
      <c r="A723">
        <v>1252441</v>
      </c>
      <c r="B723" t="s">
        <v>1051</v>
      </c>
      <c r="C723" t="s">
        <v>1059</v>
      </c>
      <c r="D723" t="s">
        <v>1058</v>
      </c>
      <c r="E723" t="s">
        <v>1057</v>
      </c>
      <c r="F723">
        <v>170665424</v>
      </c>
      <c r="G723" t="s">
        <v>114</v>
      </c>
      <c r="H723" t="s">
        <v>46</v>
      </c>
      <c r="I723" t="s">
        <v>46</v>
      </c>
      <c r="J723" t="s">
        <v>17</v>
      </c>
      <c r="K723">
        <v>100</v>
      </c>
      <c r="L723">
        <v>50</v>
      </c>
      <c r="M723" t="s">
        <v>1055</v>
      </c>
      <c r="N723" t="s">
        <v>1054</v>
      </c>
    </row>
    <row r="724" spans="1:14" x14ac:dyDescent="0.3">
      <c r="A724">
        <v>1252441</v>
      </c>
      <c r="B724" t="s">
        <v>1051</v>
      </c>
      <c r="C724" t="s">
        <v>1059</v>
      </c>
      <c r="D724" t="s">
        <v>1058</v>
      </c>
      <c r="E724" t="s">
        <v>1057</v>
      </c>
      <c r="F724">
        <v>170665424</v>
      </c>
      <c r="G724" t="s">
        <v>115</v>
      </c>
      <c r="H724" t="s">
        <v>46</v>
      </c>
      <c r="I724" t="s">
        <v>46</v>
      </c>
      <c r="J724" t="s">
        <v>17</v>
      </c>
      <c r="K724">
        <v>100</v>
      </c>
      <c r="L724">
        <v>50</v>
      </c>
      <c r="M724" t="s">
        <v>1055</v>
      </c>
      <c r="N724" t="s">
        <v>1054</v>
      </c>
    </row>
    <row r="725" spans="1:14" x14ac:dyDescent="0.3">
      <c r="A725">
        <v>1252441</v>
      </c>
      <c r="B725" t="s">
        <v>1051</v>
      </c>
      <c r="C725" t="s">
        <v>1059</v>
      </c>
      <c r="D725" t="s">
        <v>1058</v>
      </c>
      <c r="E725" t="s">
        <v>1057</v>
      </c>
      <c r="F725">
        <v>170665424</v>
      </c>
      <c r="G725" t="s">
        <v>116</v>
      </c>
      <c r="H725" t="s">
        <v>46</v>
      </c>
      <c r="I725" t="s">
        <v>46</v>
      </c>
      <c r="J725" t="s">
        <v>17</v>
      </c>
      <c r="K725">
        <v>100</v>
      </c>
      <c r="L725">
        <v>50</v>
      </c>
      <c r="M725" t="s">
        <v>1055</v>
      </c>
      <c r="N725" t="s">
        <v>1054</v>
      </c>
    </row>
    <row r="726" spans="1:14" x14ac:dyDescent="0.3">
      <c r="A726">
        <v>1252441</v>
      </c>
      <c r="B726" t="s">
        <v>1051</v>
      </c>
      <c r="C726" t="s">
        <v>1059</v>
      </c>
      <c r="D726" t="s">
        <v>1058</v>
      </c>
      <c r="E726" t="s">
        <v>1057</v>
      </c>
      <c r="F726">
        <v>170665424</v>
      </c>
      <c r="G726" t="s">
        <v>117</v>
      </c>
      <c r="H726" t="s">
        <v>46</v>
      </c>
      <c r="I726" t="s">
        <v>46</v>
      </c>
      <c r="J726" t="s">
        <v>17</v>
      </c>
      <c r="K726">
        <v>100</v>
      </c>
      <c r="L726">
        <v>50</v>
      </c>
      <c r="M726" t="s">
        <v>1055</v>
      </c>
      <c r="N726" t="s">
        <v>1054</v>
      </c>
    </row>
    <row r="727" spans="1:14" x14ac:dyDescent="0.3">
      <c r="A727">
        <v>1252441</v>
      </c>
      <c r="B727" t="s">
        <v>1051</v>
      </c>
      <c r="C727" t="s">
        <v>1059</v>
      </c>
      <c r="D727" t="s">
        <v>1058</v>
      </c>
      <c r="E727" t="s">
        <v>1057</v>
      </c>
      <c r="F727">
        <v>170665424</v>
      </c>
      <c r="G727" t="s">
        <v>118</v>
      </c>
      <c r="H727" t="s">
        <v>46</v>
      </c>
      <c r="I727" t="s">
        <v>46</v>
      </c>
      <c r="J727" t="s">
        <v>17</v>
      </c>
      <c r="K727">
        <v>100</v>
      </c>
      <c r="L727">
        <v>50</v>
      </c>
      <c r="M727" t="s">
        <v>1055</v>
      </c>
      <c r="N727" t="s">
        <v>1054</v>
      </c>
    </row>
    <row r="728" spans="1:14" x14ac:dyDescent="0.3">
      <c r="A728">
        <v>1252441</v>
      </c>
      <c r="B728" t="s">
        <v>1051</v>
      </c>
      <c r="C728" t="s">
        <v>1059</v>
      </c>
      <c r="D728" t="s">
        <v>1058</v>
      </c>
      <c r="E728" t="s">
        <v>1057</v>
      </c>
      <c r="F728">
        <v>170665424</v>
      </c>
      <c r="G728" t="s">
        <v>119</v>
      </c>
      <c r="H728" t="s">
        <v>46</v>
      </c>
      <c r="I728" t="s">
        <v>46</v>
      </c>
      <c r="J728" t="s">
        <v>17</v>
      </c>
      <c r="K728">
        <v>100</v>
      </c>
      <c r="L728">
        <v>50</v>
      </c>
      <c r="M728" t="s">
        <v>1055</v>
      </c>
      <c r="N728" t="s">
        <v>1054</v>
      </c>
    </row>
    <row r="729" spans="1:14" x14ac:dyDescent="0.3">
      <c r="A729">
        <v>1252441</v>
      </c>
      <c r="B729" t="s">
        <v>1051</v>
      </c>
      <c r="C729" t="s">
        <v>1059</v>
      </c>
      <c r="D729" t="s">
        <v>1058</v>
      </c>
      <c r="E729" t="s">
        <v>1057</v>
      </c>
      <c r="F729">
        <v>170665424</v>
      </c>
      <c r="G729" t="s">
        <v>120</v>
      </c>
      <c r="H729" t="s">
        <v>46</v>
      </c>
      <c r="I729" t="s">
        <v>46</v>
      </c>
      <c r="J729" t="s">
        <v>17</v>
      </c>
      <c r="K729">
        <v>100</v>
      </c>
      <c r="L729">
        <v>50</v>
      </c>
      <c r="M729" t="s">
        <v>1055</v>
      </c>
      <c r="N729" t="s">
        <v>1054</v>
      </c>
    </row>
    <row r="730" spans="1:14" x14ac:dyDescent="0.3">
      <c r="A730">
        <v>1252441</v>
      </c>
      <c r="B730" t="s">
        <v>1051</v>
      </c>
      <c r="C730" t="s">
        <v>1059</v>
      </c>
      <c r="D730" t="s">
        <v>1058</v>
      </c>
      <c r="E730" t="s">
        <v>1057</v>
      </c>
      <c r="F730">
        <v>170665424</v>
      </c>
      <c r="G730" t="s">
        <v>121</v>
      </c>
      <c r="H730" t="s">
        <v>46</v>
      </c>
      <c r="I730" t="s">
        <v>46</v>
      </c>
      <c r="J730" t="s">
        <v>17</v>
      </c>
      <c r="K730">
        <v>100</v>
      </c>
      <c r="L730">
        <v>50</v>
      </c>
      <c r="M730" t="s">
        <v>1055</v>
      </c>
      <c r="N730" t="s">
        <v>1054</v>
      </c>
    </row>
    <row r="731" spans="1:14" x14ac:dyDescent="0.3">
      <c r="A731">
        <v>1252441</v>
      </c>
      <c r="B731" t="s">
        <v>1051</v>
      </c>
      <c r="C731" t="s">
        <v>1059</v>
      </c>
      <c r="D731" t="s">
        <v>1058</v>
      </c>
      <c r="E731" t="s">
        <v>1057</v>
      </c>
      <c r="F731">
        <v>170665424</v>
      </c>
      <c r="G731" t="s">
        <v>122</v>
      </c>
      <c r="H731" t="s">
        <v>46</v>
      </c>
      <c r="I731" t="s">
        <v>46</v>
      </c>
      <c r="J731" t="s">
        <v>17</v>
      </c>
      <c r="K731">
        <v>100</v>
      </c>
      <c r="L731">
        <v>50</v>
      </c>
      <c r="M731" t="s">
        <v>1055</v>
      </c>
      <c r="N731" t="s">
        <v>1054</v>
      </c>
    </row>
    <row r="732" spans="1:14" x14ac:dyDescent="0.3">
      <c r="A732">
        <v>1252441</v>
      </c>
      <c r="B732" t="s">
        <v>1051</v>
      </c>
      <c r="C732" t="s">
        <v>1059</v>
      </c>
      <c r="D732" t="s">
        <v>1058</v>
      </c>
      <c r="E732" t="s">
        <v>1057</v>
      </c>
      <c r="F732">
        <v>170665424</v>
      </c>
      <c r="G732" t="s">
        <v>123</v>
      </c>
      <c r="H732" t="s">
        <v>46</v>
      </c>
      <c r="I732" t="s">
        <v>46</v>
      </c>
      <c r="J732" t="s">
        <v>17</v>
      </c>
      <c r="K732">
        <v>100</v>
      </c>
      <c r="L732">
        <v>50</v>
      </c>
      <c r="M732" t="s">
        <v>1055</v>
      </c>
      <c r="N732" t="s">
        <v>1054</v>
      </c>
    </row>
    <row r="733" spans="1:14" x14ac:dyDescent="0.3">
      <c r="A733">
        <v>1252441</v>
      </c>
      <c r="B733" t="s">
        <v>1051</v>
      </c>
      <c r="C733" t="s">
        <v>1059</v>
      </c>
      <c r="D733" t="s">
        <v>1058</v>
      </c>
      <c r="E733" t="s">
        <v>1057</v>
      </c>
      <c r="F733">
        <v>170665424</v>
      </c>
      <c r="G733" t="s">
        <v>124</v>
      </c>
      <c r="H733" t="s">
        <v>46</v>
      </c>
      <c r="I733" t="s">
        <v>46</v>
      </c>
      <c r="J733" t="s">
        <v>17</v>
      </c>
      <c r="K733">
        <v>100</v>
      </c>
      <c r="L733">
        <v>50</v>
      </c>
      <c r="M733" t="s">
        <v>1055</v>
      </c>
      <c r="N733" t="s">
        <v>1054</v>
      </c>
    </row>
    <row r="734" spans="1:14" x14ac:dyDescent="0.3">
      <c r="A734">
        <v>1252441</v>
      </c>
      <c r="B734" t="s">
        <v>1051</v>
      </c>
      <c r="C734" t="s">
        <v>1059</v>
      </c>
      <c r="D734" t="s">
        <v>1058</v>
      </c>
      <c r="E734" t="s">
        <v>1057</v>
      </c>
      <c r="F734">
        <v>170665424</v>
      </c>
      <c r="G734" t="s">
        <v>125</v>
      </c>
      <c r="H734" t="s">
        <v>46</v>
      </c>
      <c r="I734" t="s">
        <v>46</v>
      </c>
      <c r="J734" t="s">
        <v>17</v>
      </c>
      <c r="K734">
        <v>100</v>
      </c>
      <c r="L734">
        <v>50</v>
      </c>
      <c r="M734" t="s">
        <v>1055</v>
      </c>
      <c r="N734" t="s">
        <v>1054</v>
      </c>
    </row>
    <row r="735" spans="1:14" x14ac:dyDescent="0.3">
      <c r="A735">
        <v>1252441</v>
      </c>
      <c r="B735" t="s">
        <v>1051</v>
      </c>
      <c r="C735" t="s">
        <v>1059</v>
      </c>
      <c r="D735" t="s">
        <v>1058</v>
      </c>
      <c r="E735" t="s">
        <v>1057</v>
      </c>
      <c r="F735">
        <v>170665424</v>
      </c>
      <c r="G735" t="s">
        <v>126</v>
      </c>
      <c r="H735" t="s">
        <v>46</v>
      </c>
      <c r="I735" t="s">
        <v>46</v>
      </c>
      <c r="J735" t="s">
        <v>17</v>
      </c>
      <c r="K735">
        <v>100</v>
      </c>
      <c r="L735">
        <v>50</v>
      </c>
      <c r="M735" t="s">
        <v>1055</v>
      </c>
      <c r="N735" t="s">
        <v>1054</v>
      </c>
    </row>
    <row r="736" spans="1:14" x14ac:dyDescent="0.3">
      <c r="A736">
        <v>1252441</v>
      </c>
      <c r="B736" t="s">
        <v>1051</v>
      </c>
      <c r="C736" t="s">
        <v>1059</v>
      </c>
      <c r="D736" t="s">
        <v>1058</v>
      </c>
      <c r="E736" t="s">
        <v>1057</v>
      </c>
      <c r="F736">
        <v>170665424</v>
      </c>
      <c r="G736" t="s">
        <v>127</v>
      </c>
      <c r="H736" t="s">
        <v>46</v>
      </c>
      <c r="I736" t="s">
        <v>46</v>
      </c>
      <c r="J736" t="s">
        <v>17</v>
      </c>
      <c r="K736">
        <v>100</v>
      </c>
      <c r="L736">
        <v>50</v>
      </c>
      <c r="M736" t="s">
        <v>1055</v>
      </c>
      <c r="N736" t="s">
        <v>1054</v>
      </c>
    </row>
    <row r="737" spans="1:14" x14ac:dyDescent="0.3">
      <c r="A737">
        <v>1252441</v>
      </c>
      <c r="B737" t="s">
        <v>1051</v>
      </c>
      <c r="C737" t="s">
        <v>1059</v>
      </c>
      <c r="D737" t="s">
        <v>1058</v>
      </c>
      <c r="E737" t="s">
        <v>1057</v>
      </c>
      <c r="F737">
        <v>170665424</v>
      </c>
      <c r="G737" t="s">
        <v>128</v>
      </c>
      <c r="H737" t="s">
        <v>46</v>
      </c>
      <c r="I737" t="s">
        <v>46</v>
      </c>
      <c r="J737" t="s">
        <v>17</v>
      </c>
      <c r="K737">
        <v>100</v>
      </c>
      <c r="L737">
        <v>50</v>
      </c>
      <c r="M737" t="s">
        <v>1055</v>
      </c>
      <c r="N737" t="s">
        <v>1054</v>
      </c>
    </row>
    <row r="738" spans="1:14" x14ac:dyDescent="0.3">
      <c r="A738">
        <v>1252441</v>
      </c>
      <c r="B738" t="s">
        <v>1051</v>
      </c>
      <c r="C738" t="s">
        <v>1059</v>
      </c>
      <c r="D738" t="s">
        <v>1058</v>
      </c>
      <c r="E738" t="s">
        <v>1057</v>
      </c>
      <c r="F738">
        <v>170665424</v>
      </c>
      <c r="G738" t="s">
        <v>129</v>
      </c>
      <c r="H738" t="s">
        <v>46</v>
      </c>
      <c r="I738" t="s">
        <v>46</v>
      </c>
      <c r="J738" t="s">
        <v>17</v>
      </c>
      <c r="K738">
        <v>100</v>
      </c>
      <c r="L738">
        <v>50</v>
      </c>
      <c r="M738" t="s">
        <v>1055</v>
      </c>
      <c r="N738" t="s">
        <v>1054</v>
      </c>
    </row>
    <row r="739" spans="1:14" x14ac:dyDescent="0.3">
      <c r="A739">
        <v>1252441</v>
      </c>
      <c r="B739" t="s">
        <v>1051</v>
      </c>
      <c r="C739" t="s">
        <v>1059</v>
      </c>
      <c r="D739" t="s">
        <v>1058</v>
      </c>
      <c r="E739" t="s">
        <v>1057</v>
      </c>
      <c r="F739">
        <v>170665424</v>
      </c>
      <c r="G739" t="s">
        <v>1081</v>
      </c>
      <c r="H739" t="s">
        <v>46</v>
      </c>
      <c r="I739" t="s">
        <v>46</v>
      </c>
      <c r="J739" t="s">
        <v>17</v>
      </c>
      <c r="K739">
        <v>100</v>
      </c>
      <c r="L739">
        <v>50</v>
      </c>
      <c r="M739" t="s">
        <v>1055</v>
      </c>
      <c r="N739" t="s">
        <v>1054</v>
      </c>
    </row>
    <row r="740" spans="1:14" x14ac:dyDescent="0.3">
      <c r="A740">
        <v>1252441</v>
      </c>
      <c r="B740" t="s">
        <v>1051</v>
      </c>
      <c r="C740" t="s">
        <v>1059</v>
      </c>
      <c r="D740" t="s">
        <v>1058</v>
      </c>
      <c r="E740" t="s">
        <v>1057</v>
      </c>
      <c r="F740">
        <v>170665424</v>
      </c>
      <c r="G740" t="s">
        <v>1080</v>
      </c>
      <c r="H740" t="s">
        <v>46</v>
      </c>
      <c r="I740" t="s">
        <v>46</v>
      </c>
      <c r="J740" t="s">
        <v>17</v>
      </c>
      <c r="K740">
        <v>100</v>
      </c>
      <c r="L740">
        <v>50</v>
      </c>
      <c r="M740" t="s">
        <v>1055</v>
      </c>
      <c r="N740" t="s">
        <v>1054</v>
      </c>
    </row>
    <row r="741" spans="1:14" x14ac:dyDescent="0.3">
      <c r="A741">
        <v>1252441</v>
      </c>
      <c r="B741" t="s">
        <v>1051</v>
      </c>
      <c r="C741" t="s">
        <v>1059</v>
      </c>
      <c r="D741" t="s">
        <v>1058</v>
      </c>
      <c r="E741" t="s">
        <v>1057</v>
      </c>
      <c r="F741">
        <v>170665424</v>
      </c>
      <c r="G741" t="s">
        <v>1079</v>
      </c>
      <c r="H741" t="s">
        <v>46</v>
      </c>
      <c r="I741" t="s">
        <v>46</v>
      </c>
      <c r="J741" t="s">
        <v>17</v>
      </c>
      <c r="K741">
        <v>100</v>
      </c>
      <c r="L741">
        <v>50</v>
      </c>
      <c r="M741" t="s">
        <v>1055</v>
      </c>
      <c r="N741" t="s">
        <v>1054</v>
      </c>
    </row>
    <row r="742" spans="1:14" x14ac:dyDescent="0.3">
      <c r="A742">
        <v>1252441</v>
      </c>
      <c r="B742" t="s">
        <v>1051</v>
      </c>
      <c r="C742" t="s">
        <v>1059</v>
      </c>
      <c r="D742" t="s">
        <v>1058</v>
      </c>
      <c r="E742" t="s">
        <v>1057</v>
      </c>
      <c r="F742">
        <v>170665424</v>
      </c>
      <c r="G742" t="s">
        <v>1078</v>
      </c>
      <c r="H742" t="s">
        <v>46</v>
      </c>
      <c r="I742" t="s">
        <v>46</v>
      </c>
      <c r="J742" t="s">
        <v>17</v>
      </c>
      <c r="K742">
        <v>100</v>
      </c>
      <c r="L742">
        <v>50</v>
      </c>
      <c r="M742" t="s">
        <v>1055</v>
      </c>
      <c r="N742" t="s">
        <v>1054</v>
      </c>
    </row>
    <row r="743" spans="1:14" x14ac:dyDescent="0.3">
      <c r="A743">
        <v>1252441</v>
      </c>
      <c r="B743" t="s">
        <v>1051</v>
      </c>
      <c r="C743" t="s">
        <v>1059</v>
      </c>
      <c r="D743" t="s">
        <v>1058</v>
      </c>
      <c r="E743" t="s">
        <v>1057</v>
      </c>
      <c r="F743">
        <v>170665424</v>
      </c>
      <c r="G743" t="s">
        <v>1077</v>
      </c>
      <c r="H743" t="s">
        <v>46</v>
      </c>
      <c r="I743" t="s">
        <v>46</v>
      </c>
      <c r="J743" t="s">
        <v>17</v>
      </c>
      <c r="K743">
        <v>100</v>
      </c>
      <c r="L743">
        <v>50</v>
      </c>
      <c r="M743" t="s">
        <v>1055</v>
      </c>
      <c r="N743" t="s">
        <v>1054</v>
      </c>
    </row>
    <row r="744" spans="1:14" x14ac:dyDescent="0.3">
      <c r="A744">
        <v>1252441</v>
      </c>
      <c r="B744" t="s">
        <v>1051</v>
      </c>
      <c r="C744" t="s">
        <v>1059</v>
      </c>
      <c r="D744" t="s">
        <v>1058</v>
      </c>
      <c r="E744" t="s">
        <v>1057</v>
      </c>
      <c r="F744">
        <v>170665424</v>
      </c>
      <c r="G744" t="s">
        <v>1076</v>
      </c>
      <c r="H744" t="s">
        <v>46</v>
      </c>
      <c r="I744" t="s">
        <v>46</v>
      </c>
      <c r="J744" t="s">
        <v>17</v>
      </c>
      <c r="K744">
        <v>100</v>
      </c>
      <c r="L744">
        <v>50</v>
      </c>
      <c r="M744" t="s">
        <v>1055</v>
      </c>
      <c r="N744" t="s">
        <v>1054</v>
      </c>
    </row>
    <row r="745" spans="1:14" x14ac:dyDescent="0.3">
      <c r="A745">
        <v>1252441</v>
      </c>
      <c r="B745" t="s">
        <v>1051</v>
      </c>
      <c r="C745" t="s">
        <v>1059</v>
      </c>
      <c r="D745" t="s">
        <v>1058</v>
      </c>
      <c r="E745" t="s">
        <v>1057</v>
      </c>
      <c r="F745">
        <v>170665424</v>
      </c>
      <c r="G745" t="s">
        <v>1075</v>
      </c>
      <c r="H745" t="s">
        <v>46</v>
      </c>
      <c r="I745" t="s">
        <v>46</v>
      </c>
      <c r="J745" t="s">
        <v>17</v>
      </c>
      <c r="K745">
        <v>100</v>
      </c>
      <c r="L745">
        <v>50</v>
      </c>
      <c r="M745" t="s">
        <v>1055</v>
      </c>
      <c r="N745" t="s">
        <v>1054</v>
      </c>
    </row>
    <row r="746" spans="1:14" x14ac:dyDescent="0.3">
      <c r="A746">
        <v>1252441</v>
      </c>
      <c r="B746" t="s">
        <v>1051</v>
      </c>
      <c r="C746" t="s">
        <v>1059</v>
      </c>
      <c r="D746" t="s">
        <v>1058</v>
      </c>
      <c r="E746" t="s">
        <v>1057</v>
      </c>
      <c r="F746">
        <v>170665424</v>
      </c>
      <c r="G746" t="s">
        <v>1074</v>
      </c>
      <c r="H746" t="s">
        <v>46</v>
      </c>
      <c r="I746" t="s">
        <v>46</v>
      </c>
      <c r="J746" t="s">
        <v>17</v>
      </c>
      <c r="K746">
        <v>100</v>
      </c>
      <c r="L746">
        <v>50</v>
      </c>
      <c r="M746" t="s">
        <v>1055</v>
      </c>
      <c r="N746" t="s">
        <v>1054</v>
      </c>
    </row>
    <row r="747" spans="1:14" x14ac:dyDescent="0.3">
      <c r="A747">
        <v>1252441</v>
      </c>
      <c r="B747" t="s">
        <v>1051</v>
      </c>
      <c r="C747" t="s">
        <v>1059</v>
      </c>
      <c r="D747" t="s">
        <v>1058</v>
      </c>
      <c r="E747" t="s">
        <v>1057</v>
      </c>
      <c r="F747">
        <v>170665424</v>
      </c>
      <c r="G747" t="s">
        <v>1073</v>
      </c>
      <c r="H747" t="s">
        <v>46</v>
      </c>
      <c r="I747" t="s">
        <v>46</v>
      </c>
      <c r="J747" t="s">
        <v>17</v>
      </c>
      <c r="K747">
        <v>100</v>
      </c>
      <c r="L747">
        <v>50</v>
      </c>
      <c r="M747" t="s">
        <v>1055</v>
      </c>
      <c r="N747" t="s">
        <v>1054</v>
      </c>
    </row>
    <row r="748" spans="1:14" x14ac:dyDescent="0.3">
      <c r="A748">
        <v>1252441</v>
      </c>
      <c r="B748" t="s">
        <v>1051</v>
      </c>
      <c r="C748" t="s">
        <v>1059</v>
      </c>
      <c r="D748" t="s">
        <v>1058</v>
      </c>
      <c r="E748" t="s">
        <v>1057</v>
      </c>
      <c r="F748">
        <v>170665424</v>
      </c>
      <c r="G748" t="s">
        <v>1072</v>
      </c>
      <c r="H748" t="s">
        <v>46</v>
      </c>
      <c r="I748" t="s">
        <v>46</v>
      </c>
      <c r="J748" t="s">
        <v>17</v>
      </c>
      <c r="K748">
        <v>100</v>
      </c>
      <c r="L748">
        <v>50</v>
      </c>
      <c r="M748" t="s">
        <v>1055</v>
      </c>
      <c r="N748" t="s">
        <v>1054</v>
      </c>
    </row>
    <row r="749" spans="1:14" x14ac:dyDescent="0.3">
      <c r="A749">
        <v>1252441</v>
      </c>
      <c r="B749" t="s">
        <v>1051</v>
      </c>
      <c r="C749" t="s">
        <v>1059</v>
      </c>
      <c r="D749" t="s">
        <v>1058</v>
      </c>
      <c r="E749" t="s">
        <v>1057</v>
      </c>
      <c r="F749">
        <v>170665424</v>
      </c>
      <c r="G749" t="s">
        <v>1071</v>
      </c>
      <c r="H749" t="s">
        <v>46</v>
      </c>
      <c r="I749" t="s">
        <v>46</v>
      </c>
      <c r="J749" t="s">
        <v>17</v>
      </c>
      <c r="K749">
        <v>100</v>
      </c>
      <c r="L749">
        <v>50</v>
      </c>
      <c r="M749" t="s">
        <v>1055</v>
      </c>
      <c r="N749" t="s">
        <v>1054</v>
      </c>
    </row>
    <row r="750" spans="1:14" x14ac:dyDescent="0.3">
      <c r="A750">
        <v>1252441</v>
      </c>
      <c r="B750" t="s">
        <v>1051</v>
      </c>
      <c r="C750" t="s">
        <v>1059</v>
      </c>
      <c r="D750" t="s">
        <v>1058</v>
      </c>
      <c r="E750" t="s">
        <v>1057</v>
      </c>
      <c r="F750">
        <v>170665424</v>
      </c>
      <c r="G750" t="s">
        <v>1070</v>
      </c>
      <c r="H750" t="s">
        <v>46</v>
      </c>
      <c r="I750" t="s">
        <v>46</v>
      </c>
      <c r="J750" t="s">
        <v>17</v>
      </c>
      <c r="K750">
        <v>100</v>
      </c>
      <c r="L750">
        <v>50</v>
      </c>
      <c r="M750" t="s">
        <v>1055</v>
      </c>
      <c r="N750" t="s">
        <v>1054</v>
      </c>
    </row>
    <row r="751" spans="1:14" x14ac:dyDescent="0.3">
      <c r="A751">
        <v>1252441</v>
      </c>
      <c r="B751" t="s">
        <v>1051</v>
      </c>
      <c r="C751" t="s">
        <v>1059</v>
      </c>
      <c r="D751" t="s">
        <v>1058</v>
      </c>
      <c r="E751" t="s">
        <v>1057</v>
      </c>
      <c r="F751">
        <v>170665424</v>
      </c>
      <c r="G751" t="s">
        <v>1069</v>
      </c>
      <c r="H751" t="s">
        <v>46</v>
      </c>
      <c r="I751" t="s">
        <v>46</v>
      </c>
      <c r="J751" t="s">
        <v>17</v>
      </c>
      <c r="K751">
        <v>100</v>
      </c>
      <c r="L751">
        <v>50</v>
      </c>
      <c r="M751" t="s">
        <v>1055</v>
      </c>
      <c r="N751" t="s">
        <v>1054</v>
      </c>
    </row>
    <row r="752" spans="1:14" x14ac:dyDescent="0.3">
      <c r="A752">
        <v>1252441</v>
      </c>
      <c r="B752" t="s">
        <v>1051</v>
      </c>
      <c r="C752" t="s">
        <v>1059</v>
      </c>
      <c r="D752" t="s">
        <v>1058</v>
      </c>
      <c r="E752" t="s">
        <v>1057</v>
      </c>
      <c r="F752">
        <v>170665424</v>
      </c>
      <c r="G752" t="s">
        <v>1068</v>
      </c>
      <c r="H752" t="s">
        <v>46</v>
      </c>
      <c r="I752" t="s">
        <v>46</v>
      </c>
      <c r="J752" t="s">
        <v>17</v>
      </c>
      <c r="K752">
        <v>100</v>
      </c>
      <c r="L752">
        <v>50</v>
      </c>
      <c r="M752" t="s">
        <v>1055</v>
      </c>
      <c r="N752" t="s">
        <v>1054</v>
      </c>
    </row>
    <row r="753" spans="1:14" x14ac:dyDescent="0.3">
      <c r="A753">
        <v>1252441</v>
      </c>
      <c r="B753" t="s">
        <v>1051</v>
      </c>
      <c r="C753" t="s">
        <v>1059</v>
      </c>
      <c r="D753" t="s">
        <v>1058</v>
      </c>
      <c r="E753" t="s">
        <v>1057</v>
      </c>
      <c r="F753">
        <v>170665424</v>
      </c>
      <c r="G753" t="s">
        <v>1067</v>
      </c>
      <c r="H753" t="s">
        <v>46</v>
      </c>
      <c r="I753" t="s">
        <v>46</v>
      </c>
      <c r="J753" t="s">
        <v>17</v>
      </c>
      <c r="K753">
        <v>100</v>
      </c>
      <c r="L753">
        <v>50</v>
      </c>
      <c r="M753" t="s">
        <v>1055</v>
      </c>
      <c r="N753" t="s">
        <v>1054</v>
      </c>
    </row>
    <row r="754" spans="1:14" x14ac:dyDescent="0.3">
      <c r="A754">
        <v>1252441</v>
      </c>
      <c r="B754" t="s">
        <v>1051</v>
      </c>
      <c r="C754" t="s">
        <v>1059</v>
      </c>
      <c r="D754" t="s">
        <v>1058</v>
      </c>
      <c r="E754" t="s">
        <v>1057</v>
      </c>
      <c r="F754">
        <v>170665424</v>
      </c>
      <c r="G754" t="s">
        <v>1066</v>
      </c>
      <c r="H754" t="s">
        <v>46</v>
      </c>
      <c r="I754" t="s">
        <v>46</v>
      </c>
      <c r="J754" t="s">
        <v>17</v>
      </c>
      <c r="K754">
        <v>100</v>
      </c>
      <c r="L754">
        <v>50</v>
      </c>
      <c r="M754" t="s">
        <v>1055</v>
      </c>
      <c r="N754" t="s">
        <v>1054</v>
      </c>
    </row>
    <row r="755" spans="1:14" x14ac:dyDescent="0.3">
      <c r="A755">
        <v>1252441</v>
      </c>
      <c r="B755" t="s">
        <v>1051</v>
      </c>
      <c r="C755" t="s">
        <v>1059</v>
      </c>
      <c r="D755" t="s">
        <v>1058</v>
      </c>
      <c r="E755" t="s">
        <v>1057</v>
      </c>
      <c r="F755">
        <v>170665424</v>
      </c>
      <c r="G755" t="s">
        <v>1065</v>
      </c>
      <c r="H755" t="s">
        <v>46</v>
      </c>
      <c r="I755" t="s">
        <v>46</v>
      </c>
      <c r="J755" t="s">
        <v>17</v>
      </c>
      <c r="K755">
        <v>100</v>
      </c>
      <c r="L755">
        <v>50</v>
      </c>
      <c r="M755" t="s">
        <v>1055</v>
      </c>
      <c r="N755" t="s">
        <v>1054</v>
      </c>
    </row>
    <row r="756" spans="1:14" x14ac:dyDescent="0.3">
      <c r="A756">
        <v>1252441</v>
      </c>
      <c r="B756" t="s">
        <v>1051</v>
      </c>
      <c r="C756" t="s">
        <v>1059</v>
      </c>
      <c r="D756" t="s">
        <v>1058</v>
      </c>
      <c r="E756" t="s">
        <v>1057</v>
      </c>
      <c r="F756">
        <v>170665424</v>
      </c>
      <c r="G756" t="s">
        <v>1064</v>
      </c>
      <c r="H756" t="s">
        <v>46</v>
      </c>
      <c r="I756" t="s">
        <v>46</v>
      </c>
      <c r="J756" t="s">
        <v>17</v>
      </c>
      <c r="K756">
        <v>100</v>
      </c>
      <c r="L756">
        <v>50</v>
      </c>
      <c r="M756" t="s">
        <v>1055</v>
      </c>
      <c r="N756" t="s">
        <v>1054</v>
      </c>
    </row>
    <row r="757" spans="1:14" x14ac:dyDescent="0.3">
      <c r="A757">
        <v>1252441</v>
      </c>
      <c r="B757" t="s">
        <v>1051</v>
      </c>
      <c r="C757" t="s">
        <v>1059</v>
      </c>
      <c r="D757" t="s">
        <v>1058</v>
      </c>
      <c r="E757" t="s">
        <v>1057</v>
      </c>
      <c r="F757">
        <v>170665424</v>
      </c>
      <c r="G757" t="s">
        <v>1063</v>
      </c>
      <c r="H757" t="s">
        <v>46</v>
      </c>
      <c r="I757" t="s">
        <v>46</v>
      </c>
      <c r="J757" t="s">
        <v>17</v>
      </c>
      <c r="K757">
        <v>100</v>
      </c>
      <c r="L757">
        <v>50</v>
      </c>
      <c r="M757" t="s">
        <v>1055</v>
      </c>
      <c r="N757" t="s">
        <v>1054</v>
      </c>
    </row>
    <row r="758" spans="1:14" x14ac:dyDescent="0.3">
      <c r="A758">
        <v>1252441</v>
      </c>
      <c r="B758" t="s">
        <v>1051</v>
      </c>
      <c r="C758" t="s">
        <v>1059</v>
      </c>
      <c r="D758" t="s">
        <v>1058</v>
      </c>
      <c r="E758" t="s">
        <v>1057</v>
      </c>
      <c r="F758">
        <v>170665424</v>
      </c>
      <c r="G758" t="s">
        <v>1062</v>
      </c>
      <c r="H758" t="s">
        <v>46</v>
      </c>
      <c r="I758" t="s">
        <v>46</v>
      </c>
      <c r="J758" t="s">
        <v>17</v>
      </c>
      <c r="K758">
        <v>100</v>
      </c>
      <c r="L758">
        <v>50</v>
      </c>
      <c r="M758" t="s">
        <v>1055</v>
      </c>
      <c r="N758" t="s">
        <v>1054</v>
      </c>
    </row>
    <row r="759" spans="1:14" x14ac:dyDescent="0.3">
      <c r="A759">
        <v>1252441</v>
      </c>
      <c r="B759" t="s">
        <v>1051</v>
      </c>
      <c r="C759" t="s">
        <v>1059</v>
      </c>
      <c r="D759" t="s">
        <v>1058</v>
      </c>
      <c r="E759" t="s">
        <v>1057</v>
      </c>
      <c r="F759">
        <v>170665424</v>
      </c>
      <c r="G759" t="s">
        <v>1061</v>
      </c>
      <c r="H759" t="s">
        <v>46</v>
      </c>
      <c r="I759" t="s">
        <v>46</v>
      </c>
      <c r="J759" t="s">
        <v>17</v>
      </c>
      <c r="K759">
        <v>100</v>
      </c>
      <c r="L759">
        <v>50</v>
      </c>
      <c r="M759" t="s">
        <v>1055</v>
      </c>
      <c r="N759" t="s">
        <v>1054</v>
      </c>
    </row>
    <row r="760" spans="1:14" x14ac:dyDescent="0.3">
      <c r="A760">
        <v>1252441</v>
      </c>
      <c r="B760" t="s">
        <v>1051</v>
      </c>
      <c r="C760" t="s">
        <v>1059</v>
      </c>
      <c r="D760" t="s">
        <v>1058</v>
      </c>
      <c r="E760" t="s">
        <v>1057</v>
      </c>
      <c r="F760">
        <v>170665424</v>
      </c>
      <c r="G760" t="s">
        <v>1060</v>
      </c>
      <c r="H760" t="s">
        <v>46</v>
      </c>
      <c r="I760" t="s">
        <v>46</v>
      </c>
      <c r="J760" t="s">
        <v>17</v>
      </c>
      <c r="K760">
        <v>100</v>
      </c>
      <c r="L760">
        <v>50</v>
      </c>
      <c r="M760" t="s">
        <v>1055</v>
      </c>
      <c r="N760" t="s">
        <v>1054</v>
      </c>
    </row>
    <row r="761" spans="1:14" x14ac:dyDescent="0.3">
      <c r="A761">
        <v>1252441</v>
      </c>
      <c r="B761" t="s">
        <v>1051</v>
      </c>
      <c r="C761" t="s">
        <v>1059</v>
      </c>
      <c r="D761" t="s">
        <v>1058</v>
      </c>
      <c r="E761" t="s">
        <v>1057</v>
      </c>
      <c r="F761">
        <v>170665424</v>
      </c>
      <c r="G761" t="s">
        <v>1056</v>
      </c>
      <c r="H761" t="s">
        <v>46</v>
      </c>
      <c r="I761" t="s">
        <v>46</v>
      </c>
      <c r="J761" t="s">
        <v>17</v>
      </c>
      <c r="K761">
        <v>100</v>
      </c>
      <c r="L761">
        <v>50</v>
      </c>
      <c r="M761" t="s">
        <v>1055</v>
      </c>
      <c r="N761" t="s">
        <v>1054</v>
      </c>
    </row>
    <row r="762" spans="1:14" x14ac:dyDescent="0.3">
      <c r="A762">
        <v>1252441</v>
      </c>
      <c r="B762" t="s">
        <v>1051</v>
      </c>
      <c r="C762" t="s">
        <v>1053</v>
      </c>
      <c r="H762" t="s">
        <v>16</v>
      </c>
      <c r="I762" t="s">
        <v>16</v>
      </c>
      <c r="J762" t="s">
        <v>17</v>
      </c>
      <c r="K762">
        <v>0</v>
      </c>
      <c r="L762">
        <v>0</v>
      </c>
    </row>
    <row r="763" spans="1:14" x14ac:dyDescent="0.3">
      <c r="A763">
        <v>1252441</v>
      </c>
      <c r="B763" t="s">
        <v>1051</v>
      </c>
      <c r="C763" t="s">
        <v>1052</v>
      </c>
      <c r="H763" t="s">
        <v>16</v>
      </c>
      <c r="I763" t="s">
        <v>16</v>
      </c>
      <c r="J763" t="s">
        <v>17</v>
      </c>
      <c r="K763">
        <v>0</v>
      </c>
      <c r="L763">
        <v>0</v>
      </c>
    </row>
    <row r="764" spans="1:14" x14ac:dyDescent="0.3">
      <c r="A764">
        <v>1252441</v>
      </c>
      <c r="B764" t="s">
        <v>1051</v>
      </c>
      <c r="C764" t="s">
        <v>1050</v>
      </c>
      <c r="H764" t="s">
        <v>16</v>
      </c>
      <c r="I764" t="s">
        <v>16</v>
      </c>
      <c r="J764" t="s">
        <v>17</v>
      </c>
      <c r="K764">
        <v>0</v>
      </c>
      <c r="L764">
        <v>0</v>
      </c>
    </row>
  </sheetData>
  <autoFilter ref="A1:AF764" xr:uid="{4DAA0C66-B5A4-4C27-9B6F-FD7C12BCD5A5}"/>
  <mergeCells count="14">
    <mergeCell ref="R2:R71"/>
    <mergeCell ref="S2:S71"/>
    <mergeCell ref="R72:R74"/>
    <mergeCell ref="S72:S74"/>
    <mergeCell ref="R75:R129"/>
    <mergeCell ref="S75:S129"/>
    <mergeCell ref="R182:R192"/>
    <mergeCell ref="S182:S192"/>
    <mergeCell ref="R130:R150"/>
    <mergeCell ref="S130:S150"/>
    <mergeCell ref="R151:R162"/>
    <mergeCell ref="S151:S162"/>
    <mergeCell ref="R163:R181"/>
    <mergeCell ref="S163:S181"/>
  </mergeCells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ECEA079-BF5E-4E73-8AE3-FF3B3FCDD640}">
  <dimension ref="A1:I97"/>
  <sheetViews>
    <sheetView workbookViewId="0">
      <selection activeCell="G5" sqref="G5"/>
    </sheetView>
  </sheetViews>
  <sheetFormatPr defaultRowHeight="14.4" x14ac:dyDescent="0.3"/>
  <cols>
    <col min="3" max="3" width="11" customWidth="1"/>
  </cols>
  <sheetData>
    <row r="1" spans="1:9" x14ac:dyDescent="0.3">
      <c r="A1" t="str" cm="1">
        <f t="array" ref="A1:A22">_xlfn.UNIQUE(Wikidata_upec_chemical_20!A:A)</f>
        <v>docid</v>
      </c>
      <c r="B1" t="str" cm="1">
        <f t="array" ref="B1:B97">_xlfn.UNIQUE(Wikidata_upec_chemical_20!C:C)</f>
        <v>keyword</v>
      </c>
      <c r="D1" t="s">
        <v>533</v>
      </c>
      <c r="E1" t="s">
        <v>534</v>
      </c>
      <c r="G1" t="s">
        <v>538</v>
      </c>
      <c r="H1">
        <f>COUNTA($A$2:$A$21)</f>
        <v>20</v>
      </c>
    </row>
    <row r="2" spans="1:9" x14ac:dyDescent="0.3">
      <c r="A2">
        <v>1006198</v>
      </c>
      <c r="B2" t="str">
        <v>Mixed convection</v>
      </c>
      <c r="C2" t="str">
        <f>VLOOKUP(B2,Wikidata_upec_chemical_20!$C:$O,13,FALSE)</f>
        <v>ok</v>
      </c>
      <c r="D2" t="str">
        <f>IF(VLOOKUP(B2,Wikidata_upec_chemical_20!$C:$O,3,FALSE)&lt;&gt;0,"yes","no")</f>
        <v>no</v>
      </c>
      <c r="E2" t="str">
        <f>IF(VLOOKUP(B2,Wikidata_upec_chemical_20!$C:$O,4,FALSE)&lt;&gt;0,"yes","no")</f>
        <v>no</v>
      </c>
      <c r="G2" t="s">
        <v>535</v>
      </c>
      <c r="H2">
        <f>COUNTA($B$2:$B$96)</f>
        <v>95</v>
      </c>
    </row>
    <row r="3" spans="1:9" x14ac:dyDescent="0.3">
      <c r="A3">
        <v>1025697</v>
      </c>
      <c r="B3" t="str">
        <v>Poiseuille-Rayleigh-BÃ©nard flow</v>
      </c>
      <c r="C3" t="str">
        <f>VLOOKUP(B3,Wikidata_upec_chemical_20!$C:$O,13,FALSE)</f>
        <v>ok</v>
      </c>
      <c r="D3" t="str">
        <f>IF(VLOOKUP(B3,Wikidata_upec_chemical_20!$C:$O,3,FALSE)&lt;&gt;0,"yes","no")</f>
        <v>no</v>
      </c>
      <c r="E3" t="str">
        <f>IF(VLOOKUP(B3,Wikidata_upec_chemical_20!$C:$O,4,FALSE)&lt;&gt;0,"yes","no")</f>
        <v>no</v>
      </c>
      <c r="G3" t="s">
        <v>521</v>
      </c>
      <c r="H3">
        <f>COUNTIF($C$2:$C$96,G3)</f>
        <v>70</v>
      </c>
      <c r="I3" s="2">
        <f>H3/H2</f>
        <v>0.73684210526315785</v>
      </c>
    </row>
    <row r="4" spans="1:9" x14ac:dyDescent="0.3">
      <c r="A4">
        <v>1060481</v>
      </c>
      <c r="B4" t="str">
        <v>Convective instability</v>
      </c>
      <c r="C4" t="str">
        <f>VLOOKUP(B4,Wikidata_upec_chemical_20!$C:$O,13,FALSE)</f>
        <v>ok</v>
      </c>
      <c r="D4" t="str">
        <f>IF(VLOOKUP(B4,Wikidata_upec_chemical_20!$C:$O,3,FALSE)&lt;&gt;0,"yes","no")</f>
        <v>yes</v>
      </c>
      <c r="E4" t="str">
        <f>IF(VLOOKUP(B4,Wikidata_upec_chemical_20!$C:$O,4,FALSE)&lt;&gt;0,"yes","no")</f>
        <v>no</v>
      </c>
      <c r="G4" t="s">
        <v>522</v>
      </c>
      <c r="H4">
        <f>COUNTIF($C$2:$C$96,G4)</f>
        <v>25</v>
      </c>
      <c r="I4" s="3">
        <f>1-I3</f>
        <v>0.26315789473684215</v>
      </c>
    </row>
    <row r="5" spans="1:9" x14ac:dyDescent="0.3">
      <c r="A5">
        <v>1064801</v>
      </c>
      <c r="B5" t="str">
        <v>Rectangular channel</v>
      </c>
      <c r="C5" t="str">
        <f>VLOOKUP(B5,Wikidata_upec_chemical_20!$C:$O,13,FALSE)</f>
        <v>ok</v>
      </c>
      <c r="D5" t="str">
        <f>IF(VLOOKUP(B5,Wikidata_upec_chemical_20!$C:$O,3,FALSE)&lt;&gt;0,"yes","no")</f>
        <v>no</v>
      </c>
      <c r="E5" t="str">
        <f>IF(VLOOKUP(B5,Wikidata_upec_chemical_20!$C:$O,4,FALSE)&lt;&gt;0,"yes","no")</f>
        <v>no</v>
      </c>
      <c r="G5" t="s">
        <v>533</v>
      </c>
      <c r="H5">
        <f>COUNTIF($D$2:$D$96,"yes")</f>
        <v>44</v>
      </c>
      <c r="I5" s="2">
        <f>H5/H2</f>
        <v>0.4631578947368421</v>
      </c>
    </row>
    <row r="6" spans="1:9" x14ac:dyDescent="0.3">
      <c r="A6">
        <v>1067996</v>
      </c>
      <c r="B6" t="str">
        <v>Harmonic inlet excitation</v>
      </c>
      <c r="C6" t="str">
        <f>VLOOKUP(B6,Wikidata_upec_chemical_20!$C:$O,13,FALSE)</f>
        <v>ok</v>
      </c>
      <c r="D6" t="str">
        <f>IF(VLOOKUP(B6,Wikidata_upec_chemical_20!$C:$O,3,FALSE)&lt;&gt;0,"yes","no")</f>
        <v>no</v>
      </c>
      <c r="E6" t="str">
        <f>IF(VLOOKUP(B6,Wikidata_upec_chemical_20!$C:$O,4,FALSE)&lt;&gt;0,"yes","no")</f>
        <v>no</v>
      </c>
      <c r="G6" t="s">
        <v>536</v>
      </c>
      <c r="H6">
        <f>COUNTIF($E$2:$E$96,"yes")</f>
        <v>5</v>
      </c>
      <c r="I6" s="2">
        <f>H6/H2</f>
        <v>5.2631578947368418E-2</v>
      </c>
    </row>
    <row r="7" spans="1:9" x14ac:dyDescent="0.3">
      <c r="A7">
        <v>1078652</v>
      </c>
      <c r="B7" t="str">
        <v>CVD</v>
      </c>
      <c r="C7" t="str">
        <f>VLOOKUP(B7,Wikidata_upec_chemical_20!$C:$O,13,FALSE)</f>
        <v>ok</v>
      </c>
      <c r="D7" t="str">
        <f>IF(VLOOKUP(B7,Wikidata_upec_chemical_20!$C:$O,3,FALSE)&lt;&gt;0,"yes","no")</f>
        <v>no</v>
      </c>
      <c r="E7" t="str">
        <f>IF(VLOOKUP(B7,Wikidata_upec_chemical_20!$C:$O,4,FALSE)&lt;&gt;0,"yes","no")</f>
        <v>no</v>
      </c>
    </row>
    <row r="8" spans="1:9" x14ac:dyDescent="0.3">
      <c r="A8">
        <v>1078896</v>
      </c>
      <c r="B8" t="str">
        <v>3D numerical simulations</v>
      </c>
      <c r="C8" t="str">
        <f>VLOOKUP(B8,Wikidata_upec_chemical_20!$C:$O,13,FALSE)</f>
        <v>ok</v>
      </c>
      <c r="D8" t="str">
        <f>IF(VLOOKUP(B8,Wikidata_upec_chemical_20!$C:$O,3,FALSE)&lt;&gt;0,"yes","no")</f>
        <v>no</v>
      </c>
      <c r="E8" t="str">
        <f>IF(VLOOKUP(B8,Wikidata_upec_chemical_20!$C:$O,4,FALSE)&lt;&gt;0,"yes","no")</f>
        <v>no</v>
      </c>
    </row>
    <row r="9" spans="1:9" x14ac:dyDescent="0.3">
      <c r="A9">
        <v>1083001</v>
      </c>
      <c r="B9" t="str">
        <v>Design of experiments</v>
      </c>
      <c r="C9" t="str">
        <f>VLOOKUP(B9,Wikidata_upec_chemical_20!$C:$O,13,FALSE)</f>
        <v>Wrong</v>
      </c>
      <c r="D9" t="str">
        <f>IF(VLOOKUP(B9,Wikidata_upec_chemical_20!$C:$O,3,FALSE)&lt;&gt;0,"yes","no")</f>
        <v>yes</v>
      </c>
      <c r="E9" t="str">
        <f>IF(VLOOKUP(B9,Wikidata_upec_chemical_20!$C:$O,4,FALSE)&lt;&gt;0,"yes","no")</f>
        <v>no</v>
      </c>
    </row>
    <row r="10" spans="1:9" x14ac:dyDescent="0.3">
      <c r="A10">
        <v>1083004</v>
      </c>
      <c r="B10" t="str">
        <v>Corrosion</v>
      </c>
      <c r="C10" t="str">
        <f>VLOOKUP(B10,Wikidata_upec_chemical_20!$C:$O,13,FALSE)</f>
        <v>Wrong</v>
      </c>
      <c r="D10" t="str">
        <f>IF(VLOOKUP(B10,Wikidata_upec_chemical_20!$C:$O,3,FALSE)&lt;&gt;0,"yes","no")</f>
        <v>yes</v>
      </c>
      <c r="E10" t="str">
        <f>IF(VLOOKUP(B10,Wikidata_upec_chemical_20!$C:$O,4,FALSE)&lt;&gt;0,"yes","no")</f>
        <v>no</v>
      </c>
    </row>
    <row r="11" spans="1:9" x14ac:dyDescent="0.3">
      <c r="A11">
        <v>1083007</v>
      </c>
      <c r="B11" t="str">
        <v>Ni-MH batteries</v>
      </c>
      <c r="C11" t="str">
        <f>VLOOKUP(B11,Wikidata_upec_chemical_20!$C:$O,13,FALSE)</f>
        <v>ok</v>
      </c>
      <c r="D11" t="str">
        <f>IF(VLOOKUP(B11,Wikidata_upec_chemical_20!$C:$O,3,FALSE)&lt;&gt;0,"yes","no")</f>
        <v>no</v>
      </c>
      <c r="E11" t="str">
        <f>IF(VLOOKUP(B11,Wikidata_upec_chemical_20!$C:$O,4,FALSE)&lt;&gt;0,"yes","no")</f>
        <v>no</v>
      </c>
    </row>
    <row r="12" spans="1:9" x14ac:dyDescent="0.3">
      <c r="A12">
        <v>1083014</v>
      </c>
      <c r="B12" t="str">
        <v>Raman micro spectroscopy</v>
      </c>
      <c r="C12" t="str">
        <f>VLOOKUP(B12,Wikidata_upec_chemical_20!$C:$O,13,FALSE)</f>
        <v>ok</v>
      </c>
      <c r="D12" t="str">
        <f>IF(VLOOKUP(B12,Wikidata_upec_chemical_20!$C:$O,3,FALSE)&lt;&gt;0,"yes","no")</f>
        <v>no</v>
      </c>
      <c r="E12" t="str">
        <f>IF(VLOOKUP(B12,Wikidata_upec_chemical_20!$C:$O,4,FALSE)&lt;&gt;0,"yes","no")</f>
        <v>no</v>
      </c>
    </row>
    <row r="13" spans="1:9" x14ac:dyDescent="0.3">
      <c r="A13">
        <v>1083157</v>
      </c>
      <c r="B13" t="str">
        <v>TEM</v>
      </c>
      <c r="C13" t="str">
        <f>VLOOKUP(B13,Wikidata_upec_chemical_20!$C:$O,13,FALSE)</f>
        <v>Wrong</v>
      </c>
      <c r="D13" t="str">
        <f>IF(VLOOKUP(B13,Wikidata_upec_chemical_20!$C:$O,3,FALSE)&lt;&gt;0,"yes","no")</f>
        <v>yes</v>
      </c>
      <c r="E13" t="str">
        <f>IF(VLOOKUP(B13,Wikidata_upec_chemical_20!$C:$O,4,FALSE)&lt;&gt;0,"yes","no")</f>
        <v>yes</v>
      </c>
    </row>
    <row r="14" spans="1:9" x14ac:dyDescent="0.3">
      <c r="A14">
        <v>1083160</v>
      </c>
      <c r="B14" t="str">
        <v>Combination of techniques</v>
      </c>
      <c r="C14" t="str">
        <f>VLOOKUP(B14,Wikidata_upec_chemical_20!$C:$O,13,FALSE)</f>
        <v>ok</v>
      </c>
      <c r="D14" t="str">
        <f>IF(VLOOKUP(B14,Wikidata_upec_chemical_20!$C:$O,3,FALSE)&lt;&gt;0,"yes","no")</f>
        <v>no</v>
      </c>
      <c r="E14" t="str">
        <f>IF(VLOOKUP(B14,Wikidata_upec_chemical_20!$C:$O,4,FALSE)&lt;&gt;0,"yes","no")</f>
        <v>no</v>
      </c>
    </row>
    <row r="15" spans="1:9" x14ac:dyDescent="0.3">
      <c r="A15">
        <v>1084520</v>
      </c>
      <c r="B15">
        <v>20902069</v>
      </c>
      <c r="C15" t="str">
        <f>VLOOKUP(B15,Wikidata_upec_chemical_20!$C:$O,13,FALSE)</f>
        <v>ok</v>
      </c>
      <c r="D15" t="str">
        <f>IF(VLOOKUP(B15,Wikidata_upec_chemical_20!$C:$O,3,FALSE)&lt;&gt;0,"yes","no")</f>
        <v>no</v>
      </c>
      <c r="E15" t="str">
        <f>IF(VLOOKUP(B15,Wikidata_upec_chemical_20!$C:$O,4,FALSE)&lt;&gt;0,"yes","no")</f>
        <v>no</v>
      </c>
    </row>
    <row r="16" spans="1:9" x14ac:dyDescent="0.3">
      <c r="A16">
        <v>1084657</v>
      </c>
      <c r="B16" t="str">
        <v>Nsfc</v>
      </c>
      <c r="C16" t="str">
        <f>VLOOKUP(B16,Wikidata_upec_chemical_20!$C:$O,13,FALSE)</f>
        <v>ok</v>
      </c>
      <c r="D16" t="str">
        <f>IF(VLOOKUP(B16,Wikidata_upec_chemical_20!$C:$O,3,FALSE)&lt;&gt;0,"yes","no")</f>
        <v>no</v>
      </c>
      <c r="E16" t="str">
        <f>IF(VLOOKUP(B16,Wikidata_upec_chemical_20!$C:$O,4,FALSE)&lt;&gt;0,"yes","no")</f>
        <v>no</v>
      </c>
    </row>
    <row r="17" spans="1:5" x14ac:dyDescent="0.3">
      <c r="A17">
        <v>1084678</v>
      </c>
      <c r="B17" t="str">
        <v>National natural science foundation of china</v>
      </c>
      <c r="C17" t="str">
        <f>VLOOKUP(B17,Wikidata_upec_chemical_20!$C:$O,13,FALSE)</f>
        <v>ok</v>
      </c>
      <c r="D17" t="str">
        <f>IF(VLOOKUP(B17,Wikidata_upec_chemical_20!$C:$O,3,FALSE)&lt;&gt;0,"yes","no")</f>
        <v>yes</v>
      </c>
      <c r="E17" t="str">
        <f>IF(VLOOKUP(B17,Wikidata_upec_chemical_20!$C:$O,4,FALSE)&lt;&gt;0,"yes","no")</f>
        <v>no</v>
      </c>
    </row>
    <row r="18" spans="1:5" x14ac:dyDescent="0.3">
      <c r="A18">
        <v>1086746</v>
      </c>
      <c r="B18">
        <v>21074094</v>
      </c>
      <c r="C18" t="str">
        <f>VLOOKUP(B18,Wikidata_upec_chemical_20!$C:$O,13,FALSE)</f>
        <v>ok</v>
      </c>
      <c r="D18" t="str">
        <f>IF(VLOOKUP(B18,Wikidata_upec_chemical_20!$C:$O,3,FALSE)&lt;&gt;0,"yes","no")</f>
        <v>no</v>
      </c>
      <c r="E18" t="str">
        <f>IF(VLOOKUP(B18,Wikidata_upec_chemical_20!$C:$O,4,FALSE)&lt;&gt;0,"yes","no")</f>
        <v>no</v>
      </c>
    </row>
    <row r="19" spans="1:5" x14ac:dyDescent="0.3">
      <c r="A19">
        <v>1086752</v>
      </c>
      <c r="B19">
        <v>51173134</v>
      </c>
      <c r="C19" t="str">
        <f>VLOOKUP(B19,Wikidata_upec_chemical_20!$C:$O,13,FALSE)</f>
        <v>ok</v>
      </c>
      <c r="D19" t="str">
        <f>IF(VLOOKUP(B19,Wikidata_upec_chemical_20!$C:$O,3,FALSE)&lt;&gt;0,"yes","no")</f>
        <v>no</v>
      </c>
      <c r="E19" t="str">
        <f>IF(VLOOKUP(B19,Wikidata_upec_chemical_20!$C:$O,4,FALSE)&lt;&gt;0,"yes","no")</f>
        <v>no</v>
      </c>
    </row>
    <row r="20" spans="1:5" x14ac:dyDescent="0.3">
      <c r="A20">
        <v>1087358</v>
      </c>
      <c r="B20" t="str">
        <v>Potential curves</v>
      </c>
      <c r="C20" t="str">
        <f>VLOOKUP(B20,Wikidata_upec_chemical_20!$C:$O,13,FALSE)</f>
        <v>ok</v>
      </c>
      <c r="D20" t="str">
        <f>IF(VLOOKUP(B20,Wikidata_upec_chemical_20!$C:$O,3,FALSE)&lt;&gt;0,"yes","no")</f>
        <v>no</v>
      </c>
      <c r="E20" t="str">
        <f>IF(VLOOKUP(B20,Wikidata_upec_chemical_20!$C:$O,4,FALSE)&lt;&gt;0,"yes","no")</f>
        <v>no</v>
      </c>
    </row>
    <row r="21" spans="1:5" x14ac:dyDescent="0.3">
      <c r="A21">
        <v>1088019</v>
      </c>
      <c r="B21" t="str">
        <v>Long range interactions</v>
      </c>
      <c r="C21" t="str">
        <f>VLOOKUP(B21,Wikidata_upec_chemical_20!$C:$O,13,FALSE)</f>
        <v>ok</v>
      </c>
      <c r="D21" t="str">
        <f>IF(VLOOKUP(B21,Wikidata_upec_chemical_20!$C:$O,3,FALSE)&lt;&gt;0,"yes","no")</f>
        <v>no</v>
      </c>
      <c r="E21" t="str">
        <f>IF(VLOOKUP(B21,Wikidata_upec_chemical_20!$C:$O,4,FALSE)&lt;&gt;0,"yes","no")</f>
        <v>no</v>
      </c>
    </row>
    <row r="22" spans="1:5" x14ac:dyDescent="0.3">
      <c r="A22">
        <v>0</v>
      </c>
      <c r="B22" t="str">
        <v>Ab-initio calculations</v>
      </c>
      <c r="C22" t="str">
        <f>VLOOKUP(B22,Wikidata_upec_chemical_20!$C:$O,13,FALSE)</f>
        <v>ok</v>
      </c>
      <c r="D22" t="str">
        <f>IF(VLOOKUP(B22,Wikidata_upec_chemical_20!$C:$O,3,FALSE)&lt;&gt;0,"yes","no")</f>
        <v>no</v>
      </c>
      <c r="E22" t="str">
        <f>IF(VLOOKUP(B22,Wikidata_upec_chemical_20!$C:$O,4,FALSE)&lt;&gt;0,"yes","no")</f>
        <v>no</v>
      </c>
    </row>
    <row r="23" spans="1:5" x14ac:dyDescent="0.3">
      <c r="B23" t="str">
        <v>Hydrogen halides</v>
      </c>
      <c r="C23" t="str">
        <f>VLOOKUP(B23,Wikidata_upec_chemical_20!$C:$O,13,FALSE)</f>
        <v>ok</v>
      </c>
      <c r="D23" t="str">
        <f>IF(VLOOKUP(B23,Wikidata_upec_chemical_20!$C:$O,3,FALSE)&lt;&gt;0,"yes","no")</f>
        <v>yes</v>
      </c>
      <c r="E23" t="str">
        <f>IF(VLOOKUP(B23,Wikidata_upec_chemical_20!$C:$O,4,FALSE)&lt;&gt;0,"yes","no")</f>
        <v>no</v>
      </c>
    </row>
    <row r="24" spans="1:5" x14ac:dyDescent="0.3">
      <c r="B24" t="str">
        <v>5210 PLANETARY SCIENCES ASTROBIOLOGY Planetary atmospheres</v>
      </c>
      <c r="C24" t="str">
        <f>VLOOKUP(B24,Wikidata_upec_chemical_20!$C:$O,13,FALSE)</f>
        <v>ok</v>
      </c>
      <c r="D24" t="str">
        <f>IF(VLOOKUP(B24,Wikidata_upec_chemical_20!$C:$O,3,FALSE)&lt;&gt;0,"yes","no")</f>
        <v>no</v>
      </c>
      <c r="E24" t="str">
        <f>IF(VLOOKUP(B24,Wikidata_upec_chemical_20!$C:$O,4,FALSE)&lt;&gt;0,"yes","no")</f>
        <v>no</v>
      </c>
    </row>
    <row r="25" spans="1:5" x14ac:dyDescent="0.3">
      <c r="B25" t="str">
        <v>Clouds</v>
      </c>
      <c r="C25" t="str">
        <f>VLOOKUP(B25,Wikidata_upec_chemical_20!$C:$O,13,FALSE)</f>
        <v>Wrong</v>
      </c>
      <c r="D25" t="str">
        <f>IF(VLOOKUP(B25,Wikidata_upec_chemical_20!$C:$O,3,FALSE)&lt;&gt;0,"yes","no")</f>
        <v>yes</v>
      </c>
      <c r="E25" t="str">
        <f>IF(VLOOKUP(B25,Wikidata_upec_chemical_20!$C:$O,4,FALSE)&lt;&gt;0,"yes","no")</f>
        <v>no</v>
      </c>
    </row>
    <row r="26" spans="1:5" x14ac:dyDescent="0.3">
      <c r="B26" t="str">
        <v>And hazes</v>
      </c>
      <c r="C26" t="str">
        <f>VLOOKUP(B26,Wikidata_upec_chemical_20!$C:$O,13,FALSE)</f>
        <v>ok</v>
      </c>
      <c r="D26" t="str">
        <f>IF(VLOOKUP(B26,Wikidata_upec_chemical_20!$C:$O,3,FALSE)&lt;&gt;0,"yes","no")</f>
        <v>no</v>
      </c>
      <c r="E26" t="str">
        <f>IF(VLOOKUP(B26,Wikidata_upec_chemical_20!$C:$O,4,FALSE)&lt;&gt;0,"yes","no")</f>
        <v>no</v>
      </c>
    </row>
    <row r="27" spans="1:5" x14ac:dyDescent="0.3">
      <c r="B27" t="str">
        <v>5405 PLANETARY SCIENCES SOLID SURFACE PLANETS Atmospheres</v>
      </c>
      <c r="C27" t="str">
        <f>VLOOKUP(B27,Wikidata_upec_chemical_20!$C:$O,13,FALSE)</f>
        <v>ok</v>
      </c>
      <c r="D27" t="str">
        <f>IF(VLOOKUP(B27,Wikidata_upec_chemical_20!$C:$O,3,FALSE)&lt;&gt;0,"yes","no")</f>
        <v>no</v>
      </c>
      <c r="E27" t="str">
        <f>IF(VLOOKUP(B27,Wikidata_upec_chemical_20!$C:$O,4,FALSE)&lt;&gt;0,"yes","no")</f>
        <v>no</v>
      </c>
    </row>
    <row r="28" spans="1:5" x14ac:dyDescent="0.3">
      <c r="B28" t="str">
        <v>0305 ATMOSPHERIC COMPOSITION AND STRUCTURE Aerosols and particles</v>
      </c>
      <c r="C28" t="str">
        <f>VLOOKUP(B28,Wikidata_upec_chemical_20!$C:$O,13,FALSE)</f>
        <v>ok</v>
      </c>
      <c r="D28" t="str">
        <f>IF(VLOOKUP(B28,Wikidata_upec_chemical_20!$C:$O,3,FALSE)&lt;&gt;0,"yes","no")</f>
        <v>no</v>
      </c>
      <c r="E28" t="str">
        <f>IF(VLOOKUP(B28,Wikidata_upec_chemical_20!$C:$O,4,FALSE)&lt;&gt;0,"yes","no")</f>
        <v>no</v>
      </c>
    </row>
    <row r="29" spans="1:5" x14ac:dyDescent="0.3">
      <c r="B29" t="str">
        <v>Parallel Charging</v>
      </c>
      <c r="C29" t="str">
        <f>VLOOKUP(B29,Wikidata_upec_chemical_20!$C:$O,13,FALSE)</f>
        <v>ok</v>
      </c>
      <c r="D29" t="str">
        <f>IF(VLOOKUP(B29,Wikidata_upec_chemical_20!$C:$O,3,FALSE)&lt;&gt;0,"yes","no")</f>
        <v>no</v>
      </c>
      <c r="E29" t="str">
        <f>IF(VLOOKUP(B29,Wikidata_upec_chemical_20!$C:$O,4,FALSE)&lt;&gt;0,"yes","no")</f>
        <v>no</v>
      </c>
    </row>
    <row r="30" spans="1:5" x14ac:dyDescent="0.3">
      <c r="B30" t="str">
        <v>Parallel Tempering</v>
      </c>
      <c r="C30" t="str">
        <f>VLOOKUP(B30,Wikidata_upec_chemical_20!$C:$O,13,FALSE)</f>
        <v>ok</v>
      </c>
      <c r="D30" t="str">
        <f>IF(VLOOKUP(B30,Wikidata_upec_chemical_20!$C:$O,3,FALSE)&lt;&gt;0,"yes","no")</f>
        <v>yes</v>
      </c>
      <c r="E30" t="str">
        <f>IF(VLOOKUP(B30,Wikidata_upec_chemical_20!$C:$O,4,FALSE)&lt;&gt;0,"yes","no")</f>
        <v>no</v>
      </c>
    </row>
    <row r="31" spans="1:5" x14ac:dyDescent="0.3">
      <c r="B31" t="str">
        <v>Electrospray ionisation</v>
      </c>
      <c r="C31" t="str">
        <f>VLOOKUP(B31,Wikidata_upec_chemical_20!$C:$O,13,FALSE)</f>
        <v>ok</v>
      </c>
      <c r="D31" t="str">
        <f>IF(VLOOKUP(B31,Wikidata_upec_chemical_20!$C:$O,3,FALSE)&lt;&gt;0,"yes","no")</f>
        <v>no</v>
      </c>
      <c r="E31" t="str">
        <f>IF(VLOOKUP(B31,Wikidata_upec_chemical_20!$C:$O,4,FALSE)&lt;&gt;0,"yes","no")</f>
        <v>no</v>
      </c>
    </row>
    <row r="32" spans="1:5" x14ac:dyDescent="0.3">
      <c r="B32" t="str">
        <v>Charged droplets</v>
      </c>
      <c r="C32" t="str">
        <f>VLOOKUP(B32,Wikidata_upec_chemical_20!$C:$O,13,FALSE)</f>
        <v>ok</v>
      </c>
      <c r="D32" t="str">
        <f>IF(VLOOKUP(B32,Wikidata_upec_chemical_20!$C:$O,3,FALSE)&lt;&gt;0,"yes","no")</f>
        <v>no</v>
      </c>
      <c r="E32" t="str">
        <f>IF(VLOOKUP(B32,Wikidata_upec_chemical_20!$C:$O,4,FALSE)&lt;&gt;0,"yes","no")</f>
        <v>no</v>
      </c>
    </row>
    <row r="33" spans="2:5" x14ac:dyDescent="0.3">
      <c r="B33" t="str">
        <v>Charged clusters</v>
      </c>
      <c r="C33" t="str">
        <f>VLOOKUP(B33,Wikidata_upec_chemical_20!$C:$O,13,FALSE)</f>
        <v>ok</v>
      </c>
      <c r="D33" t="str">
        <f>IF(VLOOKUP(B33,Wikidata_upec_chemical_20!$C:$O,3,FALSE)&lt;&gt;0,"yes","no")</f>
        <v>no</v>
      </c>
      <c r="E33" t="str">
        <f>IF(VLOOKUP(B33,Wikidata_upec_chemical_20!$C:$O,4,FALSE)&lt;&gt;0,"yes","no")</f>
        <v>no</v>
      </c>
    </row>
    <row r="34" spans="2:5" x14ac:dyDescent="0.3">
      <c r="B34" t="str">
        <v>Coarse-grained models</v>
      </c>
      <c r="C34" t="str">
        <f>VLOOKUP(B34,Wikidata_upec_chemical_20!$C:$O,13,FALSE)</f>
        <v>ok</v>
      </c>
      <c r="D34" t="str">
        <f>IF(VLOOKUP(B34,Wikidata_upec_chemical_20!$C:$O,3,FALSE)&lt;&gt;0,"yes","no")</f>
        <v>yes</v>
      </c>
      <c r="E34" t="str">
        <f>IF(VLOOKUP(B34,Wikidata_upec_chemical_20!$C:$O,4,FALSE)&lt;&gt;0,"yes","no")</f>
        <v>no</v>
      </c>
    </row>
    <row r="35" spans="2:5" x14ac:dyDescent="0.3">
      <c r="B35" t="str">
        <v>Monte Carlo simulations</v>
      </c>
      <c r="C35" t="str">
        <f>VLOOKUP(B35,Wikidata_upec_chemical_20!$C:$O,13,FALSE)</f>
        <v>Wrong</v>
      </c>
      <c r="D35" t="str">
        <f>IF(VLOOKUP(B35,Wikidata_upec_chemical_20!$C:$O,3,FALSE)&lt;&gt;0,"yes","no")</f>
        <v>yes</v>
      </c>
      <c r="E35" t="str">
        <f>IF(VLOOKUP(B35,Wikidata_upec_chemical_20!$C:$O,4,FALSE)&lt;&gt;0,"yes","no")</f>
        <v>no</v>
      </c>
    </row>
    <row r="36" spans="2:5" x14ac:dyDescent="0.3">
      <c r="B36" t="str">
        <v>Potential energy functions</v>
      </c>
      <c r="C36" t="str">
        <f>VLOOKUP(B36,Wikidata_upec_chemical_20!$C:$O,13,FALSE)</f>
        <v>ok</v>
      </c>
      <c r="D36" t="str">
        <f>IF(VLOOKUP(B36,Wikidata_upec_chemical_20!$C:$O,3,FALSE)&lt;&gt;0,"yes","no")</f>
        <v>no</v>
      </c>
      <c r="E36" t="str">
        <f>IF(VLOOKUP(B36,Wikidata_upec_chemical_20!$C:$O,4,FALSE)&lt;&gt;0,"yes","no")</f>
        <v>no</v>
      </c>
    </row>
    <row r="37" spans="2:5" x14ac:dyDescent="0.3">
      <c r="B37" t="str">
        <v>Excited states</v>
      </c>
      <c r="C37" t="str">
        <f>VLOOKUP(B37,Wikidata_upec_chemical_20!$C:$O,13,FALSE)</f>
        <v>ok</v>
      </c>
      <c r="D37" t="str">
        <f>IF(VLOOKUP(B37,Wikidata_upec_chemical_20!$C:$O,3,FALSE)&lt;&gt;0,"yes","no")</f>
        <v>yes</v>
      </c>
      <c r="E37" t="str">
        <f>IF(VLOOKUP(B37,Wikidata_upec_chemical_20!$C:$O,4,FALSE)&lt;&gt;0,"yes","no")</f>
        <v>no</v>
      </c>
    </row>
    <row r="38" spans="2:5" x14ac:dyDescent="0.3">
      <c r="B38" t="str">
        <v>Molecular anions</v>
      </c>
      <c r="C38" t="str">
        <f>VLOOKUP(B38,Wikidata_upec_chemical_20!$C:$O,13,FALSE)</f>
        <v>ok</v>
      </c>
      <c r="D38" t="str">
        <f>IF(VLOOKUP(B38,Wikidata_upec_chemical_20!$C:$O,3,FALSE)&lt;&gt;0,"yes","no")</f>
        <v>no</v>
      </c>
      <c r="E38" t="str">
        <f>IF(VLOOKUP(B38,Wikidata_upec_chemical_20!$C:$O,4,FALSE)&lt;&gt;0,"yes","no")</f>
        <v>no</v>
      </c>
    </row>
    <row r="39" spans="2:5" x14ac:dyDescent="0.3">
      <c r="B39" t="str">
        <v>Glocose oxidase</v>
      </c>
      <c r="C39" t="str">
        <f>VLOOKUP(B39,Wikidata_upec_chemical_20!$C:$O,13,FALSE)</f>
        <v>ok</v>
      </c>
      <c r="D39" t="str">
        <f>IF(VLOOKUP(B39,Wikidata_upec_chemical_20!$C:$O,3,FALSE)&lt;&gt;0,"yes","no")</f>
        <v>no</v>
      </c>
      <c r="E39" t="str">
        <f>IF(VLOOKUP(B39,Wikidata_upec_chemical_20!$C:$O,4,FALSE)&lt;&gt;0,"yes","no")</f>
        <v>no</v>
      </c>
    </row>
    <row r="40" spans="2:5" x14ac:dyDescent="0.3">
      <c r="B40" t="str">
        <v>Amperometric biosensor</v>
      </c>
      <c r="C40" t="str">
        <f>VLOOKUP(B40,Wikidata_upec_chemical_20!$C:$O,13,FALSE)</f>
        <v>ok</v>
      </c>
      <c r="D40" t="str">
        <f>IF(VLOOKUP(B40,Wikidata_upec_chemical_20!$C:$O,3,FALSE)&lt;&gt;0,"yes","no")</f>
        <v>no</v>
      </c>
      <c r="E40" t="str">
        <f>IF(VLOOKUP(B40,Wikidata_upec_chemical_20!$C:$O,4,FALSE)&lt;&gt;0,"yes","no")</f>
        <v>no</v>
      </c>
    </row>
    <row r="41" spans="2:5" x14ac:dyDescent="0.3">
      <c r="B41" t="str">
        <v>Collagen</v>
      </c>
      <c r="C41" t="str">
        <f>VLOOKUP(B41,Wikidata_upec_chemical_20!$C:$O,13,FALSE)</f>
        <v>ok</v>
      </c>
      <c r="D41" t="str">
        <f>IF(VLOOKUP(B41,Wikidata_upec_chemical_20!$C:$O,3,FALSE)&lt;&gt;0,"yes","no")</f>
        <v>yes</v>
      </c>
      <c r="E41" t="str">
        <f>IF(VLOOKUP(B41,Wikidata_upec_chemical_20!$C:$O,4,FALSE)&lt;&gt;0,"yes","no")</f>
        <v>no</v>
      </c>
    </row>
    <row r="42" spans="2:5" x14ac:dyDescent="0.3">
      <c r="B42" t="str">
        <v>Biosensors</v>
      </c>
      <c r="C42" t="str">
        <f>VLOOKUP(B42,Wikidata_upec_chemical_20!$C:$O,13,FALSE)</f>
        <v>Wrong</v>
      </c>
      <c r="D42" t="str">
        <f>IF(VLOOKUP(B42,Wikidata_upec_chemical_20!$C:$O,3,FALSE)&lt;&gt;0,"yes","no")</f>
        <v>yes</v>
      </c>
      <c r="E42" t="str">
        <f>IF(VLOOKUP(B42,Wikidata_upec_chemical_20!$C:$O,4,FALSE)&lt;&gt;0,"yes","no")</f>
        <v>no</v>
      </c>
    </row>
    <row r="43" spans="2:5" x14ac:dyDescent="0.3">
      <c r="B43" t="str">
        <v>Electrochemical biosensor</v>
      </c>
      <c r="C43" t="str">
        <f>VLOOKUP(B43,Wikidata_upec_chemical_20!$C:$O,13,FALSE)</f>
        <v>ok</v>
      </c>
      <c r="D43" t="str">
        <f>IF(VLOOKUP(B43,Wikidata_upec_chemical_20!$C:$O,3,FALSE)&lt;&gt;0,"yes","no")</f>
        <v>no</v>
      </c>
      <c r="E43" t="str">
        <f>IF(VLOOKUP(B43,Wikidata_upec_chemical_20!$C:$O,4,FALSE)&lt;&gt;0,"yes","no")</f>
        <v>no</v>
      </c>
    </row>
    <row r="44" spans="2:5" x14ac:dyDescent="0.3">
      <c r="B44" t="str">
        <v>Classification</v>
      </c>
      <c r="C44" t="str">
        <f>VLOOKUP(B44,Wikidata_upec_chemical_20!$C:$O,13,FALSE)</f>
        <v>ok</v>
      </c>
      <c r="D44" t="str">
        <f>IF(VLOOKUP(B44,Wikidata_upec_chemical_20!$C:$O,3,FALSE)&lt;&gt;0,"yes","no")</f>
        <v>yes</v>
      </c>
      <c r="E44" t="str">
        <f>IF(VLOOKUP(B44,Wikidata_upec_chemical_20!$C:$O,4,FALSE)&lt;&gt;0,"yes","no")</f>
        <v>no</v>
      </c>
    </row>
    <row r="45" spans="2:5" x14ac:dyDescent="0.3">
      <c r="B45" t="str">
        <v>Definition</v>
      </c>
      <c r="C45" t="str">
        <f>VLOOKUP(B45,Wikidata_upec_chemical_20!$C:$O,13,FALSE)</f>
        <v>Wrong</v>
      </c>
      <c r="D45" t="str">
        <f>IF(VLOOKUP(B45,Wikidata_upec_chemical_20!$C:$O,3,FALSE)&lt;&gt;0,"yes","no")</f>
        <v>yes</v>
      </c>
      <c r="E45" t="str">
        <f>IF(VLOOKUP(B45,Wikidata_upec_chemical_20!$C:$O,4,FALSE)&lt;&gt;0,"yes","no")</f>
        <v>no</v>
      </c>
    </row>
    <row r="46" spans="2:5" x14ac:dyDescent="0.3">
      <c r="B46" t="str">
        <v>Implantable sensor</v>
      </c>
      <c r="C46" t="str">
        <f>VLOOKUP(B46,Wikidata_upec_chemical_20!$C:$O,13,FALSE)</f>
        <v>Wrong</v>
      </c>
      <c r="D46" t="str">
        <f>IF(VLOOKUP(B46,Wikidata_upec_chemical_20!$C:$O,3,FALSE)&lt;&gt;0,"yes","no")</f>
        <v>yes</v>
      </c>
      <c r="E46" t="str">
        <f>IF(VLOOKUP(B46,Wikidata_upec_chemical_20!$C:$O,4,FALSE)&lt;&gt;0,"yes","no")</f>
        <v>no</v>
      </c>
    </row>
    <row r="47" spans="2:5" x14ac:dyDescent="0.3">
      <c r="B47" t="str">
        <v>Glucose</v>
      </c>
      <c r="C47" t="str">
        <f>VLOOKUP(B47,Wikidata_upec_chemical_20!$C:$O,13,FALSE)</f>
        <v>ok</v>
      </c>
      <c r="D47" t="str">
        <f>IF(VLOOKUP(B47,Wikidata_upec_chemical_20!$C:$O,3,FALSE)&lt;&gt;0,"yes","no")</f>
        <v>yes</v>
      </c>
      <c r="E47" t="str">
        <f>IF(VLOOKUP(B47,Wikidata_upec_chemical_20!$C:$O,4,FALSE)&lt;&gt;0,"yes","no")</f>
        <v>no</v>
      </c>
    </row>
    <row r="48" spans="2:5" x14ac:dyDescent="0.3">
      <c r="B48" t="str">
        <v>Glucose oxidase</v>
      </c>
      <c r="C48" t="str">
        <f>VLOOKUP(B48,Wikidata_upec_chemical_20!$C:$O,13,FALSE)</f>
        <v>ok</v>
      </c>
      <c r="D48" t="str">
        <f>IF(VLOOKUP(B48,Wikidata_upec_chemical_20!$C:$O,3,FALSE)&lt;&gt;0,"yes","no")</f>
        <v>yes</v>
      </c>
      <c r="E48" t="str">
        <f>IF(VLOOKUP(B48,Wikidata_upec_chemical_20!$C:$O,4,FALSE)&lt;&gt;0,"yes","no")</f>
        <v>no</v>
      </c>
    </row>
    <row r="49" spans="2:5" x14ac:dyDescent="0.3">
      <c r="B49" t="str">
        <v>Chemistry history</v>
      </c>
      <c r="C49" t="str">
        <f>VLOOKUP(B49,Wikidata_upec_chemical_20!$C:$O,13,FALSE)</f>
        <v>ok</v>
      </c>
      <c r="D49" t="str">
        <f>IF(VLOOKUP(B49,Wikidata_upec_chemical_20!$C:$O,3,FALSE)&lt;&gt;0,"yes","no")</f>
        <v>no</v>
      </c>
      <c r="E49" t="str">
        <f>IF(VLOOKUP(B49,Wikidata_upec_chemical_20!$C:$O,4,FALSE)&lt;&gt;0,"yes","no")</f>
        <v>no</v>
      </c>
    </row>
    <row r="50" spans="2:5" x14ac:dyDescent="0.3">
      <c r="B50" t="str">
        <v>Chemical bond concepts</v>
      </c>
      <c r="C50" t="str">
        <f>VLOOKUP(B50,Wikidata_upec_chemical_20!$C:$O,13,FALSE)</f>
        <v>ok</v>
      </c>
      <c r="D50" t="str">
        <f>IF(VLOOKUP(B50,Wikidata_upec_chemical_20!$C:$O,3,FALSE)&lt;&gt;0,"yes","no")</f>
        <v>no</v>
      </c>
      <c r="E50" t="str">
        <f>IF(VLOOKUP(B50,Wikidata_upec_chemical_20!$C:$O,4,FALSE)&lt;&gt;0,"yes","no")</f>
        <v>no</v>
      </c>
    </row>
    <row r="51" spans="2:5" x14ac:dyDescent="0.3">
      <c r="B51" t="str">
        <v>Control</v>
      </c>
      <c r="C51" t="str">
        <f>VLOOKUP(B51,Wikidata_upec_chemical_20!$C:$O,13,FALSE)</f>
        <v>Wrong</v>
      </c>
      <c r="D51" t="str">
        <f>IF(VLOOKUP(B51,Wikidata_upec_chemical_20!$C:$O,3,FALSE)&lt;&gt;0,"yes","no")</f>
        <v>yes</v>
      </c>
      <c r="E51" t="str">
        <f>IF(VLOOKUP(B51,Wikidata_upec_chemical_20!$C:$O,4,FALSE)&lt;&gt;0,"yes","no")</f>
        <v>no</v>
      </c>
    </row>
    <row r="52" spans="2:5" x14ac:dyDescent="0.3">
      <c r="B52" t="str">
        <v>Instrumentation</v>
      </c>
      <c r="C52" t="str">
        <f>VLOOKUP(B52,Wikidata_upec_chemical_20!$C:$O,13,FALSE)</f>
        <v>Wrong</v>
      </c>
      <c r="D52" t="str">
        <f>IF(VLOOKUP(B52,Wikidata_upec_chemical_20!$C:$O,3,FALSE)&lt;&gt;0,"yes","no")</f>
        <v>yes</v>
      </c>
      <c r="E52" t="str">
        <f>IF(VLOOKUP(B52,Wikidata_upec_chemical_20!$C:$O,4,FALSE)&lt;&gt;0,"yes","no")</f>
        <v>no</v>
      </c>
    </row>
    <row r="53" spans="2:5" x14ac:dyDescent="0.3">
      <c r="B53" t="str">
        <v>Waste water treatment plant</v>
      </c>
      <c r="C53" t="str">
        <f>VLOOKUP(B53,Wikidata_upec_chemical_20!$C:$O,13,FALSE)</f>
        <v>Wrong</v>
      </c>
      <c r="D53" t="str">
        <f>IF(VLOOKUP(B53,Wikidata_upec_chemical_20!$C:$O,3,FALSE)&lt;&gt;0,"yes","no")</f>
        <v>yes</v>
      </c>
      <c r="E53" t="str">
        <f>IF(VLOOKUP(B53,Wikidata_upec_chemical_20!$C:$O,4,FALSE)&lt;&gt;0,"yes","no")</f>
        <v>no</v>
      </c>
    </row>
    <row r="54" spans="2:5" x14ac:dyDescent="0.3">
      <c r="B54" t="str">
        <v>Oxygen</v>
      </c>
      <c r="C54" t="str">
        <f>VLOOKUP(B54,Wikidata_upec_chemical_20!$C:$O,13,FALSE)</f>
        <v>Wrong</v>
      </c>
      <c r="D54" t="str">
        <f>IF(VLOOKUP(B54,Wikidata_upec_chemical_20!$C:$O,3,FALSE)&lt;&gt;0,"yes","no")</f>
        <v>yes</v>
      </c>
      <c r="E54" t="str">
        <f>IF(VLOOKUP(B54,Wikidata_upec_chemical_20!$C:$O,4,FALSE)&lt;&gt;0,"yes","no")</f>
        <v>no</v>
      </c>
    </row>
    <row r="55" spans="2:5" x14ac:dyDescent="0.3">
      <c r="B55" t="str">
        <v>Activated sludge</v>
      </c>
      <c r="C55" t="str">
        <f>VLOOKUP(B55,Wikidata_upec_chemical_20!$C:$O,13,FALSE)</f>
        <v>ok</v>
      </c>
      <c r="D55" t="str">
        <f>IF(VLOOKUP(B55,Wikidata_upec_chemical_20!$C:$O,3,FALSE)&lt;&gt;0,"yes","no")</f>
        <v>yes</v>
      </c>
      <c r="E55" t="str">
        <f>IF(VLOOKUP(B55,Wikidata_upec_chemical_20!$C:$O,4,FALSE)&lt;&gt;0,"yes","no")</f>
        <v>no</v>
      </c>
    </row>
    <row r="56" spans="2:5" x14ac:dyDescent="0.3">
      <c r="B56" t="str">
        <v>Redox potential</v>
      </c>
      <c r="C56" t="str">
        <f>VLOOKUP(B56,Wikidata_upec_chemical_20!$C:$O,13,FALSE)</f>
        <v>ok</v>
      </c>
      <c r="D56" t="str">
        <f>IF(VLOOKUP(B56,Wikidata_upec_chemical_20!$C:$O,3,FALSE)&lt;&gt;0,"yes","no")</f>
        <v>yes</v>
      </c>
      <c r="E56" t="str">
        <f>IF(VLOOKUP(B56,Wikidata_upec_chemical_20!$C:$O,4,FALSE)&lt;&gt;0,"yes","no")</f>
        <v>no</v>
      </c>
    </row>
    <row r="57" spans="2:5" x14ac:dyDescent="0.3">
      <c r="B57" t="str">
        <v>Glucose sensor</v>
      </c>
      <c r="C57" t="str">
        <f>VLOOKUP(B57,Wikidata_upec_chemical_20!$C:$O,13,FALSE)</f>
        <v>Wrong</v>
      </c>
      <c r="D57" t="str">
        <f>IF(VLOOKUP(B57,Wikidata_upec_chemical_20!$C:$O,3,FALSE)&lt;&gt;0,"yes","no")</f>
        <v>yes</v>
      </c>
      <c r="E57" t="str">
        <f>IF(VLOOKUP(B57,Wikidata_upec_chemical_20!$C:$O,4,FALSE)&lt;&gt;0,"yes","no")</f>
        <v>no</v>
      </c>
    </row>
    <row r="58" spans="2:5" x14ac:dyDescent="0.3">
      <c r="B58" t="str">
        <v>Calcium</v>
      </c>
      <c r="C58" t="str">
        <f>VLOOKUP(B58,Wikidata_upec_chemical_20!$C:$O,13,FALSE)</f>
        <v>Wrong</v>
      </c>
      <c r="D58" t="str">
        <f>IF(VLOOKUP(B58,Wikidata_upec_chemical_20!$C:$O,3,FALSE)&lt;&gt;0,"yes","no")</f>
        <v>yes</v>
      </c>
      <c r="E58" t="str">
        <f>IF(VLOOKUP(B58,Wikidata_upec_chemical_20!$C:$O,4,FALSE)&lt;&gt;0,"yes","no")</f>
        <v>no</v>
      </c>
    </row>
    <row r="59" spans="2:5" x14ac:dyDescent="0.3">
      <c r="B59" t="str">
        <v>Hydrogen peroxide</v>
      </c>
      <c r="C59" t="str">
        <f>VLOOKUP(B59,Wikidata_upec_chemical_20!$C:$O,13,FALSE)</f>
        <v>ok</v>
      </c>
      <c r="D59" t="str">
        <f>IF(VLOOKUP(B59,Wikidata_upec_chemical_20!$C:$O,3,FALSE)&lt;&gt;0,"yes","no")</f>
        <v>yes</v>
      </c>
      <c r="E59" t="str">
        <f>IF(VLOOKUP(B59,Wikidata_upec_chemical_20!$C:$O,4,FALSE)&lt;&gt;0,"yes","no")</f>
        <v>yes</v>
      </c>
    </row>
    <row r="60" spans="2:5" x14ac:dyDescent="0.3">
      <c r="B60" t="str">
        <v>Koutecky-Levich plots</v>
      </c>
      <c r="C60" t="str">
        <f>VLOOKUP(B60,Wikidata_upec_chemical_20!$C:$O,13,FALSE)</f>
        <v>ok</v>
      </c>
      <c r="D60" t="str">
        <f>IF(VLOOKUP(B60,Wikidata_upec_chemical_20!$C:$O,3,FALSE)&lt;&gt;0,"yes","no")</f>
        <v>no</v>
      </c>
      <c r="E60" t="str">
        <f>IF(VLOOKUP(B60,Wikidata_upec_chemical_20!$C:$O,4,FALSE)&lt;&gt;0,"yes","no")</f>
        <v>no</v>
      </c>
    </row>
    <row r="61" spans="2:5" x14ac:dyDescent="0.3">
      <c r="B61" t="str">
        <v>Platinum</v>
      </c>
      <c r="C61" t="str">
        <f>VLOOKUP(B61,Wikidata_upec_chemical_20!$C:$O,13,FALSE)</f>
        <v>Wrong</v>
      </c>
      <c r="D61" t="str">
        <f>IF(VLOOKUP(B61,Wikidata_upec_chemical_20!$C:$O,3,FALSE)&lt;&gt;0,"yes","no")</f>
        <v>yes</v>
      </c>
      <c r="E61" t="str">
        <f>IF(VLOOKUP(B61,Wikidata_upec_chemical_20!$C:$O,4,FALSE)&lt;&gt;0,"yes","no")</f>
        <v>no</v>
      </c>
    </row>
    <row r="62" spans="2:5" x14ac:dyDescent="0.3">
      <c r="B62" t="str">
        <v>Single use biosensor</v>
      </c>
      <c r="C62" t="str">
        <f>VLOOKUP(B62,Wikidata_upec_chemical_20!$C:$O,13,FALSE)</f>
        <v>ok</v>
      </c>
      <c r="D62" t="str">
        <f>IF(VLOOKUP(B62,Wikidata_upec_chemical_20!$C:$O,3,FALSE)&lt;&gt;0,"yes","no")</f>
        <v>no</v>
      </c>
      <c r="E62" t="str">
        <f>IF(VLOOKUP(B62,Wikidata_upec_chemical_20!$C:$O,4,FALSE)&lt;&gt;0,"yes","no")</f>
        <v>no</v>
      </c>
    </row>
    <row r="63" spans="2:5" x14ac:dyDescent="0.3">
      <c r="B63" t="str">
        <v>Calibration characteristics</v>
      </c>
      <c r="C63" t="str">
        <f>VLOOKUP(B63,Wikidata_upec_chemical_20!$C:$O,13,FALSE)</f>
        <v>ok</v>
      </c>
      <c r="D63" t="str">
        <f>IF(VLOOKUP(B63,Wikidata_upec_chemical_20!$C:$O,3,FALSE)&lt;&gt;0,"yes","no")</f>
        <v>no</v>
      </c>
      <c r="E63" t="str">
        <f>IF(VLOOKUP(B63,Wikidata_upec_chemical_20!$C:$O,4,FALSE)&lt;&gt;0,"yes","no")</f>
        <v>no</v>
      </c>
    </row>
    <row r="64" spans="2:5" x14ac:dyDescent="0.3">
      <c r="B64" t="str">
        <v>Performance criteria</v>
      </c>
      <c r="C64" t="str">
        <f>VLOOKUP(B64,Wikidata_upec_chemical_20!$C:$O,13,FALSE)</f>
        <v>Wrong</v>
      </c>
      <c r="D64" t="str">
        <f>IF(VLOOKUP(B64,Wikidata_upec_chemical_20!$C:$O,3,FALSE)&lt;&gt;0,"yes","no")</f>
        <v>yes</v>
      </c>
      <c r="E64" t="str">
        <f>IF(VLOOKUP(B64,Wikidata_upec_chemical_20!$C:$O,4,FALSE)&lt;&gt;0,"yes","no")</f>
        <v>no</v>
      </c>
    </row>
    <row r="65" spans="2:5" x14ac:dyDescent="0.3">
      <c r="B65" t="str">
        <v>Analytes</v>
      </c>
      <c r="C65" t="str">
        <f>VLOOKUP(B65,Wikidata_upec_chemical_20!$C:$O,13,FALSE)</f>
        <v>ok</v>
      </c>
      <c r="D65" t="str">
        <f>IF(VLOOKUP(B65,Wikidata_upec_chemical_20!$C:$O,3,FALSE)&lt;&gt;0,"yes","no")</f>
        <v>yes</v>
      </c>
      <c r="E65" t="str">
        <f>IF(VLOOKUP(B65,Wikidata_upec_chemical_20!$C:$O,4,FALSE)&lt;&gt;0,"yes","no")</f>
        <v>no</v>
      </c>
    </row>
    <row r="66" spans="2:5" x14ac:dyDescent="0.3">
      <c r="B66" t="str">
        <v>Cr</v>
      </c>
      <c r="C66" t="str">
        <f>VLOOKUP(B66,Wikidata_upec_chemical_20!$C:$O,13,FALSE)</f>
        <v>ok</v>
      </c>
      <c r="D66" t="str">
        <f>IF(VLOOKUP(B66,Wikidata_upec_chemical_20!$C:$O,3,FALSE)&lt;&gt;0,"yes","no")</f>
        <v>no</v>
      </c>
      <c r="E66" t="str">
        <f>IF(VLOOKUP(B66,Wikidata_upec_chemical_20!$C:$O,4,FALSE)&lt;&gt;0,"yes","no")</f>
        <v>no</v>
      </c>
    </row>
    <row r="67" spans="2:5" x14ac:dyDescent="0.3">
      <c r="B67" t="str">
        <v>Cu</v>
      </c>
      <c r="C67" t="str">
        <f>VLOOKUP(B67,Wikidata_upec_chemical_20!$C:$O,13,FALSE)</f>
        <v>ok</v>
      </c>
      <c r="D67" t="str">
        <f>IF(VLOOKUP(B67,Wikidata_upec_chemical_20!$C:$O,3,FALSE)&lt;&gt;0,"yes","no")</f>
        <v>no</v>
      </c>
      <c r="E67" t="str">
        <f>IF(VLOOKUP(B67,Wikidata_upec_chemical_20!$C:$O,4,FALSE)&lt;&gt;0,"yes","no")</f>
        <v>no</v>
      </c>
    </row>
    <row r="68" spans="2:5" x14ac:dyDescent="0.3">
      <c r="B68" t="str">
        <v>Cd</v>
      </c>
      <c r="C68" t="str">
        <f>VLOOKUP(B68,Wikidata_upec_chemical_20!$C:$O,13,FALSE)</f>
        <v>ok</v>
      </c>
      <c r="D68" t="str">
        <f>IF(VLOOKUP(B68,Wikidata_upec_chemical_20!$C:$O,3,FALSE)&lt;&gt;0,"yes","no")</f>
        <v>no</v>
      </c>
      <c r="E68" t="str">
        <f>IF(VLOOKUP(B68,Wikidata_upec_chemical_20!$C:$O,4,FALSE)&lt;&gt;0,"yes","no")</f>
        <v>no</v>
      </c>
    </row>
    <row r="69" spans="2:5" x14ac:dyDescent="0.3">
      <c r="B69" t="str">
        <v>Zn</v>
      </c>
      <c r="C69" t="str">
        <f>VLOOKUP(B69,Wikidata_upec_chemical_20!$C:$O,13,FALSE)</f>
        <v>ok</v>
      </c>
      <c r="D69" t="str">
        <f>IF(VLOOKUP(B69,Wikidata_upec_chemical_20!$C:$O,3,FALSE)&lt;&gt;0,"yes","no")</f>
        <v>no</v>
      </c>
      <c r="E69" t="str">
        <f>IF(VLOOKUP(B69,Wikidata_upec_chemical_20!$C:$O,4,FALSE)&lt;&gt;0,"yes","no")</f>
        <v>no</v>
      </c>
    </row>
    <row r="70" spans="2:5" x14ac:dyDescent="0.3">
      <c r="B70" t="str">
        <v>Hg</v>
      </c>
      <c r="C70" t="str">
        <f>VLOOKUP(B70,Wikidata_upec_chemical_20!$C:$O,13,FALSE)</f>
        <v>ok</v>
      </c>
      <c r="D70" t="str">
        <f>IF(VLOOKUP(B70,Wikidata_upec_chemical_20!$C:$O,3,FALSE)&lt;&gt;0,"yes","no")</f>
        <v>no</v>
      </c>
      <c r="E70" t="str">
        <f>IF(VLOOKUP(B70,Wikidata_upec_chemical_20!$C:$O,4,FALSE)&lt;&gt;0,"yes","no")</f>
        <v>no</v>
      </c>
    </row>
    <row r="71" spans="2:5" x14ac:dyDescent="0.3">
      <c r="B71" t="str">
        <v>Pb</v>
      </c>
      <c r="C71" t="str">
        <f>VLOOKUP(B71,Wikidata_upec_chemical_20!$C:$O,13,FALSE)</f>
        <v>ok</v>
      </c>
      <c r="D71" t="str">
        <f>IF(VLOOKUP(B71,Wikidata_upec_chemical_20!$C:$O,3,FALSE)&lt;&gt;0,"yes","no")</f>
        <v>no</v>
      </c>
      <c r="E71" t="str">
        <f>IF(VLOOKUP(B71,Wikidata_upec_chemical_20!$C:$O,4,FALSE)&lt;&gt;0,"yes","no")</f>
        <v>no</v>
      </c>
    </row>
    <row r="72" spans="2:5" x14ac:dyDescent="0.3">
      <c r="B72" t="str">
        <v>Heavy metals</v>
      </c>
      <c r="C72" t="str">
        <f>VLOOKUP(B72,Wikidata_upec_chemical_20!$C:$O,13,FALSE)</f>
        <v>Wrong</v>
      </c>
      <c r="D72" t="str">
        <f>IF(VLOOKUP(B72,Wikidata_upec_chemical_20!$C:$O,3,FALSE)&lt;&gt;0,"yes","no")</f>
        <v>yes</v>
      </c>
      <c r="E72" t="str">
        <f>IF(VLOOKUP(B72,Wikidata_upec_chemical_20!$C:$O,4,FALSE)&lt;&gt;0,"yes","no")</f>
        <v>no</v>
      </c>
    </row>
    <row r="73" spans="2:5" x14ac:dyDescent="0.3">
      <c r="B73" t="str">
        <v>Budget</v>
      </c>
      <c r="C73" t="str">
        <f>VLOOKUP(B73,Wikidata_upec_chemical_20!$C:$O,13,FALSE)</f>
        <v>Wrong</v>
      </c>
      <c r="D73" t="str">
        <f>IF(VLOOKUP(B73,Wikidata_upec_chemical_20!$C:$O,3,FALSE)&lt;&gt;0,"yes","no")</f>
        <v>yes</v>
      </c>
      <c r="E73" t="str">
        <f>IF(VLOOKUP(B73,Wikidata_upec_chemical_20!$C:$O,4,FALSE)&lt;&gt;0,"yes","no")</f>
        <v>no</v>
      </c>
    </row>
    <row r="74" spans="2:5" x14ac:dyDescent="0.3">
      <c r="B74" t="str">
        <v>Seine</v>
      </c>
      <c r="C74" t="str">
        <f>VLOOKUP(B74,Wikidata_upec_chemical_20!$C:$O,13,FALSE)</f>
        <v>Wrong</v>
      </c>
      <c r="D74" t="str">
        <f>IF(VLOOKUP(B74,Wikidata_upec_chemical_20!$C:$O,3,FALSE)&lt;&gt;0,"yes","no")</f>
        <v>yes</v>
      </c>
      <c r="E74" t="str">
        <f>IF(VLOOKUP(B74,Wikidata_upec_chemical_20!$C:$O,4,FALSE)&lt;&gt;0,"yes","no")</f>
        <v>no</v>
      </c>
    </row>
    <row r="75" spans="2:5" x14ac:dyDescent="0.3">
      <c r="B75" t="str">
        <v>River</v>
      </c>
      <c r="C75" t="str">
        <f>VLOOKUP(B75,Wikidata_upec_chemical_20!$C:$O,13,FALSE)</f>
        <v>Wrong</v>
      </c>
      <c r="D75" t="str">
        <f>IF(VLOOKUP(B75,Wikidata_upec_chemical_20!$C:$O,3,FALSE)&lt;&gt;0,"yes","no")</f>
        <v>yes</v>
      </c>
      <c r="E75" t="str">
        <f>IF(VLOOKUP(B75,Wikidata_upec_chemical_20!$C:$O,4,FALSE)&lt;&gt;0,"yes","no")</f>
        <v>no</v>
      </c>
    </row>
    <row r="76" spans="2:5" x14ac:dyDescent="0.3">
      <c r="B76" t="str">
        <v>Ni</v>
      </c>
      <c r="C76" t="str">
        <f>VLOOKUP(B76,Wikidata_upec_chemical_20!$C:$O,13,FALSE)</f>
        <v>Wrong</v>
      </c>
      <c r="D76" t="str">
        <f>IF(VLOOKUP(B76,Wikidata_upec_chemical_20!$C:$O,3,FALSE)&lt;&gt;0,"yes","no")</f>
        <v>yes</v>
      </c>
      <c r="E76" t="str">
        <f>IF(VLOOKUP(B76,Wikidata_upec_chemical_20!$C:$O,4,FALSE)&lt;&gt;0,"yes","no")</f>
        <v>no</v>
      </c>
    </row>
    <row r="77" spans="2:5" x14ac:dyDescent="0.3">
      <c r="B77" t="str">
        <v>Anthropogenic impacts</v>
      </c>
      <c r="C77" t="str">
        <f>VLOOKUP(B77,Wikidata_upec_chemical_20!$C:$O,13,FALSE)</f>
        <v>ok</v>
      </c>
      <c r="D77" t="str">
        <f>IF(VLOOKUP(B77,Wikidata_upec_chemical_20!$C:$O,3,FALSE)&lt;&gt;0,"yes","no")</f>
        <v>no</v>
      </c>
      <c r="E77" t="str">
        <f>IF(VLOOKUP(B77,Wikidata_upec_chemical_20!$C:$O,4,FALSE)&lt;&gt;0,"yes","no")</f>
        <v>no</v>
      </c>
    </row>
    <row r="78" spans="2:5" x14ac:dyDescent="0.3">
      <c r="B78" t="str">
        <v>Sampling procedures</v>
      </c>
      <c r="C78" t="str">
        <f>VLOOKUP(B78,Wikidata_upec_chemical_20!$C:$O,13,FALSE)</f>
        <v>ok</v>
      </c>
      <c r="D78" t="str">
        <f>IF(VLOOKUP(B78,Wikidata_upec_chemical_20!$C:$O,3,FALSE)&lt;&gt;0,"yes","no")</f>
        <v>yes</v>
      </c>
      <c r="E78" t="str">
        <f>IF(VLOOKUP(B78,Wikidata_upec_chemical_20!$C:$O,4,FALSE)&lt;&gt;0,"yes","no")</f>
        <v>no</v>
      </c>
    </row>
    <row r="79" spans="2:5" x14ac:dyDescent="0.3">
      <c r="B79" t="str">
        <v>Atmospheric fallout</v>
      </c>
      <c r="C79" t="str">
        <f>VLOOKUP(B79,Wikidata_upec_chemical_20!$C:$O,13,FALSE)</f>
        <v>ok</v>
      </c>
      <c r="D79" t="str">
        <f>IF(VLOOKUP(B79,Wikidata_upec_chemical_20!$C:$O,3,FALSE)&lt;&gt;0,"yes","no")</f>
        <v>no</v>
      </c>
      <c r="E79" t="str">
        <f>IF(VLOOKUP(B79,Wikidata_upec_chemical_20!$C:$O,4,FALSE)&lt;&gt;0,"yes","no")</f>
        <v>no</v>
      </c>
    </row>
    <row r="80" spans="2:5" x14ac:dyDescent="0.3">
      <c r="B80" t="str">
        <v>Trace elements</v>
      </c>
      <c r="C80" t="str">
        <f>VLOOKUP(B80,Wikidata_upec_chemical_20!$C:$O,13,FALSE)</f>
        <v>ok</v>
      </c>
      <c r="D80" t="str">
        <f>IF(VLOOKUP(B80,Wikidata_upec_chemical_20!$C:$O,3,FALSE)&lt;&gt;0,"yes","no")</f>
        <v>yes</v>
      </c>
      <c r="E80" t="str">
        <f>IF(VLOOKUP(B80,Wikidata_upec_chemical_20!$C:$O,4,FALSE)&lt;&gt;0,"yes","no")</f>
        <v>yes</v>
      </c>
    </row>
    <row r="81" spans="2:5" x14ac:dyDescent="0.3">
      <c r="B81" t="str">
        <v>Vibronic states</v>
      </c>
      <c r="C81" t="str">
        <f>VLOOKUP(B81,Wikidata_upec_chemical_20!$C:$O,13,FALSE)</f>
        <v>ok</v>
      </c>
      <c r="D81" t="str">
        <f>IF(VLOOKUP(B81,Wikidata_upec_chemical_20!$C:$O,3,FALSE)&lt;&gt;0,"yes","no")</f>
        <v>no</v>
      </c>
      <c r="E81" t="str">
        <f>IF(VLOOKUP(B81,Wikidata_upec_chemical_20!$C:$O,4,FALSE)&lt;&gt;0,"yes","no")</f>
        <v>no</v>
      </c>
    </row>
    <row r="82" spans="2:5" x14ac:dyDescent="0.3">
      <c r="B82" t="str">
        <v>Spinâ€“orbit coupling</v>
      </c>
      <c r="C82" t="str">
        <f>VLOOKUP(B82,Wikidata_upec_chemical_20!$C:$O,13,FALSE)</f>
        <v>ok</v>
      </c>
      <c r="D82" t="str">
        <f>IF(VLOOKUP(B82,Wikidata_upec_chemical_20!$C:$O,3,FALSE)&lt;&gt;0,"yes","no")</f>
        <v>no</v>
      </c>
      <c r="E82" t="str">
        <f>IF(VLOOKUP(B82,Wikidata_upec_chemical_20!$C:$O,4,FALSE)&lt;&gt;0,"yes","no")</f>
        <v>no</v>
      </c>
    </row>
    <row r="83" spans="2:5" x14ac:dyDescent="0.3">
      <c r="B83" t="str">
        <v>MRCI+Q</v>
      </c>
      <c r="C83" t="str">
        <f>VLOOKUP(B83,Wikidata_upec_chemical_20!$C:$O,13,FALSE)</f>
        <v>ok</v>
      </c>
      <c r="D83" t="str">
        <f>IF(VLOOKUP(B83,Wikidata_upec_chemical_20!$C:$O,3,FALSE)&lt;&gt;0,"yes","no")</f>
        <v>no</v>
      </c>
      <c r="E83" t="str">
        <f>IF(VLOOKUP(B83,Wikidata_upec_chemical_20!$C:$O,4,FALSE)&lt;&gt;0,"yes","no")</f>
        <v>no</v>
      </c>
    </row>
    <row r="84" spans="2:5" x14ac:dyDescent="0.3">
      <c r="B84" t="str">
        <v>Stable dication</v>
      </c>
      <c r="C84" t="str">
        <f>VLOOKUP(B84,Wikidata_upec_chemical_20!$C:$O,13,FALSE)</f>
        <v>ok</v>
      </c>
      <c r="D84" t="str">
        <f>IF(VLOOKUP(B84,Wikidata_upec_chemical_20!$C:$O,3,FALSE)&lt;&gt;0,"yes","no")</f>
        <v>no</v>
      </c>
      <c r="E84" t="str">
        <f>IF(VLOOKUP(B84,Wikidata_upec_chemical_20!$C:$O,4,FALSE)&lt;&gt;0,"yes","no")</f>
        <v>no</v>
      </c>
    </row>
    <row r="85" spans="2:5" x14ac:dyDescent="0.3">
      <c r="B85" t="str">
        <v>CaO</v>
      </c>
      <c r="C85" t="str">
        <f>VLOOKUP(B85,Wikidata_upec_chemical_20!$C:$O,13,FALSE)</f>
        <v>Wrong</v>
      </c>
      <c r="D85" t="str">
        <f>IF(VLOOKUP(B85,Wikidata_upec_chemical_20!$C:$O,3,FALSE)&lt;&gt;0,"yes","no")</f>
        <v>yes</v>
      </c>
      <c r="E85" t="str">
        <f>IF(VLOOKUP(B85,Wikidata_upec_chemical_20!$C:$O,4,FALSE)&lt;&gt;0,"yes","no")</f>
        <v>no</v>
      </c>
    </row>
    <row r="86" spans="2:5" x14ac:dyDescent="0.3">
      <c r="B86" t="str">
        <v>Calcium monoxide</v>
      </c>
      <c r="C86" t="str">
        <f>VLOOKUP(B86,Wikidata_upec_chemical_20!$C:$O,13,FALSE)</f>
        <v>ok</v>
      </c>
      <c r="D86" t="str">
        <f>IF(VLOOKUP(B86,Wikidata_upec_chemical_20!$C:$O,3,FALSE)&lt;&gt;0,"yes","no")</f>
        <v>no</v>
      </c>
      <c r="E86" t="str">
        <f>IF(VLOOKUP(B86,Wikidata_upec_chemical_20!$C:$O,4,FALSE)&lt;&gt;0,"yes","no")</f>
        <v>no</v>
      </c>
    </row>
    <row r="87" spans="2:5" x14ac:dyDescent="0.3">
      <c r="B87" t="str">
        <v>SILANE-GRAFTED POLYPROPYLENE</v>
      </c>
      <c r="C87" t="str">
        <f>VLOOKUP(B87,Wikidata_upec_chemical_20!$C:$O,13,FALSE)</f>
        <v>ok</v>
      </c>
      <c r="D87" t="str">
        <f>IF(VLOOKUP(B87,Wikidata_upec_chemical_20!$C:$O,3,FALSE)&lt;&gt;0,"yes","no")</f>
        <v>no</v>
      </c>
      <c r="E87" t="str">
        <f>IF(VLOOKUP(B87,Wikidata_upec_chemical_20!$C:$O,4,FALSE)&lt;&gt;0,"yes","no")</f>
        <v>no</v>
      </c>
    </row>
    <row r="88" spans="2:5" x14ac:dyDescent="0.3">
      <c r="B88" t="str">
        <v>GAS BARRIER PROPERTIES</v>
      </c>
      <c r="C88" t="str">
        <f>VLOOKUP(B88,Wikidata_upec_chemical_20!$C:$O,13,FALSE)</f>
        <v>ok</v>
      </c>
      <c r="D88" t="str">
        <f>IF(VLOOKUP(B88,Wikidata_upec_chemical_20!$C:$O,3,FALSE)&lt;&gt;0,"yes","no")</f>
        <v>no</v>
      </c>
      <c r="E88" t="str">
        <f>IF(VLOOKUP(B88,Wikidata_upec_chemical_20!$C:$O,4,FALSE)&lt;&gt;0,"yes","no")</f>
        <v>no</v>
      </c>
    </row>
    <row r="89" spans="2:5" x14ac:dyDescent="0.3">
      <c r="B89" t="str">
        <v>MECHANICAL-PROPERTIES</v>
      </c>
      <c r="C89" t="str">
        <f>VLOOKUP(B89,Wikidata_upec_chemical_20!$C:$O,13,FALSE)</f>
        <v>ok</v>
      </c>
      <c r="D89" t="str">
        <f>IF(VLOOKUP(B89,Wikidata_upec_chemical_20!$C:$O,3,FALSE)&lt;&gt;0,"yes","no")</f>
        <v>no</v>
      </c>
      <c r="E89" t="str">
        <f>IF(VLOOKUP(B89,Wikidata_upec_chemical_20!$C:$O,4,FALSE)&lt;&gt;0,"yes","no")</f>
        <v>no</v>
      </c>
    </row>
    <row r="90" spans="2:5" x14ac:dyDescent="0.3">
      <c r="B90" t="str">
        <v>CLAY NANOCOMPOSITES</v>
      </c>
      <c r="C90" t="str">
        <f>VLOOKUP(B90,Wikidata_upec_chemical_20!$C:$O,13,FALSE)</f>
        <v>ok</v>
      </c>
      <c r="D90" t="str">
        <f>IF(VLOOKUP(B90,Wikidata_upec_chemical_20!$C:$O,3,FALSE)&lt;&gt;0,"yes","no")</f>
        <v>no</v>
      </c>
      <c r="E90" t="str">
        <f>IF(VLOOKUP(B90,Wikidata_upec_chemical_20!$C:$O,4,FALSE)&lt;&gt;0,"yes","no")</f>
        <v>no</v>
      </c>
    </row>
    <row r="91" spans="2:5" x14ac:dyDescent="0.3">
      <c r="B91" t="str">
        <v>CARBON NANOTUBES</v>
      </c>
      <c r="C91" t="str">
        <f>VLOOKUP(B91,Wikidata_upec_chemical_20!$C:$O,13,FALSE)</f>
        <v>ok</v>
      </c>
      <c r="D91" t="str">
        <f>IF(VLOOKUP(B91,Wikidata_upec_chemical_20!$C:$O,3,FALSE)&lt;&gt;0,"yes","no")</f>
        <v>yes</v>
      </c>
      <c r="E91" t="str">
        <f>IF(VLOOKUP(B91,Wikidata_upec_chemical_20!$C:$O,4,FALSE)&lt;&gt;0,"yes","no")</f>
        <v>no</v>
      </c>
    </row>
    <row r="92" spans="2:5" x14ac:dyDescent="0.3">
      <c r="B92" t="str">
        <v>POLYMER</v>
      </c>
      <c r="C92" t="str">
        <f>VLOOKUP(B92,Wikidata_upec_chemical_20!$C:$O,13,FALSE)</f>
        <v>Wrong</v>
      </c>
      <c r="D92" t="str">
        <f>IF(VLOOKUP(B92,Wikidata_upec_chemical_20!$C:$O,3,FALSE)&lt;&gt;0,"yes","no")</f>
        <v>yes</v>
      </c>
      <c r="E92" t="str">
        <f>IF(VLOOKUP(B92,Wikidata_upec_chemical_20!$C:$O,4,FALSE)&lt;&gt;0,"yes","no")</f>
        <v>no</v>
      </c>
    </row>
    <row r="93" spans="2:5" x14ac:dyDescent="0.3">
      <c r="B93" t="str">
        <v>COMPOSITES</v>
      </c>
      <c r="C93" t="str">
        <f>VLOOKUP(B93,Wikidata_upec_chemical_20!$C:$O,13,FALSE)</f>
        <v>Wrong</v>
      </c>
      <c r="D93" t="str">
        <f>IF(VLOOKUP(B93,Wikidata_upec_chemical_20!$C:$O,3,FALSE)&lt;&gt;0,"yes","no")</f>
        <v>yes</v>
      </c>
      <c r="E93" t="str">
        <f>IF(VLOOKUP(B93,Wikidata_upec_chemical_20!$C:$O,4,FALSE)&lt;&gt;0,"yes","no")</f>
        <v>no</v>
      </c>
    </row>
    <row r="94" spans="2:5" x14ac:dyDescent="0.3">
      <c r="B94" t="str">
        <v>BLENDS</v>
      </c>
      <c r="C94" t="str">
        <f>VLOOKUP(B94,Wikidata_upec_chemical_20!$C:$O,13,FALSE)</f>
        <v>Wrong</v>
      </c>
      <c r="D94" t="str">
        <f>IF(VLOOKUP(B94,Wikidata_upec_chemical_20!$C:$O,3,FALSE)&lt;&gt;0,"yes","no")</f>
        <v>yes</v>
      </c>
      <c r="E94" t="str">
        <f>IF(VLOOKUP(B94,Wikidata_upec_chemical_20!$C:$O,4,FALSE)&lt;&gt;0,"yes","no")</f>
        <v>no</v>
      </c>
    </row>
    <row r="95" spans="2:5" x14ac:dyDescent="0.3">
      <c r="B95" t="str">
        <v>NANOPARTICLES</v>
      </c>
      <c r="C95" t="str">
        <f>VLOOKUP(B95,Wikidata_upec_chemical_20!$C:$O,13,FALSE)</f>
        <v>ok</v>
      </c>
      <c r="D95" t="str">
        <f>IF(VLOOKUP(B95,Wikidata_upec_chemical_20!$C:$O,3,FALSE)&lt;&gt;0,"yes","no")</f>
        <v>yes</v>
      </c>
      <c r="E95" t="str">
        <f>IF(VLOOKUP(B95,Wikidata_upec_chemical_20!$C:$O,4,FALSE)&lt;&gt;0,"yes","no")</f>
        <v>yes</v>
      </c>
    </row>
    <row r="96" spans="2:5" x14ac:dyDescent="0.3">
      <c r="B96" t="str">
        <v>CRYSTALLIZATION</v>
      </c>
      <c r="C96" t="str">
        <f>VLOOKUP(B96,Wikidata_upec_chemical_20!$C:$O,13,FALSE)</f>
        <v>ok</v>
      </c>
      <c r="D96" t="str">
        <f>IF(VLOOKUP(B96,Wikidata_upec_chemical_20!$C:$O,3,FALSE)&lt;&gt;0,"yes","no")</f>
        <v>yes</v>
      </c>
      <c r="E96" t="str">
        <f>IF(VLOOKUP(B96,Wikidata_upec_chemical_20!$C:$O,4,FALSE)&lt;&gt;0,"yes","no")</f>
        <v>yes</v>
      </c>
    </row>
    <row r="97" spans="2:5" x14ac:dyDescent="0.3">
      <c r="B97">
        <v>0</v>
      </c>
      <c r="D97" t="e">
        <f>IF(VLOOKUP(B97,Wikidata_upec_chemical_20!$C:$O,3,FALSE)&lt;&gt;0,"yes","no")</f>
        <v>#N/A</v>
      </c>
      <c r="E97" t="e">
        <f>IF(VLOOKUP(B97,Wikidata_upec_chemical_20!$C:$O,4,FALSE)&lt;&gt;0,"yes","no")</f>
        <v>#N/A</v>
      </c>
    </row>
  </sheetData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267442-44F6-41EB-B731-87DD5AEA16A5}">
  <dimension ref="A1:N472"/>
  <sheetViews>
    <sheetView workbookViewId="0"/>
  </sheetViews>
  <sheetFormatPr defaultRowHeight="14.4" x14ac:dyDescent="0.3"/>
  <sheetData>
    <row r="1" spans="1:14" x14ac:dyDescent="0.3">
      <c r="A1" t="s">
        <v>0</v>
      </c>
      <c r="B1" t="s">
        <v>1</v>
      </c>
      <c r="C1" t="s">
        <v>2</v>
      </c>
      <c r="D1" t="s">
        <v>3</v>
      </c>
      <c r="E1" t="s">
        <v>4</v>
      </c>
      <c r="F1" t="s">
        <v>5</v>
      </c>
      <c r="G1" t="s">
        <v>6</v>
      </c>
      <c r="H1" t="s">
        <v>7</v>
      </c>
      <c r="I1" t="s">
        <v>8</v>
      </c>
      <c r="J1" t="s">
        <v>9</v>
      </c>
      <c r="K1" t="s">
        <v>10</v>
      </c>
      <c r="L1" t="s">
        <v>11</v>
      </c>
      <c r="M1" t="s">
        <v>12</v>
      </c>
      <c r="N1" t="s">
        <v>13</v>
      </c>
    </row>
    <row r="2" spans="1:14" x14ac:dyDescent="0.3">
      <c r="A2">
        <v>1021415</v>
      </c>
      <c r="B2" t="s">
        <v>2438</v>
      </c>
      <c r="C2" t="s">
        <v>2336</v>
      </c>
      <c r="H2" t="s">
        <v>16</v>
      </c>
      <c r="I2" t="s">
        <v>16</v>
      </c>
      <c r="J2" t="s">
        <v>17</v>
      </c>
      <c r="K2">
        <v>0</v>
      </c>
      <c r="L2">
        <v>0</v>
      </c>
    </row>
    <row r="3" spans="1:14" x14ac:dyDescent="0.3">
      <c r="A3">
        <v>1021415</v>
      </c>
      <c r="B3" t="s">
        <v>2438</v>
      </c>
      <c r="C3" t="s">
        <v>2337</v>
      </c>
      <c r="D3" t="s">
        <v>2439</v>
      </c>
      <c r="E3" t="s">
        <v>2440</v>
      </c>
      <c r="H3" t="s">
        <v>22</v>
      </c>
      <c r="I3" t="s">
        <v>22</v>
      </c>
      <c r="J3" t="s">
        <v>17</v>
      </c>
      <c r="K3">
        <v>88.9</v>
      </c>
      <c r="L3">
        <v>54.3</v>
      </c>
      <c r="M3" t="s">
        <v>2441</v>
      </c>
      <c r="N3" t="s">
        <v>2442</v>
      </c>
    </row>
    <row r="4" spans="1:14" x14ac:dyDescent="0.3">
      <c r="A4">
        <v>1021415</v>
      </c>
      <c r="B4" t="s">
        <v>2438</v>
      </c>
      <c r="C4" t="s">
        <v>2339</v>
      </c>
      <c r="H4" t="s">
        <v>16</v>
      </c>
      <c r="I4" t="s">
        <v>16</v>
      </c>
      <c r="J4" t="s">
        <v>17</v>
      </c>
      <c r="K4">
        <v>0</v>
      </c>
      <c r="L4">
        <v>0</v>
      </c>
    </row>
    <row r="5" spans="1:14" x14ac:dyDescent="0.3">
      <c r="A5">
        <v>1021415</v>
      </c>
      <c r="B5" t="s">
        <v>2438</v>
      </c>
      <c r="C5" t="s">
        <v>2340</v>
      </c>
      <c r="D5" t="s">
        <v>2340</v>
      </c>
      <c r="E5" t="s">
        <v>2443</v>
      </c>
      <c r="H5" t="s">
        <v>22</v>
      </c>
      <c r="I5" t="s">
        <v>22</v>
      </c>
      <c r="J5" t="s">
        <v>17</v>
      </c>
      <c r="K5">
        <v>100</v>
      </c>
      <c r="L5">
        <v>111</v>
      </c>
      <c r="M5" t="s">
        <v>338</v>
      </c>
      <c r="N5" t="s">
        <v>339</v>
      </c>
    </row>
    <row r="6" spans="1:14" x14ac:dyDescent="0.3">
      <c r="A6">
        <v>1021415</v>
      </c>
      <c r="B6" t="s">
        <v>2438</v>
      </c>
      <c r="C6" t="s">
        <v>2341</v>
      </c>
      <c r="H6" t="s">
        <v>16</v>
      </c>
      <c r="I6" t="s">
        <v>16</v>
      </c>
      <c r="J6" t="s">
        <v>17</v>
      </c>
      <c r="K6">
        <v>0</v>
      </c>
      <c r="L6">
        <v>0</v>
      </c>
    </row>
    <row r="7" spans="1:14" x14ac:dyDescent="0.3">
      <c r="A7">
        <v>1052672</v>
      </c>
      <c r="B7" t="s">
        <v>2444</v>
      </c>
      <c r="C7" t="s">
        <v>2342</v>
      </c>
      <c r="H7" t="s">
        <v>16</v>
      </c>
      <c r="I7" t="s">
        <v>16</v>
      </c>
      <c r="J7" t="s">
        <v>17</v>
      </c>
      <c r="K7">
        <v>0</v>
      </c>
      <c r="L7">
        <v>0</v>
      </c>
    </row>
    <row r="8" spans="1:14" x14ac:dyDescent="0.3">
      <c r="A8">
        <v>1052672</v>
      </c>
      <c r="B8" t="s">
        <v>2444</v>
      </c>
      <c r="C8" t="s">
        <v>2343</v>
      </c>
      <c r="D8" t="s">
        <v>2445</v>
      </c>
      <c r="E8" t="s">
        <v>2446</v>
      </c>
      <c r="H8" t="s">
        <v>46</v>
      </c>
      <c r="I8" t="s">
        <v>46</v>
      </c>
      <c r="J8" t="s">
        <v>17</v>
      </c>
      <c r="K8">
        <v>100</v>
      </c>
      <c r="L8">
        <v>50</v>
      </c>
      <c r="M8" t="s">
        <v>241</v>
      </c>
      <c r="N8" t="s">
        <v>242</v>
      </c>
    </row>
    <row r="9" spans="1:14" x14ac:dyDescent="0.3">
      <c r="A9">
        <v>1052672</v>
      </c>
      <c r="B9" t="s">
        <v>2444</v>
      </c>
      <c r="C9" t="s">
        <v>2344</v>
      </c>
      <c r="H9" t="s">
        <v>16</v>
      </c>
      <c r="I9" t="s">
        <v>16</v>
      </c>
      <c r="J9" t="s">
        <v>17</v>
      </c>
      <c r="K9">
        <v>0</v>
      </c>
      <c r="L9">
        <v>0</v>
      </c>
    </row>
    <row r="10" spans="1:14" x14ac:dyDescent="0.3">
      <c r="A10">
        <v>1052672</v>
      </c>
      <c r="B10" t="s">
        <v>2444</v>
      </c>
      <c r="C10" t="s">
        <v>2345</v>
      </c>
      <c r="D10" t="s">
        <v>2447</v>
      </c>
      <c r="E10" t="s">
        <v>2448</v>
      </c>
      <c r="H10" t="s">
        <v>46</v>
      </c>
      <c r="I10" t="s">
        <v>46</v>
      </c>
      <c r="J10" t="s">
        <v>17</v>
      </c>
      <c r="K10">
        <v>100</v>
      </c>
      <c r="L10">
        <v>50</v>
      </c>
      <c r="M10" t="s">
        <v>1226</v>
      </c>
      <c r="N10" t="s">
        <v>1225</v>
      </c>
    </row>
    <row r="11" spans="1:14" x14ac:dyDescent="0.3">
      <c r="A11">
        <v>1053257</v>
      </c>
      <c r="B11" t="s">
        <v>2449</v>
      </c>
      <c r="C11" t="s">
        <v>2343</v>
      </c>
      <c r="D11" t="s">
        <v>2445</v>
      </c>
      <c r="E11" t="s">
        <v>2446</v>
      </c>
      <c r="H11" t="s">
        <v>46</v>
      </c>
      <c r="I11" t="s">
        <v>46</v>
      </c>
      <c r="J11" t="s">
        <v>17</v>
      </c>
      <c r="K11">
        <v>100</v>
      </c>
      <c r="L11">
        <v>50</v>
      </c>
      <c r="M11" t="s">
        <v>241</v>
      </c>
      <c r="N11" t="s">
        <v>242</v>
      </c>
    </row>
    <row r="12" spans="1:14" x14ac:dyDescent="0.3">
      <c r="A12">
        <v>1053257</v>
      </c>
      <c r="B12" t="s">
        <v>2449</v>
      </c>
      <c r="C12" t="s">
        <v>2345</v>
      </c>
      <c r="D12" t="s">
        <v>2447</v>
      </c>
      <c r="E12" t="s">
        <v>2448</v>
      </c>
      <c r="H12" t="s">
        <v>46</v>
      </c>
      <c r="I12" t="s">
        <v>46</v>
      </c>
      <c r="J12" t="s">
        <v>17</v>
      </c>
      <c r="K12">
        <v>100</v>
      </c>
      <c r="L12">
        <v>50</v>
      </c>
      <c r="M12" t="s">
        <v>1226</v>
      </c>
      <c r="N12" t="s">
        <v>1225</v>
      </c>
    </row>
    <row r="13" spans="1:14" x14ac:dyDescent="0.3">
      <c r="A13">
        <v>1053257</v>
      </c>
      <c r="B13" t="s">
        <v>2449</v>
      </c>
      <c r="C13" t="s">
        <v>2344</v>
      </c>
      <c r="H13" t="s">
        <v>16</v>
      </c>
      <c r="I13" t="s">
        <v>16</v>
      </c>
      <c r="J13" t="s">
        <v>17</v>
      </c>
      <c r="K13">
        <v>0</v>
      </c>
      <c r="L13">
        <v>0</v>
      </c>
    </row>
    <row r="14" spans="1:14" x14ac:dyDescent="0.3">
      <c r="A14">
        <v>1059165</v>
      </c>
      <c r="B14" t="s">
        <v>2450</v>
      </c>
      <c r="C14" t="s">
        <v>2346</v>
      </c>
      <c r="D14" t="s">
        <v>2451</v>
      </c>
      <c r="E14" t="s">
        <v>2452</v>
      </c>
      <c r="F14">
        <v>119330931</v>
      </c>
      <c r="G14" t="s">
        <v>2453</v>
      </c>
      <c r="H14" t="s">
        <v>22</v>
      </c>
      <c r="I14" t="s">
        <v>22</v>
      </c>
      <c r="J14" t="s">
        <v>17</v>
      </c>
      <c r="K14">
        <v>90.3</v>
      </c>
      <c r="L14">
        <v>58.2</v>
      </c>
      <c r="M14" t="s">
        <v>2454</v>
      </c>
      <c r="N14" t="s">
        <v>2455</v>
      </c>
    </row>
    <row r="15" spans="1:14" x14ac:dyDescent="0.3">
      <c r="A15">
        <v>1059165</v>
      </c>
      <c r="B15" t="s">
        <v>2450</v>
      </c>
      <c r="C15" t="s">
        <v>2346</v>
      </c>
      <c r="D15" t="s">
        <v>2451</v>
      </c>
      <c r="E15" t="s">
        <v>2452</v>
      </c>
      <c r="F15">
        <v>119330931</v>
      </c>
      <c r="G15" t="s">
        <v>2456</v>
      </c>
      <c r="H15" t="s">
        <v>22</v>
      </c>
      <c r="I15" t="s">
        <v>22</v>
      </c>
      <c r="J15" t="s">
        <v>17</v>
      </c>
      <c r="K15">
        <v>90.3</v>
      </c>
      <c r="L15">
        <v>58.2</v>
      </c>
      <c r="M15" t="s">
        <v>2454</v>
      </c>
      <c r="N15" t="s">
        <v>2455</v>
      </c>
    </row>
    <row r="16" spans="1:14" x14ac:dyDescent="0.3">
      <c r="A16">
        <v>1059165</v>
      </c>
      <c r="B16" t="s">
        <v>2450</v>
      </c>
      <c r="C16" t="s">
        <v>2346</v>
      </c>
      <c r="D16" t="s">
        <v>2451</v>
      </c>
      <c r="E16" t="s">
        <v>2452</v>
      </c>
      <c r="F16">
        <v>119330931</v>
      </c>
      <c r="G16" t="s">
        <v>2457</v>
      </c>
      <c r="H16" t="s">
        <v>22</v>
      </c>
      <c r="I16" t="s">
        <v>22</v>
      </c>
      <c r="J16" t="s">
        <v>17</v>
      </c>
      <c r="K16">
        <v>90.3</v>
      </c>
      <c r="L16">
        <v>58.2</v>
      </c>
      <c r="M16" t="s">
        <v>2454</v>
      </c>
      <c r="N16" t="s">
        <v>2455</v>
      </c>
    </row>
    <row r="17" spans="1:14" x14ac:dyDescent="0.3">
      <c r="A17">
        <v>1059165</v>
      </c>
      <c r="B17" t="s">
        <v>2450</v>
      </c>
      <c r="C17" t="s">
        <v>2346</v>
      </c>
      <c r="D17" t="s">
        <v>2451</v>
      </c>
      <c r="E17" t="s">
        <v>2452</v>
      </c>
      <c r="F17">
        <v>119330931</v>
      </c>
      <c r="G17" t="s">
        <v>2458</v>
      </c>
      <c r="H17" t="s">
        <v>22</v>
      </c>
      <c r="I17" t="s">
        <v>22</v>
      </c>
      <c r="J17" t="s">
        <v>17</v>
      </c>
      <c r="K17">
        <v>90.3</v>
      </c>
      <c r="L17">
        <v>58.2</v>
      </c>
      <c r="M17" t="s">
        <v>2454</v>
      </c>
      <c r="N17" t="s">
        <v>2455</v>
      </c>
    </row>
    <row r="18" spans="1:14" x14ac:dyDescent="0.3">
      <c r="A18">
        <v>1059165</v>
      </c>
      <c r="B18" t="s">
        <v>2450</v>
      </c>
      <c r="C18" t="s">
        <v>2346</v>
      </c>
      <c r="D18" t="s">
        <v>2451</v>
      </c>
      <c r="E18" t="s">
        <v>2452</v>
      </c>
      <c r="F18">
        <v>119330931</v>
      </c>
      <c r="G18" t="s">
        <v>2459</v>
      </c>
      <c r="H18" t="s">
        <v>22</v>
      </c>
      <c r="I18" t="s">
        <v>22</v>
      </c>
      <c r="J18" t="s">
        <v>17</v>
      </c>
      <c r="K18">
        <v>90.3</v>
      </c>
      <c r="L18">
        <v>58.2</v>
      </c>
      <c r="M18" t="s">
        <v>2454</v>
      </c>
      <c r="N18" t="s">
        <v>2455</v>
      </c>
    </row>
    <row r="19" spans="1:14" x14ac:dyDescent="0.3">
      <c r="A19">
        <v>1059165</v>
      </c>
      <c r="B19" t="s">
        <v>2450</v>
      </c>
      <c r="C19" t="s">
        <v>2346</v>
      </c>
      <c r="D19" t="s">
        <v>2451</v>
      </c>
      <c r="E19" t="s">
        <v>2452</v>
      </c>
      <c r="F19">
        <v>119330931</v>
      </c>
      <c r="G19" t="s">
        <v>2460</v>
      </c>
      <c r="H19" t="s">
        <v>22</v>
      </c>
      <c r="I19" t="s">
        <v>22</v>
      </c>
      <c r="J19" t="s">
        <v>17</v>
      </c>
      <c r="K19">
        <v>90.3</v>
      </c>
      <c r="L19">
        <v>58.2</v>
      </c>
      <c r="M19" t="s">
        <v>2454</v>
      </c>
      <c r="N19" t="s">
        <v>2455</v>
      </c>
    </row>
    <row r="20" spans="1:14" x14ac:dyDescent="0.3">
      <c r="A20">
        <v>1059165</v>
      </c>
      <c r="B20" t="s">
        <v>2450</v>
      </c>
      <c r="C20" t="s">
        <v>2346</v>
      </c>
      <c r="D20" t="s">
        <v>2451</v>
      </c>
      <c r="E20" t="s">
        <v>2452</v>
      </c>
      <c r="F20">
        <v>119330931</v>
      </c>
      <c r="G20" t="s">
        <v>2461</v>
      </c>
      <c r="H20" t="s">
        <v>22</v>
      </c>
      <c r="I20" t="s">
        <v>22</v>
      </c>
      <c r="J20" t="s">
        <v>17</v>
      </c>
      <c r="K20">
        <v>90.3</v>
      </c>
      <c r="L20">
        <v>58.2</v>
      </c>
      <c r="M20" t="s">
        <v>2454</v>
      </c>
      <c r="N20" t="s">
        <v>2455</v>
      </c>
    </row>
    <row r="21" spans="1:14" x14ac:dyDescent="0.3">
      <c r="A21">
        <v>1059165</v>
      </c>
      <c r="B21" t="s">
        <v>2450</v>
      </c>
      <c r="C21" t="s">
        <v>2346</v>
      </c>
      <c r="D21" t="s">
        <v>2451</v>
      </c>
      <c r="E21" t="s">
        <v>2452</v>
      </c>
      <c r="F21">
        <v>119330931</v>
      </c>
      <c r="G21" t="s">
        <v>2462</v>
      </c>
      <c r="H21" t="s">
        <v>22</v>
      </c>
      <c r="I21" t="s">
        <v>22</v>
      </c>
      <c r="J21" t="s">
        <v>17</v>
      </c>
      <c r="K21">
        <v>90.3</v>
      </c>
      <c r="L21">
        <v>58.2</v>
      </c>
      <c r="M21" t="s">
        <v>2454</v>
      </c>
      <c r="N21" t="s">
        <v>2455</v>
      </c>
    </row>
    <row r="22" spans="1:14" x14ac:dyDescent="0.3">
      <c r="A22">
        <v>1059165</v>
      </c>
      <c r="B22" t="s">
        <v>2450</v>
      </c>
      <c r="C22" t="s">
        <v>2346</v>
      </c>
      <c r="D22" t="s">
        <v>2451</v>
      </c>
      <c r="E22" t="s">
        <v>2452</v>
      </c>
      <c r="F22">
        <v>119330931</v>
      </c>
      <c r="G22" t="s">
        <v>2463</v>
      </c>
      <c r="H22" t="s">
        <v>22</v>
      </c>
      <c r="I22" t="s">
        <v>22</v>
      </c>
      <c r="J22" t="s">
        <v>17</v>
      </c>
      <c r="K22">
        <v>90.3</v>
      </c>
      <c r="L22">
        <v>58.2</v>
      </c>
      <c r="M22" t="s">
        <v>2454</v>
      </c>
      <c r="N22" t="s">
        <v>2455</v>
      </c>
    </row>
    <row r="23" spans="1:14" x14ac:dyDescent="0.3">
      <c r="A23">
        <v>1059165</v>
      </c>
      <c r="B23" t="s">
        <v>2450</v>
      </c>
      <c r="C23" t="s">
        <v>2346</v>
      </c>
      <c r="D23" t="s">
        <v>2451</v>
      </c>
      <c r="E23" t="s">
        <v>2452</v>
      </c>
      <c r="F23">
        <v>119330931</v>
      </c>
      <c r="G23" t="s">
        <v>2464</v>
      </c>
      <c r="H23" t="s">
        <v>22</v>
      </c>
      <c r="I23" t="s">
        <v>22</v>
      </c>
      <c r="J23" t="s">
        <v>17</v>
      </c>
      <c r="K23">
        <v>90.3</v>
      </c>
      <c r="L23">
        <v>58.2</v>
      </c>
      <c r="M23" t="s">
        <v>2454</v>
      </c>
      <c r="N23" t="s">
        <v>2455</v>
      </c>
    </row>
    <row r="24" spans="1:14" x14ac:dyDescent="0.3">
      <c r="A24">
        <v>1059165</v>
      </c>
      <c r="B24" t="s">
        <v>2450</v>
      </c>
      <c r="C24" t="s">
        <v>2346</v>
      </c>
      <c r="D24" t="s">
        <v>2451</v>
      </c>
      <c r="E24" t="s">
        <v>2452</v>
      </c>
      <c r="F24">
        <v>119330931</v>
      </c>
      <c r="G24" t="s">
        <v>2465</v>
      </c>
      <c r="H24" t="s">
        <v>22</v>
      </c>
      <c r="I24" t="s">
        <v>22</v>
      </c>
      <c r="J24" t="s">
        <v>17</v>
      </c>
      <c r="K24">
        <v>90.3</v>
      </c>
      <c r="L24">
        <v>58.2</v>
      </c>
      <c r="M24" t="s">
        <v>2454</v>
      </c>
      <c r="N24" t="s">
        <v>2455</v>
      </c>
    </row>
    <row r="25" spans="1:14" x14ac:dyDescent="0.3">
      <c r="A25">
        <v>1059165</v>
      </c>
      <c r="B25" t="s">
        <v>2450</v>
      </c>
      <c r="C25" t="s">
        <v>2346</v>
      </c>
      <c r="D25" t="s">
        <v>2451</v>
      </c>
      <c r="E25" t="s">
        <v>2452</v>
      </c>
      <c r="F25">
        <v>119330931</v>
      </c>
      <c r="G25" t="s">
        <v>2466</v>
      </c>
      <c r="H25" t="s">
        <v>22</v>
      </c>
      <c r="I25" t="s">
        <v>22</v>
      </c>
      <c r="J25" t="s">
        <v>17</v>
      </c>
      <c r="K25">
        <v>90.3</v>
      </c>
      <c r="L25">
        <v>58.2</v>
      </c>
      <c r="M25" t="s">
        <v>2454</v>
      </c>
      <c r="N25" t="s">
        <v>2455</v>
      </c>
    </row>
    <row r="26" spans="1:14" x14ac:dyDescent="0.3">
      <c r="A26">
        <v>1059165</v>
      </c>
      <c r="B26" t="s">
        <v>2450</v>
      </c>
      <c r="C26" t="s">
        <v>2346</v>
      </c>
      <c r="D26" t="s">
        <v>2451</v>
      </c>
      <c r="E26" t="s">
        <v>2452</v>
      </c>
      <c r="F26">
        <v>119330931</v>
      </c>
      <c r="G26" t="s">
        <v>2467</v>
      </c>
      <c r="H26" t="s">
        <v>22</v>
      </c>
      <c r="I26" t="s">
        <v>22</v>
      </c>
      <c r="J26" t="s">
        <v>17</v>
      </c>
      <c r="K26">
        <v>90.3</v>
      </c>
      <c r="L26">
        <v>58.2</v>
      </c>
      <c r="M26" t="s">
        <v>2454</v>
      </c>
      <c r="N26" t="s">
        <v>2455</v>
      </c>
    </row>
    <row r="27" spans="1:14" x14ac:dyDescent="0.3">
      <c r="A27">
        <v>1059165</v>
      </c>
      <c r="B27" t="s">
        <v>2450</v>
      </c>
      <c r="C27" t="s">
        <v>2346</v>
      </c>
      <c r="D27" t="s">
        <v>2451</v>
      </c>
      <c r="E27" t="s">
        <v>2452</v>
      </c>
      <c r="F27">
        <v>119330931</v>
      </c>
      <c r="G27" t="s">
        <v>2468</v>
      </c>
      <c r="H27" t="s">
        <v>22</v>
      </c>
      <c r="I27" t="s">
        <v>22</v>
      </c>
      <c r="J27" t="s">
        <v>17</v>
      </c>
      <c r="K27">
        <v>90.3</v>
      </c>
      <c r="L27">
        <v>58.2</v>
      </c>
      <c r="M27" t="s">
        <v>2454</v>
      </c>
      <c r="N27" t="s">
        <v>2455</v>
      </c>
    </row>
    <row r="28" spans="1:14" x14ac:dyDescent="0.3">
      <c r="A28">
        <v>1059165</v>
      </c>
      <c r="B28" t="s">
        <v>2450</v>
      </c>
      <c r="C28" t="s">
        <v>2346</v>
      </c>
      <c r="D28" t="s">
        <v>2451</v>
      </c>
      <c r="E28" t="s">
        <v>2452</v>
      </c>
      <c r="F28">
        <v>119330931</v>
      </c>
      <c r="G28" t="s">
        <v>2469</v>
      </c>
      <c r="H28" t="s">
        <v>22</v>
      </c>
      <c r="I28" t="s">
        <v>22</v>
      </c>
      <c r="J28" t="s">
        <v>17</v>
      </c>
      <c r="K28">
        <v>90.3</v>
      </c>
      <c r="L28">
        <v>58.2</v>
      </c>
      <c r="M28" t="s">
        <v>2454</v>
      </c>
      <c r="N28" t="s">
        <v>2455</v>
      </c>
    </row>
    <row r="29" spans="1:14" x14ac:dyDescent="0.3">
      <c r="A29">
        <v>1059165</v>
      </c>
      <c r="B29" t="s">
        <v>2450</v>
      </c>
      <c r="C29" t="s">
        <v>2346</v>
      </c>
      <c r="D29" t="s">
        <v>2451</v>
      </c>
      <c r="E29" t="s">
        <v>2452</v>
      </c>
      <c r="F29">
        <v>119330931</v>
      </c>
      <c r="G29" t="s">
        <v>2470</v>
      </c>
      <c r="H29" t="s">
        <v>22</v>
      </c>
      <c r="I29" t="s">
        <v>22</v>
      </c>
      <c r="J29" t="s">
        <v>17</v>
      </c>
      <c r="K29">
        <v>90.3</v>
      </c>
      <c r="L29">
        <v>58.2</v>
      </c>
      <c r="M29" t="s">
        <v>2454</v>
      </c>
      <c r="N29" t="s">
        <v>2455</v>
      </c>
    </row>
    <row r="30" spans="1:14" x14ac:dyDescent="0.3">
      <c r="A30">
        <v>1059165</v>
      </c>
      <c r="B30" t="s">
        <v>2450</v>
      </c>
      <c r="C30" t="s">
        <v>2346</v>
      </c>
      <c r="D30" t="s">
        <v>2451</v>
      </c>
      <c r="E30" t="s">
        <v>2452</v>
      </c>
      <c r="F30">
        <v>119330931</v>
      </c>
      <c r="G30" t="s">
        <v>2471</v>
      </c>
      <c r="H30" t="s">
        <v>22</v>
      </c>
      <c r="I30" t="s">
        <v>22</v>
      </c>
      <c r="J30" t="s">
        <v>17</v>
      </c>
      <c r="K30">
        <v>90.3</v>
      </c>
      <c r="L30">
        <v>58.2</v>
      </c>
      <c r="M30" t="s">
        <v>2454</v>
      </c>
      <c r="N30" t="s">
        <v>2455</v>
      </c>
    </row>
    <row r="31" spans="1:14" x14ac:dyDescent="0.3">
      <c r="A31">
        <v>1059165</v>
      </c>
      <c r="B31" t="s">
        <v>2450</v>
      </c>
      <c r="C31" t="s">
        <v>2346</v>
      </c>
      <c r="D31" t="s">
        <v>2451</v>
      </c>
      <c r="E31" t="s">
        <v>2452</v>
      </c>
      <c r="F31">
        <v>119330931</v>
      </c>
      <c r="G31" t="s">
        <v>2472</v>
      </c>
      <c r="H31" t="s">
        <v>22</v>
      </c>
      <c r="I31" t="s">
        <v>22</v>
      </c>
      <c r="J31" t="s">
        <v>17</v>
      </c>
      <c r="K31">
        <v>90.3</v>
      </c>
      <c r="L31">
        <v>58.2</v>
      </c>
      <c r="M31" t="s">
        <v>2454</v>
      </c>
      <c r="N31" t="s">
        <v>2455</v>
      </c>
    </row>
    <row r="32" spans="1:14" x14ac:dyDescent="0.3">
      <c r="A32">
        <v>1059165</v>
      </c>
      <c r="B32" t="s">
        <v>2450</v>
      </c>
      <c r="C32" t="s">
        <v>2346</v>
      </c>
      <c r="D32" t="s">
        <v>2451</v>
      </c>
      <c r="E32" t="s">
        <v>2452</v>
      </c>
      <c r="F32">
        <v>119330931</v>
      </c>
      <c r="G32" t="s">
        <v>2473</v>
      </c>
      <c r="H32" t="s">
        <v>22</v>
      </c>
      <c r="I32" t="s">
        <v>22</v>
      </c>
      <c r="J32" t="s">
        <v>17</v>
      </c>
      <c r="K32">
        <v>90.3</v>
      </c>
      <c r="L32">
        <v>58.2</v>
      </c>
      <c r="M32" t="s">
        <v>2454</v>
      </c>
      <c r="N32" t="s">
        <v>2455</v>
      </c>
    </row>
    <row r="33" spans="1:14" x14ac:dyDescent="0.3">
      <c r="A33">
        <v>1059165</v>
      </c>
      <c r="B33" t="s">
        <v>2450</v>
      </c>
      <c r="C33" t="s">
        <v>2346</v>
      </c>
      <c r="D33" t="s">
        <v>2451</v>
      </c>
      <c r="E33" t="s">
        <v>2452</v>
      </c>
      <c r="F33">
        <v>119330931</v>
      </c>
      <c r="G33" t="s">
        <v>2474</v>
      </c>
      <c r="H33" t="s">
        <v>22</v>
      </c>
      <c r="I33" t="s">
        <v>22</v>
      </c>
      <c r="J33" t="s">
        <v>17</v>
      </c>
      <c r="K33">
        <v>90.3</v>
      </c>
      <c r="L33">
        <v>58.2</v>
      </c>
      <c r="M33" t="s">
        <v>2454</v>
      </c>
      <c r="N33" t="s">
        <v>2455</v>
      </c>
    </row>
    <row r="34" spans="1:14" x14ac:dyDescent="0.3">
      <c r="A34">
        <v>1059165</v>
      </c>
      <c r="B34" t="s">
        <v>2450</v>
      </c>
      <c r="C34" t="s">
        <v>2346</v>
      </c>
      <c r="D34" t="s">
        <v>2451</v>
      </c>
      <c r="E34" t="s">
        <v>2452</v>
      </c>
      <c r="F34">
        <v>119330931</v>
      </c>
      <c r="G34" t="s">
        <v>2475</v>
      </c>
      <c r="H34" t="s">
        <v>22</v>
      </c>
      <c r="I34" t="s">
        <v>22</v>
      </c>
      <c r="J34" t="s">
        <v>17</v>
      </c>
      <c r="K34">
        <v>90.3</v>
      </c>
      <c r="L34">
        <v>58.2</v>
      </c>
      <c r="M34" t="s">
        <v>2454</v>
      </c>
      <c r="N34" t="s">
        <v>2455</v>
      </c>
    </row>
    <row r="35" spans="1:14" x14ac:dyDescent="0.3">
      <c r="A35">
        <v>1059165</v>
      </c>
      <c r="B35" t="s">
        <v>2450</v>
      </c>
      <c r="C35" t="s">
        <v>2346</v>
      </c>
      <c r="D35" t="s">
        <v>2451</v>
      </c>
      <c r="E35" t="s">
        <v>2452</v>
      </c>
      <c r="F35">
        <v>119330931</v>
      </c>
      <c r="G35" t="s">
        <v>2476</v>
      </c>
      <c r="H35" t="s">
        <v>22</v>
      </c>
      <c r="I35" t="s">
        <v>22</v>
      </c>
      <c r="J35" t="s">
        <v>17</v>
      </c>
      <c r="K35">
        <v>90.3</v>
      </c>
      <c r="L35">
        <v>58.2</v>
      </c>
      <c r="M35" t="s">
        <v>2454</v>
      </c>
      <c r="N35" t="s">
        <v>2455</v>
      </c>
    </row>
    <row r="36" spans="1:14" x14ac:dyDescent="0.3">
      <c r="A36">
        <v>1059165</v>
      </c>
      <c r="B36" t="s">
        <v>2450</v>
      </c>
      <c r="C36" t="s">
        <v>2346</v>
      </c>
      <c r="D36" t="s">
        <v>2451</v>
      </c>
      <c r="E36" t="s">
        <v>2452</v>
      </c>
      <c r="F36">
        <v>119330931</v>
      </c>
      <c r="G36" t="s">
        <v>2477</v>
      </c>
      <c r="H36" t="s">
        <v>22</v>
      </c>
      <c r="I36" t="s">
        <v>22</v>
      </c>
      <c r="J36" t="s">
        <v>17</v>
      </c>
      <c r="K36">
        <v>90.3</v>
      </c>
      <c r="L36">
        <v>58.2</v>
      </c>
      <c r="M36" t="s">
        <v>2454</v>
      </c>
      <c r="N36" t="s">
        <v>2455</v>
      </c>
    </row>
    <row r="37" spans="1:14" x14ac:dyDescent="0.3">
      <c r="A37">
        <v>1059165</v>
      </c>
      <c r="B37" t="s">
        <v>2450</v>
      </c>
      <c r="C37" t="s">
        <v>2346</v>
      </c>
      <c r="D37" t="s">
        <v>2451</v>
      </c>
      <c r="E37" t="s">
        <v>2452</v>
      </c>
      <c r="F37">
        <v>119330931</v>
      </c>
      <c r="G37" t="s">
        <v>2478</v>
      </c>
      <c r="H37" t="s">
        <v>22</v>
      </c>
      <c r="I37" t="s">
        <v>22</v>
      </c>
      <c r="J37" t="s">
        <v>17</v>
      </c>
      <c r="K37">
        <v>90.3</v>
      </c>
      <c r="L37">
        <v>58.2</v>
      </c>
      <c r="M37" t="s">
        <v>2454</v>
      </c>
      <c r="N37" t="s">
        <v>2455</v>
      </c>
    </row>
    <row r="38" spans="1:14" x14ac:dyDescent="0.3">
      <c r="A38">
        <v>1059165</v>
      </c>
      <c r="B38" t="s">
        <v>2450</v>
      </c>
      <c r="C38" t="s">
        <v>2346</v>
      </c>
      <c r="D38" t="s">
        <v>2451</v>
      </c>
      <c r="E38" t="s">
        <v>2452</v>
      </c>
      <c r="F38">
        <v>119330931</v>
      </c>
      <c r="G38" t="s">
        <v>2479</v>
      </c>
      <c r="H38" t="s">
        <v>22</v>
      </c>
      <c r="I38" t="s">
        <v>22</v>
      </c>
      <c r="J38" t="s">
        <v>17</v>
      </c>
      <c r="K38">
        <v>90.3</v>
      </c>
      <c r="L38">
        <v>58.2</v>
      </c>
      <c r="M38" t="s">
        <v>2454</v>
      </c>
      <c r="N38" t="s">
        <v>2455</v>
      </c>
    </row>
    <row r="39" spans="1:14" x14ac:dyDescent="0.3">
      <c r="A39">
        <v>1059165</v>
      </c>
      <c r="B39" t="s">
        <v>2450</v>
      </c>
      <c r="C39" t="s">
        <v>2346</v>
      </c>
      <c r="D39" t="s">
        <v>2451</v>
      </c>
      <c r="E39" t="s">
        <v>2452</v>
      </c>
      <c r="F39">
        <v>119330931</v>
      </c>
      <c r="G39" t="s">
        <v>2480</v>
      </c>
      <c r="H39" t="s">
        <v>22</v>
      </c>
      <c r="I39" t="s">
        <v>22</v>
      </c>
      <c r="J39" t="s">
        <v>17</v>
      </c>
      <c r="K39">
        <v>90.3</v>
      </c>
      <c r="L39">
        <v>58.2</v>
      </c>
      <c r="M39" t="s">
        <v>2454</v>
      </c>
      <c r="N39" t="s">
        <v>2455</v>
      </c>
    </row>
    <row r="40" spans="1:14" x14ac:dyDescent="0.3">
      <c r="A40">
        <v>1059165</v>
      </c>
      <c r="B40" t="s">
        <v>2450</v>
      </c>
      <c r="C40" t="s">
        <v>2346</v>
      </c>
      <c r="D40" t="s">
        <v>2451</v>
      </c>
      <c r="E40" t="s">
        <v>2452</v>
      </c>
      <c r="F40">
        <v>119330931</v>
      </c>
      <c r="G40" t="s">
        <v>2481</v>
      </c>
      <c r="H40" t="s">
        <v>22</v>
      </c>
      <c r="I40" t="s">
        <v>22</v>
      </c>
      <c r="J40" t="s">
        <v>17</v>
      </c>
      <c r="K40">
        <v>90.3</v>
      </c>
      <c r="L40">
        <v>58.2</v>
      </c>
      <c r="M40" t="s">
        <v>2454</v>
      </c>
      <c r="N40" t="s">
        <v>2455</v>
      </c>
    </row>
    <row r="41" spans="1:14" x14ac:dyDescent="0.3">
      <c r="A41">
        <v>1059165</v>
      </c>
      <c r="B41" t="s">
        <v>2450</v>
      </c>
      <c r="C41" t="s">
        <v>2346</v>
      </c>
      <c r="D41" t="s">
        <v>2451</v>
      </c>
      <c r="E41" t="s">
        <v>2452</v>
      </c>
      <c r="F41">
        <v>119330931</v>
      </c>
      <c r="G41" t="s">
        <v>2482</v>
      </c>
      <c r="H41" t="s">
        <v>22</v>
      </c>
      <c r="I41" t="s">
        <v>22</v>
      </c>
      <c r="J41" t="s">
        <v>17</v>
      </c>
      <c r="K41">
        <v>90.3</v>
      </c>
      <c r="L41">
        <v>58.2</v>
      </c>
      <c r="M41" t="s">
        <v>2454</v>
      </c>
      <c r="N41" t="s">
        <v>2455</v>
      </c>
    </row>
    <row r="42" spans="1:14" x14ac:dyDescent="0.3">
      <c r="A42">
        <v>1059165</v>
      </c>
      <c r="B42" t="s">
        <v>2450</v>
      </c>
      <c r="C42" t="s">
        <v>2346</v>
      </c>
      <c r="D42" t="s">
        <v>2451</v>
      </c>
      <c r="E42" t="s">
        <v>2452</v>
      </c>
      <c r="F42">
        <v>119330931</v>
      </c>
      <c r="G42" t="s">
        <v>2483</v>
      </c>
      <c r="H42" t="s">
        <v>22</v>
      </c>
      <c r="I42" t="s">
        <v>22</v>
      </c>
      <c r="J42" t="s">
        <v>17</v>
      </c>
      <c r="K42">
        <v>90.3</v>
      </c>
      <c r="L42">
        <v>58.2</v>
      </c>
      <c r="M42" t="s">
        <v>2454</v>
      </c>
      <c r="N42" t="s">
        <v>2455</v>
      </c>
    </row>
    <row r="43" spans="1:14" x14ac:dyDescent="0.3">
      <c r="A43">
        <v>1059165</v>
      </c>
      <c r="B43" t="s">
        <v>2450</v>
      </c>
      <c r="C43" t="s">
        <v>2346</v>
      </c>
      <c r="D43" t="s">
        <v>2451</v>
      </c>
      <c r="E43" t="s">
        <v>2452</v>
      </c>
      <c r="F43">
        <v>119330931</v>
      </c>
      <c r="G43" t="s">
        <v>2484</v>
      </c>
      <c r="H43" t="s">
        <v>22</v>
      </c>
      <c r="I43" t="s">
        <v>22</v>
      </c>
      <c r="J43" t="s">
        <v>17</v>
      </c>
      <c r="K43">
        <v>90.3</v>
      </c>
      <c r="L43">
        <v>58.2</v>
      </c>
      <c r="M43" t="s">
        <v>2454</v>
      </c>
      <c r="N43" t="s">
        <v>2455</v>
      </c>
    </row>
    <row r="44" spans="1:14" x14ac:dyDescent="0.3">
      <c r="A44">
        <v>1059165</v>
      </c>
      <c r="B44" t="s">
        <v>2450</v>
      </c>
      <c r="C44" t="s">
        <v>2346</v>
      </c>
      <c r="D44" t="s">
        <v>2451</v>
      </c>
      <c r="E44" t="s">
        <v>2452</v>
      </c>
      <c r="F44">
        <v>119330931</v>
      </c>
      <c r="G44" t="s">
        <v>2485</v>
      </c>
      <c r="H44" t="s">
        <v>22</v>
      </c>
      <c r="I44" t="s">
        <v>22</v>
      </c>
      <c r="J44" t="s">
        <v>17</v>
      </c>
      <c r="K44">
        <v>90.3</v>
      </c>
      <c r="L44">
        <v>58.2</v>
      </c>
      <c r="M44" t="s">
        <v>2454</v>
      </c>
      <c r="N44" t="s">
        <v>2455</v>
      </c>
    </row>
    <row r="45" spans="1:14" x14ac:dyDescent="0.3">
      <c r="A45">
        <v>1059165</v>
      </c>
      <c r="B45" t="s">
        <v>2450</v>
      </c>
      <c r="C45" t="s">
        <v>2346</v>
      </c>
      <c r="D45" t="s">
        <v>2451</v>
      </c>
      <c r="E45" t="s">
        <v>2452</v>
      </c>
      <c r="F45">
        <v>119330931</v>
      </c>
      <c r="G45" t="s">
        <v>2486</v>
      </c>
      <c r="H45" t="s">
        <v>22</v>
      </c>
      <c r="I45" t="s">
        <v>22</v>
      </c>
      <c r="J45" t="s">
        <v>17</v>
      </c>
      <c r="K45">
        <v>90.3</v>
      </c>
      <c r="L45">
        <v>58.2</v>
      </c>
      <c r="M45" t="s">
        <v>2454</v>
      </c>
      <c r="N45" t="s">
        <v>2455</v>
      </c>
    </row>
    <row r="46" spans="1:14" x14ac:dyDescent="0.3">
      <c r="A46">
        <v>1059165</v>
      </c>
      <c r="B46" t="s">
        <v>2450</v>
      </c>
      <c r="C46" t="s">
        <v>2346</v>
      </c>
      <c r="D46" t="s">
        <v>2451</v>
      </c>
      <c r="E46" t="s">
        <v>2452</v>
      </c>
      <c r="F46">
        <v>119330931</v>
      </c>
      <c r="G46" t="s">
        <v>2487</v>
      </c>
      <c r="H46" t="s">
        <v>22</v>
      </c>
      <c r="I46" t="s">
        <v>22</v>
      </c>
      <c r="J46" t="s">
        <v>17</v>
      </c>
      <c r="K46">
        <v>90.3</v>
      </c>
      <c r="L46">
        <v>58.2</v>
      </c>
      <c r="M46" t="s">
        <v>2454</v>
      </c>
      <c r="N46" t="s">
        <v>2455</v>
      </c>
    </row>
    <row r="47" spans="1:14" x14ac:dyDescent="0.3">
      <c r="A47">
        <v>1059165</v>
      </c>
      <c r="B47" t="s">
        <v>2450</v>
      </c>
      <c r="C47" t="s">
        <v>2346</v>
      </c>
      <c r="D47" t="s">
        <v>2451</v>
      </c>
      <c r="E47" t="s">
        <v>2452</v>
      </c>
      <c r="F47">
        <v>119330931</v>
      </c>
      <c r="G47" t="s">
        <v>2488</v>
      </c>
      <c r="H47" t="s">
        <v>22</v>
      </c>
      <c r="I47" t="s">
        <v>22</v>
      </c>
      <c r="J47" t="s">
        <v>17</v>
      </c>
      <c r="K47">
        <v>90.3</v>
      </c>
      <c r="L47">
        <v>58.2</v>
      </c>
      <c r="M47" t="s">
        <v>2454</v>
      </c>
      <c r="N47" t="s">
        <v>2455</v>
      </c>
    </row>
    <row r="48" spans="1:14" x14ac:dyDescent="0.3">
      <c r="A48">
        <v>1059165</v>
      </c>
      <c r="B48" t="s">
        <v>2450</v>
      </c>
      <c r="C48" t="s">
        <v>2346</v>
      </c>
      <c r="D48" t="s">
        <v>2451</v>
      </c>
      <c r="E48" t="s">
        <v>2452</v>
      </c>
      <c r="F48">
        <v>119330931</v>
      </c>
      <c r="G48" t="s">
        <v>2489</v>
      </c>
      <c r="H48" t="s">
        <v>22</v>
      </c>
      <c r="I48" t="s">
        <v>22</v>
      </c>
      <c r="J48" t="s">
        <v>17</v>
      </c>
      <c r="K48">
        <v>90.3</v>
      </c>
      <c r="L48">
        <v>58.2</v>
      </c>
      <c r="M48" t="s">
        <v>2454</v>
      </c>
      <c r="N48" t="s">
        <v>2455</v>
      </c>
    </row>
    <row r="49" spans="1:14" x14ac:dyDescent="0.3">
      <c r="A49">
        <v>1059165</v>
      </c>
      <c r="B49" t="s">
        <v>2450</v>
      </c>
      <c r="C49" t="s">
        <v>2346</v>
      </c>
      <c r="D49" t="s">
        <v>2451</v>
      </c>
      <c r="E49" t="s">
        <v>2452</v>
      </c>
      <c r="F49">
        <v>119330931</v>
      </c>
      <c r="G49" t="s">
        <v>2490</v>
      </c>
      <c r="H49" t="s">
        <v>22</v>
      </c>
      <c r="I49" t="s">
        <v>22</v>
      </c>
      <c r="J49" t="s">
        <v>17</v>
      </c>
      <c r="K49">
        <v>90.3</v>
      </c>
      <c r="L49">
        <v>58.2</v>
      </c>
      <c r="M49" t="s">
        <v>2454</v>
      </c>
      <c r="N49" t="s">
        <v>2455</v>
      </c>
    </row>
    <row r="50" spans="1:14" x14ac:dyDescent="0.3">
      <c r="A50">
        <v>1059165</v>
      </c>
      <c r="B50" t="s">
        <v>2450</v>
      </c>
      <c r="C50" t="s">
        <v>2346</v>
      </c>
      <c r="D50" t="s">
        <v>2451</v>
      </c>
      <c r="E50" t="s">
        <v>2452</v>
      </c>
      <c r="F50">
        <v>119330931</v>
      </c>
      <c r="G50" t="s">
        <v>2491</v>
      </c>
      <c r="H50" t="s">
        <v>22</v>
      </c>
      <c r="I50" t="s">
        <v>22</v>
      </c>
      <c r="J50" t="s">
        <v>17</v>
      </c>
      <c r="K50">
        <v>90.3</v>
      </c>
      <c r="L50">
        <v>58.2</v>
      </c>
      <c r="M50" t="s">
        <v>2454</v>
      </c>
      <c r="N50" t="s">
        <v>2455</v>
      </c>
    </row>
    <row r="51" spans="1:14" x14ac:dyDescent="0.3">
      <c r="A51">
        <v>1059165</v>
      </c>
      <c r="B51" t="s">
        <v>2450</v>
      </c>
      <c r="C51" t="s">
        <v>2346</v>
      </c>
      <c r="D51" t="s">
        <v>2451</v>
      </c>
      <c r="E51" t="s">
        <v>2452</v>
      </c>
      <c r="F51">
        <v>119330931</v>
      </c>
      <c r="G51" t="s">
        <v>2492</v>
      </c>
      <c r="H51" t="s">
        <v>22</v>
      </c>
      <c r="I51" t="s">
        <v>22</v>
      </c>
      <c r="J51" t="s">
        <v>17</v>
      </c>
      <c r="K51">
        <v>90.3</v>
      </c>
      <c r="L51">
        <v>58.2</v>
      </c>
      <c r="M51" t="s">
        <v>2454</v>
      </c>
      <c r="N51" t="s">
        <v>2455</v>
      </c>
    </row>
    <row r="52" spans="1:14" x14ac:dyDescent="0.3">
      <c r="A52">
        <v>1059165</v>
      </c>
      <c r="B52" t="s">
        <v>2450</v>
      </c>
      <c r="C52" t="s">
        <v>2346</v>
      </c>
      <c r="D52" t="s">
        <v>2451</v>
      </c>
      <c r="E52" t="s">
        <v>2452</v>
      </c>
      <c r="F52">
        <v>119330931</v>
      </c>
      <c r="G52" t="s">
        <v>2493</v>
      </c>
      <c r="H52" t="s">
        <v>22</v>
      </c>
      <c r="I52" t="s">
        <v>22</v>
      </c>
      <c r="J52" t="s">
        <v>17</v>
      </c>
      <c r="K52">
        <v>90.3</v>
      </c>
      <c r="L52">
        <v>58.2</v>
      </c>
      <c r="M52" t="s">
        <v>2454</v>
      </c>
      <c r="N52" t="s">
        <v>2455</v>
      </c>
    </row>
    <row r="53" spans="1:14" x14ac:dyDescent="0.3">
      <c r="A53">
        <v>1059165</v>
      </c>
      <c r="B53" t="s">
        <v>2450</v>
      </c>
      <c r="C53" t="s">
        <v>2346</v>
      </c>
      <c r="D53" t="s">
        <v>2451</v>
      </c>
      <c r="E53" t="s">
        <v>2452</v>
      </c>
      <c r="F53">
        <v>119330931</v>
      </c>
      <c r="G53" t="s">
        <v>2494</v>
      </c>
      <c r="H53" t="s">
        <v>22</v>
      </c>
      <c r="I53" t="s">
        <v>22</v>
      </c>
      <c r="J53" t="s">
        <v>17</v>
      </c>
      <c r="K53">
        <v>90.3</v>
      </c>
      <c r="L53">
        <v>58.2</v>
      </c>
      <c r="M53" t="s">
        <v>2454</v>
      </c>
      <c r="N53" t="s">
        <v>2455</v>
      </c>
    </row>
    <row r="54" spans="1:14" x14ac:dyDescent="0.3">
      <c r="A54">
        <v>1059165</v>
      </c>
      <c r="B54" t="s">
        <v>2450</v>
      </c>
      <c r="C54" t="s">
        <v>2346</v>
      </c>
      <c r="D54" t="s">
        <v>2451</v>
      </c>
      <c r="E54" t="s">
        <v>2452</v>
      </c>
      <c r="F54">
        <v>119330931</v>
      </c>
      <c r="G54" t="s">
        <v>2495</v>
      </c>
      <c r="H54" t="s">
        <v>22</v>
      </c>
      <c r="I54" t="s">
        <v>22</v>
      </c>
      <c r="J54" t="s">
        <v>17</v>
      </c>
      <c r="K54">
        <v>90.3</v>
      </c>
      <c r="L54">
        <v>58.2</v>
      </c>
      <c r="M54" t="s">
        <v>2454</v>
      </c>
      <c r="N54" t="s">
        <v>2455</v>
      </c>
    </row>
    <row r="55" spans="1:14" x14ac:dyDescent="0.3">
      <c r="A55">
        <v>1059165</v>
      </c>
      <c r="B55" t="s">
        <v>2450</v>
      </c>
      <c r="C55" t="s">
        <v>2346</v>
      </c>
      <c r="D55" t="s">
        <v>2451</v>
      </c>
      <c r="E55" t="s">
        <v>2452</v>
      </c>
      <c r="F55">
        <v>119330931</v>
      </c>
      <c r="G55" t="s">
        <v>2496</v>
      </c>
      <c r="H55" t="s">
        <v>22</v>
      </c>
      <c r="I55" t="s">
        <v>22</v>
      </c>
      <c r="J55" t="s">
        <v>17</v>
      </c>
      <c r="K55">
        <v>90.3</v>
      </c>
      <c r="L55">
        <v>58.2</v>
      </c>
      <c r="M55" t="s">
        <v>2454</v>
      </c>
      <c r="N55" t="s">
        <v>2455</v>
      </c>
    </row>
    <row r="56" spans="1:14" x14ac:dyDescent="0.3">
      <c r="A56">
        <v>1059165</v>
      </c>
      <c r="B56" t="s">
        <v>2450</v>
      </c>
      <c r="C56" t="s">
        <v>2346</v>
      </c>
      <c r="D56" t="s">
        <v>2451</v>
      </c>
      <c r="E56" t="s">
        <v>2452</v>
      </c>
      <c r="F56">
        <v>119330931</v>
      </c>
      <c r="G56" t="s">
        <v>2497</v>
      </c>
      <c r="H56" t="s">
        <v>22</v>
      </c>
      <c r="I56" t="s">
        <v>22</v>
      </c>
      <c r="J56" t="s">
        <v>17</v>
      </c>
      <c r="K56">
        <v>90.3</v>
      </c>
      <c r="L56">
        <v>58.2</v>
      </c>
      <c r="M56" t="s">
        <v>2454</v>
      </c>
      <c r="N56" t="s">
        <v>2455</v>
      </c>
    </row>
    <row r="57" spans="1:14" x14ac:dyDescent="0.3">
      <c r="A57">
        <v>1059165</v>
      </c>
      <c r="B57" t="s">
        <v>2450</v>
      </c>
      <c r="C57" t="s">
        <v>2346</v>
      </c>
      <c r="D57" t="s">
        <v>2451</v>
      </c>
      <c r="E57" t="s">
        <v>2452</v>
      </c>
      <c r="F57">
        <v>119330931</v>
      </c>
      <c r="G57" t="s">
        <v>2498</v>
      </c>
      <c r="H57" t="s">
        <v>22</v>
      </c>
      <c r="I57" t="s">
        <v>22</v>
      </c>
      <c r="J57" t="s">
        <v>17</v>
      </c>
      <c r="K57">
        <v>90.3</v>
      </c>
      <c r="L57">
        <v>58.2</v>
      </c>
      <c r="M57" t="s">
        <v>2454</v>
      </c>
      <c r="N57" t="s">
        <v>2455</v>
      </c>
    </row>
    <row r="58" spans="1:14" x14ac:dyDescent="0.3">
      <c r="A58">
        <v>1059165</v>
      </c>
      <c r="B58" t="s">
        <v>2450</v>
      </c>
      <c r="C58" t="s">
        <v>2346</v>
      </c>
      <c r="D58" t="s">
        <v>2451</v>
      </c>
      <c r="E58" t="s">
        <v>2452</v>
      </c>
      <c r="F58">
        <v>119330931</v>
      </c>
      <c r="G58" t="s">
        <v>2499</v>
      </c>
      <c r="H58" t="s">
        <v>22</v>
      </c>
      <c r="I58" t="s">
        <v>22</v>
      </c>
      <c r="J58" t="s">
        <v>17</v>
      </c>
      <c r="K58">
        <v>90.3</v>
      </c>
      <c r="L58">
        <v>58.2</v>
      </c>
      <c r="M58" t="s">
        <v>2454</v>
      </c>
      <c r="N58" t="s">
        <v>2455</v>
      </c>
    </row>
    <row r="59" spans="1:14" x14ac:dyDescent="0.3">
      <c r="A59">
        <v>1059165</v>
      </c>
      <c r="B59" t="s">
        <v>2450</v>
      </c>
      <c r="C59" t="s">
        <v>2346</v>
      </c>
      <c r="D59" t="s">
        <v>2451</v>
      </c>
      <c r="E59" t="s">
        <v>2452</v>
      </c>
      <c r="F59">
        <v>119330931</v>
      </c>
      <c r="G59" t="s">
        <v>2500</v>
      </c>
      <c r="H59" t="s">
        <v>22</v>
      </c>
      <c r="I59" t="s">
        <v>22</v>
      </c>
      <c r="J59" t="s">
        <v>17</v>
      </c>
      <c r="K59">
        <v>90.3</v>
      </c>
      <c r="L59">
        <v>58.2</v>
      </c>
      <c r="M59" t="s">
        <v>2454</v>
      </c>
      <c r="N59" t="s">
        <v>2455</v>
      </c>
    </row>
    <row r="60" spans="1:14" x14ac:dyDescent="0.3">
      <c r="A60">
        <v>1059165</v>
      </c>
      <c r="B60" t="s">
        <v>2450</v>
      </c>
      <c r="C60" t="s">
        <v>2346</v>
      </c>
      <c r="D60" t="s">
        <v>2451</v>
      </c>
      <c r="E60" t="s">
        <v>2452</v>
      </c>
      <c r="F60">
        <v>119330931</v>
      </c>
      <c r="G60" t="s">
        <v>2501</v>
      </c>
      <c r="H60" t="s">
        <v>22</v>
      </c>
      <c r="I60" t="s">
        <v>22</v>
      </c>
      <c r="J60" t="s">
        <v>17</v>
      </c>
      <c r="K60">
        <v>90.3</v>
      </c>
      <c r="L60">
        <v>58.2</v>
      </c>
      <c r="M60" t="s">
        <v>2454</v>
      </c>
      <c r="N60" t="s">
        <v>2455</v>
      </c>
    </row>
    <row r="61" spans="1:14" x14ac:dyDescent="0.3">
      <c r="A61">
        <v>1059165</v>
      </c>
      <c r="B61" t="s">
        <v>2450</v>
      </c>
      <c r="C61" t="s">
        <v>2346</v>
      </c>
      <c r="D61" t="s">
        <v>2451</v>
      </c>
      <c r="E61" t="s">
        <v>2452</v>
      </c>
      <c r="F61">
        <v>119330931</v>
      </c>
      <c r="G61" t="s">
        <v>2502</v>
      </c>
      <c r="H61" t="s">
        <v>22</v>
      </c>
      <c r="I61" t="s">
        <v>22</v>
      </c>
      <c r="J61" t="s">
        <v>17</v>
      </c>
      <c r="K61">
        <v>90.3</v>
      </c>
      <c r="L61">
        <v>58.2</v>
      </c>
      <c r="M61" t="s">
        <v>2454</v>
      </c>
      <c r="N61" t="s">
        <v>2455</v>
      </c>
    </row>
    <row r="62" spans="1:14" x14ac:dyDescent="0.3">
      <c r="A62">
        <v>1059165</v>
      </c>
      <c r="B62" t="s">
        <v>2450</v>
      </c>
      <c r="C62" t="s">
        <v>2347</v>
      </c>
      <c r="D62" t="s">
        <v>2503</v>
      </c>
      <c r="E62" t="s">
        <v>2504</v>
      </c>
      <c r="H62" t="s">
        <v>22</v>
      </c>
      <c r="I62" t="s">
        <v>22</v>
      </c>
      <c r="J62" t="s">
        <v>17</v>
      </c>
      <c r="K62">
        <v>82.4</v>
      </c>
      <c r="L62">
        <v>51.4</v>
      </c>
      <c r="M62" t="s">
        <v>2505</v>
      </c>
      <c r="N62" t="s">
        <v>2506</v>
      </c>
    </row>
    <row r="63" spans="1:14" x14ac:dyDescent="0.3">
      <c r="A63">
        <v>1059165</v>
      </c>
      <c r="B63" t="s">
        <v>2450</v>
      </c>
      <c r="C63" t="s">
        <v>2348</v>
      </c>
      <c r="D63" t="s">
        <v>2507</v>
      </c>
      <c r="E63" t="s">
        <v>2508</v>
      </c>
      <c r="G63" t="s">
        <v>2509</v>
      </c>
      <c r="H63" t="s">
        <v>22</v>
      </c>
      <c r="I63" t="s">
        <v>22</v>
      </c>
      <c r="J63" t="s">
        <v>17</v>
      </c>
      <c r="K63">
        <v>88.9</v>
      </c>
      <c r="L63">
        <v>104.3</v>
      </c>
      <c r="M63" t="s">
        <v>317</v>
      </c>
      <c r="N63" t="s">
        <v>318</v>
      </c>
    </row>
    <row r="64" spans="1:14" x14ac:dyDescent="0.3">
      <c r="A64">
        <v>1059165</v>
      </c>
      <c r="B64" t="s">
        <v>2450</v>
      </c>
      <c r="C64" t="s">
        <v>2348</v>
      </c>
      <c r="D64" t="s">
        <v>2507</v>
      </c>
      <c r="E64" t="s">
        <v>2508</v>
      </c>
      <c r="G64" t="s">
        <v>2510</v>
      </c>
      <c r="H64" t="s">
        <v>22</v>
      </c>
      <c r="I64" t="s">
        <v>22</v>
      </c>
      <c r="J64" t="s">
        <v>17</v>
      </c>
      <c r="K64">
        <v>88.9</v>
      </c>
      <c r="L64">
        <v>104.3</v>
      </c>
      <c r="M64" t="s">
        <v>317</v>
      </c>
      <c r="N64" t="s">
        <v>318</v>
      </c>
    </row>
    <row r="65" spans="1:14" x14ac:dyDescent="0.3">
      <c r="A65">
        <v>1059165</v>
      </c>
      <c r="B65" t="s">
        <v>2450</v>
      </c>
      <c r="C65" t="s">
        <v>2348</v>
      </c>
      <c r="D65" t="s">
        <v>2507</v>
      </c>
      <c r="E65" t="s">
        <v>2508</v>
      </c>
      <c r="G65" t="s">
        <v>2511</v>
      </c>
      <c r="H65" t="s">
        <v>22</v>
      </c>
      <c r="I65" t="s">
        <v>22</v>
      </c>
      <c r="J65" t="s">
        <v>17</v>
      </c>
      <c r="K65">
        <v>88.9</v>
      </c>
      <c r="L65">
        <v>104.3</v>
      </c>
      <c r="M65" t="s">
        <v>317</v>
      </c>
      <c r="N65" t="s">
        <v>318</v>
      </c>
    </row>
    <row r="66" spans="1:14" x14ac:dyDescent="0.3">
      <c r="A66">
        <v>1059165</v>
      </c>
      <c r="B66" t="s">
        <v>2450</v>
      </c>
      <c r="C66" t="s">
        <v>2349</v>
      </c>
      <c r="H66" t="s">
        <v>16</v>
      </c>
      <c r="I66" t="s">
        <v>16</v>
      </c>
      <c r="J66" t="s">
        <v>17</v>
      </c>
      <c r="K66">
        <v>0</v>
      </c>
      <c r="L66">
        <v>0</v>
      </c>
    </row>
    <row r="67" spans="1:14" x14ac:dyDescent="0.3">
      <c r="A67">
        <v>1059165</v>
      </c>
      <c r="B67" t="s">
        <v>2450</v>
      </c>
      <c r="C67" t="s">
        <v>2350</v>
      </c>
      <c r="D67" t="s">
        <v>2512</v>
      </c>
      <c r="E67" t="s">
        <v>2513</v>
      </c>
      <c r="G67" t="s">
        <v>2514</v>
      </c>
      <c r="H67" t="s">
        <v>46</v>
      </c>
      <c r="I67" t="s">
        <v>46</v>
      </c>
      <c r="J67" t="s">
        <v>17</v>
      </c>
      <c r="K67">
        <v>100</v>
      </c>
      <c r="L67">
        <v>50</v>
      </c>
      <c r="M67" t="s">
        <v>2515</v>
      </c>
      <c r="N67" t="s">
        <v>2516</v>
      </c>
    </row>
    <row r="68" spans="1:14" x14ac:dyDescent="0.3">
      <c r="A68">
        <v>1059165</v>
      </c>
      <c r="B68" t="s">
        <v>2450</v>
      </c>
      <c r="C68" t="s">
        <v>2350</v>
      </c>
      <c r="D68" t="s">
        <v>2512</v>
      </c>
      <c r="E68" t="s">
        <v>2513</v>
      </c>
      <c r="G68" t="s">
        <v>2517</v>
      </c>
      <c r="H68" t="s">
        <v>46</v>
      </c>
      <c r="I68" t="s">
        <v>46</v>
      </c>
      <c r="J68" t="s">
        <v>17</v>
      </c>
      <c r="K68">
        <v>100</v>
      </c>
      <c r="L68">
        <v>50</v>
      </c>
      <c r="M68" t="s">
        <v>2515</v>
      </c>
      <c r="N68" t="s">
        <v>2516</v>
      </c>
    </row>
    <row r="69" spans="1:14" x14ac:dyDescent="0.3">
      <c r="A69">
        <v>1059165</v>
      </c>
      <c r="B69" t="s">
        <v>2450</v>
      </c>
      <c r="C69" t="s">
        <v>2351</v>
      </c>
      <c r="D69" t="s">
        <v>2351</v>
      </c>
      <c r="E69" t="s">
        <v>2518</v>
      </c>
      <c r="H69" t="s">
        <v>22</v>
      </c>
      <c r="I69" t="s">
        <v>22</v>
      </c>
      <c r="J69" t="s">
        <v>17</v>
      </c>
      <c r="K69">
        <v>100</v>
      </c>
      <c r="L69">
        <v>144</v>
      </c>
      <c r="M69" t="s">
        <v>2519</v>
      </c>
      <c r="N69" t="s">
        <v>2520</v>
      </c>
    </row>
    <row r="70" spans="1:14" x14ac:dyDescent="0.3">
      <c r="A70">
        <v>1059165</v>
      </c>
      <c r="B70" t="s">
        <v>2450</v>
      </c>
      <c r="C70" t="s">
        <v>2352</v>
      </c>
      <c r="H70" t="s">
        <v>16</v>
      </c>
      <c r="I70" t="s">
        <v>16</v>
      </c>
      <c r="J70" t="s">
        <v>17</v>
      </c>
      <c r="K70">
        <v>0</v>
      </c>
      <c r="L70">
        <v>0</v>
      </c>
    </row>
    <row r="71" spans="1:14" x14ac:dyDescent="0.3">
      <c r="A71">
        <v>1059165</v>
      </c>
      <c r="B71" t="s">
        <v>2450</v>
      </c>
      <c r="C71" t="s">
        <v>2353</v>
      </c>
      <c r="H71" t="s">
        <v>16</v>
      </c>
      <c r="I71" t="s">
        <v>16</v>
      </c>
      <c r="J71" t="s">
        <v>17</v>
      </c>
      <c r="K71">
        <v>0</v>
      </c>
      <c r="L71">
        <v>0</v>
      </c>
    </row>
    <row r="72" spans="1:14" x14ac:dyDescent="0.3">
      <c r="A72">
        <v>1064711</v>
      </c>
      <c r="B72" t="s">
        <v>2521</v>
      </c>
      <c r="C72" t="s">
        <v>2354</v>
      </c>
      <c r="H72" t="s">
        <v>16</v>
      </c>
      <c r="I72" t="s">
        <v>16</v>
      </c>
      <c r="J72" t="s">
        <v>17</v>
      </c>
      <c r="K72">
        <v>0</v>
      </c>
      <c r="L72">
        <v>0</v>
      </c>
    </row>
    <row r="73" spans="1:14" x14ac:dyDescent="0.3">
      <c r="A73">
        <v>1064711</v>
      </c>
      <c r="B73" t="s">
        <v>2521</v>
      </c>
      <c r="C73" t="s">
        <v>2355</v>
      </c>
      <c r="D73" t="s">
        <v>2355</v>
      </c>
      <c r="E73" t="s">
        <v>2522</v>
      </c>
      <c r="H73" t="s">
        <v>22</v>
      </c>
      <c r="I73" t="s">
        <v>22</v>
      </c>
      <c r="J73" t="s">
        <v>17</v>
      </c>
      <c r="K73">
        <v>100</v>
      </c>
      <c r="L73">
        <v>112</v>
      </c>
      <c r="M73" t="s">
        <v>338</v>
      </c>
      <c r="N73" t="s">
        <v>339</v>
      </c>
    </row>
    <row r="74" spans="1:14" x14ac:dyDescent="0.3">
      <c r="A74">
        <v>1064711</v>
      </c>
      <c r="B74" t="s">
        <v>2521</v>
      </c>
      <c r="C74" t="s">
        <v>2356</v>
      </c>
      <c r="D74" t="s">
        <v>2356</v>
      </c>
      <c r="E74" t="s">
        <v>2523</v>
      </c>
      <c r="H74" t="s">
        <v>22</v>
      </c>
      <c r="I74" t="s">
        <v>22</v>
      </c>
      <c r="J74" t="s">
        <v>17</v>
      </c>
      <c r="K74">
        <v>100</v>
      </c>
      <c r="L74">
        <v>112</v>
      </c>
      <c r="M74" t="s">
        <v>2524</v>
      </c>
      <c r="N74" t="s">
        <v>2525</v>
      </c>
    </row>
    <row r="75" spans="1:14" x14ac:dyDescent="0.3">
      <c r="A75">
        <v>1064711</v>
      </c>
      <c r="B75" t="s">
        <v>2521</v>
      </c>
      <c r="C75" t="s">
        <v>2357</v>
      </c>
      <c r="D75" t="s">
        <v>2526</v>
      </c>
      <c r="E75" t="s">
        <v>2527</v>
      </c>
      <c r="H75" t="s">
        <v>46</v>
      </c>
      <c r="I75" t="s">
        <v>46</v>
      </c>
      <c r="J75" t="s">
        <v>17</v>
      </c>
      <c r="K75">
        <v>100</v>
      </c>
      <c r="L75">
        <v>50</v>
      </c>
      <c r="M75" t="s">
        <v>646</v>
      </c>
      <c r="N75" t="s">
        <v>647</v>
      </c>
    </row>
    <row r="76" spans="1:14" x14ac:dyDescent="0.3">
      <c r="A76">
        <v>1064711</v>
      </c>
      <c r="B76" t="s">
        <v>2521</v>
      </c>
      <c r="C76" t="s">
        <v>2358</v>
      </c>
      <c r="D76" t="s">
        <v>2358</v>
      </c>
      <c r="E76" t="s">
        <v>2528</v>
      </c>
      <c r="H76" t="s">
        <v>22</v>
      </c>
      <c r="I76" t="s">
        <v>22</v>
      </c>
      <c r="J76" t="s">
        <v>17</v>
      </c>
      <c r="K76">
        <v>100</v>
      </c>
      <c r="L76">
        <v>115</v>
      </c>
      <c r="M76" t="s">
        <v>2529</v>
      </c>
      <c r="N76" t="s">
        <v>2530</v>
      </c>
    </row>
    <row r="77" spans="1:14" x14ac:dyDescent="0.3">
      <c r="A77">
        <v>1066522</v>
      </c>
      <c r="B77" t="s">
        <v>2531</v>
      </c>
      <c r="C77" t="s">
        <v>2359</v>
      </c>
      <c r="D77" t="s">
        <v>2359</v>
      </c>
      <c r="E77" t="s">
        <v>2532</v>
      </c>
      <c r="H77" t="s">
        <v>22</v>
      </c>
      <c r="I77" t="s">
        <v>22</v>
      </c>
      <c r="J77" t="s">
        <v>17</v>
      </c>
      <c r="K77">
        <v>100</v>
      </c>
      <c r="L77">
        <v>112</v>
      </c>
      <c r="M77" t="s">
        <v>338</v>
      </c>
      <c r="N77" t="s">
        <v>339</v>
      </c>
    </row>
    <row r="78" spans="1:14" x14ac:dyDescent="0.3">
      <c r="A78">
        <v>1066522</v>
      </c>
      <c r="B78" t="s">
        <v>2531</v>
      </c>
      <c r="C78" t="s">
        <v>2360</v>
      </c>
      <c r="D78" t="s">
        <v>2533</v>
      </c>
      <c r="E78" t="s">
        <v>2534</v>
      </c>
      <c r="F78">
        <v>125678860</v>
      </c>
      <c r="G78" t="s">
        <v>2535</v>
      </c>
      <c r="H78" t="s">
        <v>22</v>
      </c>
      <c r="I78" t="s">
        <v>22</v>
      </c>
      <c r="J78" t="s">
        <v>17</v>
      </c>
      <c r="K78">
        <v>90.9</v>
      </c>
      <c r="L78">
        <v>138.5</v>
      </c>
      <c r="M78" t="s">
        <v>2536</v>
      </c>
      <c r="N78" t="s">
        <v>2537</v>
      </c>
    </row>
    <row r="79" spans="1:14" x14ac:dyDescent="0.3">
      <c r="A79">
        <v>1066522</v>
      </c>
      <c r="B79" t="s">
        <v>2531</v>
      </c>
      <c r="C79" t="s">
        <v>2360</v>
      </c>
      <c r="D79" t="s">
        <v>2533</v>
      </c>
      <c r="E79" t="s">
        <v>2534</v>
      </c>
      <c r="F79">
        <v>125678860</v>
      </c>
      <c r="G79" t="s">
        <v>2538</v>
      </c>
      <c r="H79" t="s">
        <v>22</v>
      </c>
      <c r="I79" t="s">
        <v>22</v>
      </c>
      <c r="J79" t="s">
        <v>17</v>
      </c>
      <c r="K79">
        <v>90.9</v>
      </c>
      <c r="L79">
        <v>138.5</v>
      </c>
      <c r="M79" t="s">
        <v>2536</v>
      </c>
      <c r="N79" t="s">
        <v>2537</v>
      </c>
    </row>
    <row r="80" spans="1:14" x14ac:dyDescent="0.3">
      <c r="A80">
        <v>1066522</v>
      </c>
      <c r="B80" t="s">
        <v>2531</v>
      </c>
      <c r="C80" t="s">
        <v>2360</v>
      </c>
      <c r="D80" t="s">
        <v>2533</v>
      </c>
      <c r="E80" t="s">
        <v>2534</v>
      </c>
      <c r="F80">
        <v>125678860</v>
      </c>
      <c r="G80" t="s">
        <v>2539</v>
      </c>
      <c r="H80" t="s">
        <v>22</v>
      </c>
      <c r="I80" t="s">
        <v>22</v>
      </c>
      <c r="J80" t="s">
        <v>17</v>
      </c>
      <c r="K80">
        <v>90.9</v>
      </c>
      <c r="L80">
        <v>138.5</v>
      </c>
      <c r="M80" t="s">
        <v>2536</v>
      </c>
      <c r="N80" t="s">
        <v>2537</v>
      </c>
    </row>
    <row r="81" spans="1:14" x14ac:dyDescent="0.3">
      <c r="A81">
        <v>1066522</v>
      </c>
      <c r="B81" t="s">
        <v>2531</v>
      </c>
      <c r="C81" t="s">
        <v>2360</v>
      </c>
      <c r="D81" t="s">
        <v>2533</v>
      </c>
      <c r="E81" t="s">
        <v>2534</v>
      </c>
      <c r="F81">
        <v>125678860</v>
      </c>
      <c r="G81" t="s">
        <v>2540</v>
      </c>
      <c r="H81" t="s">
        <v>22</v>
      </c>
      <c r="I81" t="s">
        <v>22</v>
      </c>
      <c r="J81" t="s">
        <v>17</v>
      </c>
      <c r="K81">
        <v>90.9</v>
      </c>
      <c r="L81">
        <v>138.5</v>
      </c>
      <c r="M81" t="s">
        <v>2536</v>
      </c>
      <c r="N81" t="s">
        <v>2537</v>
      </c>
    </row>
    <row r="82" spans="1:14" x14ac:dyDescent="0.3">
      <c r="A82">
        <v>1066522</v>
      </c>
      <c r="B82" t="s">
        <v>2531</v>
      </c>
      <c r="C82" t="s">
        <v>2360</v>
      </c>
      <c r="D82" t="s">
        <v>2533</v>
      </c>
      <c r="E82" t="s">
        <v>2534</v>
      </c>
      <c r="F82">
        <v>125678860</v>
      </c>
      <c r="G82" t="s">
        <v>2541</v>
      </c>
      <c r="H82" t="s">
        <v>22</v>
      </c>
      <c r="I82" t="s">
        <v>22</v>
      </c>
      <c r="J82" t="s">
        <v>17</v>
      </c>
      <c r="K82">
        <v>90.9</v>
      </c>
      <c r="L82">
        <v>138.5</v>
      </c>
      <c r="M82" t="s">
        <v>2536</v>
      </c>
      <c r="N82" t="s">
        <v>2537</v>
      </c>
    </row>
    <row r="83" spans="1:14" x14ac:dyDescent="0.3">
      <c r="A83">
        <v>1066522</v>
      </c>
      <c r="B83" t="s">
        <v>2531</v>
      </c>
      <c r="C83" t="s">
        <v>2360</v>
      </c>
      <c r="D83" t="s">
        <v>2533</v>
      </c>
      <c r="E83" t="s">
        <v>2534</v>
      </c>
      <c r="F83">
        <v>125678860</v>
      </c>
      <c r="G83" t="s">
        <v>2542</v>
      </c>
      <c r="H83" t="s">
        <v>22</v>
      </c>
      <c r="I83" t="s">
        <v>22</v>
      </c>
      <c r="J83" t="s">
        <v>17</v>
      </c>
      <c r="K83">
        <v>90.9</v>
      </c>
      <c r="L83">
        <v>138.5</v>
      </c>
      <c r="M83" t="s">
        <v>2536</v>
      </c>
      <c r="N83" t="s">
        <v>2537</v>
      </c>
    </row>
    <row r="84" spans="1:14" x14ac:dyDescent="0.3">
      <c r="A84">
        <v>1066522</v>
      </c>
      <c r="B84" t="s">
        <v>2531</v>
      </c>
      <c r="C84" t="s">
        <v>2360</v>
      </c>
      <c r="D84" t="s">
        <v>2533</v>
      </c>
      <c r="E84" t="s">
        <v>2534</v>
      </c>
      <c r="F84">
        <v>125678860</v>
      </c>
      <c r="G84" t="s">
        <v>2543</v>
      </c>
      <c r="H84" t="s">
        <v>22</v>
      </c>
      <c r="I84" t="s">
        <v>22</v>
      </c>
      <c r="J84" t="s">
        <v>17</v>
      </c>
      <c r="K84">
        <v>90.9</v>
      </c>
      <c r="L84">
        <v>138.5</v>
      </c>
      <c r="M84" t="s">
        <v>2536</v>
      </c>
      <c r="N84" t="s">
        <v>2537</v>
      </c>
    </row>
    <row r="85" spans="1:14" x14ac:dyDescent="0.3">
      <c r="A85">
        <v>1066522</v>
      </c>
      <c r="B85" t="s">
        <v>2531</v>
      </c>
      <c r="C85" t="s">
        <v>2360</v>
      </c>
      <c r="D85" t="s">
        <v>2533</v>
      </c>
      <c r="E85" t="s">
        <v>2534</v>
      </c>
      <c r="F85">
        <v>125678860</v>
      </c>
      <c r="G85" t="s">
        <v>2544</v>
      </c>
      <c r="H85" t="s">
        <v>22</v>
      </c>
      <c r="I85" t="s">
        <v>22</v>
      </c>
      <c r="J85" t="s">
        <v>17</v>
      </c>
      <c r="K85">
        <v>90.9</v>
      </c>
      <c r="L85">
        <v>138.5</v>
      </c>
      <c r="M85" t="s">
        <v>2536</v>
      </c>
      <c r="N85" t="s">
        <v>2537</v>
      </c>
    </row>
    <row r="86" spans="1:14" x14ac:dyDescent="0.3">
      <c r="A86">
        <v>1066522</v>
      </c>
      <c r="B86" t="s">
        <v>2531</v>
      </c>
      <c r="C86" t="s">
        <v>2360</v>
      </c>
      <c r="D86" t="s">
        <v>2533</v>
      </c>
      <c r="E86" t="s">
        <v>2534</v>
      </c>
      <c r="F86">
        <v>125678860</v>
      </c>
      <c r="G86" t="s">
        <v>2545</v>
      </c>
      <c r="H86" t="s">
        <v>22</v>
      </c>
      <c r="I86" t="s">
        <v>22</v>
      </c>
      <c r="J86" t="s">
        <v>17</v>
      </c>
      <c r="K86">
        <v>90.9</v>
      </c>
      <c r="L86">
        <v>138.5</v>
      </c>
      <c r="M86" t="s">
        <v>2536</v>
      </c>
      <c r="N86" t="s">
        <v>2537</v>
      </c>
    </row>
    <row r="87" spans="1:14" x14ac:dyDescent="0.3">
      <c r="A87">
        <v>1066522</v>
      </c>
      <c r="B87" t="s">
        <v>2531</v>
      </c>
      <c r="C87" t="s">
        <v>2360</v>
      </c>
      <c r="D87" t="s">
        <v>2533</v>
      </c>
      <c r="E87" t="s">
        <v>2534</v>
      </c>
      <c r="F87">
        <v>125678860</v>
      </c>
      <c r="G87" t="s">
        <v>2546</v>
      </c>
      <c r="H87" t="s">
        <v>22</v>
      </c>
      <c r="I87" t="s">
        <v>22</v>
      </c>
      <c r="J87" t="s">
        <v>17</v>
      </c>
      <c r="K87">
        <v>90.9</v>
      </c>
      <c r="L87">
        <v>138.5</v>
      </c>
      <c r="M87" t="s">
        <v>2536</v>
      </c>
      <c r="N87" t="s">
        <v>2537</v>
      </c>
    </row>
    <row r="88" spans="1:14" x14ac:dyDescent="0.3">
      <c r="A88">
        <v>1066522</v>
      </c>
      <c r="B88" t="s">
        <v>2531</v>
      </c>
      <c r="C88" t="s">
        <v>2360</v>
      </c>
      <c r="D88" t="s">
        <v>2533</v>
      </c>
      <c r="E88" t="s">
        <v>2534</v>
      </c>
      <c r="F88">
        <v>125678860</v>
      </c>
      <c r="G88" t="s">
        <v>2547</v>
      </c>
      <c r="H88" t="s">
        <v>22</v>
      </c>
      <c r="I88" t="s">
        <v>22</v>
      </c>
      <c r="J88" t="s">
        <v>17</v>
      </c>
      <c r="K88">
        <v>90.9</v>
      </c>
      <c r="L88">
        <v>138.5</v>
      </c>
      <c r="M88" t="s">
        <v>2536</v>
      </c>
      <c r="N88" t="s">
        <v>2537</v>
      </c>
    </row>
    <row r="89" spans="1:14" x14ac:dyDescent="0.3">
      <c r="A89">
        <v>1066522</v>
      </c>
      <c r="B89" t="s">
        <v>2531</v>
      </c>
      <c r="C89" t="s">
        <v>2360</v>
      </c>
      <c r="D89" t="s">
        <v>2533</v>
      </c>
      <c r="E89" t="s">
        <v>2534</v>
      </c>
      <c r="F89">
        <v>125678860</v>
      </c>
      <c r="G89" t="s">
        <v>2548</v>
      </c>
      <c r="H89" t="s">
        <v>22</v>
      </c>
      <c r="I89" t="s">
        <v>22</v>
      </c>
      <c r="J89" t="s">
        <v>17</v>
      </c>
      <c r="K89">
        <v>90.9</v>
      </c>
      <c r="L89">
        <v>138.5</v>
      </c>
      <c r="M89" t="s">
        <v>2536</v>
      </c>
      <c r="N89" t="s">
        <v>2537</v>
      </c>
    </row>
    <row r="90" spans="1:14" x14ac:dyDescent="0.3">
      <c r="A90">
        <v>1066522</v>
      </c>
      <c r="B90" t="s">
        <v>2531</v>
      </c>
      <c r="C90" t="s">
        <v>2360</v>
      </c>
      <c r="D90" t="s">
        <v>2533</v>
      </c>
      <c r="E90" t="s">
        <v>2534</v>
      </c>
      <c r="F90">
        <v>125678860</v>
      </c>
      <c r="G90" t="s">
        <v>2549</v>
      </c>
      <c r="H90" t="s">
        <v>22</v>
      </c>
      <c r="I90" t="s">
        <v>22</v>
      </c>
      <c r="J90" t="s">
        <v>17</v>
      </c>
      <c r="K90">
        <v>90.9</v>
      </c>
      <c r="L90">
        <v>138.5</v>
      </c>
      <c r="M90" t="s">
        <v>2536</v>
      </c>
      <c r="N90" t="s">
        <v>2537</v>
      </c>
    </row>
    <row r="91" spans="1:14" x14ac:dyDescent="0.3">
      <c r="A91">
        <v>1066522</v>
      </c>
      <c r="B91" t="s">
        <v>2531</v>
      </c>
      <c r="C91" t="s">
        <v>2360</v>
      </c>
      <c r="D91" t="s">
        <v>2533</v>
      </c>
      <c r="E91" t="s">
        <v>2534</v>
      </c>
      <c r="F91">
        <v>125678860</v>
      </c>
      <c r="G91" t="s">
        <v>2550</v>
      </c>
      <c r="H91" t="s">
        <v>22</v>
      </c>
      <c r="I91" t="s">
        <v>22</v>
      </c>
      <c r="J91" t="s">
        <v>17</v>
      </c>
      <c r="K91">
        <v>90.9</v>
      </c>
      <c r="L91">
        <v>138.5</v>
      </c>
      <c r="M91" t="s">
        <v>2536</v>
      </c>
      <c r="N91" t="s">
        <v>2537</v>
      </c>
    </row>
    <row r="92" spans="1:14" x14ac:dyDescent="0.3">
      <c r="A92">
        <v>1066522</v>
      </c>
      <c r="B92" t="s">
        <v>2531</v>
      </c>
      <c r="C92" t="s">
        <v>2361</v>
      </c>
      <c r="H92" t="s">
        <v>16</v>
      </c>
      <c r="I92" t="s">
        <v>16</v>
      </c>
      <c r="J92" t="s">
        <v>17</v>
      </c>
      <c r="K92">
        <v>0</v>
      </c>
      <c r="L92">
        <v>0</v>
      </c>
    </row>
    <row r="93" spans="1:14" x14ac:dyDescent="0.3">
      <c r="A93">
        <v>1066522</v>
      </c>
      <c r="B93" t="s">
        <v>2531</v>
      </c>
      <c r="C93" t="s">
        <v>2362</v>
      </c>
      <c r="D93" t="s">
        <v>2551</v>
      </c>
      <c r="E93" t="s">
        <v>2552</v>
      </c>
      <c r="F93">
        <v>119326416</v>
      </c>
      <c r="G93" t="s">
        <v>2553</v>
      </c>
      <c r="H93" t="s">
        <v>46</v>
      </c>
      <c r="I93" t="s">
        <v>46</v>
      </c>
      <c r="J93" t="s">
        <v>17</v>
      </c>
      <c r="K93">
        <v>100</v>
      </c>
      <c r="L93">
        <v>50</v>
      </c>
      <c r="M93" t="s">
        <v>2554</v>
      </c>
      <c r="N93" t="s">
        <v>2555</v>
      </c>
    </row>
    <row r="94" spans="1:14" x14ac:dyDescent="0.3">
      <c r="A94">
        <v>1066522</v>
      </c>
      <c r="B94" t="s">
        <v>2531</v>
      </c>
      <c r="C94" t="s">
        <v>2362</v>
      </c>
      <c r="D94" t="s">
        <v>2551</v>
      </c>
      <c r="E94" t="s">
        <v>2552</v>
      </c>
      <c r="F94">
        <v>119326416</v>
      </c>
      <c r="G94" t="s">
        <v>2556</v>
      </c>
      <c r="H94" t="s">
        <v>46</v>
      </c>
      <c r="I94" t="s">
        <v>46</v>
      </c>
      <c r="J94" t="s">
        <v>17</v>
      </c>
      <c r="K94">
        <v>100</v>
      </c>
      <c r="L94">
        <v>50</v>
      </c>
      <c r="M94" t="s">
        <v>2554</v>
      </c>
      <c r="N94" t="s">
        <v>2555</v>
      </c>
    </row>
    <row r="95" spans="1:14" x14ac:dyDescent="0.3">
      <c r="A95">
        <v>1066522</v>
      </c>
      <c r="B95" t="s">
        <v>2531</v>
      </c>
      <c r="C95" t="s">
        <v>2362</v>
      </c>
      <c r="D95" t="s">
        <v>2551</v>
      </c>
      <c r="E95" t="s">
        <v>2552</v>
      </c>
      <c r="F95">
        <v>119326416</v>
      </c>
      <c r="G95" t="s">
        <v>2557</v>
      </c>
      <c r="H95" t="s">
        <v>46</v>
      </c>
      <c r="I95" t="s">
        <v>46</v>
      </c>
      <c r="J95" t="s">
        <v>17</v>
      </c>
      <c r="K95">
        <v>100</v>
      </c>
      <c r="L95">
        <v>50</v>
      </c>
      <c r="M95" t="s">
        <v>2554</v>
      </c>
      <c r="N95" t="s">
        <v>2555</v>
      </c>
    </row>
    <row r="96" spans="1:14" x14ac:dyDescent="0.3">
      <c r="A96">
        <v>1066522</v>
      </c>
      <c r="B96" t="s">
        <v>2531</v>
      </c>
      <c r="C96" t="s">
        <v>2362</v>
      </c>
      <c r="D96" t="s">
        <v>2551</v>
      </c>
      <c r="E96" t="s">
        <v>2552</v>
      </c>
      <c r="F96">
        <v>119326416</v>
      </c>
      <c r="G96" t="s">
        <v>2558</v>
      </c>
      <c r="H96" t="s">
        <v>46</v>
      </c>
      <c r="I96" t="s">
        <v>46</v>
      </c>
      <c r="J96" t="s">
        <v>17</v>
      </c>
      <c r="K96">
        <v>100</v>
      </c>
      <c r="L96">
        <v>50</v>
      </c>
      <c r="M96" t="s">
        <v>2554</v>
      </c>
      <c r="N96" t="s">
        <v>2555</v>
      </c>
    </row>
    <row r="97" spans="1:14" x14ac:dyDescent="0.3">
      <c r="A97">
        <v>1066522</v>
      </c>
      <c r="B97" t="s">
        <v>2531</v>
      </c>
      <c r="C97" t="s">
        <v>2362</v>
      </c>
      <c r="D97" t="s">
        <v>2551</v>
      </c>
      <c r="E97" t="s">
        <v>2552</v>
      </c>
      <c r="F97">
        <v>119326416</v>
      </c>
      <c r="G97" t="s">
        <v>2559</v>
      </c>
      <c r="H97" t="s">
        <v>46</v>
      </c>
      <c r="I97" t="s">
        <v>46</v>
      </c>
      <c r="J97" t="s">
        <v>17</v>
      </c>
      <c r="K97">
        <v>100</v>
      </c>
      <c r="L97">
        <v>50</v>
      </c>
      <c r="M97" t="s">
        <v>2554</v>
      </c>
      <c r="N97" t="s">
        <v>2555</v>
      </c>
    </row>
    <row r="98" spans="1:14" x14ac:dyDescent="0.3">
      <c r="A98">
        <v>1066522</v>
      </c>
      <c r="B98" t="s">
        <v>2531</v>
      </c>
      <c r="C98" t="s">
        <v>2362</v>
      </c>
      <c r="D98" t="s">
        <v>2551</v>
      </c>
      <c r="E98" t="s">
        <v>2552</v>
      </c>
      <c r="F98">
        <v>119326416</v>
      </c>
      <c r="G98" t="s">
        <v>2560</v>
      </c>
      <c r="H98" t="s">
        <v>46</v>
      </c>
      <c r="I98" t="s">
        <v>46</v>
      </c>
      <c r="J98" t="s">
        <v>17</v>
      </c>
      <c r="K98">
        <v>100</v>
      </c>
      <c r="L98">
        <v>50</v>
      </c>
      <c r="M98" t="s">
        <v>2554</v>
      </c>
      <c r="N98" t="s">
        <v>2555</v>
      </c>
    </row>
    <row r="99" spans="1:14" x14ac:dyDescent="0.3">
      <c r="A99">
        <v>1066522</v>
      </c>
      <c r="B99" t="s">
        <v>2531</v>
      </c>
      <c r="C99" t="s">
        <v>2362</v>
      </c>
      <c r="D99" t="s">
        <v>2551</v>
      </c>
      <c r="E99" t="s">
        <v>2552</v>
      </c>
      <c r="F99">
        <v>119326416</v>
      </c>
      <c r="G99" t="s">
        <v>2561</v>
      </c>
      <c r="H99" t="s">
        <v>46</v>
      </c>
      <c r="I99" t="s">
        <v>46</v>
      </c>
      <c r="J99" t="s">
        <v>17</v>
      </c>
      <c r="K99">
        <v>100</v>
      </c>
      <c r="L99">
        <v>50</v>
      </c>
      <c r="M99" t="s">
        <v>2554</v>
      </c>
      <c r="N99" t="s">
        <v>2555</v>
      </c>
    </row>
    <row r="100" spans="1:14" x14ac:dyDescent="0.3">
      <c r="A100">
        <v>1066522</v>
      </c>
      <c r="B100" t="s">
        <v>2531</v>
      </c>
      <c r="C100" t="s">
        <v>2362</v>
      </c>
      <c r="D100" t="s">
        <v>2551</v>
      </c>
      <c r="E100" t="s">
        <v>2552</v>
      </c>
      <c r="F100">
        <v>119326416</v>
      </c>
      <c r="G100" t="s">
        <v>2562</v>
      </c>
      <c r="H100" t="s">
        <v>46</v>
      </c>
      <c r="I100" t="s">
        <v>46</v>
      </c>
      <c r="J100" t="s">
        <v>17</v>
      </c>
      <c r="K100">
        <v>100</v>
      </c>
      <c r="L100">
        <v>50</v>
      </c>
      <c r="M100" t="s">
        <v>2554</v>
      </c>
      <c r="N100" t="s">
        <v>2555</v>
      </c>
    </row>
    <row r="101" spans="1:14" x14ac:dyDescent="0.3">
      <c r="A101">
        <v>1066522</v>
      </c>
      <c r="B101" t="s">
        <v>2531</v>
      </c>
      <c r="C101" t="s">
        <v>2362</v>
      </c>
      <c r="D101" t="s">
        <v>2551</v>
      </c>
      <c r="E101" t="s">
        <v>2552</v>
      </c>
      <c r="F101">
        <v>119326416</v>
      </c>
      <c r="G101" t="s">
        <v>2563</v>
      </c>
      <c r="H101" t="s">
        <v>46</v>
      </c>
      <c r="I101" t="s">
        <v>46</v>
      </c>
      <c r="J101" t="s">
        <v>17</v>
      </c>
      <c r="K101">
        <v>100</v>
      </c>
      <c r="L101">
        <v>50</v>
      </c>
      <c r="M101" t="s">
        <v>2554</v>
      </c>
      <c r="N101" t="s">
        <v>2555</v>
      </c>
    </row>
    <row r="102" spans="1:14" x14ac:dyDescent="0.3">
      <c r="A102">
        <v>1066522</v>
      </c>
      <c r="B102" t="s">
        <v>2531</v>
      </c>
      <c r="C102" t="s">
        <v>2362</v>
      </c>
      <c r="D102" t="s">
        <v>2551</v>
      </c>
      <c r="E102" t="s">
        <v>2552</v>
      </c>
      <c r="F102">
        <v>119326416</v>
      </c>
      <c r="G102" t="s">
        <v>2564</v>
      </c>
      <c r="H102" t="s">
        <v>46</v>
      </c>
      <c r="I102" t="s">
        <v>46</v>
      </c>
      <c r="J102" t="s">
        <v>17</v>
      </c>
      <c r="K102">
        <v>100</v>
      </c>
      <c r="L102">
        <v>50</v>
      </c>
      <c r="M102" t="s">
        <v>2554</v>
      </c>
      <c r="N102" t="s">
        <v>2555</v>
      </c>
    </row>
    <row r="103" spans="1:14" x14ac:dyDescent="0.3">
      <c r="A103">
        <v>1066522</v>
      </c>
      <c r="B103" t="s">
        <v>2531</v>
      </c>
      <c r="C103" t="s">
        <v>2362</v>
      </c>
      <c r="D103" t="s">
        <v>2551</v>
      </c>
      <c r="E103" t="s">
        <v>2552</v>
      </c>
      <c r="F103">
        <v>119326416</v>
      </c>
      <c r="G103" t="s">
        <v>2565</v>
      </c>
      <c r="H103" t="s">
        <v>46</v>
      </c>
      <c r="I103" t="s">
        <v>46</v>
      </c>
      <c r="J103" t="s">
        <v>17</v>
      </c>
      <c r="K103">
        <v>100</v>
      </c>
      <c r="L103">
        <v>50</v>
      </c>
      <c r="M103" t="s">
        <v>2554</v>
      </c>
      <c r="N103" t="s">
        <v>2555</v>
      </c>
    </row>
    <row r="104" spans="1:14" x14ac:dyDescent="0.3">
      <c r="A104">
        <v>1066522</v>
      </c>
      <c r="B104" t="s">
        <v>2531</v>
      </c>
      <c r="C104" t="s">
        <v>2363</v>
      </c>
      <c r="D104" t="s">
        <v>2566</v>
      </c>
      <c r="E104" t="s">
        <v>2567</v>
      </c>
      <c r="G104" t="s">
        <v>2568</v>
      </c>
      <c r="H104" t="s">
        <v>46</v>
      </c>
      <c r="I104" t="s">
        <v>46</v>
      </c>
      <c r="J104" t="s">
        <v>17</v>
      </c>
      <c r="K104">
        <v>100</v>
      </c>
      <c r="L104">
        <v>50</v>
      </c>
    </row>
    <row r="105" spans="1:14" x14ac:dyDescent="0.3">
      <c r="A105">
        <v>1066522</v>
      </c>
      <c r="B105" t="s">
        <v>2531</v>
      </c>
      <c r="C105" t="s">
        <v>2363</v>
      </c>
      <c r="D105" t="s">
        <v>2566</v>
      </c>
      <c r="E105" t="s">
        <v>2567</v>
      </c>
      <c r="G105" t="s">
        <v>2569</v>
      </c>
      <c r="H105" t="s">
        <v>46</v>
      </c>
      <c r="I105" t="s">
        <v>46</v>
      </c>
      <c r="J105" t="s">
        <v>17</v>
      </c>
      <c r="K105">
        <v>100</v>
      </c>
      <c r="L105">
        <v>50</v>
      </c>
    </row>
    <row r="106" spans="1:14" x14ac:dyDescent="0.3">
      <c r="A106">
        <v>1066522</v>
      </c>
      <c r="B106" t="s">
        <v>2531</v>
      </c>
      <c r="C106" t="s">
        <v>2363</v>
      </c>
      <c r="D106" t="s">
        <v>2566</v>
      </c>
      <c r="E106" t="s">
        <v>2567</v>
      </c>
      <c r="G106" t="s">
        <v>2570</v>
      </c>
      <c r="H106" t="s">
        <v>46</v>
      </c>
      <c r="I106" t="s">
        <v>46</v>
      </c>
      <c r="J106" t="s">
        <v>17</v>
      </c>
      <c r="K106">
        <v>100</v>
      </c>
      <c r="L106">
        <v>50</v>
      </c>
    </row>
    <row r="107" spans="1:14" x14ac:dyDescent="0.3">
      <c r="A107">
        <v>1066522</v>
      </c>
      <c r="B107" t="s">
        <v>2531</v>
      </c>
      <c r="C107" t="s">
        <v>2363</v>
      </c>
      <c r="D107" t="s">
        <v>2566</v>
      </c>
      <c r="E107" t="s">
        <v>2567</v>
      </c>
      <c r="G107" t="s">
        <v>2571</v>
      </c>
      <c r="H107" t="s">
        <v>46</v>
      </c>
      <c r="I107" t="s">
        <v>46</v>
      </c>
      <c r="J107" t="s">
        <v>17</v>
      </c>
      <c r="K107">
        <v>100</v>
      </c>
      <c r="L107">
        <v>50</v>
      </c>
    </row>
    <row r="108" spans="1:14" x14ac:dyDescent="0.3">
      <c r="A108">
        <v>1066522</v>
      </c>
      <c r="B108" t="s">
        <v>2531</v>
      </c>
      <c r="C108" t="s">
        <v>2363</v>
      </c>
      <c r="D108" t="s">
        <v>2566</v>
      </c>
      <c r="E108" t="s">
        <v>2567</v>
      </c>
      <c r="G108" t="s">
        <v>2572</v>
      </c>
      <c r="H108" t="s">
        <v>46</v>
      </c>
      <c r="I108" t="s">
        <v>46</v>
      </c>
      <c r="J108" t="s">
        <v>17</v>
      </c>
      <c r="K108">
        <v>100</v>
      </c>
      <c r="L108">
        <v>50</v>
      </c>
    </row>
    <row r="109" spans="1:14" x14ac:dyDescent="0.3">
      <c r="A109">
        <v>1066522</v>
      </c>
      <c r="B109" t="s">
        <v>2531</v>
      </c>
      <c r="C109" t="s">
        <v>2363</v>
      </c>
      <c r="D109" t="s">
        <v>2566</v>
      </c>
      <c r="E109" t="s">
        <v>2567</v>
      </c>
      <c r="G109" t="s">
        <v>2573</v>
      </c>
      <c r="H109" t="s">
        <v>46</v>
      </c>
      <c r="I109" t="s">
        <v>46</v>
      </c>
      <c r="J109" t="s">
        <v>17</v>
      </c>
      <c r="K109">
        <v>100</v>
      </c>
      <c r="L109">
        <v>50</v>
      </c>
    </row>
    <row r="110" spans="1:14" x14ac:dyDescent="0.3">
      <c r="A110">
        <v>1066522</v>
      </c>
      <c r="B110" t="s">
        <v>2531</v>
      </c>
      <c r="C110" t="s">
        <v>2363</v>
      </c>
      <c r="D110" t="s">
        <v>2566</v>
      </c>
      <c r="E110" t="s">
        <v>2567</v>
      </c>
      <c r="G110" t="s">
        <v>2574</v>
      </c>
      <c r="H110" t="s">
        <v>46</v>
      </c>
      <c r="I110" t="s">
        <v>46</v>
      </c>
      <c r="J110" t="s">
        <v>17</v>
      </c>
      <c r="K110">
        <v>100</v>
      </c>
      <c r="L110">
        <v>50</v>
      </c>
    </row>
    <row r="111" spans="1:14" x14ac:dyDescent="0.3">
      <c r="A111">
        <v>1066522</v>
      </c>
      <c r="B111" t="s">
        <v>2531</v>
      </c>
      <c r="C111" t="s">
        <v>2363</v>
      </c>
      <c r="D111" t="s">
        <v>2566</v>
      </c>
      <c r="E111" t="s">
        <v>2567</v>
      </c>
      <c r="G111" t="s">
        <v>2575</v>
      </c>
      <c r="H111" t="s">
        <v>46</v>
      </c>
      <c r="I111" t="s">
        <v>46</v>
      </c>
      <c r="J111" t="s">
        <v>17</v>
      </c>
      <c r="K111">
        <v>100</v>
      </c>
      <c r="L111">
        <v>50</v>
      </c>
    </row>
    <row r="112" spans="1:14" x14ac:dyDescent="0.3">
      <c r="A112">
        <v>1066522</v>
      </c>
      <c r="B112" t="s">
        <v>2531</v>
      </c>
      <c r="C112" t="s">
        <v>2363</v>
      </c>
      <c r="D112" t="s">
        <v>2566</v>
      </c>
      <c r="E112" t="s">
        <v>2567</v>
      </c>
      <c r="G112" t="s">
        <v>2576</v>
      </c>
      <c r="H112" t="s">
        <v>46</v>
      </c>
      <c r="I112" t="s">
        <v>46</v>
      </c>
      <c r="J112" t="s">
        <v>17</v>
      </c>
      <c r="K112">
        <v>100</v>
      </c>
      <c r="L112">
        <v>50</v>
      </c>
    </row>
    <row r="113" spans="1:12" x14ac:dyDescent="0.3">
      <c r="A113">
        <v>1066522</v>
      </c>
      <c r="B113" t="s">
        <v>2531</v>
      </c>
      <c r="C113" t="s">
        <v>2364</v>
      </c>
      <c r="D113" t="s">
        <v>2577</v>
      </c>
      <c r="E113" t="s">
        <v>2578</v>
      </c>
      <c r="G113" t="s">
        <v>2579</v>
      </c>
      <c r="H113" t="s">
        <v>22</v>
      </c>
      <c r="I113" t="s">
        <v>22</v>
      </c>
      <c r="J113" t="s">
        <v>17</v>
      </c>
      <c r="K113">
        <v>90</v>
      </c>
      <c r="L113">
        <v>112</v>
      </c>
    </row>
    <row r="114" spans="1:12" x14ac:dyDescent="0.3">
      <c r="A114">
        <v>1066522</v>
      </c>
      <c r="B114" t="s">
        <v>2531</v>
      </c>
      <c r="C114" t="s">
        <v>2364</v>
      </c>
      <c r="D114" t="s">
        <v>2577</v>
      </c>
      <c r="E114" t="s">
        <v>2578</v>
      </c>
      <c r="G114" t="s">
        <v>101</v>
      </c>
      <c r="H114" t="s">
        <v>22</v>
      </c>
      <c r="I114" t="s">
        <v>22</v>
      </c>
      <c r="J114" t="s">
        <v>17</v>
      </c>
      <c r="K114">
        <v>90</v>
      </c>
      <c r="L114">
        <v>112</v>
      </c>
    </row>
    <row r="115" spans="1:12" x14ac:dyDescent="0.3">
      <c r="A115">
        <v>1066522</v>
      </c>
      <c r="B115" t="s">
        <v>2531</v>
      </c>
      <c r="C115" t="s">
        <v>2364</v>
      </c>
      <c r="D115" t="s">
        <v>2577</v>
      </c>
      <c r="E115" t="s">
        <v>2578</v>
      </c>
      <c r="G115" t="s">
        <v>102</v>
      </c>
      <c r="H115" t="s">
        <v>22</v>
      </c>
      <c r="I115" t="s">
        <v>22</v>
      </c>
      <c r="J115" t="s">
        <v>17</v>
      </c>
      <c r="K115">
        <v>90</v>
      </c>
      <c r="L115">
        <v>112</v>
      </c>
    </row>
    <row r="116" spans="1:12" x14ac:dyDescent="0.3">
      <c r="A116">
        <v>1066522</v>
      </c>
      <c r="B116" t="s">
        <v>2531</v>
      </c>
      <c r="C116" t="s">
        <v>2364</v>
      </c>
      <c r="D116" t="s">
        <v>2577</v>
      </c>
      <c r="E116" t="s">
        <v>2578</v>
      </c>
      <c r="G116" t="s">
        <v>103</v>
      </c>
      <c r="H116" t="s">
        <v>22</v>
      </c>
      <c r="I116" t="s">
        <v>22</v>
      </c>
      <c r="J116" t="s">
        <v>17</v>
      </c>
      <c r="K116">
        <v>90</v>
      </c>
      <c r="L116">
        <v>112</v>
      </c>
    </row>
    <row r="117" spans="1:12" x14ac:dyDescent="0.3">
      <c r="A117">
        <v>1066522</v>
      </c>
      <c r="B117" t="s">
        <v>2531</v>
      </c>
      <c r="C117" t="s">
        <v>2364</v>
      </c>
      <c r="D117" t="s">
        <v>2577</v>
      </c>
      <c r="E117" t="s">
        <v>2578</v>
      </c>
      <c r="G117" t="s">
        <v>104</v>
      </c>
      <c r="H117" t="s">
        <v>22</v>
      </c>
      <c r="I117" t="s">
        <v>22</v>
      </c>
      <c r="J117" t="s">
        <v>17</v>
      </c>
      <c r="K117">
        <v>90</v>
      </c>
      <c r="L117">
        <v>112</v>
      </c>
    </row>
    <row r="118" spans="1:12" x14ac:dyDescent="0.3">
      <c r="A118">
        <v>1066522</v>
      </c>
      <c r="B118" t="s">
        <v>2531</v>
      </c>
      <c r="C118" t="s">
        <v>2364</v>
      </c>
      <c r="D118" t="s">
        <v>2577</v>
      </c>
      <c r="E118" t="s">
        <v>2578</v>
      </c>
      <c r="G118" t="s">
        <v>105</v>
      </c>
      <c r="H118" t="s">
        <v>22</v>
      </c>
      <c r="I118" t="s">
        <v>22</v>
      </c>
      <c r="J118" t="s">
        <v>17</v>
      </c>
      <c r="K118">
        <v>90</v>
      </c>
      <c r="L118">
        <v>112</v>
      </c>
    </row>
    <row r="119" spans="1:12" x14ac:dyDescent="0.3">
      <c r="A119">
        <v>1066522</v>
      </c>
      <c r="B119" t="s">
        <v>2531</v>
      </c>
      <c r="C119" t="s">
        <v>2364</v>
      </c>
      <c r="D119" t="s">
        <v>2577</v>
      </c>
      <c r="E119" t="s">
        <v>2578</v>
      </c>
      <c r="G119" t="s">
        <v>106</v>
      </c>
      <c r="H119" t="s">
        <v>22</v>
      </c>
      <c r="I119" t="s">
        <v>22</v>
      </c>
      <c r="J119" t="s">
        <v>17</v>
      </c>
      <c r="K119">
        <v>90</v>
      </c>
      <c r="L119">
        <v>112</v>
      </c>
    </row>
    <row r="120" spans="1:12" x14ac:dyDescent="0.3">
      <c r="A120">
        <v>1066522</v>
      </c>
      <c r="B120" t="s">
        <v>2531</v>
      </c>
      <c r="C120" t="s">
        <v>2364</v>
      </c>
      <c r="D120" t="s">
        <v>2577</v>
      </c>
      <c r="E120" t="s">
        <v>2578</v>
      </c>
      <c r="G120" t="s">
        <v>107</v>
      </c>
      <c r="H120" t="s">
        <v>22</v>
      </c>
      <c r="I120" t="s">
        <v>22</v>
      </c>
      <c r="J120" t="s">
        <v>17</v>
      </c>
      <c r="K120">
        <v>90</v>
      </c>
      <c r="L120">
        <v>112</v>
      </c>
    </row>
    <row r="121" spans="1:12" x14ac:dyDescent="0.3">
      <c r="A121">
        <v>1066522</v>
      </c>
      <c r="B121" t="s">
        <v>2531</v>
      </c>
      <c r="C121" t="s">
        <v>2364</v>
      </c>
      <c r="D121" t="s">
        <v>2577</v>
      </c>
      <c r="E121" t="s">
        <v>2578</v>
      </c>
      <c r="G121" t="s">
        <v>108</v>
      </c>
      <c r="H121" t="s">
        <v>22</v>
      </c>
      <c r="I121" t="s">
        <v>22</v>
      </c>
      <c r="J121" t="s">
        <v>17</v>
      </c>
      <c r="K121">
        <v>90</v>
      </c>
      <c r="L121">
        <v>112</v>
      </c>
    </row>
    <row r="122" spans="1:12" x14ac:dyDescent="0.3">
      <c r="A122">
        <v>1066522</v>
      </c>
      <c r="B122" t="s">
        <v>2531</v>
      </c>
      <c r="C122" t="s">
        <v>2364</v>
      </c>
      <c r="D122" t="s">
        <v>2577</v>
      </c>
      <c r="E122" t="s">
        <v>2578</v>
      </c>
      <c r="G122" t="s">
        <v>109</v>
      </c>
      <c r="H122" t="s">
        <v>22</v>
      </c>
      <c r="I122" t="s">
        <v>22</v>
      </c>
      <c r="J122" t="s">
        <v>17</v>
      </c>
      <c r="K122">
        <v>90</v>
      </c>
      <c r="L122">
        <v>112</v>
      </c>
    </row>
    <row r="123" spans="1:12" x14ac:dyDescent="0.3">
      <c r="A123">
        <v>1066522</v>
      </c>
      <c r="B123" t="s">
        <v>2531</v>
      </c>
      <c r="C123" t="s">
        <v>2364</v>
      </c>
      <c r="D123" t="s">
        <v>2577</v>
      </c>
      <c r="E123" t="s">
        <v>2578</v>
      </c>
      <c r="G123" t="s">
        <v>110</v>
      </c>
      <c r="H123" t="s">
        <v>22</v>
      </c>
      <c r="I123" t="s">
        <v>22</v>
      </c>
      <c r="J123" t="s">
        <v>17</v>
      </c>
      <c r="K123">
        <v>90</v>
      </c>
      <c r="L123">
        <v>112</v>
      </c>
    </row>
    <row r="124" spans="1:12" x14ac:dyDescent="0.3">
      <c r="A124">
        <v>1066522</v>
      </c>
      <c r="B124" t="s">
        <v>2531</v>
      </c>
      <c r="C124" t="s">
        <v>2364</v>
      </c>
      <c r="D124" t="s">
        <v>2577</v>
      </c>
      <c r="E124" t="s">
        <v>2578</v>
      </c>
      <c r="G124" t="s">
        <v>111</v>
      </c>
      <c r="H124" t="s">
        <v>22</v>
      </c>
      <c r="I124" t="s">
        <v>22</v>
      </c>
      <c r="J124" t="s">
        <v>17</v>
      </c>
      <c r="K124">
        <v>90</v>
      </c>
      <c r="L124">
        <v>112</v>
      </c>
    </row>
    <row r="125" spans="1:12" x14ac:dyDescent="0.3">
      <c r="A125">
        <v>1066522</v>
      </c>
      <c r="B125" t="s">
        <v>2531</v>
      </c>
      <c r="C125" t="s">
        <v>2364</v>
      </c>
      <c r="D125" t="s">
        <v>2577</v>
      </c>
      <c r="E125" t="s">
        <v>2578</v>
      </c>
      <c r="G125" t="s">
        <v>112</v>
      </c>
      <c r="H125" t="s">
        <v>22</v>
      </c>
      <c r="I125" t="s">
        <v>22</v>
      </c>
      <c r="J125" t="s">
        <v>17</v>
      </c>
      <c r="K125">
        <v>90</v>
      </c>
      <c r="L125">
        <v>112</v>
      </c>
    </row>
    <row r="126" spans="1:12" x14ac:dyDescent="0.3">
      <c r="A126">
        <v>1066522</v>
      </c>
      <c r="B126" t="s">
        <v>2531</v>
      </c>
      <c r="C126" t="s">
        <v>2364</v>
      </c>
      <c r="D126" t="s">
        <v>2577</v>
      </c>
      <c r="E126" t="s">
        <v>2578</v>
      </c>
      <c r="G126" t="s">
        <v>113</v>
      </c>
      <c r="H126" t="s">
        <v>22</v>
      </c>
      <c r="I126" t="s">
        <v>22</v>
      </c>
      <c r="J126" t="s">
        <v>17</v>
      </c>
      <c r="K126">
        <v>90</v>
      </c>
      <c r="L126">
        <v>112</v>
      </c>
    </row>
    <row r="127" spans="1:12" x14ac:dyDescent="0.3">
      <c r="A127">
        <v>1066522</v>
      </c>
      <c r="B127" t="s">
        <v>2531</v>
      </c>
      <c r="C127" t="s">
        <v>2364</v>
      </c>
      <c r="D127" t="s">
        <v>2577</v>
      </c>
      <c r="E127" t="s">
        <v>2578</v>
      </c>
      <c r="G127" t="s">
        <v>114</v>
      </c>
      <c r="H127" t="s">
        <v>22</v>
      </c>
      <c r="I127" t="s">
        <v>22</v>
      </c>
      <c r="J127" t="s">
        <v>17</v>
      </c>
      <c r="K127">
        <v>90</v>
      </c>
      <c r="L127">
        <v>112</v>
      </c>
    </row>
    <row r="128" spans="1:12" x14ac:dyDescent="0.3">
      <c r="A128">
        <v>1066522</v>
      </c>
      <c r="B128" t="s">
        <v>2531</v>
      </c>
      <c r="C128" t="s">
        <v>2364</v>
      </c>
      <c r="D128" t="s">
        <v>2577</v>
      </c>
      <c r="E128" t="s">
        <v>2578</v>
      </c>
      <c r="G128" t="s">
        <v>115</v>
      </c>
      <c r="H128" t="s">
        <v>22</v>
      </c>
      <c r="I128" t="s">
        <v>22</v>
      </c>
      <c r="J128" t="s">
        <v>17</v>
      </c>
      <c r="K128">
        <v>90</v>
      </c>
      <c r="L128">
        <v>112</v>
      </c>
    </row>
    <row r="129" spans="1:12" x14ac:dyDescent="0.3">
      <c r="A129">
        <v>1066522</v>
      </c>
      <c r="B129" t="s">
        <v>2531</v>
      </c>
      <c r="C129" t="s">
        <v>2364</v>
      </c>
      <c r="D129" t="s">
        <v>2577</v>
      </c>
      <c r="E129" t="s">
        <v>2578</v>
      </c>
      <c r="G129" t="s">
        <v>116</v>
      </c>
      <c r="H129" t="s">
        <v>22</v>
      </c>
      <c r="I129" t="s">
        <v>22</v>
      </c>
      <c r="J129" t="s">
        <v>17</v>
      </c>
      <c r="K129">
        <v>90</v>
      </c>
      <c r="L129">
        <v>112</v>
      </c>
    </row>
    <row r="130" spans="1:12" x14ac:dyDescent="0.3">
      <c r="A130">
        <v>1066522</v>
      </c>
      <c r="B130" t="s">
        <v>2531</v>
      </c>
      <c r="C130" t="s">
        <v>2364</v>
      </c>
      <c r="D130" t="s">
        <v>2577</v>
      </c>
      <c r="E130" t="s">
        <v>2578</v>
      </c>
      <c r="G130" t="s">
        <v>117</v>
      </c>
      <c r="H130" t="s">
        <v>22</v>
      </c>
      <c r="I130" t="s">
        <v>22</v>
      </c>
      <c r="J130" t="s">
        <v>17</v>
      </c>
      <c r="K130">
        <v>90</v>
      </c>
      <c r="L130">
        <v>112</v>
      </c>
    </row>
    <row r="131" spans="1:12" x14ac:dyDescent="0.3">
      <c r="A131">
        <v>1066522</v>
      </c>
      <c r="B131" t="s">
        <v>2531</v>
      </c>
      <c r="C131" t="s">
        <v>2364</v>
      </c>
      <c r="D131" t="s">
        <v>2577</v>
      </c>
      <c r="E131" t="s">
        <v>2578</v>
      </c>
      <c r="G131" t="s">
        <v>118</v>
      </c>
      <c r="H131" t="s">
        <v>22</v>
      </c>
      <c r="I131" t="s">
        <v>22</v>
      </c>
      <c r="J131" t="s">
        <v>17</v>
      </c>
      <c r="K131">
        <v>90</v>
      </c>
      <c r="L131">
        <v>112</v>
      </c>
    </row>
    <row r="132" spans="1:12" x14ac:dyDescent="0.3">
      <c r="A132">
        <v>1066522</v>
      </c>
      <c r="B132" t="s">
        <v>2531</v>
      </c>
      <c r="C132" t="s">
        <v>2364</v>
      </c>
      <c r="D132" t="s">
        <v>2577</v>
      </c>
      <c r="E132" t="s">
        <v>2578</v>
      </c>
      <c r="G132" t="s">
        <v>119</v>
      </c>
      <c r="H132" t="s">
        <v>22</v>
      </c>
      <c r="I132" t="s">
        <v>22</v>
      </c>
      <c r="J132" t="s">
        <v>17</v>
      </c>
      <c r="K132">
        <v>90</v>
      </c>
      <c r="L132">
        <v>112</v>
      </c>
    </row>
    <row r="133" spans="1:12" x14ac:dyDescent="0.3">
      <c r="A133">
        <v>1066522</v>
      </c>
      <c r="B133" t="s">
        <v>2531</v>
      </c>
      <c r="C133" t="s">
        <v>2364</v>
      </c>
      <c r="D133" t="s">
        <v>2577</v>
      </c>
      <c r="E133" t="s">
        <v>2578</v>
      </c>
      <c r="G133" t="s">
        <v>120</v>
      </c>
      <c r="H133" t="s">
        <v>22</v>
      </c>
      <c r="I133" t="s">
        <v>22</v>
      </c>
      <c r="J133" t="s">
        <v>17</v>
      </c>
      <c r="K133">
        <v>90</v>
      </c>
      <c r="L133">
        <v>112</v>
      </c>
    </row>
    <row r="134" spans="1:12" x14ac:dyDescent="0.3">
      <c r="A134">
        <v>1066522</v>
      </c>
      <c r="B134" t="s">
        <v>2531</v>
      </c>
      <c r="C134" t="s">
        <v>2364</v>
      </c>
      <c r="D134" t="s">
        <v>2577</v>
      </c>
      <c r="E134" t="s">
        <v>2578</v>
      </c>
      <c r="G134" t="s">
        <v>121</v>
      </c>
      <c r="H134" t="s">
        <v>22</v>
      </c>
      <c r="I134" t="s">
        <v>22</v>
      </c>
      <c r="J134" t="s">
        <v>17</v>
      </c>
      <c r="K134">
        <v>90</v>
      </c>
      <c r="L134">
        <v>112</v>
      </c>
    </row>
    <row r="135" spans="1:12" x14ac:dyDescent="0.3">
      <c r="A135">
        <v>1066522</v>
      </c>
      <c r="B135" t="s">
        <v>2531</v>
      </c>
      <c r="C135" t="s">
        <v>2364</v>
      </c>
      <c r="D135" t="s">
        <v>2577</v>
      </c>
      <c r="E135" t="s">
        <v>2578</v>
      </c>
      <c r="G135" t="s">
        <v>122</v>
      </c>
      <c r="H135" t="s">
        <v>22</v>
      </c>
      <c r="I135" t="s">
        <v>22</v>
      </c>
      <c r="J135" t="s">
        <v>17</v>
      </c>
      <c r="K135">
        <v>90</v>
      </c>
      <c r="L135">
        <v>112</v>
      </c>
    </row>
    <row r="136" spans="1:12" x14ac:dyDescent="0.3">
      <c r="A136">
        <v>1066522</v>
      </c>
      <c r="B136" t="s">
        <v>2531</v>
      </c>
      <c r="C136" t="s">
        <v>2364</v>
      </c>
      <c r="D136" t="s">
        <v>2577</v>
      </c>
      <c r="E136" t="s">
        <v>2578</v>
      </c>
      <c r="G136" t="s">
        <v>123</v>
      </c>
      <c r="H136" t="s">
        <v>22</v>
      </c>
      <c r="I136" t="s">
        <v>22</v>
      </c>
      <c r="J136" t="s">
        <v>17</v>
      </c>
      <c r="K136">
        <v>90</v>
      </c>
      <c r="L136">
        <v>112</v>
      </c>
    </row>
    <row r="137" spans="1:12" x14ac:dyDescent="0.3">
      <c r="A137">
        <v>1066522</v>
      </c>
      <c r="B137" t="s">
        <v>2531</v>
      </c>
      <c r="C137" t="s">
        <v>2364</v>
      </c>
      <c r="D137" t="s">
        <v>2577</v>
      </c>
      <c r="E137" t="s">
        <v>2578</v>
      </c>
      <c r="G137" t="s">
        <v>124</v>
      </c>
      <c r="H137" t="s">
        <v>22</v>
      </c>
      <c r="I137" t="s">
        <v>22</v>
      </c>
      <c r="J137" t="s">
        <v>17</v>
      </c>
      <c r="K137">
        <v>90</v>
      </c>
      <c r="L137">
        <v>112</v>
      </c>
    </row>
    <row r="138" spans="1:12" x14ac:dyDescent="0.3">
      <c r="A138">
        <v>1066522</v>
      </c>
      <c r="B138" t="s">
        <v>2531</v>
      </c>
      <c r="C138" t="s">
        <v>2364</v>
      </c>
      <c r="D138" t="s">
        <v>2577</v>
      </c>
      <c r="E138" t="s">
        <v>2578</v>
      </c>
      <c r="G138" t="s">
        <v>125</v>
      </c>
      <c r="H138" t="s">
        <v>22</v>
      </c>
      <c r="I138" t="s">
        <v>22</v>
      </c>
      <c r="J138" t="s">
        <v>17</v>
      </c>
      <c r="K138">
        <v>90</v>
      </c>
      <c r="L138">
        <v>112</v>
      </c>
    </row>
    <row r="139" spans="1:12" x14ac:dyDescent="0.3">
      <c r="A139">
        <v>1066522</v>
      </c>
      <c r="B139" t="s">
        <v>2531</v>
      </c>
      <c r="C139" t="s">
        <v>2364</v>
      </c>
      <c r="D139" t="s">
        <v>2577</v>
      </c>
      <c r="E139" t="s">
        <v>2578</v>
      </c>
      <c r="G139" t="s">
        <v>126</v>
      </c>
      <c r="H139" t="s">
        <v>22</v>
      </c>
      <c r="I139" t="s">
        <v>22</v>
      </c>
      <c r="J139" t="s">
        <v>17</v>
      </c>
      <c r="K139">
        <v>90</v>
      </c>
      <c r="L139">
        <v>112</v>
      </c>
    </row>
    <row r="140" spans="1:12" x14ac:dyDescent="0.3">
      <c r="A140">
        <v>1066522</v>
      </c>
      <c r="B140" t="s">
        <v>2531</v>
      </c>
      <c r="C140" t="s">
        <v>2364</v>
      </c>
      <c r="D140" t="s">
        <v>2577</v>
      </c>
      <c r="E140" t="s">
        <v>2578</v>
      </c>
      <c r="G140" t="s">
        <v>127</v>
      </c>
      <c r="H140" t="s">
        <v>22</v>
      </c>
      <c r="I140" t="s">
        <v>22</v>
      </c>
      <c r="J140" t="s">
        <v>17</v>
      </c>
      <c r="K140">
        <v>90</v>
      </c>
      <c r="L140">
        <v>112</v>
      </c>
    </row>
    <row r="141" spans="1:12" x14ac:dyDescent="0.3">
      <c r="A141">
        <v>1066522</v>
      </c>
      <c r="B141" t="s">
        <v>2531</v>
      </c>
      <c r="C141" t="s">
        <v>2364</v>
      </c>
      <c r="D141" t="s">
        <v>2577</v>
      </c>
      <c r="E141" t="s">
        <v>2578</v>
      </c>
      <c r="G141" t="s">
        <v>128</v>
      </c>
      <c r="H141" t="s">
        <v>22</v>
      </c>
      <c r="I141" t="s">
        <v>22</v>
      </c>
      <c r="J141" t="s">
        <v>17</v>
      </c>
      <c r="K141">
        <v>90</v>
      </c>
      <c r="L141">
        <v>112</v>
      </c>
    </row>
    <row r="142" spans="1:12" x14ac:dyDescent="0.3">
      <c r="A142">
        <v>1066522</v>
      </c>
      <c r="B142" t="s">
        <v>2531</v>
      </c>
      <c r="C142" t="s">
        <v>2364</v>
      </c>
      <c r="D142" t="s">
        <v>2577</v>
      </c>
      <c r="E142" t="s">
        <v>2578</v>
      </c>
      <c r="G142" t="s">
        <v>129</v>
      </c>
      <c r="H142" t="s">
        <v>22</v>
      </c>
      <c r="I142" t="s">
        <v>22</v>
      </c>
      <c r="J142" t="s">
        <v>17</v>
      </c>
      <c r="K142">
        <v>90</v>
      </c>
      <c r="L142">
        <v>112</v>
      </c>
    </row>
    <row r="143" spans="1:12" x14ac:dyDescent="0.3">
      <c r="A143">
        <v>1066522</v>
      </c>
      <c r="B143" t="s">
        <v>2531</v>
      </c>
      <c r="C143" t="s">
        <v>2364</v>
      </c>
      <c r="D143" t="s">
        <v>2577</v>
      </c>
      <c r="E143" t="s">
        <v>2578</v>
      </c>
      <c r="G143" t="s">
        <v>2580</v>
      </c>
      <c r="H143" t="s">
        <v>22</v>
      </c>
      <c r="I143" t="s">
        <v>22</v>
      </c>
      <c r="J143" t="s">
        <v>17</v>
      </c>
      <c r="K143">
        <v>90</v>
      </c>
      <c r="L143">
        <v>112</v>
      </c>
    </row>
    <row r="144" spans="1:12" x14ac:dyDescent="0.3">
      <c r="A144">
        <v>1066522</v>
      </c>
      <c r="B144" t="s">
        <v>2531</v>
      </c>
      <c r="C144" t="s">
        <v>2364</v>
      </c>
      <c r="D144" t="s">
        <v>2577</v>
      </c>
      <c r="E144" t="s">
        <v>2578</v>
      </c>
      <c r="G144" t="s">
        <v>2581</v>
      </c>
      <c r="H144" t="s">
        <v>22</v>
      </c>
      <c r="I144" t="s">
        <v>22</v>
      </c>
      <c r="J144" t="s">
        <v>17</v>
      </c>
      <c r="K144">
        <v>90</v>
      </c>
      <c r="L144">
        <v>112</v>
      </c>
    </row>
    <row r="145" spans="1:14" x14ac:dyDescent="0.3">
      <c r="A145">
        <v>1066522</v>
      </c>
      <c r="B145" t="s">
        <v>2531</v>
      </c>
      <c r="C145" t="s">
        <v>2364</v>
      </c>
      <c r="D145" t="s">
        <v>2577</v>
      </c>
      <c r="E145" t="s">
        <v>2578</v>
      </c>
      <c r="G145" t="s">
        <v>2582</v>
      </c>
      <c r="H145" t="s">
        <v>22</v>
      </c>
      <c r="I145" t="s">
        <v>22</v>
      </c>
      <c r="J145" t="s">
        <v>17</v>
      </c>
      <c r="K145">
        <v>90</v>
      </c>
      <c r="L145">
        <v>112</v>
      </c>
    </row>
    <row r="146" spans="1:14" x14ac:dyDescent="0.3">
      <c r="A146">
        <v>1066522</v>
      </c>
      <c r="B146" t="s">
        <v>2531</v>
      </c>
      <c r="C146" t="s">
        <v>2364</v>
      </c>
      <c r="D146" t="s">
        <v>2577</v>
      </c>
      <c r="E146" t="s">
        <v>2578</v>
      </c>
      <c r="G146" t="s">
        <v>2583</v>
      </c>
      <c r="H146" t="s">
        <v>22</v>
      </c>
      <c r="I146" t="s">
        <v>22</v>
      </c>
      <c r="J146" t="s">
        <v>17</v>
      </c>
      <c r="K146">
        <v>90</v>
      </c>
      <c r="L146">
        <v>112</v>
      </c>
    </row>
    <row r="147" spans="1:14" x14ac:dyDescent="0.3">
      <c r="A147">
        <v>1066522</v>
      </c>
      <c r="B147" t="s">
        <v>2531</v>
      </c>
      <c r="C147" t="s">
        <v>2364</v>
      </c>
      <c r="D147" t="s">
        <v>2577</v>
      </c>
      <c r="E147" t="s">
        <v>2578</v>
      </c>
      <c r="G147" t="s">
        <v>2584</v>
      </c>
      <c r="H147" t="s">
        <v>22</v>
      </c>
      <c r="I147" t="s">
        <v>22</v>
      </c>
      <c r="J147" t="s">
        <v>17</v>
      </c>
      <c r="K147">
        <v>90</v>
      </c>
      <c r="L147">
        <v>112</v>
      </c>
    </row>
    <row r="148" spans="1:14" x14ac:dyDescent="0.3">
      <c r="A148">
        <v>1066522</v>
      </c>
      <c r="B148" t="s">
        <v>2531</v>
      </c>
      <c r="C148" t="s">
        <v>2364</v>
      </c>
      <c r="D148" t="s">
        <v>2577</v>
      </c>
      <c r="E148" t="s">
        <v>2578</v>
      </c>
      <c r="G148" t="s">
        <v>2585</v>
      </c>
      <c r="H148" t="s">
        <v>22</v>
      </c>
      <c r="I148" t="s">
        <v>22</v>
      </c>
      <c r="J148" t="s">
        <v>17</v>
      </c>
      <c r="K148">
        <v>90</v>
      </c>
      <c r="L148">
        <v>112</v>
      </c>
    </row>
    <row r="149" spans="1:14" x14ac:dyDescent="0.3">
      <c r="A149">
        <v>1068081</v>
      </c>
      <c r="B149" t="s">
        <v>2586</v>
      </c>
      <c r="C149" t="s">
        <v>2365</v>
      </c>
      <c r="H149" t="s">
        <v>16</v>
      </c>
      <c r="I149" t="s">
        <v>16</v>
      </c>
      <c r="J149" t="s">
        <v>17</v>
      </c>
      <c r="K149">
        <v>0</v>
      </c>
      <c r="L149">
        <v>0</v>
      </c>
    </row>
    <row r="150" spans="1:14" x14ac:dyDescent="0.3">
      <c r="A150">
        <v>1068081</v>
      </c>
      <c r="B150" t="s">
        <v>2586</v>
      </c>
      <c r="C150" t="s">
        <v>2366</v>
      </c>
      <c r="D150" t="s">
        <v>2587</v>
      </c>
      <c r="E150" t="s">
        <v>2588</v>
      </c>
      <c r="H150" t="s">
        <v>22</v>
      </c>
      <c r="I150" t="s">
        <v>22</v>
      </c>
      <c r="J150" t="s">
        <v>17</v>
      </c>
      <c r="K150">
        <v>73.7</v>
      </c>
      <c r="L150">
        <v>51.2</v>
      </c>
    </row>
    <row r="151" spans="1:14" x14ac:dyDescent="0.3">
      <c r="A151">
        <v>1068081</v>
      </c>
      <c r="B151" t="s">
        <v>2586</v>
      </c>
      <c r="C151" t="s">
        <v>2367</v>
      </c>
      <c r="D151" t="s">
        <v>2367</v>
      </c>
      <c r="E151" t="s">
        <v>2589</v>
      </c>
      <c r="H151" t="s">
        <v>22</v>
      </c>
      <c r="I151" t="s">
        <v>22</v>
      </c>
      <c r="J151" t="s">
        <v>17</v>
      </c>
      <c r="K151">
        <v>100</v>
      </c>
      <c r="L151">
        <v>117</v>
      </c>
    </row>
    <row r="152" spans="1:14" x14ac:dyDescent="0.3">
      <c r="A152">
        <v>1068081</v>
      </c>
      <c r="B152" t="s">
        <v>2586</v>
      </c>
      <c r="C152" t="s">
        <v>2368</v>
      </c>
      <c r="H152" t="s">
        <v>16</v>
      </c>
      <c r="I152" t="s">
        <v>16</v>
      </c>
      <c r="J152" t="s">
        <v>17</v>
      </c>
      <c r="K152">
        <v>0</v>
      </c>
      <c r="L152">
        <v>0</v>
      </c>
    </row>
    <row r="153" spans="1:14" x14ac:dyDescent="0.3">
      <c r="A153">
        <v>1068081</v>
      </c>
      <c r="B153" t="s">
        <v>2586</v>
      </c>
      <c r="C153" t="s">
        <v>2369</v>
      </c>
      <c r="H153" t="s">
        <v>16</v>
      </c>
      <c r="I153" t="s">
        <v>16</v>
      </c>
      <c r="J153" t="s">
        <v>17</v>
      </c>
      <c r="K153">
        <v>0</v>
      </c>
      <c r="L153">
        <v>0</v>
      </c>
    </row>
    <row r="154" spans="1:14" x14ac:dyDescent="0.3">
      <c r="A154">
        <v>1068081</v>
      </c>
      <c r="B154" t="s">
        <v>2586</v>
      </c>
      <c r="C154" t="s">
        <v>2370</v>
      </c>
      <c r="H154" t="s">
        <v>16</v>
      </c>
      <c r="I154" t="s">
        <v>16</v>
      </c>
      <c r="J154" t="s">
        <v>17</v>
      </c>
      <c r="K154">
        <v>0</v>
      </c>
      <c r="L154">
        <v>0</v>
      </c>
    </row>
    <row r="155" spans="1:14" x14ac:dyDescent="0.3">
      <c r="A155">
        <v>1068081</v>
      </c>
      <c r="B155" t="s">
        <v>2586</v>
      </c>
      <c r="C155" t="s">
        <v>2371</v>
      </c>
      <c r="H155" t="s">
        <v>16</v>
      </c>
      <c r="I155" t="s">
        <v>16</v>
      </c>
      <c r="J155" t="s">
        <v>17</v>
      </c>
      <c r="K155">
        <v>0</v>
      </c>
      <c r="L155">
        <v>0</v>
      </c>
    </row>
    <row r="156" spans="1:14" x14ac:dyDescent="0.3">
      <c r="A156">
        <v>1075166</v>
      </c>
      <c r="B156" t="s">
        <v>2590</v>
      </c>
      <c r="C156" t="s">
        <v>2372</v>
      </c>
      <c r="E156" t="s">
        <v>2591</v>
      </c>
      <c r="H156" t="s">
        <v>22</v>
      </c>
      <c r="I156" t="s">
        <v>22</v>
      </c>
      <c r="J156" t="s">
        <v>17</v>
      </c>
      <c r="K156">
        <v>88.9</v>
      </c>
      <c r="L156">
        <v>53.3</v>
      </c>
    </row>
    <row r="157" spans="1:14" x14ac:dyDescent="0.3">
      <c r="A157">
        <v>1075166</v>
      </c>
      <c r="B157" t="s">
        <v>2590</v>
      </c>
      <c r="C157" t="s">
        <v>2373</v>
      </c>
      <c r="D157" t="s">
        <v>2373</v>
      </c>
      <c r="E157" t="s">
        <v>2592</v>
      </c>
      <c r="H157" t="s">
        <v>22</v>
      </c>
      <c r="I157" t="s">
        <v>22</v>
      </c>
      <c r="J157" t="s">
        <v>17</v>
      </c>
      <c r="K157">
        <v>100</v>
      </c>
      <c r="L157">
        <v>113</v>
      </c>
      <c r="M157" t="s">
        <v>883</v>
      </c>
      <c r="N157" t="s">
        <v>884</v>
      </c>
    </row>
    <row r="158" spans="1:14" x14ac:dyDescent="0.3">
      <c r="A158">
        <v>1075166</v>
      </c>
      <c r="B158" t="s">
        <v>2590</v>
      </c>
      <c r="C158" t="s">
        <v>2362</v>
      </c>
      <c r="D158" t="s">
        <v>2551</v>
      </c>
      <c r="E158" t="s">
        <v>2552</v>
      </c>
      <c r="F158">
        <v>119326416</v>
      </c>
      <c r="G158" t="s">
        <v>2553</v>
      </c>
      <c r="H158" t="s">
        <v>46</v>
      </c>
      <c r="I158" t="s">
        <v>46</v>
      </c>
      <c r="J158" t="s">
        <v>17</v>
      </c>
      <c r="K158">
        <v>100</v>
      </c>
      <c r="L158">
        <v>50</v>
      </c>
      <c r="M158" t="s">
        <v>2554</v>
      </c>
      <c r="N158" t="s">
        <v>2555</v>
      </c>
    </row>
    <row r="159" spans="1:14" x14ac:dyDescent="0.3">
      <c r="A159">
        <v>1075166</v>
      </c>
      <c r="B159" t="s">
        <v>2590</v>
      </c>
      <c r="C159" t="s">
        <v>2362</v>
      </c>
      <c r="D159" t="s">
        <v>2551</v>
      </c>
      <c r="E159" t="s">
        <v>2552</v>
      </c>
      <c r="F159">
        <v>119326416</v>
      </c>
      <c r="G159" t="s">
        <v>2556</v>
      </c>
      <c r="H159" t="s">
        <v>46</v>
      </c>
      <c r="I159" t="s">
        <v>46</v>
      </c>
      <c r="J159" t="s">
        <v>17</v>
      </c>
      <c r="K159">
        <v>100</v>
      </c>
      <c r="L159">
        <v>50</v>
      </c>
      <c r="M159" t="s">
        <v>2554</v>
      </c>
      <c r="N159" t="s">
        <v>2555</v>
      </c>
    </row>
    <row r="160" spans="1:14" x14ac:dyDescent="0.3">
      <c r="A160">
        <v>1075166</v>
      </c>
      <c r="B160" t="s">
        <v>2590</v>
      </c>
      <c r="C160" t="s">
        <v>2362</v>
      </c>
      <c r="D160" t="s">
        <v>2551</v>
      </c>
      <c r="E160" t="s">
        <v>2552</v>
      </c>
      <c r="F160">
        <v>119326416</v>
      </c>
      <c r="G160" t="s">
        <v>2557</v>
      </c>
      <c r="H160" t="s">
        <v>46</v>
      </c>
      <c r="I160" t="s">
        <v>46</v>
      </c>
      <c r="J160" t="s">
        <v>17</v>
      </c>
      <c r="K160">
        <v>100</v>
      </c>
      <c r="L160">
        <v>50</v>
      </c>
      <c r="M160" t="s">
        <v>2554</v>
      </c>
      <c r="N160" t="s">
        <v>2555</v>
      </c>
    </row>
    <row r="161" spans="1:14" x14ac:dyDescent="0.3">
      <c r="A161">
        <v>1075166</v>
      </c>
      <c r="B161" t="s">
        <v>2590</v>
      </c>
      <c r="C161" t="s">
        <v>2362</v>
      </c>
      <c r="D161" t="s">
        <v>2551</v>
      </c>
      <c r="E161" t="s">
        <v>2552</v>
      </c>
      <c r="F161">
        <v>119326416</v>
      </c>
      <c r="G161" t="s">
        <v>2558</v>
      </c>
      <c r="H161" t="s">
        <v>46</v>
      </c>
      <c r="I161" t="s">
        <v>46</v>
      </c>
      <c r="J161" t="s">
        <v>17</v>
      </c>
      <c r="K161">
        <v>100</v>
      </c>
      <c r="L161">
        <v>50</v>
      </c>
      <c r="M161" t="s">
        <v>2554</v>
      </c>
      <c r="N161" t="s">
        <v>2555</v>
      </c>
    </row>
    <row r="162" spans="1:14" x14ac:dyDescent="0.3">
      <c r="A162">
        <v>1075166</v>
      </c>
      <c r="B162" t="s">
        <v>2590</v>
      </c>
      <c r="C162" t="s">
        <v>2362</v>
      </c>
      <c r="D162" t="s">
        <v>2551</v>
      </c>
      <c r="E162" t="s">
        <v>2552</v>
      </c>
      <c r="F162">
        <v>119326416</v>
      </c>
      <c r="G162" t="s">
        <v>2559</v>
      </c>
      <c r="H162" t="s">
        <v>46</v>
      </c>
      <c r="I162" t="s">
        <v>46</v>
      </c>
      <c r="J162" t="s">
        <v>17</v>
      </c>
      <c r="K162">
        <v>100</v>
      </c>
      <c r="L162">
        <v>50</v>
      </c>
      <c r="M162" t="s">
        <v>2554</v>
      </c>
      <c r="N162" t="s">
        <v>2555</v>
      </c>
    </row>
    <row r="163" spans="1:14" x14ac:dyDescent="0.3">
      <c r="A163">
        <v>1075166</v>
      </c>
      <c r="B163" t="s">
        <v>2590</v>
      </c>
      <c r="C163" t="s">
        <v>2362</v>
      </c>
      <c r="D163" t="s">
        <v>2551</v>
      </c>
      <c r="E163" t="s">
        <v>2552</v>
      </c>
      <c r="F163">
        <v>119326416</v>
      </c>
      <c r="G163" t="s">
        <v>2560</v>
      </c>
      <c r="H163" t="s">
        <v>46</v>
      </c>
      <c r="I163" t="s">
        <v>46</v>
      </c>
      <c r="J163" t="s">
        <v>17</v>
      </c>
      <c r="K163">
        <v>100</v>
      </c>
      <c r="L163">
        <v>50</v>
      </c>
      <c r="M163" t="s">
        <v>2554</v>
      </c>
      <c r="N163" t="s">
        <v>2555</v>
      </c>
    </row>
    <row r="164" spans="1:14" x14ac:dyDescent="0.3">
      <c r="A164">
        <v>1075166</v>
      </c>
      <c r="B164" t="s">
        <v>2590</v>
      </c>
      <c r="C164" t="s">
        <v>2362</v>
      </c>
      <c r="D164" t="s">
        <v>2551</v>
      </c>
      <c r="E164" t="s">
        <v>2552</v>
      </c>
      <c r="F164">
        <v>119326416</v>
      </c>
      <c r="G164" t="s">
        <v>2561</v>
      </c>
      <c r="H164" t="s">
        <v>46</v>
      </c>
      <c r="I164" t="s">
        <v>46</v>
      </c>
      <c r="J164" t="s">
        <v>17</v>
      </c>
      <c r="K164">
        <v>100</v>
      </c>
      <c r="L164">
        <v>50</v>
      </c>
      <c r="M164" t="s">
        <v>2554</v>
      </c>
      <c r="N164" t="s">
        <v>2555</v>
      </c>
    </row>
    <row r="165" spans="1:14" x14ac:dyDescent="0.3">
      <c r="A165">
        <v>1075166</v>
      </c>
      <c r="B165" t="s">
        <v>2590</v>
      </c>
      <c r="C165" t="s">
        <v>2362</v>
      </c>
      <c r="D165" t="s">
        <v>2551</v>
      </c>
      <c r="E165" t="s">
        <v>2552</v>
      </c>
      <c r="F165">
        <v>119326416</v>
      </c>
      <c r="G165" t="s">
        <v>2562</v>
      </c>
      <c r="H165" t="s">
        <v>46</v>
      </c>
      <c r="I165" t="s">
        <v>46</v>
      </c>
      <c r="J165" t="s">
        <v>17</v>
      </c>
      <c r="K165">
        <v>100</v>
      </c>
      <c r="L165">
        <v>50</v>
      </c>
      <c r="M165" t="s">
        <v>2554</v>
      </c>
      <c r="N165" t="s">
        <v>2555</v>
      </c>
    </row>
    <row r="166" spans="1:14" x14ac:dyDescent="0.3">
      <c r="A166">
        <v>1075166</v>
      </c>
      <c r="B166" t="s">
        <v>2590</v>
      </c>
      <c r="C166" t="s">
        <v>2362</v>
      </c>
      <c r="D166" t="s">
        <v>2551</v>
      </c>
      <c r="E166" t="s">
        <v>2552</v>
      </c>
      <c r="F166">
        <v>119326416</v>
      </c>
      <c r="G166" t="s">
        <v>2563</v>
      </c>
      <c r="H166" t="s">
        <v>46</v>
      </c>
      <c r="I166" t="s">
        <v>46</v>
      </c>
      <c r="J166" t="s">
        <v>17</v>
      </c>
      <c r="K166">
        <v>100</v>
      </c>
      <c r="L166">
        <v>50</v>
      </c>
      <c r="M166" t="s">
        <v>2554</v>
      </c>
      <c r="N166" t="s">
        <v>2555</v>
      </c>
    </row>
    <row r="167" spans="1:14" x14ac:dyDescent="0.3">
      <c r="A167">
        <v>1075166</v>
      </c>
      <c r="B167" t="s">
        <v>2590</v>
      </c>
      <c r="C167" t="s">
        <v>2362</v>
      </c>
      <c r="D167" t="s">
        <v>2551</v>
      </c>
      <c r="E167" t="s">
        <v>2552</v>
      </c>
      <c r="F167">
        <v>119326416</v>
      </c>
      <c r="G167" t="s">
        <v>2564</v>
      </c>
      <c r="H167" t="s">
        <v>46</v>
      </c>
      <c r="I167" t="s">
        <v>46</v>
      </c>
      <c r="J167" t="s">
        <v>17</v>
      </c>
      <c r="K167">
        <v>100</v>
      </c>
      <c r="L167">
        <v>50</v>
      </c>
      <c r="M167" t="s">
        <v>2554</v>
      </c>
      <c r="N167" t="s">
        <v>2555</v>
      </c>
    </row>
    <row r="168" spans="1:14" x14ac:dyDescent="0.3">
      <c r="A168">
        <v>1075166</v>
      </c>
      <c r="B168" t="s">
        <v>2590</v>
      </c>
      <c r="C168" t="s">
        <v>2362</v>
      </c>
      <c r="D168" t="s">
        <v>2551</v>
      </c>
      <c r="E168" t="s">
        <v>2552</v>
      </c>
      <c r="F168">
        <v>119326416</v>
      </c>
      <c r="G168" t="s">
        <v>2565</v>
      </c>
      <c r="H168" t="s">
        <v>46</v>
      </c>
      <c r="I168" t="s">
        <v>46</v>
      </c>
      <c r="J168" t="s">
        <v>17</v>
      </c>
      <c r="K168">
        <v>100</v>
      </c>
      <c r="L168">
        <v>50</v>
      </c>
      <c r="M168" t="s">
        <v>2554</v>
      </c>
      <c r="N168" t="s">
        <v>2555</v>
      </c>
    </row>
    <row r="169" spans="1:14" x14ac:dyDescent="0.3">
      <c r="A169">
        <v>1075166</v>
      </c>
      <c r="B169" t="s">
        <v>2590</v>
      </c>
      <c r="C169" t="s">
        <v>2374</v>
      </c>
      <c r="D169" t="s">
        <v>2593</v>
      </c>
      <c r="E169" t="s">
        <v>2594</v>
      </c>
      <c r="F169">
        <v>119321069</v>
      </c>
      <c r="G169" t="s">
        <v>2595</v>
      </c>
      <c r="H169" t="s">
        <v>22</v>
      </c>
      <c r="I169" t="s">
        <v>22</v>
      </c>
      <c r="J169" t="s">
        <v>17</v>
      </c>
      <c r="K169">
        <v>94.4</v>
      </c>
      <c r="L169">
        <v>143.69999999999999</v>
      </c>
      <c r="M169" t="s">
        <v>2596</v>
      </c>
      <c r="N169" t="s">
        <v>2597</v>
      </c>
    </row>
    <row r="170" spans="1:14" x14ac:dyDescent="0.3">
      <c r="A170">
        <v>1075166</v>
      </c>
      <c r="B170" t="s">
        <v>2590</v>
      </c>
      <c r="C170" t="s">
        <v>2375</v>
      </c>
      <c r="D170" t="s">
        <v>2566</v>
      </c>
      <c r="E170" t="s">
        <v>2567</v>
      </c>
      <c r="G170" t="s">
        <v>2568</v>
      </c>
      <c r="H170" t="s">
        <v>22</v>
      </c>
      <c r="I170" t="s">
        <v>22</v>
      </c>
      <c r="J170" t="s">
        <v>17</v>
      </c>
      <c r="K170">
        <v>86.7</v>
      </c>
      <c r="L170">
        <v>107</v>
      </c>
    </row>
    <row r="171" spans="1:14" x14ac:dyDescent="0.3">
      <c r="A171">
        <v>1075166</v>
      </c>
      <c r="B171" t="s">
        <v>2590</v>
      </c>
      <c r="C171" t="s">
        <v>2375</v>
      </c>
      <c r="D171" t="s">
        <v>2566</v>
      </c>
      <c r="E171" t="s">
        <v>2567</v>
      </c>
      <c r="G171" t="s">
        <v>2569</v>
      </c>
      <c r="H171" t="s">
        <v>22</v>
      </c>
      <c r="I171" t="s">
        <v>22</v>
      </c>
      <c r="J171" t="s">
        <v>17</v>
      </c>
      <c r="K171">
        <v>86.7</v>
      </c>
      <c r="L171">
        <v>107</v>
      </c>
    </row>
    <row r="172" spans="1:14" x14ac:dyDescent="0.3">
      <c r="A172">
        <v>1075166</v>
      </c>
      <c r="B172" t="s">
        <v>2590</v>
      </c>
      <c r="C172" t="s">
        <v>2375</v>
      </c>
      <c r="D172" t="s">
        <v>2566</v>
      </c>
      <c r="E172" t="s">
        <v>2567</v>
      </c>
      <c r="G172" t="s">
        <v>2570</v>
      </c>
      <c r="H172" t="s">
        <v>22</v>
      </c>
      <c r="I172" t="s">
        <v>22</v>
      </c>
      <c r="J172" t="s">
        <v>17</v>
      </c>
      <c r="K172">
        <v>86.7</v>
      </c>
      <c r="L172">
        <v>107</v>
      </c>
    </row>
    <row r="173" spans="1:14" x14ac:dyDescent="0.3">
      <c r="A173">
        <v>1075166</v>
      </c>
      <c r="B173" t="s">
        <v>2590</v>
      </c>
      <c r="C173" t="s">
        <v>2375</v>
      </c>
      <c r="D173" t="s">
        <v>2566</v>
      </c>
      <c r="E173" t="s">
        <v>2567</v>
      </c>
      <c r="G173" t="s">
        <v>2571</v>
      </c>
      <c r="H173" t="s">
        <v>22</v>
      </c>
      <c r="I173" t="s">
        <v>22</v>
      </c>
      <c r="J173" t="s">
        <v>17</v>
      </c>
      <c r="K173">
        <v>86.7</v>
      </c>
      <c r="L173">
        <v>107</v>
      </c>
    </row>
    <row r="174" spans="1:14" x14ac:dyDescent="0.3">
      <c r="A174">
        <v>1075166</v>
      </c>
      <c r="B174" t="s">
        <v>2590</v>
      </c>
      <c r="C174" t="s">
        <v>2375</v>
      </c>
      <c r="D174" t="s">
        <v>2566</v>
      </c>
      <c r="E174" t="s">
        <v>2567</v>
      </c>
      <c r="G174" t="s">
        <v>2572</v>
      </c>
      <c r="H174" t="s">
        <v>22</v>
      </c>
      <c r="I174" t="s">
        <v>22</v>
      </c>
      <c r="J174" t="s">
        <v>17</v>
      </c>
      <c r="K174">
        <v>86.7</v>
      </c>
      <c r="L174">
        <v>107</v>
      </c>
    </row>
    <row r="175" spans="1:14" x14ac:dyDescent="0.3">
      <c r="A175">
        <v>1075166</v>
      </c>
      <c r="B175" t="s">
        <v>2590</v>
      </c>
      <c r="C175" t="s">
        <v>2375</v>
      </c>
      <c r="D175" t="s">
        <v>2566</v>
      </c>
      <c r="E175" t="s">
        <v>2567</v>
      </c>
      <c r="G175" t="s">
        <v>2573</v>
      </c>
      <c r="H175" t="s">
        <v>22</v>
      </c>
      <c r="I175" t="s">
        <v>22</v>
      </c>
      <c r="J175" t="s">
        <v>17</v>
      </c>
      <c r="K175">
        <v>86.7</v>
      </c>
      <c r="L175">
        <v>107</v>
      </c>
    </row>
    <row r="176" spans="1:14" x14ac:dyDescent="0.3">
      <c r="A176">
        <v>1075166</v>
      </c>
      <c r="B176" t="s">
        <v>2590</v>
      </c>
      <c r="C176" t="s">
        <v>2375</v>
      </c>
      <c r="D176" t="s">
        <v>2566</v>
      </c>
      <c r="E176" t="s">
        <v>2567</v>
      </c>
      <c r="G176" t="s">
        <v>2574</v>
      </c>
      <c r="H176" t="s">
        <v>22</v>
      </c>
      <c r="I176" t="s">
        <v>22</v>
      </c>
      <c r="J176" t="s">
        <v>17</v>
      </c>
      <c r="K176">
        <v>86.7</v>
      </c>
      <c r="L176">
        <v>107</v>
      </c>
    </row>
    <row r="177" spans="1:14" x14ac:dyDescent="0.3">
      <c r="A177">
        <v>1075166</v>
      </c>
      <c r="B177" t="s">
        <v>2590</v>
      </c>
      <c r="C177" t="s">
        <v>2375</v>
      </c>
      <c r="D177" t="s">
        <v>2566</v>
      </c>
      <c r="E177" t="s">
        <v>2567</v>
      </c>
      <c r="G177" t="s">
        <v>2575</v>
      </c>
      <c r="H177" t="s">
        <v>22</v>
      </c>
      <c r="I177" t="s">
        <v>22</v>
      </c>
      <c r="J177" t="s">
        <v>17</v>
      </c>
      <c r="K177">
        <v>86.7</v>
      </c>
      <c r="L177">
        <v>107</v>
      </c>
    </row>
    <row r="178" spans="1:14" x14ac:dyDescent="0.3">
      <c r="A178">
        <v>1075166</v>
      </c>
      <c r="B178" t="s">
        <v>2590</v>
      </c>
      <c r="C178" t="s">
        <v>2375</v>
      </c>
      <c r="D178" t="s">
        <v>2566</v>
      </c>
      <c r="E178" t="s">
        <v>2567</v>
      </c>
      <c r="G178" t="s">
        <v>2576</v>
      </c>
      <c r="H178" t="s">
        <v>22</v>
      </c>
      <c r="I178" t="s">
        <v>22</v>
      </c>
      <c r="J178" t="s">
        <v>17</v>
      </c>
      <c r="K178">
        <v>86.7</v>
      </c>
      <c r="L178">
        <v>107</v>
      </c>
    </row>
    <row r="179" spans="1:14" x14ac:dyDescent="0.3">
      <c r="A179">
        <v>1075166</v>
      </c>
      <c r="B179" t="s">
        <v>2590</v>
      </c>
      <c r="C179" t="s">
        <v>2376</v>
      </c>
      <c r="H179" t="s">
        <v>16</v>
      </c>
      <c r="I179" t="s">
        <v>16</v>
      </c>
      <c r="J179" t="s">
        <v>17</v>
      </c>
      <c r="K179">
        <v>0</v>
      </c>
      <c r="L179">
        <v>0</v>
      </c>
    </row>
    <row r="180" spans="1:14" x14ac:dyDescent="0.3">
      <c r="A180">
        <v>1083743</v>
      </c>
      <c r="B180" t="s">
        <v>2598</v>
      </c>
      <c r="C180" t="s">
        <v>2377</v>
      </c>
      <c r="H180" t="s">
        <v>16</v>
      </c>
      <c r="I180" t="s">
        <v>16</v>
      </c>
      <c r="J180" t="s">
        <v>17</v>
      </c>
      <c r="K180">
        <v>0</v>
      </c>
      <c r="L180">
        <v>0</v>
      </c>
    </row>
    <row r="181" spans="1:14" x14ac:dyDescent="0.3">
      <c r="A181">
        <v>1083743</v>
      </c>
      <c r="B181" t="s">
        <v>2598</v>
      </c>
      <c r="C181" t="s">
        <v>2378</v>
      </c>
      <c r="H181" t="s">
        <v>16</v>
      </c>
      <c r="I181" t="s">
        <v>16</v>
      </c>
      <c r="J181" t="s">
        <v>17</v>
      </c>
      <c r="K181">
        <v>0</v>
      </c>
      <c r="L181">
        <v>0</v>
      </c>
    </row>
    <row r="182" spans="1:14" x14ac:dyDescent="0.3">
      <c r="A182">
        <v>1083743</v>
      </c>
      <c r="B182" t="s">
        <v>2598</v>
      </c>
      <c r="C182" t="s">
        <v>2379</v>
      </c>
      <c r="D182" t="s">
        <v>2599</v>
      </c>
      <c r="E182" t="s">
        <v>2600</v>
      </c>
      <c r="H182" t="s">
        <v>22</v>
      </c>
      <c r="I182" t="s">
        <v>22</v>
      </c>
      <c r="J182" t="s">
        <v>17</v>
      </c>
      <c r="K182">
        <v>93.8</v>
      </c>
      <c r="L182">
        <v>108.2</v>
      </c>
      <c r="M182" t="s">
        <v>182</v>
      </c>
      <c r="N182" t="s">
        <v>183</v>
      </c>
    </row>
    <row r="183" spans="1:14" x14ac:dyDescent="0.3">
      <c r="A183">
        <v>1084536</v>
      </c>
      <c r="B183" t="s">
        <v>2601</v>
      </c>
      <c r="C183" t="s">
        <v>2380</v>
      </c>
      <c r="D183" t="s">
        <v>2602</v>
      </c>
      <c r="E183" t="s">
        <v>2603</v>
      </c>
      <c r="G183" t="s">
        <v>2604</v>
      </c>
      <c r="H183" t="s">
        <v>22</v>
      </c>
      <c r="I183" t="s">
        <v>22</v>
      </c>
      <c r="J183" t="s">
        <v>17</v>
      </c>
      <c r="K183">
        <v>95.7</v>
      </c>
      <c r="L183">
        <v>113.4</v>
      </c>
    </row>
    <row r="184" spans="1:14" x14ac:dyDescent="0.3">
      <c r="A184">
        <v>1084536</v>
      </c>
      <c r="B184" t="s">
        <v>2601</v>
      </c>
      <c r="C184" t="s">
        <v>2380</v>
      </c>
      <c r="D184" t="s">
        <v>2602</v>
      </c>
      <c r="E184" t="s">
        <v>2603</v>
      </c>
      <c r="G184" t="s">
        <v>2605</v>
      </c>
      <c r="H184" t="s">
        <v>22</v>
      </c>
      <c r="I184" t="s">
        <v>22</v>
      </c>
      <c r="J184" t="s">
        <v>17</v>
      </c>
      <c r="K184">
        <v>95.7</v>
      </c>
      <c r="L184">
        <v>113.4</v>
      </c>
    </row>
    <row r="185" spans="1:14" x14ac:dyDescent="0.3">
      <c r="A185">
        <v>1084536</v>
      </c>
      <c r="B185" t="s">
        <v>2601</v>
      </c>
      <c r="C185" t="s">
        <v>2381</v>
      </c>
      <c r="D185" t="s">
        <v>2606</v>
      </c>
      <c r="E185" t="s">
        <v>2607</v>
      </c>
      <c r="G185" t="s">
        <v>2608</v>
      </c>
      <c r="H185" t="s">
        <v>22</v>
      </c>
      <c r="I185" t="s">
        <v>22</v>
      </c>
      <c r="J185" t="s">
        <v>17</v>
      </c>
      <c r="K185">
        <v>91.7</v>
      </c>
      <c r="L185">
        <v>112</v>
      </c>
    </row>
    <row r="186" spans="1:14" x14ac:dyDescent="0.3">
      <c r="A186">
        <v>1084536</v>
      </c>
      <c r="B186" t="s">
        <v>2601</v>
      </c>
      <c r="C186" t="s">
        <v>2381</v>
      </c>
      <c r="D186" t="s">
        <v>2606</v>
      </c>
      <c r="E186" t="s">
        <v>2607</v>
      </c>
      <c r="G186" t="s">
        <v>2609</v>
      </c>
      <c r="H186" t="s">
        <v>22</v>
      </c>
      <c r="I186" t="s">
        <v>22</v>
      </c>
      <c r="J186" t="s">
        <v>17</v>
      </c>
      <c r="K186">
        <v>91.7</v>
      </c>
      <c r="L186">
        <v>112</v>
      </c>
    </row>
    <row r="187" spans="1:14" x14ac:dyDescent="0.3">
      <c r="A187">
        <v>1084536</v>
      </c>
      <c r="B187" t="s">
        <v>2601</v>
      </c>
      <c r="C187" t="s">
        <v>2381</v>
      </c>
      <c r="D187" t="s">
        <v>2606</v>
      </c>
      <c r="E187" t="s">
        <v>2607</v>
      </c>
      <c r="G187" t="s">
        <v>2610</v>
      </c>
      <c r="H187" t="s">
        <v>22</v>
      </c>
      <c r="I187" t="s">
        <v>22</v>
      </c>
      <c r="J187" t="s">
        <v>17</v>
      </c>
      <c r="K187">
        <v>91.7</v>
      </c>
      <c r="L187">
        <v>112</v>
      </c>
    </row>
    <row r="188" spans="1:14" x14ac:dyDescent="0.3">
      <c r="A188">
        <v>1084536</v>
      </c>
      <c r="B188" t="s">
        <v>2601</v>
      </c>
      <c r="C188" t="s">
        <v>2381</v>
      </c>
      <c r="D188" t="s">
        <v>2606</v>
      </c>
      <c r="E188" t="s">
        <v>2607</v>
      </c>
      <c r="G188" t="s">
        <v>2611</v>
      </c>
      <c r="H188" t="s">
        <v>22</v>
      </c>
      <c r="I188" t="s">
        <v>22</v>
      </c>
      <c r="J188" t="s">
        <v>17</v>
      </c>
      <c r="K188">
        <v>91.7</v>
      </c>
      <c r="L188">
        <v>112</v>
      </c>
    </row>
    <row r="189" spans="1:14" x14ac:dyDescent="0.3">
      <c r="A189">
        <v>1084536</v>
      </c>
      <c r="B189" t="s">
        <v>2601</v>
      </c>
      <c r="C189" t="s">
        <v>2381</v>
      </c>
      <c r="D189" t="s">
        <v>2606</v>
      </c>
      <c r="E189" t="s">
        <v>2607</v>
      </c>
      <c r="G189" t="s">
        <v>2612</v>
      </c>
      <c r="H189" t="s">
        <v>22</v>
      </c>
      <c r="I189" t="s">
        <v>22</v>
      </c>
      <c r="J189" t="s">
        <v>17</v>
      </c>
      <c r="K189">
        <v>91.7</v>
      </c>
      <c r="L189">
        <v>112</v>
      </c>
    </row>
    <row r="190" spans="1:14" x14ac:dyDescent="0.3">
      <c r="A190">
        <v>1084536</v>
      </c>
      <c r="B190" t="s">
        <v>2601</v>
      </c>
      <c r="C190" t="s">
        <v>2381</v>
      </c>
      <c r="D190" t="s">
        <v>2606</v>
      </c>
      <c r="E190" t="s">
        <v>2607</v>
      </c>
      <c r="G190" t="s">
        <v>2613</v>
      </c>
      <c r="H190" t="s">
        <v>22</v>
      </c>
      <c r="I190" t="s">
        <v>22</v>
      </c>
      <c r="J190" t="s">
        <v>17</v>
      </c>
      <c r="K190">
        <v>91.7</v>
      </c>
      <c r="L190">
        <v>112</v>
      </c>
    </row>
    <row r="191" spans="1:14" x14ac:dyDescent="0.3">
      <c r="A191">
        <v>1084536</v>
      </c>
      <c r="B191" t="s">
        <v>2601</v>
      </c>
      <c r="C191" t="s">
        <v>2381</v>
      </c>
      <c r="D191" t="s">
        <v>2606</v>
      </c>
      <c r="E191" t="s">
        <v>2607</v>
      </c>
      <c r="G191" t="s">
        <v>2614</v>
      </c>
      <c r="H191" t="s">
        <v>22</v>
      </c>
      <c r="I191" t="s">
        <v>22</v>
      </c>
      <c r="J191" t="s">
        <v>17</v>
      </c>
      <c r="K191">
        <v>91.7</v>
      </c>
      <c r="L191">
        <v>112</v>
      </c>
    </row>
    <row r="192" spans="1:14" x14ac:dyDescent="0.3">
      <c r="A192">
        <v>1084536</v>
      </c>
      <c r="B192" t="s">
        <v>2601</v>
      </c>
      <c r="C192" t="s">
        <v>2381</v>
      </c>
      <c r="D192" t="s">
        <v>2606</v>
      </c>
      <c r="E192" t="s">
        <v>2607</v>
      </c>
      <c r="G192" t="s">
        <v>2615</v>
      </c>
      <c r="H192" t="s">
        <v>22</v>
      </c>
      <c r="I192" t="s">
        <v>22</v>
      </c>
      <c r="J192" t="s">
        <v>17</v>
      </c>
      <c r="K192">
        <v>91.7</v>
      </c>
      <c r="L192">
        <v>112</v>
      </c>
    </row>
    <row r="193" spans="1:12" x14ac:dyDescent="0.3">
      <c r="A193">
        <v>1084536</v>
      </c>
      <c r="B193" t="s">
        <v>2601</v>
      </c>
      <c r="C193" t="s">
        <v>2381</v>
      </c>
      <c r="D193" t="s">
        <v>2606</v>
      </c>
      <c r="E193" t="s">
        <v>2607</v>
      </c>
      <c r="G193" t="s">
        <v>2616</v>
      </c>
      <c r="H193" t="s">
        <v>22</v>
      </c>
      <c r="I193" t="s">
        <v>22</v>
      </c>
      <c r="J193" t="s">
        <v>17</v>
      </c>
      <c r="K193">
        <v>91.7</v>
      </c>
      <c r="L193">
        <v>112</v>
      </c>
    </row>
    <row r="194" spans="1:12" x14ac:dyDescent="0.3">
      <c r="A194">
        <v>1084536</v>
      </c>
      <c r="B194" t="s">
        <v>2601</v>
      </c>
      <c r="C194" t="s">
        <v>2381</v>
      </c>
      <c r="D194" t="s">
        <v>2606</v>
      </c>
      <c r="E194" t="s">
        <v>2607</v>
      </c>
      <c r="G194" t="s">
        <v>2617</v>
      </c>
      <c r="H194" t="s">
        <v>22</v>
      </c>
      <c r="I194" t="s">
        <v>22</v>
      </c>
      <c r="J194" t="s">
        <v>17</v>
      </c>
      <c r="K194">
        <v>91.7</v>
      </c>
      <c r="L194">
        <v>112</v>
      </c>
    </row>
    <row r="195" spans="1:12" x14ac:dyDescent="0.3">
      <c r="A195">
        <v>1084536</v>
      </c>
      <c r="B195" t="s">
        <v>2601</v>
      </c>
      <c r="C195" t="s">
        <v>2381</v>
      </c>
      <c r="D195" t="s">
        <v>2606</v>
      </c>
      <c r="E195" t="s">
        <v>2607</v>
      </c>
      <c r="G195" t="s">
        <v>2618</v>
      </c>
      <c r="H195" t="s">
        <v>22</v>
      </c>
      <c r="I195" t="s">
        <v>22</v>
      </c>
      <c r="J195" t="s">
        <v>17</v>
      </c>
      <c r="K195">
        <v>91.7</v>
      </c>
      <c r="L195">
        <v>112</v>
      </c>
    </row>
    <row r="196" spans="1:12" x14ac:dyDescent="0.3">
      <c r="A196">
        <v>1084536</v>
      </c>
      <c r="B196" t="s">
        <v>2601</v>
      </c>
      <c r="C196" t="s">
        <v>2381</v>
      </c>
      <c r="D196" t="s">
        <v>2606</v>
      </c>
      <c r="E196" t="s">
        <v>2607</v>
      </c>
      <c r="G196" t="s">
        <v>2619</v>
      </c>
      <c r="H196" t="s">
        <v>22</v>
      </c>
      <c r="I196" t="s">
        <v>22</v>
      </c>
      <c r="J196" t="s">
        <v>17</v>
      </c>
      <c r="K196">
        <v>91.7</v>
      </c>
      <c r="L196">
        <v>112</v>
      </c>
    </row>
    <row r="197" spans="1:12" x14ac:dyDescent="0.3">
      <c r="A197">
        <v>1084536</v>
      </c>
      <c r="B197" t="s">
        <v>2601</v>
      </c>
      <c r="C197" t="s">
        <v>2381</v>
      </c>
      <c r="D197" t="s">
        <v>2606</v>
      </c>
      <c r="E197" t="s">
        <v>2607</v>
      </c>
      <c r="G197" t="s">
        <v>2620</v>
      </c>
      <c r="H197" t="s">
        <v>22</v>
      </c>
      <c r="I197" t="s">
        <v>22</v>
      </c>
      <c r="J197" t="s">
        <v>17</v>
      </c>
      <c r="K197">
        <v>91.7</v>
      </c>
      <c r="L197">
        <v>112</v>
      </c>
    </row>
    <row r="198" spans="1:12" x14ac:dyDescent="0.3">
      <c r="A198">
        <v>1084536</v>
      </c>
      <c r="B198" t="s">
        <v>2601</v>
      </c>
      <c r="C198" t="s">
        <v>2381</v>
      </c>
      <c r="D198" t="s">
        <v>2606</v>
      </c>
      <c r="E198" t="s">
        <v>2607</v>
      </c>
      <c r="G198" t="s">
        <v>2621</v>
      </c>
      <c r="H198" t="s">
        <v>22</v>
      </c>
      <c r="I198" t="s">
        <v>22</v>
      </c>
      <c r="J198" t="s">
        <v>17</v>
      </c>
      <c r="K198">
        <v>91.7</v>
      </c>
      <c r="L198">
        <v>112</v>
      </c>
    </row>
    <row r="199" spans="1:12" x14ac:dyDescent="0.3">
      <c r="A199">
        <v>1084536</v>
      </c>
      <c r="B199" t="s">
        <v>2601</v>
      </c>
      <c r="C199" t="s">
        <v>2381</v>
      </c>
      <c r="D199" t="s">
        <v>2606</v>
      </c>
      <c r="E199" t="s">
        <v>2607</v>
      </c>
      <c r="G199" t="s">
        <v>2622</v>
      </c>
      <c r="H199" t="s">
        <v>22</v>
      </c>
      <c r="I199" t="s">
        <v>22</v>
      </c>
      <c r="J199" t="s">
        <v>17</v>
      </c>
      <c r="K199">
        <v>91.7</v>
      </c>
      <c r="L199">
        <v>112</v>
      </c>
    </row>
    <row r="200" spans="1:12" x14ac:dyDescent="0.3">
      <c r="A200">
        <v>1084536</v>
      </c>
      <c r="B200" t="s">
        <v>2601</v>
      </c>
      <c r="C200" t="s">
        <v>2381</v>
      </c>
      <c r="D200" t="s">
        <v>2606</v>
      </c>
      <c r="E200" t="s">
        <v>2607</v>
      </c>
      <c r="G200" t="s">
        <v>2623</v>
      </c>
      <c r="H200" t="s">
        <v>22</v>
      </c>
      <c r="I200" t="s">
        <v>22</v>
      </c>
      <c r="J200" t="s">
        <v>17</v>
      </c>
      <c r="K200">
        <v>91.7</v>
      </c>
      <c r="L200">
        <v>112</v>
      </c>
    </row>
    <row r="201" spans="1:12" x14ac:dyDescent="0.3">
      <c r="A201">
        <v>1084536</v>
      </c>
      <c r="B201" t="s">
        <v>2601</v>
      </c>
      <c r="C201" t="s">
        <v>2381</v>
      </c>
      <c r="D201" t="s">
        <v>2606</v>
      </c>
      <c r="E201" t="s">
        <v>2607</v>
      </c>
      <c r="G201" t="s">
        <v>2624</v>
      </c>
      <c r="H201" t="s">
        <v>22</v>
      </c>
      <c r="I201" t="s">
        <v>22</v>
      </c>
      <c r="J201" t="s">
        <v>17</v>
      </c>
      <c r="K201">
        <v>91.7</v>
      </c>
      <c r="L201">
        <v>112</v>
      </c>
    </row>
    <row r="202" spans="1:12" x14ac:dyDescent="0.3">
      <c r="A202">
        <v>1084536</v>
      </c>
      <c r="B202" t="s">
        <v>2601</v>
      </c>
      <c r="C202" t="s">
        <v>2381</v>
      </c>
      <c r="D202" t="s">
        <v>2606</v>
      </c>
      <c r="E202" t="s">
        <v>2607</v>
      </c>
      <c r="G202" t="s">
        <v>2625</v>
      </c>
      <c r="H202" t="s">
        <v>22</v>
      </c>
      <c r="I202" t="s">
        <v>22</v>
      </c>
      <c r="J202" t="s">
        <v>17</v>
      </c>
      <c r="K202">
        <v>91.7</v>
      </c>
      <c r="L202">
        <v>112</v>
      </c>
    </row>
    <row r="203" spans="1:12" x14ac:dyDescent="0.3">
      <c r="A203">
        <v>1084536</v>
      </c>
      <c r="B203" t="s">
        <v>2601</v>
      </c>
      <c r="C203" t="s">
        <v>2381</v>
      </c>
      <c r="D203" t="s">
        <v>2606</v>
      </c>
      <c r="E203" t="s">
        <v>2607</v>
      </c>
      <c r="G203" t="s">
        <v>2626</v>
      </c>
      <c r="H203" t="s">
        <v>22</v>
      </c>
      <c r="I203" t="s">
        <v>22</v>
      </c>
      <c r="J203" t="s">
        <v>17</v>
      </c>
      <c r="K203">
        <v>91.7</v>
      </c>
      <c r="L203">
        <v>112</v>
      </c>
    </row>
    <row r="204" spans="1:12" x14ac:dyDescent="0.3">
      <c r="A204">
        <v>1084536</v>
      </c>
      <c r="B204" t="s">
        <v>2601</v>
      </c>
      <c r="C204" t="s">
        <v>2382</v>
      </c>
      <c r="H204" t="s">
        <v>16</v>
      </c>
      <c r="I204" t="s">
        <v>16</v>
      </c>
      <c r="J204" t="s">
        <v>17</v>
      </c>
      <c r="K204">
        <v>0</v>
      </c>
      <c r="L204">
        <v>0</v>
      </c>
    </row>
    <row r="205" spans="1:12" x14ac:dyDescent="0.3">
      <c r="A205">
        <v>1084536</v>
      </c>
      <c r="B205" t="s">
        <v>2601</v>
      </c>
      <c r="C205" t="s">
        <v>2383</v>
      </c>
      <c r="H205" t="s">
        <v>16</v>
      </c>
      <c r="I205" t="s">
        <v>16</v>
      </c>
      <c r="J205" t="s">
        <v>17</v>
      </c>
      <c r="K205">
        <v>0</v>
      </c>
      <c r="L205">
        <v>0</v>
      </c>
    </row>
    <row r="206" spans="1:12" x14ac:dyDescent="0.3">
      <c r="A206">
        <v>1084536</v>
      </c>
      <c r="B206" t="s">
        <v>2601</v>
      </c>
      <c r="C206" t="s">
        <v>2384</v>
      </c>
      <c r="H206" t="s">
        <v>16</v>
      </c>
      <c r="I206" t="s">
        <v>16</v>
      </c>
      <c r="J206" t="s">
        <v>17</v>
      </c>
      <c r="K206">
        <v>0</v>
      </c>
      <c r="L206">
        <v>0</v>
      </c>
    </row>
    <row r="207" spans="1:12" x14ac:dyDescent="0.3">
      <c r="A207">
        <v>1090627</v>
      </c>
      <c r="B207" t="s">
        <v>2627</v>
      </c>
      <c r="C207" t="s">
        <v>2385</v>
      </c>
      <c r="H207" t="s">
        <v>16</v>
      </c>
      <c r="I207" t="s">
        <v>16</v>
      </c>
      <c r="J207" t="s">
        <v>17</v>
      </c>
      <c r="K207">
        <v>0</v>
      </c>
      <c r="L207">
        <v>0</v>
      </c>
    </row>
    <row r="208" spans="1:12" x14ac:dyDescent="0.3">
      <c r="A208">
        <v>1090627</v>
      </c>
      <c r="B208" t="s">
        <v>2627</v>
      </c>
      <c r="C208" t="s">
        <v>2386</v>
      </c>
      <c r="H208" t="s">
        <v>16</v>
      </c>
      <c r="I208" t="s">
        <v>16</v>
      </c>
      <c r="J208" t="s">
        <v>17</v>
      </c>
      <c r="K208">
        <v>0</v>
      </c>
      <c r="L208">
        <v>0</v>
      </c>
    </row>
    <row r="209" spans="1:12" x14ac:dyDescent="0.3">
      <c r="A209">
        <v>1090627</v>
      </c>
      <c r="B209" t="s">
        <v>2627</v>
      </c>
      <c r="C209" t="s">
        <v>2387</v>
      </c>
      <c r="D209" t="s">
        <v>2628</v>
      </c>
      <c r="E209" t="s">
        <v>2629</v>
      </c>
      <c r="G209" t="s">
        <v>2630</v>
      </c>
      <c r="H209" t="s">
        <v>22</v>
      </c>
      <c r="I209" t="s">
        <v>22</v>
      </c>
      <c r="J209" t="s">
        <v>17</v>
      </c>
      <c r="K209">
        <v>84.4</v>
      </c>
      <c r="L209">
        <v>104.7</v>
      </c>
    </row>
    <row r="210" spans="1:12" x14ac:dyDescent="0.3">
      <c r="A210">
        <v>1090627</v>
      </c>
      <c r="B210" t="s">
        <v>2627</v>
      </c>
      <c r="C210" t="s">
        <v>2387</v>
      </c>
      <c r="D210" t="s">
        <v>2628</v>
      </c>
      <c r="E210" t="s">
        <v>2629</v>
      </c>
      <c r="G210" t="s">
        <v>2631</v>
      </c>
      <c r="H210" t="s">
        <v>22</v>
      </c>
      <c r="I210" t="s">
        <v>22</v>
      </c>
      <c r="J210" t="s">
        <v>17</v>
      </c>
      <c r="K210">
        <v>84.4</v>
      </c>
      <c r="L210">
        <v>104.7</v>
      </c>
    </row>
    <row r="211" spans="1:12" x14ac:dyDescent="0.3">
      <c r="A211">
        <v>1090627</v>
      </c>
      <c r="B211" t="s">
        <v>2627</v>
      </c>
      <c r="C211" t="s">
        <v>2387</v>
      </c>
      <c r="D211" t="s">
        <v>2628</v>
      </c>
      <c r="E211" t="s">
        <v>2629</v>
      </c>
      <c r="G211" t="s">
        <v>2632</v>
      </c>
      <c r="H211" t="s">
        <v>22</v>
      </c>
      <c r="I211" t="s">
        <v>22</v>
      </c>
      <c r="J211" t="s">
        <v>17</v>
      </c>
      <c r="K211">
        <v>84.4</v>
      </c>
      <c r="L211">
        <v>104.7</v>
      </c>
    </row>
    <row r="212" spans="1:12" x14ac:dyDescent="0.3">
      <c r="A212">
        <v>1090627</v>
      </c>
      <c r="B212" t="s">
        <v>2627</v>
      </c>
      <c r="C212" t="s">
        <v>2387</v>
      </c>
      <c r="D212" t="s">
        <v>2628</v>
      </c>
      <c r="E212" t="s">
        <v>2629</v>
      </c>
      <c r="G212" t="s">
        <v>2633</v>
      </c>
      <c r="H212" t="s">
        <v>22</v>
      </c>
      <c r="I212" t="s">
        <v>22</v>
      </c>
      <c r="J212" t="s">
        <v>17</v>
      </c>
      <c r="K212">
        <v>84.4</v>
      </c>
      <c r="L212">
        <v>104.7</v>
      </c>
    </row>
    <row r="213" spans="1:12" x14ac:dyDescent="0.3">
      <c r="A213">
        <v>1090627</v>
      </c>
      <c r="B213" t="s">
        <v>2627</v>
      </c>
      <c r="C213" t="s">
        <v>2387</v>
      </c>
      <c r="D213" t="s">
        <v>2628</v>
      </c>
      <c r="E213" t="s">
        <v>2629</v>
      </c>
      <c r="G213" t="s">
        <v>2634</v>
      </c>
      <c r="H213" t="s">
        <v>22</v>
      </c>
      <c r="I213" t="s">
        <v>22</v>
      </c>
      <c r="J213" t="s">
        <v>17</v>
      </c>
      <c r="K213">
        <v>84.4</v>
      </c>
      <c r="L213">
        <v>104.7</v>
      </c>
    </row>
    <row r="214" spans="1:12" x14ac:dyDescent="0.3">
      <c r="A214">
        <v>1090627</v>
      </c>
      <c r="B214" t="s">
        <v>2627</v>
      </c>
      <c r="C214" t="s">
        <v>2387</v>
      </c>
      <c r="D214" t="s">
        <v>2628</v>
      </c>
      <c r="E214" t="s">
        <v>2629</v>
      </c>
      <c r="G214" t="s">
        <v>2635</v>
      </c>
      <c r="H214" t="s">
        <v>22</v>
      </c>
      <c r="I214" t="s">
        <v>22</v>
      </c>
      <c r="J214" t="s">
        <v>17</v>
      </c>
      <c r="K214">
        <v>84.4</v>
      </c>
      <c r="L214">
        <v>104.7</v>
      </c>
    </row>
    <row r="215" spans="1:12" x14ac:dyDescent="0.3">
      <c r="A215">
        <v>1090627</v>
      </c>
      <c r="B215" t="s">
        <v>2627</v>
      </c>
      <c r="C215" t="s">
        <v>2387</v>
      </c>
      <c r="D215" t="s">
        <v>2628</v>
      </c>
      <c r="E215" t="s">
        <v>2629</v>
      </c>
      <c r="G215" t="s">
        <v>2636</v>
      </c>
      <c r="H215" t="s">
        <v>22</v>
      </c>
      <c r="I215" t="s">
        <v>22</v>
      </c>
      <c r="J215" t="s">
        <v>17</v>
      </c>
      <c r="K215">
        <v>84.4</v>
      </c>
      <c r="L215">
        <v>104.7</v>
      </c>
    </row>
    <row r="216" spans="1:12" x14ac:dyDescent="0.3">
      <c r="A216">
        <v>1090627</v>
      </c>
      <c r="B216" t="s">
        <v>2627</v>
      </c>
      <c r="C216" t="s">
        <v>2387</v>
      </c>
      <c r="D216" t="s">
        <v>2628</v>
      </c>
      <c r="E216" t="s">
        <v>2629</v>
      </c>
      <c r="G216" t="s">
        <v>2637</v>
      </c>
      <c r="H216" t="s">
        <v>22</v>
      </c>
      <c r="I216" t="s">
        <v>22</v>
      </c>
      <c r="J216" t="s">
        <v>17</v>
      </c>
      <c r="K216">
        <v>84.4</v>
      </c>
      <c r="L216">
        <v>104.7</v>
      </c>
    </row>
    <row r="217" spans="1:12" x14ac:dyDescent="0.3">
      <c r="A217">
        <v>1090627</v>
      </c>
      <c r="B217" t="s">
        <v>2627</v>
      </c>
      <c r="C217" t="s">
        <v>2387</v>
      </c>
      <c r="D217" t="s">
        <v>2628</v>
      </c>
      <c r="E217" t="s">
        <v>2629</v>
      </c>
      <c r="G217" t="s">
        <v>2638</v>
      </c>
      <c r="H217" t="s">
        <v>22</v>
      </c>
      <c r="I217" t="s">
        <v>22</v>
      </c>
      <c r="J217" t="s">
        <v>17</v>
      </c>
      <c r="K217">
        <v>84.4</v>
      </c>
      <c r="L217">
        <v>104.7</v>
      </c>
    </row>
    <row r="218" spans="1:12" x14ac:dyDescent="0.3">
      <c r="A218">
        <v>1090627</v>
      </c>
      <c r="B218" t="s">
        <v>2627</v>
      </c>
      <c r="C218" t="s">
        <v>2387</v>
      </c>
      <c r="D218" t="s">
        <v>2628</v>
      </c>
      <c r="E218" t="s">
        <v>2629</v>
      </c>
      <c r="G218" t="s">
        <v>2639</v>
      </c>
      <c r="H218" t="s">
        <v>22</v>
      </c>
      <c r="I218" t="s">
        <v>22</v>
      </c>
      <c r="J218" t="s">
        <v>17</v>
      </c>
      <c r="K218">
        <v>84.4</v>
      </c>
      <c r="L218">
        <v>104.7</v>
      </c>
    </row>
    <row r="219" spans="1:12" x14ac:dyDescent="0.3">
      <c r="A219">
        <v>1090627</v>
      </c>
      <c r="B219" t="s">
        <v>2627</v>
      </c>
      <c r="C219" t="s">
        <v>2387</v>
      </c>
      <c r="D219" t="s">
        <v>2628</v>
      </c>
      <c r="E219" t="s">
        <v>2629</v>
      </c>
      <c r="G219" t="s">
        <v>2640</v>
      </c>
      <c r="H219" t="s">
        <v>22</v>
      </c>
      <c r="I219" t="s">
        <v>22</v>
      </c>
      <c r="J219" t="s">
        <v>17</v>
      </c>
      <c r="K219">
        <v>84.4</v>
      </c>
      <c r="L219">
        <v>104.7</v>
      </c>
    </row>
    <row r="220" spans="1:12" x14ac:dyDescent="0.3">
      <c r="A220">
        <v>1090627</v>
      </c>
      <c r="B220" t="s">
        <v>2627</v>
      </c>
      <c r="C220" t="s">
        <v>2387</v>
      </c>
      <c r="D220" t="s">
        <v>2628</v>
      </c>
      <c r="E220" t="s">
        <v>2629</v>
      </c>
      <c r="G220" t="s">
        <v>2641</v>
      </c>
      <c r="H220" t="s">
        <v>22</v>
      </c>
      <c r="I220" t="s">
        <v>22</v>
      </c>
      <c r="J220" t="s">
        <v>17</v>
      </c>
      <c r="K220">
        <v>84.4</v>
      </c>
      <c r="L220">
        <v>104.7</v>
      </c>
    </row>
    <row r="221" spans="1:12" x14ac:dyDescent="0.3">
      <c r="A221">
        <v>1090627</v>
      </c>
      <c r="B221" t="s">
        <v>2627</v>
      </c>
      <c r="C221" t="s">
        <v>2387</v>
      </c>
      <c r="D221" t="s">
        <v>2628</v>
      </c>
      <c r="E221" t="s">
        <v>2629</v>
      </c>
      <c r="G221" t="s">
        <v>2642</v>
      </c>
      <c r="H221" t="s">
        <v>22</v>
      </c>
      <c r="I221" t="s">
        <v>22</v>
      </c>
      <c r="J221" t="s">
        <v>17</v>
      </c>
      <c r="K221">
        <v>84.4</v>
      </c>
      <c r="L221">
        <v>104.7</v>
      </c>
    </row>
    <row r="222" spans="1:12" x14ac:dyDescent="0.3">
      <c r="A222">
        <v>1090627</v>
      </c>
      <c r="B222" t="s">
        <v>2627</v>
      </c>
      <c r="C222" t="s">
        <v>2387</v>
      </c>
      <c r="D222" t="s">
        <v>2628</v>
      </c>
      <c r="E222" t="s">
        <v>2629</v>
      </c>
      <c r="G222" t="s">
        <v>2643</v>
      </c>
      <c r="H222" t="s">
        <v>22</v>
      </c>
      <c r="I222" t="s">
        <v>22</v>
      </c>
      <c r="J222" t="s">
        <v>17</v>
      </c>
      <c r="K222">
        <v>84.4</v>
      </c>
      <c r="L222">
        <v>104.7</v>
      </c>
    </row>
    <row r="223" spans="1:12" x14ac:dyDescent="0.3">
      <c r="A223">
        <v>1090627</v>
      </c>
      <c r="B223" t="s">
        <v>2627</v>
      </c>
      <c r="C223" t="s">
        <v>2387</v>
      </c>
      <c r="D223" t="s">
        <v>2628</v>
      </c>
      <c r="E223" t="s">
        <v>2629</v>
      </c>
      <c r="G223" t="s">
        <v>2644</v>
      </c>
      <c r="H223" t="s">
        <v>22</v>
      </c>
      <c r="I223" t="s">
        <v>22</v>
      </c>
      <c r="J223" t="s">
        <v>17</v>
      </c>
      <c r="K223">
        <v>84.4</v>
      </c>
      <c r="L223">
        <v>104.7</v>
      </c>
    </row>
    <row r="224" spans="1:12" x14ac:dyDescent="0.3">
      <c r="A224">
        <v>1090627</v>
      </c>
      <c r="B224" t="s">
        <v>2627</v>
      </c>
      <c r="C224" t="s">
        <v>2387</v>
      </c>
      <c r="D224" t="s">
        <v>2628</v>
      </c>
      <c r="E224" t="s">
        <v>2629</v>
      </c>
      <c r="G224" t="s">
        <v>2645</v>
      </c>
      <c r="H224" t="s">
        <v>22</v>
      </c>
      <c r="I224" t="s">
        <v>22</v>
      </c>
      <c r="J224" t="s">
        <v>17</v>
      </c>
      <c r="K224">
        <v>84.4</v>
      </c>
      <c r="L224">
        <v>104.7</v>
      </c>
    </row>
    <row r="225" spans="1:14" x14ac:dyDescent="0.3">
      <c r="A225">
        <v>1090627</v>
      </c>
      <c r="B225" t="s">
        <v>2627</v>
      </c>
      <c r="C225" t="s">
        <v>2388</v>
      </c>
      <c r="H225" t="s">
        <v>16</v>
      </c>
      <c r="I225" t="s">
        <v>16</v>
      </c>
      <c r="J225" t="s">
        <v>17</v>
      </c>
      <c r="K225">
        <v>0</v>
      </c>
      <c r="L225">
        <v>0</v>
      </c>
    </row>
    <row r="226" spans="1:14" x14ac:dyDescent="0.3">
      <c r="A226">
        <v>1090627</v>
      </c>
      <c r="B226" t="s">
        <v>2627</v>
      </c>
      <c r="C226" t="s">
        <v>2389</v>
      </c>
      <c r="H226" t="s">
        <v>16</v>
      </c>
      <c r="I226" t="s">
        <v>16</v>
      </c>
      <c r="J226" t="s">
        <v>17</v>
      </c>
      <c r="K226">
        <v>0</v>
      </c>
      <c r="L226">
        <v>0</v>
      </c>
    </row>
    <row r="227" spans="1:14" x14ac:dyDescent="0.3">
      <c r="A227">
        <v>1090755</v>
      </c>
      <c r="B227" t="s">
        <v>2646</v>
      </c>
      <c r="C227" t="s">
        <v>2390</v>
      </c>
      <c r="D227" t="s">
        <v>2647</v>
      </c>
      <c r="E227" t="s">
        <v>2648</v>
      </c>
      <c r="G227" t="s">
        <v>2649</v>
      </c>
      <c r="H227" t="s">
        <v>22</v>
      </c>
      <c r="I227" t="s">
        <v>22</v>
      </c>
      <c r="J227" t="s">
        <v>17</v>
      </c>
      <c r="K227">
        <v>93.8</v>
      </c>
      <c r="L227">
        <v>108.2</v>
      </c>
      <c r="M227" t="s">
        <v>1055</v>
      </c>
      <c r="N227" t="s">
        <v>1054</v>
      </c>
    </row>
    <row r="228" spans="1:14" x14ac:dyDescent="0.3">
      <c r="A228">
        <v>1090755</v>
      </c>
      <c r="B228" t="s">
        <v>2646</v>
      </c>
      <c r="C228" t="s">
        <v>2390</v>
      </c>
      <c r="D228" t="s">
        <v>2647</v>
      </c>
      <c r="E228" t="s">
        <v>2648</v>
      </c>
      <c r="G228" t="s">
        <v>2650</v>
      </c>
      <c r="H228" t="s">
        <v>22</v>
      </c>
      <c r="I228" t="s">
        <v>22</v>
      </c>
      <c r="J228" t="s">
        <v>17</v>
      </c>
      <c r="K228">
        <v>93.8</v>
      </c>
      <c r="L228">
        <v>108.2</v>
      </c>
      <c r="M228" t="s">
        <v>1055</v>
      </c>
      <c r="N228" t="s">
        <v>1054</v>
      </c>
    </row>
    <row r="229" spans="1:14" x14ac:dyDescent="0.3">
      <c r="A229">
        <v>1090755</v>
      </c>
      <c r="B229" t="s">
        <v>2646</v>
      </c>
      <c r="C229" t="s">
        <v>2391</v>
      </c>
      <c r="H229" t="s">
        <v>16</v>
      </c>
      <c r="I229" t="s">
        <v>16</v>
      </c>
      <c r="J229" t="s">
        <v>17</v>
      </c>
      <c r="K229">
        <v>0</v>
      </c>
      <c r="L229">
        <v>0</v>
      </c>
    </row>
    <row r="230" spans="1:14" x14ac:dyDescent="0.3">
      <c r="A230">
        <v>1090755</v>
      </c>
      <c r="B230" t="s">
        <v>2646</v>
      </c>
      <c r="C230" t="s">
        <v>2392</v>
      </c>
      <c r="H230" t="s">
        <v>16</v>
      </c>
      <c r="I230" t="s">
        <v>16</v>
      </c>
      <c r="J230" t="s">
        <v>17</v>
      </c>
      <c r="K230">
        <v>0</v>
      </c>
      <c r="L230">
        <v>0</v>
      </c>
    </row>
    <row r="231" spans="1:14" x14ac:dyDescent="0.3">
      <c r="A231">
        <v>1090755</v>
      </c>
      <c r="B231" t="s">
        <v>2646</v>
      </c>
      <c r="C231" t="s">
        <v>2393</v>
      </c>
      <c r="D231" t="s">
        <v>2651</v>
      </c>
      <c r="E231" t="s">
        <v>2652</v>
      </c>
      <c r="H231" t="s">
        <v>22</v>
      </c>
      <c r="I231" t="s">
        <v>22</v>
      </c>
      <c r="J231" t="s">
        <v>17</v>
      </c>
      <c r="K231">
        <v>94.1</v>
      </c>
      <c r="L231">
        <v>106.5</v>
      </c>
      <c r="M231" t="s">
        <v>2529</v>
      </c>
      <c r="N231" t="s">
        <v>2530</v>
      </c>
    </row>
    <row r="232" spans="1:14" x14ac:dyDescent="0.3">
      <c r="A232">
        <v>1090755</v>
      </c>
      <c r="B232" t="s">
        <v>2646</v>
      </c>
      <c r="C232" t="s">
        <v>2394</v>
      </c>
      <c r="D232" t="s">
        <v>2394</v>
      </c>
      <c r="E232" t="s">
        <v>2653</v>
      </c>
      <c r="G232" t="s">
        <v>2654</v>
      </c>
      <c r="H232" t="s">
        <v>22</v>
      </c>
      <c r="I232" t="s">
        <v>22</v>
      </c>
      <c r="J232" t="s">
        <v>17</v>
      </c>
      <c r="K232">
        <v>100</v>
      </c>
      <c r="L232">
        <v>112</v>
      </c>
    </row>
    <row r="233" spans="1:14" x14ac:dyDescent="0.3">
      <c r="A233">
        <v>1090755</v>
      </c>
      <c r="B233" t="s">
        <v>2646</v>
      </c>
      <c r="C233" t="s">
        <v>2394</v>
      </c>
      <c r="D233" t="s">
        <v>2394</v>
      </c>
      <c r="E233" t="s">
        <v>2653</v>
      </c>
      <c r="G233" t="s">
        <v>2655</v>
      </c>
      <c r="H233" t="s">
        <v>22</v>
      </c>
      <c r="I233" t="s">
        <v>22</v>
      </c>
      <c r="J233" t="s">
        <v>17</v>
      </c>
      <c r="K233">
        <v>100</v>
      </c>
      <c r="L233">
        <v>112</v>
      </c>
    </row>
    <row r="234" spans="1:14" x14ac:dyDescent="0.3">
      <c r="A234">
        <v>1090755</v>
      </c>
      <c r="B234" t="s">
        <v>2646</v>
      </c>
      <c r="C234" t="s">
        <v>2394</v>
      </c>
      <c r="D234" t="s">
        <v>2394</v>
      </c>
      <c r="E234" t="s">
        <v>2653</v>
      </c>
      <c r="G234" t="s">
        <v>2656</v>
      </c>
      <c r="H234" t="s">
        <v>22</v>
      </c>
      <c r="I234" t="s">
        <v>22</v>
      </c>
      <c r="J234" t="s">
        <v>17</v>
      </c>
      <c r="K234">
        <v>100</v>
      </c>
      <c r="L234">
        <v>112</v>
      </c>
    </row>
    <row r="235" spans="1:14" x14ac:dyDescent="0.3">
      <c r="A235">
        <v>1090755</v>
      </c>
      <c r="B235" t="s">
        <v>2646</v>
      </c>
      <c r="C235" t="s">
        <v>2395</v>
      </c>
      <c r="H235" t="s">
        <v>16</v>
      </c>
      <c r="I235" t="s">
        <v>16</v>
      </c>
      <c r="J235" t="s">
        <v>17</v>
      </c>
      <c r="K235">
        <v>0</v>
      </c>
      <c r="L235">
        <v>0</v>
      </c>
    </row>
    <row r="236" spans="1:14" x14ac:dyDescent="0.3">
      <c r="A236">
        <v>1090755</v>
      </c>
      <c r="B236" t="s">
        <v>2646</v>
      </c>
      <c r="C236" t="s">
        <v>2396</v>
      </c>
      <c r="H236" t="s">
        <v>16</v>
      </c>
      <c r="I236" t="s">
        <v>16</v>
      </c>
      <c r="J236" t="s">
        <v>17</v>
      </c>
      <c r="K236">
        <v>0</v>
      </c>
      <c r="L236">
        <v>0</v>
      </c>
    </row>
    <row r="237" spans="1:14" x14ac:dyDescent="0.3">
      <c r="A237">
        <v>1095274</v>
      </c>
      <c r="B237" t="s">
        <v>2657</v>
      </c>
      <c r="C237" t="s">
        <v>2397</v>
      </c>
      <c r="H237" t="s">
        <v>16</v>
      </c>
      <c r="I237" t="s">
        <v>16</v>
      </c>
      <c r="J237" t="s">
        <v>17</v>
      </c>
      <c r="K237">
        <v>0</v>
      </c>
      <c r="L237">
        <v>0</v>
      </c>
    </row>
    <row r="238" spans="1:14" x14ac:dyDescent="0.3">
      <c r="A238">
        <v>1095274</v>
      </c>
      <c r="B238" t="s">
        <v>2657</v>
      </c>
      <c r="C238" t="s">
        <v>2398</v>
      </c>
      <c r="D238" t="s">
        <v>2658</v>
      </c>
      <c r="E238" t="s">
        <v>2659</v>
      </c>
      <c r="H238" t="s">
        <v>22</v>
      </c>
      <c r="I238" t="s">
        <v>22</v>
      </c>
      <c r="J238" t="s">
        <v>17</v>
      </c>
      <c r="K238">
        <v>90.5</v>
      </c>
      <c r="L238">
        <v>107.3</v>
      </c>
    </row>
    <row r="239" spans="1:14" x14ac:dyDescent="0.3">
      <c r="A239">
        <v>1095274</v>
      </c>
      <c r="B239" t="s">
        <v>2657</v>
      </c>
      <c r="C239" t="s">
        <v>2399</v>
      </c>
      <c r="D239" t="s">
        <v>2660</v>
      </c>
      <c r="E239" t="s">
        <v>2661</v>
      </c>
      <c r="G239" t="s">
        <v>2662</v>
      </c>
      <c r="H239" t="s">
        <v>22</v>
      </c>
      <c r="I239" t="s">
        <v>22</v>
      </c>
      <c r="J239" t="s">
        <v>17</v>
      </c>
      <c r="K239">
        <v>72.7</v>
      </c>
      <c r="L239">
        <v>97.6</v>
      </c>
    </row>
    <row r="240" spans="1:14" x14ac:dyDescent="0.3">
      <c r="A240">
        <v>1095274</v>
      </c>
      <c r="B240" t="s">
        <v>2657</v>
      </c>
      <c r="C240" t="s">
        <v>2399</v>
      </c>
      <c r="D240" t="s">
        <v>2660</v>
      </c>
      <c r="E240" t="s">
        <v>2661</v>
      </c>
      <c r="G240" t="s">
        <v>2663</v>
      </c>
      <c r="H240" t="s">
        <v>22</v>
      </c>
      <c r="I240" t="s">
        <v>22</v>
      </c>
      <c r="J240" t="s">
        <v>17</v>
      </c>
      <c r="K240">
        <v>72.7</v>
      </c>
      <c r="L240">
        <v>97.6</v>
      </c>
    </row>
    <row r="241" spans="1:14" x14ac:dyDescent="0.3">
      <c r="A241">
        <v>1095274</v>
      </c>
      <c r="B241" t="s">
        <v>2657</v>
      </c>
      <c r="C241" t="s">
        <v>2399</v>
      </c>
      <c r="D241" t="s">
        <v>2660</v>
      </c>
      <c r="E241" t="s">
        <v>2661</v>
      </c>
      <c r="G241" t="s">
        <v>2664</v>
      </c>
      <c r="H241" t="s">
        <v>22</v>
      </c>
      <c r="I241" t="s">
        <v>22</v>
      </c>
      <c r="J241" t="s">
        <v>17</v>
      </c>
      <c r="K241">
        <v>72.7</v>
      </c>
      <c r="L241">
        <v>97.6</v>
      </c>
    </row>
    <row r="242" spans="1:14" x14ac:dyDescent="0.3">
      <c r="A242">
        <v>1095274</v>
      </c>
      <c r="B242" t="s">
        <v>2657</v>
      </c>
      <c r="C242" t="s">
        <v>2399</v>
      </c>
      <c r="D242" t="s">
        <v>2660</v>
      </c>
      <c r="E242" t="s">
        <v>2661</v>
      </c>
      <c r="G242" t="s">
        <v>2665</v>
      </c>
      <c r="H242" t="s">
        <v>22</v>
      </c>
      <c r="I242" t="s">
        <v>22</v>
      </c>
      <c r="J242" t="s">
        <v>17</v>
      </c>
      <c r="K242">
        <v>72.7</v>
      </c>
      <c r="L242">
        <v>97.6</v>
      </c>
    </row>
    <row r="243" spans="1:14" x14ac:dyDescent="0.3">
      <c r="A243">
        <v>1095274</v>
      </c>
      <c r="B243" t="s">
        <v>2657</v>
      </c>
      <c r="C243" t="s">
        <v>2399</v>
      </c>
      <c r="D243" t="s">
        <v>2660</v>
      </c>
      <c r="E243" t="s">
        <v>2661</v>
      </c>
      <c r="G243" t="s">
        <v>2666</v>
      </c>
      <c r="H243" t="s">
        <v>22</v>
      </c>
      <c r="I243" t="s">
        <v>22</v>
      </c>
      <c r="J243" t="s">
        <v>17</v>
      </c>
      <c r="K243">
        <v>72.7</v>
      </c>
      <c r="L243">
        <v>97.6</v>
      </c>
    </row>
    <row r="244" spans="1:14" x14ac:dyDescent="0.3">
      <c r="A244">
        <v>1095274</v>
      </c>
      <c r="B244" t="s">
        <v>2657</v>
      </c>
      <c r="C244" t="s">
        <v>2399</v>
      </c>
      <c r="D244" t="s">
        <v>2660</v>
      </c>
      <c r="E244" t="s">
        <v>2661</v>
      </c>
      <c r="G244" t="s">
        <v>2667</v>
      </c>
      <c r="H244" t="s">
        <v>22</v>
      </c>
      <c r="I244" t="s">
        <v>22</v>
      </c>
      <c r="J244" t="s">
        <v>17</v>
      </c>
      <c r="K244">
        <v>72.7</v>
      </c>
      <c r="L244">
        <v>97.6</v>
      </c>
    </row>
    <row r="245" spans="1:14" x14ac:dyDescent="0.3">
      <c r="A245">
        <v>1095274</v>
      </c>
      <c r="B245" t="s">
        <v>2657</v>
      </c>
      <c r="C245" t="s">
        <v>2399</v>
      </c>
      <c r="D245" t="s">
        <v>2660</v>
      </c>
      <c r="E245" t="s">
        <v>2661</v>
      </c>
      <c r="G245" t="s">
        <v>2668</v>
      </c>
      <c r="H245" t="s">
        <v>22</v>
      </c>
      <c r="I245" t="s">
        <v>22</v>
      </c>
      <c r="J245" t="s">
        <v>17</v>
      </c>
      <c r="K245">
        <v>72.7</v>
      </c>
      <c r="L245">
        <v>97.6</v>
      </c>
    </row>
    <row r="246" spans="1:14" x14ac:dyDescent="0.3">
      <c r="A246">
        <v>1095274</v>
      </c>
      <c r="B246" t="s">
        <v>2657</v>
      </c>
      <c r="C246" t="s">
        <v>2399</v>
      </c>
      <c r="D246" t="s">
        <v>2660</v>
      </c>
      <c r="E246" t="s">
        <v>2661</v>
      </c>
      <c r="G246" t="s">
        <v>2669</v>
      </c>
      <c r="H246" t="s">
        <v>22</v>
      </c>
      <c r="I246" t="s">
        <v>22</v>
      </c>
      <c r="J246" t="s">
        <v>17</v>
      </c>
      <c r="K246">
        <v>72.7</v>
      </c>
      <c r="L246">
        <v>97.6</v>
      </c>
    </row>
    <row r="247" spans="1:14" x14ac:dyDescent="0.3">
      <c r="A247">
        <v>1095274</v>
      </c>
      <c r="B247" t="s">
        <v>2657</v>
      </c>
      <c r="C247" t="s">
        <v>2399</v>
      </c>
      <c r="D247" t="s">
        <v>2660</v>
      </c>
      <c r="E247" t="s">
        <v>2661</v>
      </c>
      <c r="G247" t="s">
        <v>2670</v>
      </c>
      <c r="H247" t="s">
        <v>22</v>
      </c>
      <c r="I247" t="s">
        <v>22</v>
      </c>
      <c r="J247" t="s">
        <v>17</v>
      </c>
      <c r="K247">
        <v>72.7</v>
      </c>
      <c r="L247">
        <v>97.6</v>
      </c>
    </row>
    <row r="248" spans="1:14" x14ac:dyDescent="0.3">
      <c r="A248">
        <v>1095274</v>
      </c>
      <c r="B248" t="s">
        <v>2657</v>
      </c>
      <c r="C248" t="s">
        <v>2399</v>
      </c>
      <c r="D248" t="s">
        <v>2660</v>
      </c>
      <c r="E248" t="s">
        <v>2661</v>
      </c>
      <c r="G248" t="s">
        <v>2671</v>
      </c>
      <c r="H248" t="s">
        <v>22</v>
      </c>
      <c r="I248" t="s">
        <v>22</v>
      </c>
      <c r="J248" t="s">
        <v>17</v>
      </c>
      <c r="K248">
        <v>72.7</v>
      </c>
      <c r="L248">
        <v>97.6</v>
      </c>
    </row>
    <row r="249" spans="1:14" x14ac:dyDescent="0.3">
      <c r="A249">
        <v>1095274</v>
      </c>
      <c r="B249" t="s">
        <v>2657</v>
      </c>
      <c r="C249" t="s">
        <v>2399</v>
      </c>
      <c r="D249" t="s">
        <v>2660</v>
      </c>
      <c r="E249" t="s">
        <v>2661</v>
      </c>
      <c r="G249" t="s">
        <v>2672</v>
      </c>
      <c r="H249" t="s">
        <v>22</v>
      </c>
      <c r="I249" t="s">
        <v>22</v>
      </c>
      <c r="J249" t="s">
        <v>17</v>
      </c>
      <c r="K249">
        <v>72.7</v>
      </c>
      <c r="L249">
        <v>97.6</v>
      </c>
    </row>
    <row r="250" spans="1:14" x14ac:dyDescent="0.3">
      <c r="A250">
        <v>1095274</v>
      </c>
      <c r="B250" t="s">
        <v>2657</v>
      </c>
      <c r="C250" t="s">
        <v>2399</v>
      </c>
      <c r="D250" t="s">
        <v>2660</v>
      </c>
      <c r="E250" t="s">
        <v>2661</v>
      </c>
      <c r="G250" t="s">
        <v>2673</v>
      </c>
      <c r="H250" t="s">
        <v>22</v>
      </c>
      <c r="I250" t="s">
        <v>22</v>
      </c>
      <c r="J250" t="s">
        <v>17</v>
      </c>
      <c r="K250">
        <v>72.7</v>
      </c>
      <c r="L250">
        <v>97.6</v>
      </c>
    </row>
    <row r="251" spans="1:14" x14ac:dyDescent="0.3">
      <c r="A251">
        <v>1095274</v>
      </c>
      <c r="B251" t="s">
        <v>2657</v>
      </c>
      <c r="C251" t="s">
        <v>2399</v>
      </c>
      <c r="D251" t="s">
        <v>2660</v>
      </c>
      <c r="E251" t="s">
        <v>2661</v>
      </c>
      <c r="G251" t="s">
        <v>2674</v>
      </c>
      <c r="H251" t="s">
        <v>22</v>
      </c>
      <c r="I251" t="s">
        <v>22</v>
      </c>
      <c r="J251" t="s">
        <v>17</v>
      </c>
      <c r="K251">
        <v>72.7</v>
      </c>
      <c r="L251">
        <v>97.6</v>
      </c>
    </row>
    <row r="252" spans="1:14" x14ac:dyDescent="0.3">
      <c r="A252">
        <v>1095274</v>
      </c>
      <c r="B252" t="s">
        <v>2657</v>
      </c>
      <c r="C252" t="s">
        <v>2399</v>
      </c>
      <c r="D252" t="s">
        <v>2660</v>
      </c>
      <c r="E252" t="s">
        <v>2661</v>
      </c>
      <c r="G252" t="s">
        <v>2675</v>
      </c>
      <c r="H252" t="s">
        <v>22</v>
      </c>
      <c r="I252" t="s">
        <v>22</v>
      </c>
      <c r="J252" t="s">
        <v>17</v>
      </c>
      <c r="K252">
        <v>72.7</v>
      </c>
      <c r="L252">
        <v>97.6</v>
      </c>
    </row>
    <row r="253" spans="1:14" x14ac:dyDescent="0.3">
      <c r="A253">
        <v>1095274</v>
      </c>
      <c r="B253" t="s">
        <v>2657</v>
      </c>
      <c r="C253" t="s">
        <v>2399</v>
      </c>
      <c r="D253" t="s">
        <v>2660</v>
      </c>
      <c r="E253" t="s">
        <v>2661</v>
      </c>
      <c r="G253" t="s">
        <v>2676</v>
      </c>
      <c r="H253" t="s">
        <v>22</v>
      </c>
      <c r="I253" t="s">
        <v>22</v>
      </c>
      <c r="J253" t="s">
        <v>17</v>
      </c>
      <c r="K253">
        <v>72.7</v>
      </c>
      <c r="L253">
        <v>97.6</v>
      </c>
    </row>
    <row r="254" spans="1:14" x14ac:dyDescent="0.3">
      <c r="A254">
        <v>1095274</v>
      </c>
      <c r="B254" t="s">
        <v>2657</v>
      </c>
      <c r="C254" t="s">
        <v>2399</v>
      </c>
      <c r="D254" t="s">
        <v>2660</v>
      </c>
      <c r="E254" t="s">
        <v>2661</v>
      </c>
      <c r="G254" t="s">
        <v>2677</v>
      </c>
      <c r="H254" t="s">
        <v>22</v>
      </c>
      <c r="I254" t="s">
        <v>22</v>
      </c>
      <c r="J254" t="s">
        <v>17</v>
      </c>
      <c r="K254">
        <v>72.7</v>
      </c>
      <c r="L254">
        <v>97.6</v>
      </c>
    </row>
    <row r="255" spans="1:14" x14ac:dyDescent="0.3">
      <c r="A255">
        <v>1095274</v>
      </c>
      <c r="B255" t="s">
        <v>2657</v>
      </c>
      <c r="C255" t="s">
        <v>2399</v>
      </c>
      <c r="D255" t="s">
        <v>2660</v>
      </c>
      <c r="E255" t="s">
        <v>2661</v>
      </c>
      <c r="G255" t="s">
        <v>2678</v>
      </c>
      <c r="H255" t="s">
        <v>22</v>
      </c>
      <c r="I255" t="s">
        <v>22</v>
      </c>
      <c r="J255" t="s">
        <v>17</v>
      </c>
      <c r="K255">
        <v>72.7</v>
      </c>
      <c r="L255">
        <v>97.6</v>
      </c>
    </row>
    <row r="256" spans="1:14" x14ac:dyDescent="0.3">
      <c r="A256">
        <v>1095322</v>
      </c>
      <c r="B256" t="s">
        <v>2679</v>
      </c>
      <c r="C256" t="s">
        <v>2400</v>
      </c>
      <c r="D256" t="s">
        <v>2680</v>
      </c>
      <c r="E256" t="s">
        <v>2681</v>
      </c>
      <c r="H256" t="s">
        <v>46</v>
      </c>
      <c r="I256" t="s">
        <v>46</v>
      </c>
      <c r="J256" t="s">
        <v>17</v>
      </c>
      <c r="K256">
        <v>100</v>
      </c>
      <c r="L256">
        <v>50</v>
      </c>
      <c r="M256" t="s">
        <v>2682</v>
      </c>
      <c r="N256" t="s">
        <v>2683</v>
      </c>
    </row>
    <row r="257" spans="1:12" x14ac:dyDescent="0.3">
      <c r="A257">
        <v>1095322</v>
      </c>
      <c r="B257" t="s">
        <v>2679</v>
      </c>
      <c r="C257" t="s">
        <v>2401</v>
      </c>
      <c r="H257" t="s">
        <v>16</v>
      </c>
      <c r="I257" t="s">
        <v>16</v>
      </c>
      <c r="J257" t="s">
        <v>17</v>
      </c>
      <c r="K257">
        <v>0</v>
      </c>
      <c r="L257">
        <v>0</v>
      </c>
    </row>
    <row r="258" spans="1:12" x14ac:dyDescent="0.3">
      <c r="A258">
        <v>1095322</v>
      </c>
      <c r="B258" t="s">
        <v>2679</v>
      </c>
      <c r="C258" t="s">
        <v>2402</v>
      </c>
      <c r="H258" t="s">
        <v>16</v>
      </c>
      <c r="I258" t="s">
        <v>16</v>
      </c>
      <c r="J258" t="s">
        <v>17</v>
      </c>
      <c r="K258">
        <v>0</v>
      </c>
      <c r="L258">
        <v>0</v>
      </c>
    </row>
    <row r="259" spans="1:12" x14ac:dyDescent="0.3">
      <c r="A259">
        <v>1095322</v>
      </c>
      <c r="B259" t="s">
        <v>2679</v>
      </c>
      <c r="C259" t="s">
        <v>2397</v>
      </c>
      <c r="H259" t="s">
        <v>16</v>
      </c>
      <c r="I259" t="s">
        <v>16</v>
      </c>
      <c r="J259" t="s">
        <v>17</v>
      </c>
      <c r="K259">
        <v>0</v>
      </c>
      <c r="L259">
        <v>0</v>
      </c>
    </row>
    <row r="260" spans="1:12" x14ac:dyDescent="0.3">
      <c r="A260">
        <v>1100173</v>
      </c>
      <c r="B260" t="s">
        <v>2684</v>
      </c>
      <c r="C260" t="s">
        <v>2403</v>
      </c>
      <c r="D260" t="s">
        <v>2685</v>
      </c>
      <c r="E260" t="s">
        <v>2686</v>
      </c>
      <c r="G260" t="s">
        <v>2687</v>
      </c>
      <c r="H260" t="s">
        <v>46</v>
      </c>
      <c r="I260" t="s">
        <v>46</v>
      </c>
      <c r="J260" t="s">
        <v>17</v>
      </c>
      <c r="K260">
        <v>100</v>
      </c>
      <c r="L260">
        <v>50</v>
      </c>
    </row>
    <row r="261" spans="1:12" x14ac:dyDescent="0.3">
      <c r="A261">
        <v>1100173</v>
      </c>
      <c r="B261" t="s">
        <v>2684</v>
      </c>
      <c r="C261" t="s">
        <v>2403</v>
      </c>
      <c r="D261" t="s">
        <v>2685</v>
      </c>
      <c r="E261" t="s">
        <v>2686</v>
      </c>
      <c r="G261" t="s">
        <v>2688</v>
      </c>
      <c r="H261" t="s">
        <v>46</v>
      </c>
      <c r="I261" t="s">
        <v>46</v>
      </c>
      <c r="J261" t="s">
        <v>17</v>
      </c>
      <c r="K261">
        <v>100</v>
      </c>
      <c r="L261">
        <v>50</v>
      </c>
    </row>
    <row r="262" spans="1:12" x14ac:dyDescent="0.3">
      <c r="A262">
        <v>1100173</v>
      </c>
      <c r="B262" t="s">
        <v>2684</v>
      </c>
      <c r="C262" t="s">
        <v>2403</v>
      </c>
      <c r="D262" t="s">
        <v>2685</v>
      </c>
      <c r="E262" t="s">
        <v>2686</v>
      </c>
      <c r="G262" t="s">
        <v>2689</v>
      </c>
      <c r="H262" t="s">
        <v>46</v>
      </c>
      <c r="I262" t="s">
        <v>46</v>
      </c>
      <c r="J262" t="s">
        <v>17</v>
      </c>
      <c r="K262">
        <v>100</v>
      </c>
      <c r="L262">
        <v>50</v>
      </c>
    </row>
    <row r="263" spans="1:12" x14ac:dyDescent="0.3">
      <c r="A263">
        <v>1100173</v>
      </c>
      <c r="B263" t="s">
        <v>2684</v>
      </c>
      <c r="C263" t="s">
        <v>2403</v>
      </c>
      <c r="D263" t="s">
        <v>2685</v>
      </c>
      <c r="E263" t="s">
        <v>2686</v>
      </c>
      <c r="G263" t="s">
        <v>2690</v>
      </c>
      <c r="H263" t="s">
        <v>46</v>
      </c>
      <c r="I263" t="s">
        <v>46</v>
      </c>
      <c r="J263" t="s">
        <v>17</v>
      </c>
      <c r="K263">
        <v>100</v>
      </c>
      <c r="L263">
        <v>50</v>
      </c>
    </row>
    <row r="264" spans="1:12" x14ac:dyDescent="0.3">
      <c r="A264">
        <v>1100173</v>
      </c>
      <c r="B264" t="s">
        <v>2684</v>
      </c>
      <c r="C264" t="s">
        <v>2403</v>
      </c>
      <c r="D264" t="s">
        <v>2685</v>
      </c>
      <c r="E264" t="s">
        <v>2686</v>
      </c>
      <c r="G264" t="s">
        <v>2691</v>
      </c>
      <c r="H264" t="s">
        <v>46</v>
      </c>
      <c r="I264" t="s">
        <v>46</v>
      </c>
      <c r="J264" t="s">
        <v>17</v>
      </c>
      <c r="K264">
        <v>100</v>
      </c>
      <c r="L264">
        <v>50</v>
      </c>
    </row>
    <row r="265" spans="1:12" x14ac:dyDescent="0.3">
      <c r="A265">
        <v>1100173</v>
      </c>
      <c r="B265" t="s">
        <v>2684</v>
      </c>
      <c r="C265" t="s">
        <v>2403</v>
      </c>
      <c r="D265" t="s">
        <v>2685</v>
      </c>
      <c r="E265" t="s">
        <v>2686</v>
      </c>
      <c r="G265" t="s">
        <v>2692</v>
      </c>
      <c r="H265" t="s">
        <v>46</v>
      </c>
      <c r="I265" t="s">
        <v>46</v>
      </c>
      <c r="J265" t="s">
        <v>17</v>
      </c>
      <c r="K265">
        <v>100</v>
      </c>
      <c r="L265">
        <v>50</v>
      </c>
    </row>
    <row r="266" spans="1:12" x14ac:dyDescent="0.3">
      <c r="A266">
        <v>1100173</v>
      </c>
      <c r="B266" t="s">
        <v>2684</v>
      </c>
      <c r="C266" t="s">
        <v>2403</v>
      </c>
      <c r="D266" t="s">
        <v>2685</v>
      </c>
      <c r="E266" t="s">
        <v>2686</v>
      </c>
      <c r="G266" t="s">
        <v>2693</v>
      </c>
      <c r="H266" t="s">
        <v>46</v>
      </c>
      <c r="I266" t="s">
        <v>46</v>
      </c>
      <c r="J266" t="s">
        <v>17</v>
      </c>
      <c r="K266">
        <v>100</v>
      </c>
      <c r="L266">
        <v>50</v>
      </c>
    </row>
    <row r="267" spans="1:12" x14ac:dyDescent="0.3">
      <c r="A267">
        <v>1100173</v>
      </c>
      <c r="B267" t="s">
        <v>2684</v>
      </c>
      <c r="C267" t="s">
        <v>2403</v>
      </c>
      <c r="D267" t="s">
        <v>2685</v>
      </c>
      <c r="E267" t="s">
        <v>2686</v>
      </c>
      <c r="G267" t="s">
        <v>2694</v>
      </c>
      <c r="H267" t="s">
        <v>46</v>
      </c>
      <c r="I267" t="s">
        <v>46</v>
      </c>
      <c r="J267" t="s">
        <v>17</v>
      </c>
      <c r="K267">
        <v>100</v>
      </c>
      <c r="L267">
        <v>50</v>
      </c>
    </row>
    <row r="268" spans="1:12" x14ac:dyDescent="0.3">
      <c r="A268">
        <v>1100173</v>
      </c>
      <c r="B268" t="s">
        <v>2684</v>
      </c>
      <c r="C268" t="s">
        <v>2403</v>
      </c>
      <c r="D268" t="s">
        <v>2685</v>
      </c>
      <c r="E268" t="s">
        <v>2686</v>
      </c>
      <c r="G268" t="s">
        <v>2695</v>
      </c>
      <c r="H268" t="s">
        <v>46</v>
      </c>
      <c r="I268" t="s">
        <v>46</v>
      </c>
      <c r="J268" t="s">
        <v>17</v>
      </c>
      <c r="K268">
        <v>100</v>
      </c>
      <c r="L268">
        <v>50</v>
      </c>
    </row>
    <row r="269" spans="1:12" x14ac:dyDescent="0.3">
      <c r="A269">
        <v>1100173</v>
      </c>
      <c r="B269" t="s">
        <v>2684</v>
      </c>
      <c r="C269" t="s">
        <v>2403</v>
      </c>
      <c r="D269" t="s">
        <v>2685</v>
      </c>
      <c r="E269" t="s">
        <v>2686</v>
      </c>
      <c r="G269" t="s">
        <v>2696</v>
      </c>
      <c r="H269" t="s">
        <v>46</v>
      </c>
      <c r="I269" t="s">
        <v>46</v>
      </c>
      <c r="J269" t="s">
        <v>17</v>
      </c>
      <c r="K269">
        <v>100</v>
      </c>
      <c r="L269">
        <v>50</v>
      </c>
    </row>
    <row r="270" spans="1:12" x14ac:dyDescent="0.3">
      <c r="A270">
        <v>1100173</v>
      </c>
      <c r="B270" t="s">
        <v>2684</v>
      </c>
      <c r="C270" t="s">
        <v>2403</v>
      </c>
      <c r="D270" t="s">
        <v>2685</v>
      </c>
      <c r="E270" t="s">
        <v>2686</v>
      </c>
      <c r="G270" t="s">
        <v>2697</v>
      </c>
      <c r="H270" t="s">
        <v>46</v>
      </c>
      <c r="I270" t="s">
        <v>46</v>
      </c>
      <c r="J270" t="s">
        <v>17</v>
      </c>
      <c r="K270">
        <v>100</v>
      </c>
      <c r="L270">
        <v>50</v>
      </c>
    </row>
    <row r="271" spans="1:12" x14ac:dyDescent="0.3">
      <c r="A271">
        <v>1100173</v>
      </c>
      <c r="B271" t="s">
        <v>2684</v>
      </c>
      <c r="C271" t="s">
        <v>2403</v>
      </c>
      <c r="D271" t="s">
        <v>2685</v>
      </c>
      <c r="E271" t="s">
        <v>2686</v>
      </c>
      <c r="G271" t="s">
        <v>2698</v>
      </c>
      <c r="H271" t="s">
        <v>46</v>
      </c>
      <c r="I271" t="s">
        <v>46</v>
      </c>
      <c r="J271" t="s">
        <v>17</v>
      </c>
      <c r="K271">
        <v>100</v>
      </c>
      <c r="L271">
        <v>50</v>
      </c>
    </row>
    <row r="272" spans="1:12" x14ac:dyDescent="0.3">
      <c r="A272">
        <v>1100173</v>
      </c>
      <c r="B272" t="s">
        <v>2684</v>
      </c>
      <c r="C272" t="s">
        <v>2403</v>
      </c>
      <c r="D272" t="s">
        <v>2685</v>
      </c>
      <c r="E272" t="s">
        <v>2686</v>
      </c>
      <c r="G272" t="s">
        <v>2699</v>
      </c>
      <c r="H272" t="s">
        <v>46</v>
      </c>
      <c r="I272" t="s">
        <v>46</v>
      </c>
      <c r="J272" t="s">
        <v>17</v>
      </c>
      <c r="K272">
        <v>100</v>
      </c>
      <c r="L272">
        <v>50</v>
      </c>
    </row>
    <row r="273" spans="1:12" x14ac:dyDescent="0.3">
      <c r="A273">
        <v>1100173</v>
      </c>
      <c r="B273" t="s">
        <v>2684</v>
      </c>
      <c r="C273" t="s">
        <v>2403</v>
      </c>
      <c r="D273" t="s">
        <v>2685</v>
      </c>
      <c r="E273" t="s">
        <v>2686</v>
      </c>
      <c r="G273" t="s">
        <v>2700</v>
      </c>
      <c r="H273" t="s">
        <v>46</v>
      </c>
      <c r="I273" t="s">
        <v>46</v>
      </c>
      <c r="J273" t="s">
        <v>17</v>
      </c>
      <c r="K273">
        <v>100</v>
      </c>
      <c r="L273">
        <v>50</v>
      </c>
    </row>
    <row r="274" spans="1:12" x14ac:dyDescent="0.3">
      <c r="A274">
        <v>1100173</v>
      </c>
      <c r="B274" t="s">
        <v>2684</v>
      </c>
      <c r="C274" t="s">
        <v>2403</v>
      </c>
      <c r="D274" t="s">
        <v>2685</v>
      </c>
      <c r="E274" t="s">
        <v>2686</v>
      </c>
      <c r="G274" t="s">
        <v>2701</v>
      </c>
      <c r="H274" t="s">
        <v>46</v>
      </c>
      <c r="I274" t="s">
        <v>46</v>
      </c>
      <c r="J274" t="s">
        <v>17</v>
      </c>
      <c r="K274">
        <v>100</v>
      </c>
      <c r="L274">
        <v>50</v>
      </c>
    </row>
    <row r="275" spans="1:12" x14ac:dyDescent="0.3">
      <c r="A275">
        <v>1100173</v>
      </c>
      <c r="B275" t="s">
        <v>2684</v>
      </c>
      <c r="C275" t="s">
        <v>2403</v>
      </c>
      <c r="D275" t="s">
        <v>2685</v>
      </c>
      <c r="E275" t="s">
        <v>2686</v>
      </c>
      <c r="G275" t="s">
        <v>2702</v>
      </c>
      <c r="H275" t="s">
        <v>46</v>
      </c>
      <c r="I275" t="s">
        <v>46</v>
      </c>
      <c r="J275" t="s">
        <v>17</v>
      </c>
      <c r="K275">
        <v>100</v>
      </c>
      <c r="L275">
        <v>50</v>
      </c>
    </row>
    <row r="276" spans="1:12" x14ac:dyDescent="0.3">
      <c r="A276">
        <v>1100173</v>
      </c>
      <c r="B276" t="s">
        <v>2684</v>
      </c>
      <c r="C276" t="s">
        <v>2403</v>
      </c>
      <c r="D276" t="s">
        <v>2685</v>
      </c>
      <c r="E276" t="s">
        <v>2686</v>
      </c>
      <c r="G276" t="s">
        <v>2703</v>
      </c>
      <c r="H276" t="s">
        <v>46</v>
      </c>
      <c r="I276" t="s">
        <v>46</v>
      </c>
      <c r="J276" t="s">
        <v>17</v>
      </c>
      <c r="K276">
        <v>100</v>
      </c>
      <c r="L276">
        <v>50</v>
      </c>
    </row>
    <row r="277" spans="1:12" x14ac:dyDescent="0.3">
      <c r="A277">
        <v>1100173</v>
      </c>
      <c r="B277" t="s">
        <v>2684</v>
      </c>
      <c r="C277" t="s">
        <v>2403</v>
      </c>
      <c r="D277" t="s">
        <v>2685</v>
      </c>
      <c r="E277" t="s">
        <v>2686</v>
      </c>
      <c r="G277" t="s">
        <v>2704</v>
      </c>
      <c r="H277" t="s">
        <v>46</v>
      </c>
      <c r="I277" t="s">
        <v>46</v>
      </c>
      <c r="J277" t="s">
        <v>17</v>
      </c>
      <c r="K277">
        <v>100</v>
      </c>
      <c r="L277">
        <v>50</v>
      </c>
    </row>
    <row r="278" spans="1:12" x14ac:dyDescent="0.3">
      <c r="A278">
        <v>1100173</v>
      </c>
      <c r="B278" t="s">
        <v>2684</v>
      </c>
      <c r="C278" t="s">
        <v>2403</v>
      </c>
      <c r="D278" t="s">
        <v>2685</v>
      </c>
      <c r="E278" t="s">
        <v>2686</v>
      </c>
      <c r="G278" t="s">
        <v>2705</v>
      </c>
      <c r="H278" t="s">
        <v>46</v>
      </c>
      <c r="I278" t="s">
        <v>46</v>
      </c>
      <c r="J278" t="s">
        <v>17</v>
      </c>
      <c r="K278">
        <v>100</v>
      </c>
      <c r="L278">
        <v>50</v>
      </c>
    </row>
    <row r="279" spans="1:12" x14ac:dyDescent="0.3">
      <c r="A279">
        <v>1100173</v>
      </c>
      <c r="B279" t="s">
        <v>2684</v>
      </c>
      <c r="C279" t="s">
        <v>2403</v>
      </c>
      <c r="D279" t="s">
        <v>2685</v>
      </c>
      <c r="E279" t="s">
        <v>2686</v>
      </c>
      <c r="G279" t="s">
        <v>2706</v>
      </c>
      <c r="H279" t="s">
        <v>46</v>
      </c>
      <c r="I279" t="s">
        <v>46</v>
      </c>
      <c r="J279" t="s">
        <v>17</v>
      </c>
      <c r="K279">
        <v>100</v>
      </c>
      <c r="L279">
        <v>50</v>
      </c>
    </row>
    <row r="280" spans="1:12" x14ac:dyDescent="0.3">
      <c r="A280">
        <v>1100173</v>
      </c>
      <c r="B280" t="s">
        <v>2684</v>
      </c>
      <c r="C280" t="s">
        <v>2403</v>
      </c>
      <c r="D280" t="s">
        <v>2685</v>
      </c>
      <c r="E280" t="s">
        <v>2686</v>
      </c>
      <c r="G280" t="s">
        <v>2707</v>
      </c>
      <c r="H280" t="s">
        <v>46</v>
      </c>
      <c r="I280" t="s">
        <v>46</v>
      </c>
      <c r="J280" t="s">
        <v>17</v>
      </c>
      <c r="K280">
        <v>100</v>
      </c>
      <c r="L280">
        <v>50</v>
      </c>
    </row>
    <row r="281" spans="1:12" x14ac:dyDescent="0.3">
      <c r="A281">
        <v>1100173</v>
      </c>
      <c r="B281" t="s">
        <v>2684</v>
      </c>
      <c r="C281" t="s">
        <v>2403</v>
      </c>
      <c r="D281" t="s">
        <v>2685</v>
      </c>
      <c r="E281" t="s">
        <v>2686</v>
      </c>
      <c r="G281" t="s">
        <v>2708</v>
      </c>
      <c r="H281" t="s">
        <v>46</v>
      </c>
      <c r="I281" t="s">
        <v>46</v>
      </c>
      <c r="J281" t="s">
        <v>17</v>
      </c>
      <c r="K281">
        <v>100</v>
      </c>
      <c r="L281">
        <v>50</v>
      </c>
    </row>
    <row r="282" spans="1:12" x14ac:dyDescent="0.3">
      <c r="A282">
        <v>1100173</v>
      </c>
      <c r="B282" t="s">
        <v>2684</v>
      </c>
      <c r="C282" t="s">
        <v>2403</v>
      </c>
      <c r="D282" t="s">
        <v>2685</v>
      </c>
      <c r="E282" t="s">
        <v>2686</v>
      </c>
      <c r="G282" t="s">
        <v>2709</v>
      </c>
      <c r="H282" t="s">
        <v>46</v>
      </c>
      <c r="I282" t="s">
        <v>46</v>
      </c>
      <c r="J282" t="s">
        <v>17</v>
      </c>
      <c r="K282">
        <v>100</v>
      </c>
      <c r="L282">
        <v>50</v>
      </c>
    </row>
    <row r="283" spans="1:12" x14ac:dyDescent="0.3">
      <c r="A283">
        <v>1100173</v>
      </c>
      <c r="B283" t="s">
        <v>2684</v>
      </c>
      <c r="C283" t="s">
        <v>2403</v>
      </c>
      <c r="D283" t="s">
        <v>2685</v>
      </c>
      <c r="E283" t="s">
        <v>2686</v>
      </c>
      <c r="G283" t="s">
        <v>2710</v>
      </c>
      <c r="H283" t="s">
        <v>46</v>
      </c>
      <c r="I283" t="s">
        <v>46</v>
      </c>
      <c r="J283" t="s">
        <v>17</v>
      </c>
      <c r="K283">
        <v>100</v>
      </c>
      <c r="L283">
        <v>50</v>
      </c>
    </row>
    <row r="284" spans="1:12" x14ac:dyDescent="0.3">
      <c r="A284">
        <v>1100173</v>
      </c>
      <c r="B284" t="s">
        <v>2684</v>
      </c>
      <c r="C284" t="s">
        <v>2403</v>
      </c>
      <c r="D284" t="s">
        <v>2685</v>
      </c>
      <c r="E284" t="s">
        <v>2686</v>
      </c>
      <c r="G284" t="s">
        <v>2711</v>
      </c>
      <c r="H284" t="s">
        <v>46</v>
      </c>
      <c r="I284" t="s">
        <v>46</v>
      </c>
      <c r="J284" t="s">
        <v>17</v>
      </c>
      <c r="K284">
        <v>100</v>
      </c>
      <c r="L284">
        <v>50</v>
      </c>
    </row>
    <row r="285" spans="1:12" x14ac:dyDescent="0.3">
      <c r="A285">
        <v>1100173</v>
      </c>
      <c r="B285" t="s">
        <v>2684</v>
      </c>
      <c r="C285" t="s">
        <v>2403</v>
      </c>
      <c r="D285" t="s">
        <v>2685</v>
      </c>
      <c r="E285" t="s">
        <v>2686</v>
      </c>
      <c r="G285" t="s">
        <v>2712</v>
      </c>
      <c r="H285" t="s">
        <v>46</v>
      </c>
      <c r="I285" t="s">
        <v>46</v>
      </c>
      <c r="J285" t="s">
        <v>17</v>
      </c>
      <c r="K285">
        <v>100</v>
      </c>
      <c r="L285">
        <v>50</v>
      </c>
    </row>
    <row r="286" spans="1:12" x14ac:dyDescent="0.3">
      <c r="A286">
        <v>1100173</v>
      </c>
      <c r="B286" t="s">
        <v>2684</v>
      </c>
      <c r="C286" t="s">
        <v>2403</v>
      </c>
      <c r="D286" t="s">
        <v>2685</v>
      </c>
      <c r="E286" t="s">
        <v>2686</v>
      </c>
      <c r="G286" t="s">
        <v>2713</v>
      </c>
      <c r="H286" t="s">
        <v>46</v>
      </c>
      <c r="I286" t="s">
        <v>46</v>
      </c>
      <c r="J286" t="s">
        <v>17</v>
      </c>
      <c r="K286">
        <v>100</v>
      </c>
      <c r="L286">
        <v>50</v>
      </c>
    </row>
    <row r="287" spans="1:12" x14ac:dyDescent="0.3">
      <c r="A287">
        <v>1100173</v>
      </c>
      <c r="B287" t="s">
        <v>2684</v>
      </c>
      <c r="C287" t="s">
        <v>2404</v>
      </c>
      <c r="H287" t="s">
        <v>16</v>
      </c>
      <c r="I287" t="s">
        <v>16</v>
      </c>
      <c r="J287" t="s">
        <v>17</v>
      </c>
      <c r="K287">
        <v>0</v>
      </c>
      <c r="L287">
        <v>0</v>
      </c>
    </row>
    <row r="288" spans="1:12" x14ac:dyDescent="0.3">
      <c r="A288">
        <v>1100173</v>
      </c>
      <c r="B288" t="s">
        <v>2684</v>
      </c>
      <c r="C288" t="s">
        <v>2405</v>
      </c>
      <c r="D288" t="s">
        <v>2714</v>
      </c>
      <c r="E288" t="s">
        <v>2715</v>
      </c>
      <c r="G288" t="s">
        <v>2662</v>
      </c>
      <c r="H288" t="s">
        <v>22</v>
      </c>
      <c r="I288" t="s">
        <v>22</v>
      </c>
      <c r="J288" t="s">
        <v>17</v>
      </c>
      <c r="K288">
        <v>94.4</v>
      </c>
      <c r="L288">
        <v>111.7</v>
      </c>
    </row>
    <row r="289" spans="1:12" x14ac:dyDescent="0.3">
      <c r="A289">
        <v>1100173</v>
      </c>
      <c r="B289" t="s">
        <v>2684</v>
      </c>
      <c r="C289" t="s">
        <v>2405</v>
      </c>
      <c r="D289" t="s">
        <v>2714</v>
      </c>
      <c r="E289" t="s">
        <v>2715</v>
      </c>
      <c r="G289" t="s">
        <v>2663</v>
      </c>
      <c r="H289" t="s">
        <v>22</v>
      </c>
      <c r="I289" t="s">
        <v>22</v>
      </c>
      <c r="J289" t="s">
        <v>17</v>
      </c>
      <c r="K289">
        <v>94.4</v>
      </c>
      <c r="L289">
        <v>111.7</v>
      </c>
    </row>
    <row r="290" spans="1:12" x14ac:dyDescent="0.3">
      <c r="A290">
        <v>1100173</v>
      </c>
      <c r="B290" t="s">
        <v>2684</v>
      </c>
      <c r="C290" t="s">
        <v>2405</v>
      </c>
      <c r="D290" t="s">
        <v>2714</v>
      </c>
      <c r="E290" t="s">
        <v>2715</v>
      </c>
      <c r="G290" t="s">
        <v>2664</v>
      </c>
      <c r="H290" t="s">
        <v>22</v>
      </c>
      <c r="I290" t="s">
        <v>22</v>
      </c>
      <c r="J290" t="s">
        <v>17</v>
      </c>
      <c r="K290">
        <v>94.4</v>
      </c>
      <c r="L290">
        <v>111.7</v>
      </c>
    </row>
    <row r="291" spans="1:12" x14ac:dyDescent="0.3">
      <c r="A291">
        <v>1100173</v>
      </c>
      <c r="B291" t="s">
        <v>2684</v>
      </c>
      <c r="C291" t="s">
        <v>2405</v>
      </c>
      <c r="D291" t="s">
        <v>2714</v>
      </c>
      <c r="E291" t="s">
        <v>2715</v>
      </c>
      <c r="G291" t="s">
        <v>2665</v>
      </c>
      <c r="H291" t="s">
        <v>22</v>
      </c>
      <c r="I291" t="s">
        <v>22</v>
      </c>
      <c r="J291" t="s">
        <v>17</v>
      </c>
      <c r="K291">
        <v>94.4</v>
      </c>
      <c r="L291">
        <v>111.7</v>
      </c>
    </row>
    <row r="292" spans="1:12" x14ac:dyDescent="0.3">
      <c r="A292">
        <v>1100173</v>
      </c>
      <c r="B292" t="s">
        <v>2684</v>
      </c>
      <c r="C292" t="s">
        <v>2405</v>
      </c>
      <c r="D292" t="s">
        <v>2714</v>
      </c>
      <c r="E292" t="s">
        <v>2715</v>
      </c>
      <c r="G292" t="s">
        <v>2716</v>
      </c>
      <c r="H292" t="s">
        <v>22</v>
      </c>
      <c r="I292" t="s">
        <v>22</v>
      </c>
      <c r="J292" t="s">
        <v>17</v>
      </c>
      <c r="K292">
        <v>94.4</v>
      </c>
      <c r="L292">
        <v>111.7</v>
      </c>
    </row>
    <row r="293" spans="1:12" x14ac:dyDescent="0.3">
      <c r="A293">
        <v>1100173</v>
      </c>
      <c r="B293" t="s">
        <v>2684</v>
      </c>
      <c r="C293" t="s">
        <v>2405</v>
      </c>
      <c r="D293" t="s">
        <v>2714</v>
      </c>
      <c r="E293" t="s">
        <v>2715</v>
      </c>
      <c r="G293" t="s">
        <v>2717</v>
      </c>
      <c r="H293" t="s">
        <v>22</v>
      </c>
      <c r="I293" t="s">
        <v>22</v>
      </c>
      <c r="J293" t="s">
        <v>17</v>
      </c>
      <c r="K293">
        <v>94.4</v>
      </c>
      <c r="L293">
        <v>111.7</v>
      </c>
    </row>
    <row r="294" spans="1:12" x14ac:dyDescent="0.3">
      <c r="A294">
        <v>1100173</v>
      </c>
      <c r="B294" t="s">
        <v>2684</v>
      </c>
      <c r="C294" t="s">
        <v>2405</v>
      </c>
      <c r="D294" t="s">
        <v>2714</v>
      </c>
      <c r="E294" t="s">
        <v>2715</v>
      </c>
      <c r="G294" t="s">
        <v>2718</v>
      </c>
      <c r="H294" t="s">
        <v>22</v>
      </c>
      <c r="I294" t="s">
        <v>22</v>
      </c>
      <c r="J294" t="s">
        <v>17</v>
      </c>
      <c r="K294">
        <v>94.4</v>
      </c>
      <c r="L294">
        <v>111.7</v>
      </c>
    </row>
    <row r="295" spans="1:12" x14ac:dyDescent="0.3">
      <c r="A295">
        <v>1100173</v>
      </c>
      <c r="B295" t="s">
        <v>2684</v>
      </c>
      <c r="C295" t="s">
        <v>2405</v>
      </c>
      <c r="D295" t="s">
        <v>2714</v>
      </c>
      <c r="E295" t="s">
        <v>2715</v>
      </c>
      <c r="G295" t="s">
        <v>2719</v>
      </c>
      <c r="H295" t="s">
        <v>22</v>
      </c>
      <c r="I295" t="s">
        <v>22</v>
      </c>
      <c r="J295" t="s">
        <v>17</v>
      </c>
      <c r="K295">
        <v>94.4</v>
      </c>
      <c r="L295">
        <v>111.7</v>
      </c>
    </row>
    <row r="296" spans="1:12" x14ac:dyDescent="0.3">
      <c r="A296">
        <v>1100173</v>
      </c>
      <c r="B296" t="s">
        <v>2684</v>
      </c>
      <c r="C296" t="s">
        <v>2405</v>
      </c>
      <c r="D296" t="s">
        <v>2714</v>
      </c>
      <c r="E296" t="s">
        <v>2715</v>
      </c>
      <c r="G296" t="s">
        <v>2720</v>
      </c>
      <c r="H296" t="s">
        <v>22</v>
      </c>
      <c r="I296" t="s">
        <v>22</v>
      </c>
      <c r="J296" t="s">
        <v>17</v>
      </c>
      <c r="K296">
        <v>94.4</v>
      </c>
      <c r="L296">
        <v>111.7</v>
      </c>
    </row>
    <row r="297" spans="1:12" x14ac:dyDescent="0.3">
      <c r="A297">
        <v>1100173</v>
      </c>
      <c r="B297" t="s">
        <v>2684</v>
      </c>
      <c r="C297" t="s">
        <v>2405</v>
      </c>
      <c r="D297" t="s">
        <v>2714</v>
      </c>
      <c r="E297" t="s">
        <v>2715</v>
      </c>
      <c r="G297" t="s">
        <v>2721</v>
      </c>
      <c r="H297" t="s">
        <v>22</v>
      </c>
      <c r="I297" t="s">
        <v>22</v>
      </c>
      <c r="J297" t="s">
        <v>17</v>
      </c>
      <c r="K297">
        <v>94.4</v>
      </c>
      <c r="L297">
        <v>111.7</v>
      </c>
    </row>
    <row r="298" spans="1:12" x14ac:dyDescent="0.3">
      <c r="A298">
        <v>1100173</v>
      </c>
      <c r="B298" t="s">
        <v>2684</v>
      </c>
      <c r="C298" t="s">
        <v>2405</v>
      </c>
      <c r="D298" t="s">
        <v>2714</v>
      </c>
      <c r="E298" t="s">
        <v>2715</v>
      </c>
      <c r="G298" t="s">
        <v>2722</v>
      </c>
      <c r="H298" t="s">
        <v>22</v>
      </c>
      <c r="I298" t="s">
        <v>22</v>
      </c>
      <c r="J298" t="s">
        <v>17</v>
      </c>
      <c r="K298">
        <v>94.4</v>
      </c>
      <c r="L298">
        <v>111.7</v>
      </c>
    </row>
    <row r="299" spans="1:12" x14ac:dyDescent="0.3">
      <c r="A299">
        <v>1100173</v>
      </c>
      <c r="B299" t="s">
        <v>2684</v>
      </c>
      <c r="C299" t="s">
        <v>2405</v>
      </c>
      <c r="D299" t="s">
        <v>2714</v>
      </c>
      <c r="E299" t="s">
        <v>2715</v>
      </c>
      <c r="G299" t="s">
        <v>2723</v>
      </c>
      <c r="H299" t="s">
        <v>22</v>
      </c>
      <c r="I299" t="s">
        <v>22</v>
      </c>
      <c r="J299" t="s">
        <v>17</v>
      </c>
      <c r="K299">
        <v>94.4</v>
      </c>
      <c r="L299">
        <v>111.7</v>
      </c>
    </row>
    <row r="300" spans="1:12" x14ac:dyDescent="0.3">
      <c r="A300">
        <v>1100173</v>
      </c>
      <c r="B300" t="s">
        <v>2684</v>
      </c>
      <c r="C300" t="s">
        <v>2405</v>
      </c>
      <c r="D300" t="s">
        <v>2714</v>
      </c>
      <c r="E300" t="s">
        <v>2715</v>
      </c>
      <c r="G300" t="s">
        <v>2724</v>
      </c>
      <c r="H300" t="s">
        <v>22</v>
      </c>
      <c r="I300" t="s">
        <v>22</v>
      </c>
      <c r="J300" t="s">
        <v>17</v>
      </c>
      <c r="K300">
        <v>94.4</v>
      </c>
      <c r="L300">
        <v>111.7</v>
      </c>
    </row>
    <row r="301" spans="1:12" x14ac:dyDescent="0.3">
      <c r="A301">
        <v>1100173</v>
      </c>
      <c r="B301" t="s">
        <v>2684</v>
      </c>
      <c r="C301" t="s">
        <v>2405</v>
      </c>
      <c r="D301" t="s">
        <v>2714</v>
      </c>
      <c r="E301" t="s">
        <v>2715</v>
      </c>
      <c r="G301" t="s">
        <v>2725</v>
      </c>
      <c r="H301" t="s">
        <v>22</v>
      </c>
      <c r="I301" t="s">
        <v>22</v>
      </c>
      <c r="J301" t="s">
        <v>17</v>
      </c>
      <c r="K301">
        <v>94.4</v>
      </c>
      <c r="L301">
        <v>111.7</v>
      </c>
    </row>
    <row r="302" spans="1:12" x14ac:dyDescent="0.3">
      <c r="A302">
        <v>1100173</v>
      </c>
      <c r="B302" t="s">
        <v>2684</v>
      </c>
      <c r="C302" t="s">
        <v>2405</v>
      </c>
      <c r="D302" t="s">
        <v>2714</v>
      </c>
      <c r="E302" t="s">
        <v>2715</v>
      </c>
      <c r="G302" t="s">
        <v>2726</v>
      </c>
      <c r="H302" t="s">
        <v>22</v>
      </c>
      <c r="I302" t="s">
        <v>22</v>
      </c>
      <c r="J302" t="s">
        <v>17</v>
      </c>
      <c r="K302">
        <v>94.4</v>
      </c>
      <c r="L302">
        <v>111.7</v>
      </c>
    </row>
    <row r="303" spans="1:12" x14ac:dyDescent="0.3">
      <c r="A303">
        <v>1100173</v>
      </c>
      <c r="B303" t="s">
        <v>2684</v>
      </c>
      <c r="C303" t="s">
        <v>2405</v>
      </c>
      <c r="D303" t="s">
        <v>2714</v>
      </c>
      <c r="E303" t="s">
        <v>2715</v>
      </c>
      <c r="G303" t="s">
        <v>2727</v>
      </c>
      <c r="H303" t="s">
        <v>22</v>
      </c>
      <c r="I303" t="s">
        <v>22</v>
      </c>
      <c r="J303" t="s">
        <v>17</v>
      </c>
      <c r="K303">
        <v>94.4</v>
      </c>
      <c r="L303">
        <v>111.7</v>
      </c>
    </row>
    <row r="304" spans="1:12" x14ac:dyDescent="0.3">
      <c r="A304">
        <v>1100173</v>
      </c>
      <c r="B304" t="s">
        <v>2684</v>
      </c>
      <c r="C304" t="s">
        <v>2405</v>
      </c>
      <c r="D304" t="s">
        <v>2714</v>
      </c>
      <c r="E304" t="s">
        <v>2715</v>
      </c>
      <c r="G304" t="s">
        <v>2728</v>
      </c>
      <c r="H304" t="s">
        <v>22</v>
      </c>
      <c r="I304" t="s">
        <v>22</v>
      </c>
      <c r="J304" t="s">
        <v>17</v>
      </c>
      <c r="K304">
        <v>94.4</v>
      </c>
      <c r="L304">
        <v>111.7</v>
      </c>
    </row>
    <row r="305" spans="1:14" x14ac:dyDescent="0.3">
      <c r="A305">
        <v>1100173</v>
      </c>
      <c r="B305" t="s">
        <v>2684</v>
      </c>
      <c r="C305" t="s">
        <v>1090</v>
      </c>
      <c r="D305" t="s">
        <v>1089</v>
      </c>
      <c r="E305" t="s">
        <v>1088</v>
      </c>
      <c r="G305" t="s">
        <v>1098</v>
      </c>
      <c r="H305" t="s">
        <v>46</v>
      </c>
      <c r="I305" t="s">
        <v>46</v>
      </c>
      <c r="J305" t="s">
        <v>17</v>
      </c>
      <c r="K305">
        <v>100</v>
      </c>
      <c r="L305">
        <v>50</v>
      </c>
    </row>
    <row r="306" spans="1:14" x14ac:dyDescent="0.3">
      <c r="A306">
        <v>1100173</v>
      </c>
      <c r="B306" t="s">
        <v>2684</v>
      </c>
      <c r="C306" t="s">
        <v>1090</v>
      </c>
      <c r="D306" t="s">
        <v>1089</v>
      </c>
      <c r="E306" t="s">
        <v>1088</v>
      </c>
      <c r="G306" t="s">
        <v>1097</v>
      </c>
      <c r="H306" t="s">
        <v>46</v>
      </c>
      <c r="I306" t="s">
        <v>46</v>
      </c>
      <c r="J306" t="s">
        <v>17</v>
      </c>
      <c r="K306">
        <v>100</v>
      </c>
      <c r="L306">
        <v>50</v>
      </c>
    </row>
    <row r="307" spans="1:14" x14ac:dyDescent="0.3">
      <c r="A307">
        <v>1100173</v>
      </c>
      <c r="B307" t="s">
        <v>2684</v>
      </c>
      <c r="C307" t="s">
        <v>1090</v>
      </c>
      <c r="D307" t="s">
        <v>1089</v>
      </c>
      <c r="E307" t="s">
        <v>1088</v>
      </c>
      <c r="G307" t="s">
        <v>1096</v>
      </c>
      <c r="H307" t="s">
        <v>46</v>
      </c>
      <c r="I307" t="s">
        <v>46</v>
      </c>
      <c r="J307" t="s">
        <v>17</v>
      </c>
      <c r="K307">
        <v>100</v>
      </c>
      <c r="L307">
        <v>50</v>
      </c>
    </row>
    <row r="308" spans="1:14" x14ac:dyDescent="0.3">
      <c r="A308">
        <v>1100173</v>
      </c>
      <c r="B308" t="s">
        <v>2684</v>
      </c>
      <c r="C308" t="s">
        <v>1090</v>
      </c>
      <c r="D308" t="s">
        <v>1089</v>
      </c>
      <c r="E308" t="s">
        <v>1088</v>
      </c>
      <c r="G308" t="s">
        <v>1095</v>
      </c>
      <c r="H308" t="s">
        <v>46</v>
      </c>
      <c r="I308" t="s">
        <v>46</v>
      </c>
      <c r="J308" t="s">
        <v>17</v>
      </c>
      <c r="K308">
        <v>100</v>
      </c>
      <c r="L308">
        <v>50</v>
      </c>
    </row>
    <row r="309" spans="1:14" x14ac:dyDescent="0.3">
      <c r="A309">
        <v>1100173</v>
      </c>
      <c r="B309" t="s">
        <v>2684</v>
      </c>
      <c r="C309" t="s">
        <v>1090</v>
      </c>
      <c r="D309" t="s">
        <v>1089</v>
      </c>
      <c r="E309" t="s">
        <v>1088</v>
      </c>
      <c r="G309" t="s">
        <v>1094</v>
      </c>
      <c r="H309" t="s">
        <v>46</v>
      </c>
      <c r="I309" t="s">
        <v>46</v>
      </c>
      <c r="J309" t="s">
        <v>17</v>
      </c>
      <c r="K309">
        <v>100</v>
      </c>
      <c r="L309">
        <v>50</v>
      </c>
    </row>
    <row r="310" spans="1:14" x14ac:dyDescent="0.3">
      <c r="A310">
        <v>1100173</v>
      </c>
      <c r="B310" t="s">
        <v>2684</v>
      </c>
      <c r="C310" t="s">
        <v>1090</v>
      </c>
      <c r="D310" t="s">
        <v>1089</v>
      </c>
      <c r="E310" t="s">
        <v>1088</v>
      </c>
      <c r="G310" t="s">
        <v>1093</v>
      </c>
      <c r="H310" t="s">
        <v>46</v>
      </c>
      <c r="I310" t="s">
        <v>46</v>
      </c>
      <c r="J310" t="s">
        <v>17</v>
      </c>
      <c r="K310">
        <v>100</v>
      </c>
      <c r="L310">
        <v>50</v>
      </c>
    </row>
    <row r="311" spans="1:14" x14ac:dyDescent="0.3">
      <c r="A311">
        <v>1100173</v>
      </c>
      <c r="B311" t="s">
        <v>2684</v>
      </c>
      <c r="C311" t="s">
        <v>1090</v>
      </c>
      <c r="D311" t="s">
        <v>1089</v>
      </c>
      <c r="E311" t="s">
        <v>1088</v>
      </c>
      <c r="G311" t="s">
        <v>1092</v>
      </c>
      <c r="H311" t="s">
        <v>46</v>
      </c>
      <c r="I311" t="s">
        <v>46</v>
      </c>
      <c r="J311" t="s">
        <v>17</v>
      </c>
      <c r="K311">
        <v>100</v>
      </c>
      <c r="L311">
        <v>50</v>
      </c>
    </row>
    <row r="312" spans="1:14" x14ac:dyDescent="0.3">
      <c r="A312">
        <v>1100173</v>
      </c>
      <c r="B312" t="s">
        <v>2684</v>
      </c>
      <c r="C312" t="s">
        <v>1090</v>
      </c>
      <c r="D312" t="s">
        <v>1089</v>
      </c>
      <c r="E312" t="s">
        <v>1088</v>
      </c>
      <c r="G312" t="s">
        <v>1091</v>
      </c>
      <c r="H312" t="s">
        <v>46</v>
      </c>
      <c r="I312" t="s">
        <v>46</v>
      </c>
      <c r="J312" t="s">
        <v>17</v>
      </c>
      <c r="K312">
        <v>100</v>
      </c>
      <c r="L312">
        <v>50</v>
      </c>
    </row>
    <row r="313" spans="1:14" x14ac:dyDescent="0.3">
      <c r="A313">
        <v>1100173</v>
      </c>
      <c r="B313" t="s">
        <v>2684</v>
      </c>
      <c r="C313" t="s">
        <v>1090</v>
      </c>
      <c r="D313" t="s">
        <v>1089</v>
      </c>
      <c r="E313" t="s">
        <v>1088</v>
      </c>
      <c r="G313" t="s">
        <v>1087</v>
      </c>
      <c r="H313" t="s">
        <v>46</v>
      </c>
      <c r="I313" t="s">
        <v>46</v>
      </c>
      <c r="J313" t="s">
        <v>17</v>
      </c>
      <c r="K313">
        <v>100</v>
      </c>
      <c r="L313">
        <v>50</v>
      </c>
    </row>
    <row r="314" spans="1:14" x14ac:dyDescent="0.3">
      <c r="A314">
        <v>1105959</v>
      </c>
      <c r="B314" t="s">
        <v>2729</v>
      </c>
      <c r="C314" t="s">
        <v>2406</v>
      </c>
      <c r="H314" t="s">
        <v>16</v>
      </c>
      <c r="I314" t="s">
        <v>16</v>
      </c>
      <c r="J314" t="s">
        <v>17</v>
      </c>
      <c r="K314">
        <v>0</v>
      </c>
      <c r="L314">
        <v>0</v>
      </c>
    </row>
    <row r="315" spans="1:14" x14ac:dyDescent="0.3">
      <c r="A315">
        <v>1105959</v>
      </c>
      <c r="B315" t="s">
        <v>2729</v>
      </c>
      <c r="C315" t="s">
        <v>2407</v>
      </c>
      <c r="D315" t="s">
        <v>2730</v>
      </c>
      <c r="E315" t="s">
        <v>2731</v>
      </c>
      <c r="H315" t="s">
        <v>46</v>
      </c>
      <c r="I315" t="s">
        <v>46</v>
      </c>
      <c r="J315" t="s">
        <v>17</v>
      </c>
      <c r="K315">
        <v>100</v>
      </c>
      <c r="L315">
        <v>50</v>
      </c>
      <c r="M315" t="s">
        <v>2038</v>
      </c>
      <c r="N315" t="s">
        <v>2039</v>
      </c>
    </row>
    <row r="316" spans="1:14" x14ac:dyDescent="0.3">
      <c r="A316">
        <v>1105959</v>
      </c>
      <c r="B316" t="s">
        <v>2729</v>
      </c>
      <c r="C316" t="s">
        <v>2408</v>
      </c>
      <c r="D316" t="s">
        <v>2732</v>
      </c>
      <c r="E316" t="s">
        <v>2733</v>
      </c>
      <c r="H316" t="s">
        <v>46</v>
      </c>
      <c r="I316" t="s">
        <v>46</v>
      </c>
      <c r="J316" t="s">
        <v>17</v>
      </c>
      <c r="K316">
        <v>100</v>
      </c>
      <c r="L316">
        <v>50</v>
      </c>
    </row>
    <row r="317" spans="1:14" x14ac:dyDescent="0.3">
      <c r="A317">
        <v>1105959</v>
      </c>
      <c r="B317" t="s">
        <v>2729</v>
      </c>
      <c r="C317" t="s">
        <v>2409</v>
      </c>
      <c r="H317" t="s">
        <v>16</v>
      </c>
      <c r="I317" t="s">
        <v>16</v>
      </c>
      <c r="J317" t="s">
        <v>17</v>
      </c>
      <c r="K317">
        <v>0</v>
      </c>
      <c r="L317">
        <v>0</v>
      </c>
    </row>
    <row r="318" spans="1:14" x14ac:dyDescent="0.3">
      <c r="A318">
        <v>1107668</v>
      </c>
      <c r="B318" t="s">
        <v>2734</v>
      </c>
      <c r="C318" t="s">
        <v>2410</v>
      </c>
      <c r="H318" t="s">
        <v>16</v>
      </c>
      <c r="I318" t="s">
        <v>16</v>
      </c>
      <c r="J318" t="s">
        <v>17</v>
      </c>
      <c r="K318">
        <v>0</v>
      </c>
      <c r="L318">
        <v>0</v>
      </c>
    </row>
    <row r="319" spans="1:14" x14ac:dyDescent="0.3">
      <c r="A319">
        <v>1107668</v>
      </c>
      <c r="B319" t="s">
        <v>2734</v>
      </c>
      <c r="C319" t="s">
        <v>2411</v>
      </c>
      <c r="D319" t="s">
        <v>2735</v>
      </c>
      <c r="E319" t="s">
        <v>2736</v>
      </c>
      <c r="H319" t="s">
        <v>22</v>
      </c>
      <c r="I319" t="s">
        <v>22</v>
      </c>
      <c r="J319" t="s">
        <v>17</v>
      </c>
      <c r="K319">
        <v>80</v>
      </c>
      <c r="L319">
        <v>50</v>
      </c>
      <c r="M319" t="s">
        <v>2737</v>
      </c>
      <c r="N319" t="s">
        <v>2738</v>
      </c>
    </row>
    <row r="320" spans="1:14" x14ac:dyDescent="0.3">
      <c r="A320">
        <v>1107668</v>
      </c>
      <c r="B320" t="s">
        <v>2734</v>
      </c>
      <c r="C320" t="s">
        <v>2412</v>
      </c>
      <c r="D320" t="s">
        <v>2739</v>
      </c>
      <c r="E320" t="s">
        <v>2740</v>
      </c>
      <c r="G320" t="s">
        <v>2741</v>
      </c>
      <c r="H320" t="s">
        <v>22</v>
      </c>
      <c r="I320" t="s">
        <v>22</v>
      </c>
      <c r="J320" t="s">
        <v>17</v>
      </c>
      <c r="K320">
        <v>88.9</v>
      </c>
      <c r="L320">
        <v>107.3</v>
      </c>
      <c r="M320" t="s">
        <v>1980</v>
      </c>
      <c r="N320" t="s">
        <v>1981</v>
      </c>
    </row>
    <row r="321" spans="1:14" x14ac:dyDescent="0.3">
      <c r="A321">
        <v>1107668</v>
      </c>
      <c r="B321" t="s">
        <v>2734</v>
      </c>
      <c r="C321" t="s">
        <v>2412</v>
      </c>
      <c r="D321" t="s">
        <v>2739</v>
      </c>
      <c r="E321" t="s">
        <v>2740</v>
      </c>
      <c r="G321" t="s">
        <v>2742</v>
      </c>
      <c r="H321" t="s">
        <v>22</v>
      </c>
      <c r="I321" t="s">
        <v>22</v>
      </c>
      <c r="J321" t="s">
        <v>17</v>
      </c>
      <c r="K321">
        <v>88.9</v>
      </c>
      <c r="L321">
        <v>107.3</v>
      </c>
      <c r="M321" t="s">
        <v>1980</v>
      </c>
      <c r="N321" t="s">
        <v>1981</v>
      </c>
    </row>
    <row r="322" spans="1:14" x14ac:dyDescent="0.3">
      <c r="A322">
        <v>1107668</v>
      </c>
      <c r="B322" t="s">
        <v>2734</v>
      </c>
      <c r="C322" t="s">
        <v>2412</v>
      </c>
      <c r="D322" t="s">
        <v>2739</v>
      </c>
      <c r="E322" t="s">
        <v>2740</v>
      </c>
      <c r="G322" t="s">
        <v>2743</v>
      </c>
      <c r="H322" t="s">
        <v>22</v>
      </c>
      <c r="I322" t="s">
        <v>22</v>
      </c>
      <c r="J322" t="s">
        <v>17</v>
      </c>
      <c r="K322">
        <v>88.9</v>
      </c>
      <c r="L322">
        <v>107.3</v>
      </c>
      <c r="M322" t="s">
        <v>1980</v>
      </c>
      <c r="N322" t="s">
        <v>1981</v>
      </c>
    </row>
    <row r="323" spans="1:14" x14ac:dyDescent="0.3">
      <c r="A323">
        <v>1107668</v>
      </c>
      <c r="B323" t="s">
        <v>2734</v>
      </c>
      <c r="C323" t="s">
        <v>2412</v>
      </c>
      <c r="D323" t="s">
        <v>2739</v>
      </c>
      <c r="E323" t="s">
        <v>2740</v>
      </c>
      <c r="G323" t="s">
        <v>2744</v>
      </c>
      <c r="H323" t="s">
        <v>22</v>
      </c>
      <c r="I323" t="s">
        <v>22</v>
      </c>
      <c r="J323" t="s">
        <v>17</v>
      </c>
      <c r="K323">
        <v>88.9</v>
      </c>
      <c r="L323">
        <v>107.3</v>
      </c>
      <c r="M323" t="s">
        <v>1980</v>
      </c>
      <c r="N323" t="s">
        <v>1981</v>
      </c>
    </row>
    <row r="324" spans="1:14" x14ac:dyDescent="0.3">
      <c r="A324">
        <v>1107668</v>
      </c>
      <c r="B324" t="s">
        <v>2734</v>
      </c>
      <c r="C324" t="s">
        <v>2412</v>
      </c>
      <c r="D324" t="s">
        <v>2739</v>
      </c>
      <c r="E324" t="s">
        <v>2740</v>
      </c>
      <c r="G324" t="s">
        <v>2745</v>
      </c>
      <c r="H324" t="s">
        <v>22</v>
      </c>
      <c r="I324" t="s">
        <v>22</v>
      </c>
      <c r="J324" t="s">
        <v>17</v>
      </c>
      <c r="K324">
        <v>88.9</v>
      </c>
      <c r="L324">
        <v>107.3</v>
      </c>
      <c r="M324" t="s">
        <v>1980</v>
      </c>
      <c r="N324" t="s">
        <v>1981</v>
      </c>
    </row>
    <row r="325" spans="1:14" x14ac:dyDescent="0.3">
      <c r="A325">
        <v>1107668</v>
      </c>
      <c r="B325" t="s">
        <v>2734</v>
      </c>
      <c r="C325" t="s">
        <v>2412</v>
      </c>
      <c r="D325" t="s">
        <v>2739</v>
      </c>
      <c r="E325" t="s">
        <v>2740</v>
      </c>
      <c r="G325" t="s">
        <v>2746</v>
      </c>
      <c r="H325" t="s">
        <v>22</v>
      </c>
      <c r="I325" t="s">
        <v>22</v>
      </c>
      <c r="J325" t="s">
        <v>17</v>
      </c>
      <c r="K325">
        <v>88.9</v>
      </c>
      <c r="L325">
        <v>107.3</v>
      </c>
      <c r="M325" t="s">
        <v>1980</v>
      </c>
      <c r="N325" t="s">
        <v>1981</v>
      </c>
    </row>
    <row r="326" spans="1:14" x14ac:dyDescent="0.3">
      <c r="A326">
        <v>1107668</v>
      </c>
      <c r="B326" t="s">
        <v>2734</v>
      </c>
      <c r="C326" t="s">
        <v>2412</v>
      </c>
      <c r="D326" t="s">
        <v>2739</v>
      </c>
      <c r="E326" t="s">
        <v>2740</v>
      </c>
      <c r="G326" t="s">
        <v>2747</v>
      </c>
      <c r="H326" t="s">
        <v>22</v>
      </c>
      <c r="I326" t="s">
        <v>22</v>
      </c>
      <c r="J326" t="s">
        <v>17</v>
      </c>
      <c r="K326">
        <v>88.9</v>
      </c>
      <c r="L326">
        <v>107.3</v>
      </c>
      <c r="M326" t="s">
        <v>1980</v>
      </c>
      <c r="N326" t="s">
        <v>1981</v>
      </c>
    </row>
    <row r="327" spans="1:14" x14ac:dyDescent="0.3">
      <c r="A327">
        <v>1107668</v>
      </c>
      <c r="B327" t="s">
        <v>2734</v>
      </c>
      <c r="C327" t="s">
        <v>2412</v>
      </c>
      <c r="D327" t="s">
        <v>2739</v>
      </c>
      <c r="E327" t="s">
        <v>2740</v>
      </c>
      <c r="G327" t="s">
        <v>2748</v>
      </c>
      <c r="H327" t="s">
        <v>22</v>
      </c>
      <c r="I327" t="s">
        <v>22</v>
      </c>
      <c r="J327" t="s">
        <v>17</v>
      </c>
      <c r="K327">
        <v>88.9</v>
      </c>
      <c r="L327">
        <v>107.3</v>
      </c>
      <c r="M327" t="s">
        <v>1980</v>
      </c>
      <c r="N327" t="s">
        <v>1981</v>
      </c>
    </row>
    <row r="328" spans="1:14" x14ac:dyDescent="0.3">
      <c r="A328">
        <v>1107668</v>
      </c>
      <c r="B328" t="s">
        <v>2734</v>
      </c>
      <c r="C328" t="s">
        <v>2412</v>
      </c>
      <c r="D328" t="s">
        <v>2739</v>
      </c>
      <c r="E328" t="s">
        <v>2740</v>
      </c>
      <c r="G328" t="s">
        <v>2749</v>
      </c>
      <c r="H328" t="s">
        <v>22</v>
      </c>
      <c r="I328" t="s">
        <v>22</v>
      </c>
      <c r="J328" t="s">
        <v>17</v>
      </c>
      <c r="K328">
        <v>88.9</v>
      </c>
      <c r="L328">
        <v>107.3</v>
      </c>
      <c r="M328" t="s">
        <v>1980</v>
      </c>
      <c r="N328" t="s">
        <v>1981</v>
      </c>
    </row>
    <row r="329" spans="1:14" x14ac:dyDescent="0.3">
      <c r="A329">
        <v>1107668</v>
      </c>
      <c r="B329" t="s">
        <v>2734</v>
      </c>
      <c r="C329" t="s">
        <v>2412</v>
      </c>
      <c r="D329" t="s">
        <v>2739</v>
      </c>
      <c r="E329" t="s">
        <v>2740</v>
      </c>
      <c r="G329" t="s">
        <v>2750</v>
      </c>
      <c r="H329" t="s">
        <v>22</v>
      </c>
      <c r="I329" t="s">
        <v>22</v>
      </c>
      <c r="J329" t="s">
        <v>17</v>
      </c>
      <c r="K329">
        <v>88.9</v>
      </c>
      <c r="L329">
        <v>107.3</v>
      </c>
      <c r="M329" t="s">
        <v>1980</v>
      </c>
      <c r="N329" t="s">
        <v>1981</v>
      </c>
    </row>
    <row r="330" spans="1:14" x14ac:dyDescent="0.3">
      <c r="A330">
        <v>1107668</v>
      </c>
      <c r="B330" t="s">
        <v>2734</v>
      </c>
      <c r="C330" t="s">
        <v>2412</v>
      </c>
      <c r="D330" t="s">
        <v>2739</v>
      </c>
      <c r="E330" t="s">
        <v>2740</v>
      </c>
      <c r="G330" t="s">
        <v>2751</v>
      </c>
      <c r="H330" t="s">
        <v>22</v>
      </c>
      <c r="I330" t="s">
        <v>22</v>
      </c>
      <c r="J330" t="s">
        <v>17</v>
      </c>
      <c r="K330">
        <v>88.9</v>
      </c>
      <c r="L330">
        <v>107.3</v>
      </c>
      <c r="M330" t="s">
        <v>1980</v>
      </c>
      <c r="N330" t="s">
        <v>1981</v>
      </c>
    </row>
    <row r="331" spans="1:14" x14ac:dyDescent="0.3">
      <c r="A331">
        <v>1107668</v>
      </c>
      <c r="B331" t="s">
        <v>2734</v>
      </c>
      <c r="C331" t="s">
        <v>2412</v>
      </c>
      <c r="D331" t="s">
        <v>2739</v>
      </c>
      <c r="E331" t="s">
        <v>2740</v>
      </c>
      <c r="G331" t="s">
        <v>2752</v>
      </c>
      <c r="H331" t="s">
        <v>22</v>
      </c>
      <c r="I331" t="s">
        <v>22</v>
      </c>
      <c r="J331" t="s">
        <v>17</v>
      </c>
      <c r="K331">
        <v>88.9</v>
      </c>
      <c r="L331">
        <v>107.3</v>
      </c>
      <c r="M331" t="s">
        <v>1980</v>
      </c>
      <c r="N331" t="s">
        <v>1981</v>
      </c>
    </row>
    <row r="332" spans="1:14" x14ac:dyDescent="0.3">
      <c r="A332">
        <v>1107668</v>
      </c>
      <c r="B332" t="s">
        <v>2734</v>
      </c>
      <c r="C332" t="s">
        <v>2412</v>
      </c>
      <c r="D332" t="s">
        <v>2739</v>
      </c>
      <c r="E332" t="s">
        <v>2740</v>
      </c>
      <c r="G332" t="s">
        <v>2753</v>
      </c>
      <c r="H332" t="s">
        <v>22</v>
      </c>
      <c r="I332" t="s">
        <v>22</v>
      </c>
      <c r="J332" t="s">
        <v>17</v>
      </c>
      <c r="K332">
        <v>88.9</v>
      </c>
      <c r="L332">
        <v>107.3</v>
      </c>
      <c r="M332" t="s">
        <v>1980</v>
      </c>
      <c r="N332" t="s">
        <v>1981</v>
      </c>
    </row>
    <row r="333" spans="1:14" x14ac:dyDescent="0.3">
      <c r="A333">
        <v>1107668</v>
      </c>
      <c r="B333" t="s">
        <v>2734</v>
      </c>
      <c r="C333" t="s">
        <v>2412</v>
      </c>
      <c r="D333" t="s">
        <v>2739</v>
      </c>
      <c r="E333" t="s">
        <v>2740</v>
      </c>
      <c r="G333" t="s">
        <v>2754</v>
      </c>
      <c r="H333" t="s">
        <v>22</v>
      </c>
      <c r="I333" t="s">
        <v>22</v>
      </c>
      <c r="J333" t="s">
        <v>17</v>
      </c>
      <c r="K333">
        <v>88.9</v>
      </c>
      <c r="L333">
        <v>107.3</v>
      </c>
      <c r="M333" t="s">
        <v>1980</v>
      </c>
      <c r="N333" t="s">
        <v>1981</v>
      </c>
    </row>
    <row r="334" spans="1:14" x14ac:dyDescent="0.3">
      <c r="A334">
        <v>1107668</v>
      </c>
      <c r="B334" t="s">
        <v>2734</v>
      </c>
      <c r="C334" t="s">
        <v>2412</v>
      </c>
      <c r="D334" t="s">
        <v>2739</v>
      </c>
      <c r="E334" t="s">
        <v>2740</v>
      </c>
      <c r="G334" t="s">
        <v>2755</v>
      </c>
      <c r="H334" t="s">
        <v>22</v>
      </c>
      <c r="I334" t="s">
        <v>22</v>
      </c>
      <c r="J334" t="s">
        <v>17</v>
      </c>
      <c r="K334">
        <v>88.9</v>
      </c>
      <c r="L334">
        <v>107.3</v>
      </c>
      <c r="M334" t="s">
        <v>1980</v>
      </c>
      <c r="N334" t="s">
        <v>1981</v>
      </c>
    </row>
    <row r="335" spans="1:14" x14ac:dyDescent="0.3">
      <c r="A335">
        <v>1107668</v>
      </c>
      <c r="B335" t="s">
        <v>2734</v>
      </c>
      <c r="C335" t="s">
        <v>2412</v>
      </c>
      <c r="D335" t="s">
        <v>2739</v>
      </c>
      <c r="E335" t="s">
        <v>2740</v>
      </c>
      <c r="G335" t="s">
        <v>2756</v>
      </c>
      <c r="H335" t="s">
        <v>22</v>
      </c>
      <c r="I335" t="s">
        <v>22</v>
      </c>
      <c r="J335" t="s">
        <v>17</v>
      </c>
      <c r="K335">
        <v>88.9</v>
      </c>
      <c r="L335">
        <v>107.3</v>
      </c>
      <c r="M335" t="s">
        <v>1980</v>
      </c>
      <c r="N335" t="s">
        <v>1981</v>
      </c>
    </row>
    <row r="336" spans="1:14" x14ac:dyDescent="0.3">
      <c r="A336">
        <v>1107668</v>
      </c>
      <c r="B336" t="s">
        <v>2734</v>
      </c>
      <c r="C336" t="s">
        <v>2412</v>
      </c>
      <c r="D336" t="s">
        <v>2739</v>
      </c>
      <c r="E336" t="s">
        <v>2740</v>
      </c>
      <c r="G336" t="s">
        <v>2757</v>
      </c>
      <c r="H336" t="s">
        <v>22</v>
      </c>
      <c r="I336" t="s">
        <v>22</v>
      </c>
      <c r="J336" t="s">
        <v>17</v>
      </c>
      <c r="K336">
        <v>88.9</v>
      </c>
      <c r="L336">
        <v>107.3</v>
      </c>
      <c r="M336" t="s">
        <v>1980</v>
      </c>
      <c r="N336" t="s">
        <v>1981</v>
      </c>
    </row>
    <row r="337" spans="1:14" x14ac:dyDescent="0.3">
      <c r="A337">
        <v>1107668</v>
      </c>
      <c r="B337" t="s">
        <v>2734</v>
      </c>
      <c r="C337" t="s">
        <v>2412</v>
      </c>
      <c r="D337" t="s">
        <v>2739</v>
      </c>
      <c r="E337" t="s">
        <v>2740</v>
      </c>
      <c r="G337" t="s">
        <v>2758</v>
      </c>
      <c r="H337" t="s">
        <v>22</v>
      </c>
      <c r="I337" t="s">
        <v>22</v>
      </c>
      <c r="J337" t="s">
        <v>17</v>
      </c>
      <c r="K337">
        <v>88.9</v>
      </c>
      <c r="L337">
        <v>107.3</v>
      </c>
      <c r="M337" t="s">
        <v>1980</v>
      </c>
      <c r="N337" t="s">
        <v>1981</v>
      </c>
    </row>
    <row r="338" spans="1:14" x14ac:dyDescent="0.3">
      <c r="A338">
        <v>1107668</v>
      </c>
      <c r="B338" t="s">
        <v>2734</v>
      </c>
      <c r="C338" t="s">
        <v>2412</v>
      </c>
      <c r="D338" t="s">
        <v>2739</v>
      </c>
      <c r="E338" t="s">
        <v>2740</v>
      </c>
      <c r="G338" t="s">
        <v>2759</v>
      </c>
      <c r="H338" t="s">
        <v>22</v>
      </c>
      <c r="I338" t="s">
        <v>22</v>
      </c>
      <c r="J338" t="s">
        <v>17</v>
      </c>
      <c r="K338">
        <v>88.9</v>
      </c>
      <c r="L338">
        <v>107.3</v>
      </c>
      <c r="M338" t="s">
        <v>1980</v>
      </c>
      <c r="N338" t="s">
        <v>1981</v>
      </c>
    </row>
    <row r="339" spans="1:14" x14ac:dyDescent="0.3">
      <c r="A339">
        <v>1107668</v>
      </c>
      <c r="B339" t="s">
        <v>2734</v>
      </c>
      <c r="C339" t="s">
        <v>2412</v>
      </c>
      <c r="D339" t="s">
        <v>2739</v>
      </c>
      <c r="E339" t="s">
        <v>2740</v>
      </c>
      <c r="G339" t="s">
        <v>2760</v>
      </c>
      <c r="H339" t="s">
        <v>22</v>
      </c>
      <c r="I339" t="s">
        <v>22</v>
      </c>
      <c r="J339" t="s">
        <v>17</v>
      </c>
      <c r="K339">
        <v>88.9</v>
      </c>
      <c r="L339">
        <v>107.3</v>
      </c>
      <c r="M339" t="s">
        <v>1980</v>
      </c>
      <c r="N339" t="s">
        <v>1981</v>
      </c>
    </row>
    <row r="340" spans="1:14" x14ac:dyDescent="0.3">
      <c r="A340">
        <v>1107668</v>
      </c>
      <c r="B340" t="s">
        <v>2734</v>
      </c>
      <c r="C340" t="s">
        <v>2412</v>
      </c>
      <c r="D340" t="s">
        <v>2739</v>
      </c>
      <c r="E340" t="s">
        <v>2740</v>
      </c>
      <c r="G340" t="s">
        <v>2761</v>
      </c>
      <c r="H340" t="s">
        <v>22</v>
      </c>
      <c r="I340" t="s">
        <v>22</v>
      </c>
      <c r="J340" t="s">
        <v>17</v>
      </c>
      <c r="K340">
        <v>88.9</v>
      </c>
      <c r="L340">
        <v>107.3</v>
      </c>
      <c r="M340" t="s">
        <v>1980</v>
      </c>
      <c r="N340" t="s">
        <v>1981</v>
      </c>
    </row>
    <row r="341" spans="1:14" x14ac:dyDescent="0.3">
      <c r="A341">
        <v>1107668</v>
      </c>
      <c r="B341" t="s">
        <v>2734</v>
      </c>
      <c r="C341" t="s">
        <v>2412</v>
      </c>
      <c r="D341" t="s">
        <v>2739</v>
      </c>
      <c r="E341" t="s">
        <v>2740</v>
      </c>
      <c r="G341" t="s">
        <v>2762</v>
      </c>
      <c r="H341" t="s">
        <v>22</v>
      </c>
      <c r="I341" t="s">
        <v>22</v>
      </c>
      <c r="J341" t="s">
        <v>17</v>
      </c>
      <c r="K341">
        <v>88.9</v>
      </c>
      <c r="L341">
        <v>107.3</v>
      </c>
      <c r="M341" t="s">
        <v>1980</v>
      </c>
      <c r="N341" t="s">
        <v>1981</v>
      </c>
    </row>
    <row r="342" spans="1:14" x14ac:dyDescent="0.3">
      <c r="A342">
        <v>1107668</v>
      </c>
      <c r="B342" t="s">
        <v>2734</v>
      </c>
      <c r="C342" t="s">
        <v>2412</v>
      </c>
      <c r="D342" t="s">
        <v>2739</v>
      </c>
      <c r="E342" t="s">
        <v>2740</v>
      </c>
      <c r="G342" t="s">
        <v>2763</v>
      </c>
      <c r="H342" t="s">
        <v>22</v>
      </c>
      <c r="I342" t="s">
        <v>22</v>
      </c>
      <c r="J342" t="s">
        <v>17</v>
      </c>
      <c r="K342">
        <v>88.9</v>
      </c>
      <c r="L342">
        <v>107.3</v>
      </c>
      <c r="M342" t="s">
        <v>1980</v>
      </c>
      <c r="N342" t="s">
        <v>1981</v>
      </c>
    </row>
    <row r="343" spans="1:14" x14ac:dyDescent="0.3">
      <c r="A343">
        <v>1107668</v>
      </c>
      <c r="B343" t="s">
        <v>2734</v>
      </c>
      <c r="C343" t="s">
        <v>2412</v>
      </c>
      <c r="D343" t="s">
        <v>2739</v>
      </c>
      <c r="E343" t="s">
        <v>2740</v>
      </c>
      <c r="G343" t="s">
        <v>2764</v>
      </c>
      <c r="H343" t="s">
        <v>22</v>
      </c>
      <c r="I343" t="s">
        <v>22</v>
      </c>
      <c r="J343" t="s">
        <v>17</v>
      </c>
      <c r="K343">
        <v>88.9</v>
      </c>
      <c r="L343">
        <v>107.3</v>
      </c>
      <c r="M343" t="s">
        <v>1980</v>
      </c>
      <c r="N343" t="s">
        <v>1981</v>
      </c>
    </row>
    <row r="344" spans="1:14" x14ac:dyDescent="0.3">
      <c r="A344">
        <v>1107668</v>
      </c>
      <c r="B344" t="s">
        <v>2734</v>
      </c>
      <c r="C344" t="s">
        <v>2412</v>
      </c>
      <c r="D344" t="s">
        <v>2739</v>
      </c>
      <c r="E344" t="s">
        <v>2740</v>
      </c>
      <c r="G344" t="s">
        <v>2765</v>
      </c>
      <c r="H344" t="s">
        <v>22</v>
      </c>
      <c r="I344" t="s">
        <v>22</v>
      </c>
      <c r="J344" t="s">
        <v>17</v>
      </c>
      <c r="K344">
        <v>88.9</v>
      </c>
      <c r="L344">
        <v>107.3</v>
      </c>
      <c r="M344" t="s">
        <v>1980</v>
      </c>
      <c r="N344" t="s">
        <v>1981</v>
      </c>
    </row>
    <row r="345" spans="1:14" x14ac:dyDescent="0.3">
      <c r="A345">
        <v>1107668</v>
      </c>
      <c r="B345" t="s">
        <v>2734</v>
      </c>
      <c r="C345" t="s">
        <v>2412</v>
      </c>
      <c r="D345" t="s">
        <v>2739</v>
      </c>
      <c r="E345" t="s">
        <v>2740</v>
      </c>
      <c r="G345" t="s">
        <v>2766</v>
      </c>
      <c r="H345" t="s">
        <v>22</v>
      </c>
      <c r="I345" t="s">
        <v>22</v>
      </c>
      <c r="J345" t="s">
        <v>17</v>
      </c>
      <c r="K345">
        <v>88.9</v>
      </c>
      <c r="L345">
        <v>107.3</v>
      </c>
      <c r="M345" t="s">
        <v>1980</v>
      </c>
      <c r="N345" t="s">
        <v>1981</v>
      </c>
    </row>
    <row r="346" spans="1:14" x14ac:dyDescent="0.3">
      <c r="A346">
        <v>1107668</v>
      </c>
      <c r="B346" t="s">
        <v>2734</v>
      </c>
      <c r="C346" t="s">
        <v>2412</v>
      </c>
      <c r="D346" t="s">
        <v>2739</v>
      </c>
      <c r="E346" t="s">
        <v>2740</v>
      </c>
      <c r="G346" t="s">
        <v>2767</v>
      </c>
      <c r="H346" t="s">
        <v>22</v>
      </c>
      <c r="I346" t="s">
        <v>22</v>
      </c>
      <c r="J346" t="s">
        <v>17</v>
      </c>
      <c r="K346">
        <v>88.9</v>
      </c>
      <c r="L346">
        <v>107.3</v>
      </c>
      <c r="M346" t="s">
        <v>1980</v>
      </c>
      <c r="N346" t="s">
        <v>1981</v>
      </c>
    </row>
    <row r="347" spans="1:14" x14ac:dyDescent="0.3">
      <c r="A347">
        <v>1107668</v>
      </c>
      <c r="B347" t="s">
        <v>2734</v>
      </c>
      <c r="C347" t="s">
        <v>2412</v>
      </c>
      <c r="D347" t="s">
        <v>2739</v>
      </c>
      <c r="E347" t="s">
        <v>2740</v>
      </c>
      <c r="G347" t="s">
        <v>2768</v>
      </c>
      <c r="H347" t="s">
        <v>22</v>
      </c>
      <c r="I347" t="s">
        <v>22</v>
      </c>
      <c r="J347" t="s">
        <v>17</v>
      </c>
      <c r="K347">
        <v>88.9</v>
      </c>
      <c r="L347">
        <v>107.3</v>
      </c>
      <c r="M347" t="s">
        <v>1980</v>
      </c>
      <c r="N347" t="s">
        <v>1981</v>
      </c>
    </row>
    <row r="348" spans="1:14" x14ac:dyDescent="0.3">
      <c r="A348">
        <v>1107668</v>
      </c>
      <c r="B348" t="s">
        <v>2734</v>
      </c>
      <c r="C348" t="s">
        <v>2412</v>
      </c>
      <c r="D348" t="s">
        <v>2739</v>
      </c>
      <c r="E348" t="s">
        <v>2740</v>
      </c>
      <c r="G348" t="s">
        <v>2769</v>
      </c>
      <c r="H348" t="s">
        <v>22</v>
      </c>
      <c r="I348" t="s">
        <v>22</v>
      </c>
      <c r="J348" t="s">
        <v>17</v>
      </c>
      <c r="K348">
        <v>88.9</v>
      </c>
      <c r="L348">
        <v>107.3</v>
      </c>
      <c r="M348" t="s">
        <v>1980</v>
      </c>
      <c r="N348" t="s">
        <v>1981</v>
      </c>
    </row>
    <row r="349" spans="1:14" x14ac:dyDescent="0.3">
      <c r="A349">
        <v>1107668</v>
      </c>
      <c r="B349" t="s">
        <v>2734</v>
      </c>
      <c r="C349" t="s">
        <v>2412</v>
      </c>
      <c r="D349" t="s">
        <v>2739</v>
      </c>
      <c r="E349" t="s">
        <v>2740</v>
      </c>
      <c r="G349" t="s">
        <v>2770</v>
      </c>
      <c r="H349" t="s">
        <v>22</v>
      </c>
      <c r="I349" t="s">
        <v>22</v>
      </c>
      <c r="J349" t="s">
        <v>17</v>
      </c>
      <c r="K349">
        <v>88.9</v>
      </c>
      <c r="L349">
        <v>107.3</v>
      </c>
      <c r="M349" t="s">
        <v>1980</v>
      </c>
      <c r="N349" t="s">
        <v>1981</v>
      </c>
    </row>
    <row r="350" spans="1:14" x14ac:dyDescent="0.3">
      <c r="A350">
        <v>1107668</v>
      </c>
      <c r="B350" t="s">
        <v>2734</v>
      </c>
      <c r="C350" t="s">
        <v>2412</v>
      </c>
      <c r="D350" t="s">
        <v>2739</v>
      </c>
      <c r="E350" t="s">
        <v>2740</v>
      </c>
      <c r="G350" t="s">
        <v>2771</v>
      </c>
      <c r="H350" t="s">
        <v>22</v>
      </c>
      <c r="I350" t="s">
        <v>22</v>
      </c>
      <c r="J350" t="s">
        <v>17</v>
      </c>
      <c r="K350">
        <v>88.9</v>
      </c>
      <c r="L350">
        <v>107.3</v>
      </c>
      <c r="M350" t="s">
        <v>1980</v>
      </c>
      <c r="N350" t="s">
        <v>1981</v>
      </c>
    </row>
    <row r="351" spans="1:14" x14ac:dyDescent="0.3">
      <c r="A351">
        <v>1107668</v>
      </c>
      <c r="B351" t="s">
        <v>2734</v>
      </c>
      <c r="C351" t="s">
        <v>2412</v>
      </c>
      <c r="D351" t="s">
        <v>2739</v>
      </c>
      <c r="E351" t="s">
        <v>2740</v>
      </c>
      <c r="G351" t="s">
        <v>2772</v>
      </c>
      <c r="H351" t="s">
        <v>22</v>
      </c>
      <c r="I351" t="s">
        <v>22</v>
      </c>
      <c r="J351" t="s">
        <v>17</v>
      </c>
      <c r="K351">
        <v>88.9</v>
      </c>
      <c r="L351">
        <v>107.3</v>
      </c>
      <c r="M351" t="s">
        <v>1980</v>
      </c>
      <c r="N351" t="s">
        <v>1981</v>
      </c>
    </row>
    <row r="352" spans="1:14" x14ac:dyDescent="0.3">
      <c r="A352">
        <v>1107668</v>
      </c>
      <c r="B352" t="s">
        <v>2734</v>
      </c>
      <c r="C352" t="s">
        <v>2412</v>
      </c>
      <c r="D352" t="s">
        <v>2739</v>
      </c>
      <c r="E352" t="s">
        <v>2740</v>
      </c>
      <c r="G352" t="s">
        <v>2773</v>
      </c>
      <c r="H352" t="s">
        <v>22</v>
      </c>
      <c r="I352" t="s">
        <v>22</v>
      </c>
      <c r="J352" t="s">
        <v>17</v>
      </c>
      <c r="K352">
        <v>88.9</v>
      </c>
      <c r="L352">
        <v>107.3</v>
      </c>
      <c r="M352" t="s">
        <v>1980</v>
      </c>
      <c r="N352" t="s">
        <v>1981</v>
      </c>
    </row>
    <row r="353" spans="1:14" x14ac:dyDescent="0.3">
      <c r="A353">
        <v>1107668</v>
      </c>
      <c r="B353" t="s">
        <v>2734</v>
      </c>
      <c r="C353" t="s">
        <v>2412</v>
      </c>
      <c r="D353" t="s">
        <v>2739</v>
      </c>
      <c r="E353" t="s">
        <v>2740</v>
      </c>
      <c r="G353" t="s">
        <v>2774</v>
      </c>
      <c r="H353" t="s">
        <v>22</v>
      </c>
      <c r="I353" t="s">
        <v>22</v>
      </c>
      <c r="J353" t="s">
        <v>17</v>
      </c>
      <c r="K353">
        <v>88.9</v>
      </c>
      <c r="L353">
        <v>107.3</v>
      </c>
      <c r="M353" t="s">
        <v>1980</v>
      </c>
      <c r="N353" t="s">
        <v>1981</v>
      </c>
    </row>
    <row r="354" spans="1:14" x14ac:dyDescent="0.3">
      <c r="A354">
        <v>1107668</v>
      </c>
      <c r="B354" t="s">
        <v>2734</v>
      </c>
      <c r="C354" t="s">
        <v>2412</v>
      </c>
      <c r="D354" t="s">
        <v>2739</v>
      </c>
      <c r="E354" t="s">
        <v>2740</v>
      </c>
      <c r="G354" t="s">
        <v>2775</v>
      </c>
      <c r="H354" t="s">
        <v>22</v>
      </c>
      <c r="I354" t="s">
        <v>22</v>
      </c>
      <c r="J354" t="s">
        <v>17</v>
      </c>
      <c r="K354">
        <v>88.9</v>
      </c>
      <c r="L354">
        <v>107.3</v>
      </c>
      <c r="M354" t="s">
        <v>1980</v>
      </c>
      <c r="N354" t="s">
        <v>1981</v>
      </c>
    </row>
    <row r="355" spans="1:14" x14ac:dyDescent="0.3">
      <c r="A355">
        <v>1107668</v>
      </c>
      <c r="B355" t="s">
        <v>2734</v>
      </c>
      <c r="C355" t="s">
        <v>2412</v>
      </c>
      <c r="D355" t="s">
        <v>2739</v>
      </c>
      <c r="E355" t="s">
        <v>2740</v>
      </c>
      <c r="G355" t="s">
        <v>2776</v>
      </c>
      <c r="H355" t="s">
        <v>22</v>
      </c>
      <c r="I355" t="s">
        <v>22</v>
      </c>
      <c r="J355" t="s">
        <v>17</v>
      </c>
      <c r="K355">
        <v>88.9</v>
      </c>
      <c r="L355">
        <v>107.3</v>
      </c>
      <c r="M355" t="s">
        <v>1980</v>
      </c>
      <c r="N355" t="s">
        <v>1981</v>
      </c>
    </row>
    <row r="356" spans="1:14" x14ac:dyDescent="0.3">
      <c r="A356">
        <v>1107668</v>
      </c>
      <c r="B356" t="s">
        <v>2734</v>
      </c>
      <c r="C356" t="s">
        <v>2412</v>
      </c>
      <c r="D356" t="s">
        <v>2739</v>
      </c>
      <c r="E356" t="s">
        <v>2740</v>
      </c>
      <c r="G356" t="s">
        <v>2777</v>
      </c>
      <c r="H356" t="s">
        <v>22</v>
      </c>
      <c r="I356" t="s">
        <v>22</v>
      </c>
      <c r="J356" t="s">
        <v>17</v>
      </c>
      <c r="K356">
        <v>88.9</v>
      </c>
      <c r="L356">
        <v>107.3</v>
      </c>
      <c r="M356" t="s">
        <v>1980</v>
      </c>
      <c r="N356" t="s">
        <v>1981</v>
      </c>
    </row>
    <row r="357" spans="1:14" x14ac:dyDescent="0.3">
      <c r="A357">
        <v>1107668</v>
      </c>
      <c r="B357" t="s">
        <v>2734</v>
      </c>
      <c r="C357" t="s">
        <v>2412</v>
      </c>
      <c r="D357" t="s">
        <v>2739</v>
      </c>
      <c r="E357" t="s">
        <v>2740</v>
      </c>
      <c r="G357" t="s">
        <v>2778</v>
      </c>
      <c r="H357" t="s">
        <v>22</v>
      </c>
      <c r="I357" t="s">
        <v>22</v>
      </c>
      <c r="J357" t="s">
        <v>17</v>
      </c>
      <c r="K357">
        <v>88.9</v>
      </c>
      <c r="L357">
        <v>107.3</v>
      </c>
      <c r="M357" t="s">
        <v>1980</v>
      </c>
      <c r="N357" t="s">
        <v>1981</v>
      </c>
    </row>
    <row r="358" spans="1:14" x14ac:dyDescent="0.3">
      <c r="A358">
        <v>1107668</v>
      </c>
      <c r="B358" t="s">
        <v>2734</v>
      </c>
      <c r="C358" t="s">
        <v>2412</v>
      </c>
      <c r="D358" t="s">
        <v>2739</v>
      </c>
      <c r="E358" t="s">
        <v>2740</v>
      </c>
      <c r="G358" t="s">
        <v>2779</v>
      </c>
      <c r="H358" t="s">
        <v>22</v>
      </c>
      <c r="I358" t="s">
        <v>22</v>
      </c>
      <c r="J358" t="s">
        <v>17</v>
      </c>
      <c r="K358">
        <v>88.9</v>
      </c>
      <c r="L358">
        <v>107.3</v>
      </c>
      <c r="M358" t="s">
        <v>1980</v>
      </c>
      <c r="N358" t="s">
        <v>1981</v>
      </c>
    </row>
    <row r="359" spans="1:14" x14ac:dyDescent="0.3">
      <c r="A359">
        <v>1107668</v>
      </c>
      <c r="B359" t="s">
        <v>2734</v>
      </c>
      <c r="C359" t="s">
        <v>2412</v>
      </c>
      <c r="D359" t="s">
        <v>2739</v>
      </c>
      <c r="E359" t="s">
        <v>2740</v>
      </c>
      <c r="G359" t="s">
        <v>2780</v>
      </c>
      <c r="H359" t="s">
        <v>22</v>
      </c>
      <c r="I359" t="s">
        <v>22</v>
      </c>
      <c r="J359" t="s">
        <v>17</v>
      </c>
      <c r="K359">
        <v>88.9</v>
      </c>
      <c r="L359">
        <v>107.3</v>
      </c>
      <c r="M359" t="s">
        <v>1980</v>
      </c>
      <c r="N359" t="s">
        <v>1981</v>
      </c>
    </row>
    <row r="360" spans="1:14" x14ac:dyDescent="0.3">
      <c r="A360">
        <v>1107668</v>
      </c>
      <c r="B360" t="s">
        <v>2734</v>
      </c>
      <c r="C360" t="s">
        <v>2413</v>
      </c>
      <c r="H360" t="s">
        <v>16</v>
      </c>
      <c r="I360" t="s">
        <v>16</v>
      </c>
      <c r="J360" t="s">
        <v>17</v>
      </c>
      <c r="K360">
        <v>0</v>
      </c>
      <c r="L360">
        <v>0</v>
      </c>
    </row>
    <row r="361" spans="1:14" x14ac:dyDescent="0.3">
      <c r="A361">
        <v>1107668</v>
      </c>
      <c r="B361" t="s">
        <v>2734</v>
      </c>
      <c r="C361" t="s">
        <v>2414</v>
      </c>
      <c r="D361" t="s">
        <v>2781</v>
      </c>
      <c r="E361" t="s">
        <v>2782</v>
      </c>
      <c r="G361" t="s">
        <v>863</v>
      </c>
      <c r="H361" t="s">
        <v>22</v>
      </c>
      <c r="I361" t="s">
        <v>22</v>
      </c>
      <c r="J361" t="s">
        <v>17</v>
      </c>
      <c r="K361">
        <v>85.7</v>
      </c>
      <c r="L361">
        <v>83.4</v>
      </c>
      <c r="M361" t="s">
        <v>864</v>
      </c>
      <c r="N361" t="s">
        <v>865</v>
      </c>
    </row>
    <row r="362" spans="1:14" x14ac:dyDescent="0.3">
      <c r="A362">
        <v>1107668</v>
      </c>
      <c r="B362" t="s">
        <v>2734</v>
      </c>
      <c r="C362" t="s">
        <v>2414</v>
      </c>
      <c r="D362" t="s">
        <v>2781</v>
      </c>
      <c r="E362" t="s">
        <v>2782</v>
      </c>
      <c r="G362" t="s">
        <v>867</v>
      </c>
      <c r="H362" t="s">
        <v>22</v>
      </c>
      <c r="I362" t="s">
        <v>22</v>
      </c>
      <c r="J362" t="s">
        <v>17</v>
      </c>
      <c r="K362">
        <v>85.7</v>
      </c>
      <c r="L362">
        <v>83.4</v>
      </c>
      <c r="M362" t="s">
        <v>864</v>
      </c>
      <c r="N362" t="s">
        <v>865</v>
      </c>
    </row>
    <row r="363" spans="1:14" x14ac:dyDescent="0.3">
      <c r="A363">
        <v>1107668</v>
      </c>
      <c r="B363" t="s">
        <v>2734</v>
      </c>
      <c r="C363" t="s">
        <v>2414</v>
      </c>
      <c r="D363" t="s">
        <v>2781</v>
      </c>
      <c r="E363" t="s">
        <v>2782</v>
      </c>
      <c r="G363" t="s">
        <v>868</v>
      </c>
      <c r="H363" t="s">
        <v>22</v>
      </c>
      <c r="I363" t="s">
        <v>22</v>
      </c>
      <c r="J363" t="s">
        <v>17</v>
      </c>
      <c r="K363">
        <v>85.7</v>
      </c>
      <c r="L363">
        <v>83.4</v>
      </c>
      <c r="M363" t="s">
        <v>864</v>
      </c>
      <c r="N363" t="s">
        <v>865</v>
      </c>
    </row>
    <row r="364" spans="1:14" x14ac:dyDescent="0.3">
      <c r="A364">
        <v>1107668</v>
      </c>
      <c r="B364" t="s">
        <v>2734</v>
      </c>
      <c r="C364" t="s">
        <v>2414</v>
      </c>
      <c r="D364" t="s">
        <v>2781</v>
      </c>
      <c r="E364" t="s">
        <v>2782</v>
      </c>
      <c r="G364" t="s">
        <v>869</v>
      </c>
      <c r="H364" t="s">
        <v>22</v>
      </c>
      <c r="I364" t="s">
        <v>22</v>
      </c>
      <c r="J364" t="s">
        <v>17</v>
      </c>
      <c r="K364">
        <v>85.7</v>
      </c>
      <c r="L364">
        <v>83.4</v>
      </c>
      <c r="M364" t="s">
        <v>864</v>
      </c>
      <c r="N364" t="s">
        <v>865</v>
      </c>
    </row>
    <row r="365" spans="1:14" x14ac:dyDescent="0.3">
      <c r="A365">
        <v>1107668</v>
      </c>
      <c r="B365" t="s">
        <v>2734</v>
      </c>
      <c r="C365" t="s">
        <v>2414</v>
      </c>
      <c r="D365" t="s">
        <v>2781</v>
      </c>
      <c r="E365" t="s">
        <v>2782</v>
      </c>
      <c r="G365" t="s">
        <v>870</v>
      </c>
      <c r="H365" t="s">
        <v>22</v>
      </c>
      <c r="I365" t="s">
        <v>22</v>
      </c>
      <c r="J365" t="s">
        <v>17</v>
      </c>
      <c r="K365">
        <v>85.7</v>
      </c>
      <c r="L365">
        <v>83.4</v>
      </c>
      <c r="M365" t="s">
        <v>864</v>
      </c>
      <c r="N365" t="s">
        <v>865</v>
      </c>
    </row>
    <row r="366" spans="1:14" x14ac:dyDescent="0.3">
      <c r="A366">
        <v>1107668</v>
      </c>
      <c r="B366" t="s">
        <v>2734</v>
      </c>
      <c r="C366" t="s">
        <v>2414</v>
      </c>
      <c r="D366" t="s">
        <v>2781</v>
      </c>
      <c r="E366" t="s">
        <v>2782</v>
      </c>
      <c r="G366" t="s">
        <v>871</v>
      </c>
      <c r="H366" t="s">
        <v>22</v>
      </c>
      <c r="I366" t="s">
        <v>22</v>
      </c>
      <c r="J366" t="s">
        <v>17</v>
      </c>
      <c r="K366">
        <v>85.7</v>
      </c>
      <c r="L366">
        <v>83.4</v>
      </c>
      <c r="M366" t="s">
        <v>864</v>
      </c>
      <c r="N366" t="s">
        <v>865</v>
      </c>
    </row>
    <row r="367" spans="1:14" x14ac:dyDescent="0.3">
      <c r="A367">
        <v>1107668</v>
      </c>
      <c r="B367" t="s">
        <v>2734</v>
      </c>
      <c r="C367" t="s">
        <v>2414</v>
      </c>
      <c r="D367" t="s">
        <v>2781</v>
      </c>
      <c r="E367" t="s">
        <v>2782</v>
      </c>
      <c r="G367" t="s">
        <v>872</v>
      </c>
      <c r="H367" t="s">
        <v>22</v>
      </c>
      <c r="I367" t="s">
        <v>22</v>
      </c>
      <c r="J367" t="s">
        <v>17</v>
      </c>
      <c r="K367">
        <v>85.7</v>
      </c>
      <c r="L367">
        <v>83.4</v>
      </c>
      <c r="M367" t="s">
        <v>864</v>
      </c>
      <c r="N367" t="s">
        <v>865</v>
      </c>
    </row>
    <row r="368" spans="1:14" x14ac:dyDescent="0.3">
      <c r="A368">
        <v>1107668</v>
      </c>
      <c r="B368" t="s">
        <v>2734</v>
      </c>
      <c r="C368" t="s">
        <v>2414</v>
      </c>
      <c r="D368" t="s">
        <v>2781</v>
      </c>
      <c r="E368" t="s">
        <v>2782</v>
      </c>
      <c r="G368" t="s">
        <v>873</v>
      </c>
      <c r="H368" t="s">
        <v>22</v>
      </c>
      <c r="I368" t="s">
        <v>22</v>
      </c>
      <c r="J368" t="s">
        <v>17</v>
      </c>
      <c r="K368">
        <v>85.7</v>
      </c>
      <c r="L368">
        <v>83.4</v>
      </c>
      <c r="M368" t="s">
        <v>864</v>
      </c>
      <c r="N368" t="s">
        <v>865</v>
      </c>
    </row>
    <row r="369" spans="1:14" x14ac:dyDescent="0.3">
      <c r="A369">
        <v>1107668</v>
      </c>
      <c r="B369" t="s">
        <v>2734</v>
      </c>
      <c r="C369" t="s">
        <v>2415</v>
      </c>
      <c r="D369" t="s">
        <v>2783</v>
      </c>
      <c r="E369" t="s">
        <v>2784</v>
      </c>
      <c r="H369" t="s">
        <v>46</v>
      </c>
      <c r="I369" t="s">
        <v>46</v>
      </c>
      <c r="J369" t="s">
        <v>17</v>
      </c>
      <c r="K369">
        <v>100</v>
      </c>
      <c r="L369">
        <v>50</v>
      </c>
      <c r="M369" t="s">
        <v>182</v>
      </c>
      <c r="N369" t="s">
        <v>183</v>
      </c>
    </row>
    <row r="370" spans="1:14" x14ac:dyDescent="0.3">
      <c r="A370">
        <v>1107668</v>
      </c>
      <c r="B370" t="s">
        <v>2734</v>
      </c>
      <c r="C370" t="s">
        <v>2416</v>
      </c>
      <c r="H370" t="s">
        <v>16</v>
      </c>
      <c r="I370" t="s">
        <v>16</v>
      </c>
      <c r="J370" t="s">
        <v>17</v>
      </c>
      <c r="K370">
        <v>0</v>
      </c>
      <c r="L370">
        <v>0</v>
      </c>
    </row>
    <row r="371" spans="1:14" x14ac:dyDescent="0.3">
      <c r="A371">
        <v>1120299</v>
      </c>
      <c r="B371" t="s">
        <v>2785</v>
      </c>
      <c r="C371" t="s">
        <v>2417</v>
      </c>
      <c r="D371" t="s">
        <v>2786</v>
      </c>
      <c r="E371" t="s">
        <v>2787</v>
      </c>
      <c r="G371" t="s">
        <v>2788</v>
      </c>
      <c r="H371" t="s">
        <v>46</v>
      </c>
      <c r="I371" t="s">
        <v>46</v>
      </c>
      <c r="J371" t="s">
        <v>17</v>
      </c>
      <c r="K371">
        <v>100</v>
      </c>
      <c r="L371">
        <v>50</v>
      </c>
    </row>
    <row r="372" spans="1:14" x14ac:dyDescent="0.3">
      <c r="A372">
        <v>1120299</v>
      </c>
      <c r="B372" t="s">
        <v>2785</v>
      </c>
      <c r="C372" t="s">
        <v>2418</v>
      </c>
      <c r="D372" t="s">
        <v>2789</v>
      </c>
      <c r="E372" t="s">
        <v>2790</v>
      </c>
      <c r="H372" t="s">
        <v>46</v>
      </c>
      <c r="I372" t="s">
        <v>46</v>
      </c>
      <c r="J372" t="s">
        <v>17</v>
      </c>
      <c r="K372">
        <v>100</v>
      </c>
      <c r="L372">
        <v>50</v>
      </c>
    </row>
    <row r="373" spans="1:14" x14ac:dyDescent="0.3">
      <c r="A373">
        <v>1120299</v>
      </c>
      <c r="B373" t="s">
        <v>2785</v>
      </c>
      <c r="C373" t="s">
        <v>2419</v>
      </c>
      <c r="D373" t="s">
        <v>2791</v>
      </c>
      <c r="E373" t="s">
        <v>2792</v>
      </c>
      <c r="G373" t="s">
        <v>2793</v>
      </c>
      <c r="H373" t="s">
        <v>22</v>
      </c>
      <c r="I373" t="s">
        <v>22</v>
      </c>
      <c r="J373" t="s">
        <v>17</v>
      </c>
      <c r="K373">
        <v>94.1</v>
      </c>
      <c r="L373">
        <v>114.5</v>
      </c>
      <c r="M373" t="s">
        <v>375</v>
      </c>
      <c r="N373" t="s">
        <v>376</v>
      </c>
    </row>
    <row r="374" spans="1:14" x14ac:dyDescent="0.3">
      <c r="A374">
        <v>1120299</v>
      </c>
      <c r="B374" t="s">
        <v>2785</v>
      </c>
      <c r="C374" t="s">
        <v>2419</v>
      </c>
      <c r="D374" t="s">
        <v>2791</v>
      </c>
      <c r="E374" t="s">
        <v>2792</v>
      </c>
      <c r="G374" t="s">
        <v>2794</v>
      </c>
      <c r="H374" t="s">
        <v>22</v>
      </c>
      <c r="I374" t="s">
        <v>22</v>
      </c>
      <c r="J374" t="s">
        <v>17</v>
      </c>
      <c r="K374">
        <v>94.1</v>
      </c>
      <c r="L374">
        <v>114.5</v>
      </c>
      <c r="M374" t="s">
        <v>375</v>
      </c>
      <c r="N374" t="s">
        <v>376</v>
      </c>
    </row>
    <row r="375" spans="1:14" x14ac:dyDescent="0.3">
      <c r="A375">
        <v>1120299</v>
      </c>
      <c r="B375" t="s">
        <v>2785</v>
      </c>
      <c r="C375" t="s">
        <v>2419</v>
      </c>
      <c r="D375" t="s">
        <v>2791</v>
      </c>
      <c r="E375" t="s">
        <v>2792</v>
      </c>
      <c r="G375" t="s">
        <v>2795</v>
      </c>
      <c r="H375" t="s">
        <v>22</v>
      </c>
      <c r="I375" t="s">
        <v>22</v>
      </c>
      <c r="J375" t="s">
        <v>17</v>
      </c>
      <c r="K375">
        <v>94.1</v>
      </c>
      <c r="L375">
        <v>114.5</v>
      </c>
      <c r="M375" t="s">
        <v>375</v>
      </c>
      <c r="N375" t="s">
        <v>376</v>
      </c>
    </row>
    <row r="376" spans="1:14" x14ac:dyDescent="0.3">
      <c r="A376">
        <v>1120299</v>
      </c>
      <c r="B376" t="s">
        <v>2785</v>
      </c>
      <c r="C376" t="s">
        <v>2419</v>
      </c>
      <c r="D376" t="s">
        <v>2791</v>
      </c>
      <c r="E376" t="s">
        <v>2792</v>
      </c>
      <c r="G376" t="s">
        <v>2796</v>
      </c>
      <c r="H376" t="s">
        <v>22</v>
      </c>
      <c r="I376" t="s">
        <v>22</v>
      </c>
      <c r="J376" t="s">
        <v>17</v>
      </c>
      <c r="K376">
        <v>94.1</v>
      </c>
      <c r="L376">
        <v>114.5</v>
      </c>
      <c r="M376" t="s">
        <v>375</v>
      </c>
      <c r="N376" t="s">
        <v>376</v>
      </c>
    </row>
    <row r="377" spans="1:14" x14ac:dyDescent="0.3">
      <c r="A377">
        <v>1120299</v>
      </c>
      <c r="B377" t="s">
        <v>2785</v>
      </c>
      <c r="C377" t="s">
        <v>2419</v>
      </c>
      <c r="D377" t="s">
        <v>2791</v>
      </c>
      <c r="E377" t="s">
        <v>2792</v>
      </c>
      <c r="G377" t="s">
        <v>2797</v>
      </c>
      <c r="H377" t="s">
        <v>22</v>
      </c>
      <c r="I377" t="s">
        <v>22</v>
      </c>
      <c r="J377" t="s">
        <v>17</v>
      </c>
      <c r="K377">
        <v>94.1</v>
      </c>
      <c r="L377">
        <v>114.5</v>
      </c>
      <c r="M377" t="s">
        <v>375</v>
      </c>
      <c r="N377" t="s">
        <v>376</v>
      </c>
    </row>
    <row r="378" spans="1:14" x14ac:dyDescent="0.3">
      <c r="A378">
        <v>1120299</v>
      </c>
      <c r="B378" t="s">
        <v>2785</v>
      </c>
      <c r="C378" t="s">
        <v>2419</v>
      </c>
      <c r="D378" t="s">
        <v>2791</v>
      </c>
      <c r="E378" t="s">
        <v>2792</v>
      </c>
      <c r="G378" t="s">
        <v>2798</v>
      </c>
      <c r="H378" t="s">
        <v>22</v>
      </c>
      <c r="I378" t="s">
        <v>22</v>
      </c>
      <c r="J378" t="s">
        <v>17</v>
      </c>
      <c r="K378">
        <v>94.1</v>
      </c>
      <c r="L378">
        <v>114.5</v>
      </c>
      <c r="M378" t="s">
        <v>375</v>
      </c>
      <c r="N378" t="s">
        <v>376</v>
      </c>
    </row>
    <row r="379" spans="1:14" x14ac:dyDescent="0.3">
      <c r="A379">
        <v>1120299</v>
      </c>
      <c r="B379" t="s">
        <v>2785</v>
      </c>
      <c r="C379" t="s">
        <v>2419</v>
      </c>
      <c r="D379" t="s">
        <v>2791</v>
      </c>
      <c r="E379" t="s">
        <v>2792</v>
      </c>
      <c r="G379" t="s">
        <v>2799</v>
      </c>
      <c r="H379" t="s">
        <v>22</v>
      </c>
      <c r="I379" t="s">
        <v>22</v>
      </c>
      <c r="J379" t="s">
        <v>17</v>
      </c>
      <c r="K379">
        <v>94.1</v>
      </c>
      <c r="L379">
        <v>114.5</v>
      </c>
      <c r="M379" t="s">
        <v>375</v>
      </c>
      <c r="N379" t="s">
        <v>376</v>
      </c>
    </row>
    <row r="380" spans="1:14" x14ac:dyDescent="0.3">
      <c r="A380">
        <v>1120299</v>
      </c>
      <c r="B380" t="s">
        <v>2785</v>
      </c>
      <c r="C380" t="s">
        <v>2419</v>
      </c>
      <c r="D380" t="s">
        <v>2791</v>
      </c>
      <c r="E380" t="s">
        <v>2792</v>
      </c>
      <c r="G380" t="s">
        <v>2800</v>
      </c>
      <c r="H380" t="s">
        <v>22</v>
      </c>
      <c r="I380" t="s">
        <v>22</v>
      </c>
      <c r="J380" t="s">
        <v>17</v>
      </c>
      <c r="K380">
        <v>94.1</v>
      </c>
      <c r="L380">
        <v>114.5</v>
      </c>
      <c r="M380" t="s">
        <v>375</v>
      </c>
      <c r="N380" t="s">
        <v>376</v>
      </c>
    </row>
    <row r="381" spans="1:14" x14ac:dyDescent="0.3">
      <c r="A381">
        <v>1120299</v>
      </c>
      <c r="B381" t="s">
        <v>2785</v>
      </c>
      <c r="C381" t="s">
        <v>2419</v>
      </c>
      <c r="D381" t="s">
        <v>2791</v>
      </c>
      <c r="E381" t="s">
        <v>2792</v>
      </c>
      <c r="G381" t="s">
        <v>2801</v>
      </c>
      <c r="H381" t="s">
        <v>22</v>
      </c>
      <c r="I381" t="s">
        <v>22</v>
      </c>
      <c r="J381" t="s">
        <v>17</v>
      </c>
      <c r="K381">
        <v>94.1</v>
      </c>
      <c r="L381">
        <v>114.5</v>
      </c>
      <c r="M381" t="s">
        <v>375</v>
      </c>
      <c r="N381" t="s">
        <v>376</v>
      </c>
    </row>
    <row r="382" spans="1:14" x14ac:dyDescent="0.3">
      <c r="A382">
        <v>1120299</v>
      </c>
      <c r="B382" t="s">
        <v>2785</v>
      </c>
      <c r="C382" t="s">
        <v>2419</v>
      </c>
      <c r="D382" t="s">
        <v>2791</v>
      </c>
      <c r="E382" t="s">
        <v>2792</v>
      </c>
      <c r="G382" t="s">
        <v>2802</v>
      </c>
      <c r="H382" t="s">
        <v>22</v>
      </c>
      <c r="I382" t="s">
        <v>22</v>
      </c>
      <c r="J382" t="s">
        <v>17</v>
      </c>
      <c r="K382">
        <v>94.1</v>
      </c>
      <c r="L382">
        <v>114.5</v>
      </c>
      <c r="M382" t="s">
        <v>375</v>
      </c>
      <c r="N382" t="s">
        <v>376</v>
      </c>
    </row>
    <row r="383" spans="1:14" x14ac:dyDescent="0.3">
      <c r="A383">
        <v>1120299</v>
      </c>
      <c r="B383" t="s">
        <v>2785</v>
      </c>
      <c r="C383" t="s">
        <v>2419</v>
      </c>
      <c r="D383" t="s">
        <v>2791</v>
      </c>
      <c r="E383" t="s">
        <v>2792</v>
      </c>
      <c r="G383" t="s">
        <v>2803</v>
      </c>
      <c r="H383" t="s">
        <v>22</v>
      </c>
      <c r="I383" t="s">
        <v>22</v>
      </c>
      <c r="J383" t="s">
        <v>17</v>
      </c>
      <c r="K383">
        <v>94.1</v>
      </c>
      <c r="L383">
        <v>114.5</v>
      </c>
      <c r="M383" t="s">
        <v>375</v>
      </c>
      <c r="N383" t="s">
        <v>376</v>
      </c>
    </row>
    <row r="384" spans="1:14" x14ac:dyDescent="0.3">
      <c r="A384">
        <v>1120299</v>
      </c>
      <c r="B384" t="s">
        <v>2785</v>
      </c>
      <c r="C384" t="s">
        <v>2419</v>
      </c>
      <c r="D384" t="s">
        <v>2791</v>
      </c>
      <c r="E384" t="s">
        <v>2792</v>
      </c>
      <c r="G384" t="s">
        <v>2804</v>
      </c>
      <c r="H384" t="s">
        <v>22</v>
      </c>
      <c r="I384" t="s">
        <v>22</v>
      </c>
      <c r="J384" t="s">
        <v>17</v>
      </c>
      <c r="K384">
        <v>94.1</v>
      </c>
      <c r="L384">
        <v>114.5</v>
      </c>
      <c r="M384" t="s">
        <v>375</v>
      </c>
      <c r="N384" t="s">
        <v>376</v>
      </c>
    </row>
    <row r="385" spans="1:14" x14ac:dyDescent="0.3">
      <c r="A385">
        <v>1120299</v>
      </c>
      <c r="B385" t="s">
        <v>2785</v>
      </c>
      <c r="C385" t="s">
        <v>2419</v>
      </c>
      <c r="D385" t="s">
        <v>2791</v>
      </c>
      <c r="E385" t="s">
        <v>2792</v>
      </c>
      <c r="G385" t="s">
        <v>2805</v>
      </c>
      <c r="H385" t="s">
        <v>22</v>
      </c>
      <c r="I385" t="s">
        <v>22</v>
      </c>
      <c r="J385" t="s">
        <v>17</v>
      </c>
      <c r="K385">
        <v>94.1</v>
      </c>
      <c r="L385">
        <v>114.5</v>
      </c>
      <c r="M385" t="s">
        <v>375</v>
      </c>
      <c r="N385" t="s">
        <v>376</v>
      </c>
    </row>
    <row r="386" spans="1:14" x14ac:dyDescent="0.3">
      <c r="A386">
        <v>1120299</v>
      </c>
      <c r="B386" t="s">
        <v>2785</v>
      </c>
      <c r="C386" t="s">
        <v>2420</v>
      </c>
      <c r="H386" t="s">
        <v>16</v>
      </c>
      <c r="I386" t="s">
        <v>16</v>
      </c>
      <c r="J386" t="s">
        <v>17</v>
      </c>
      <c r="K386">
        <v>0</v>
      </c>
      <c r="L386">
        <v>0</v>
      </c>
    </row>
    <row r="387" spans="1:14" x14ac:dyDescent="0.3">
      <c r="A387">
        <v>1120299</v>
      </c>
      <c r="B387" t="s">
        <v>2785</v>
      </c>
      <c r="C387" t="s">
        <v>2421</v>
      </c>
      <c r="D387" t="s">
        <v>2806</v>
      </c>
      <c r="E387" t="s">
        <v>2807</v>
      </c>
      <c r="F387" t="s">
        <v>2808</v>
      </c>
      <c r="G387" t="s">
        <v>2809</v>
      </c>
      <c r="H387" t="s">
        <v>22</v>
      </c>
      <c r="I387" t="s">
        <v>22</v>
      </c>
      <c r="J387" t="s">
        <v>17</v>
      </c>
      <c r="K387">
        <v>91.7</v>
      </c>
      <c r="L387">
        <v>143</v>
      </c>
      <c r="M387" t="s">
        <v>2810</v>
      </c>
      <c r="N387" t="s">
        <v>2811</v>
      </c>
    </row>
    <row r="388" spans="1:14" x14ac:dyDescent="0.3">
      <c r="A388">
        <v>1120299</v>
      </c>
      <c r="B388" t="s">
        <v>2785</v>
      </c>
      <c r="C388" t="s">
        <v>2421</v>
      </c>
      <c r="D388" t="s">
        <v>2806</v>
      </c>
      <c r="E388" t="s">
        <v>2807</v>
      </c>
      <c r="F388" t="s">
        <v>2808</v>
      </c>
      <c r="G388" t="s">
        <v>2812</v>
      </c>
      <c r="H388" t="s">
        <v>22</v>
      </c>
      <c r="I388" t="s">
        <v>22</v>
      </c>
      <c r="J388" t="s">
        <v>17</v>
      </c>
      <c r="K388">
        <v>91.7</v>
      </c>
      <c r="L388">
        <v>143</v>
      </c>
      <c r="M388" t="s">
        <v>2810</v>
      </c>
      <c r="N388" t="s">
        <v>2811</v>
      </c>
    </row>
    <row r="389" spans="1:14" x14ac:dyDescent="0.3">
      <c r="A389">
        <v>1120299</v>
      </c>
      <c r="B389" t="s">
        <v>2785</v>
      </c>
      <c r="C389" t="s">
        <v>2421</v>
      </c>
      <c r="D389" t="s">
        <v>2806</v>
      </c>
      <c r="E389" t="s">
        <v>2807</v>
      </c>
      <c r="F389" t="s">
        <v>2808</v>
      </c>
      <c r="G389" t="s">
        <v>2813</v>
      </c>
      <c r="H389" t="s">
        <v>22</v>
      </c>
      <c r="I389" t="s">
        <v>22</v>
      </c>
      <c r="J389" t="s">
        <v>17</v>
      </c>
      <c r="K389">
        <v>91.7</v>
      </c>
      <c r="L389">
        <v>143</v>
      </c>
      <c r="M389" t="s">
        <v>2810</v>
      </c>
      <c r="N389" t="s">
        <v>2811</v>
      </c>
    </row>
    <row r="390" spans="1:14" x14ac:dyDescent="0.3">
      <c r="A390">
        <v>1120299</v>
      </c>
      <c r="B390" t="s">
        <v>2785</v>
      </c>
      <c r="C390" t="s">
        <v>2421</v>
      </c>
      <c r="D390" t="s">
        <v>2806</v>
      </c>
      <c r="E390" t="s">
        <v>2807</v>
      </c>
      <c r="F390" t="s">
        <v>2808</v>
      </c>
      <c r="G390" t="s">
        <v>2814</v>
      </c>
      <c r="H390" t="s">
        <v>22</v>
      </c>
      <c r="I390" t="s">
        <v>22</v>
      </c>
      <c r="J390" t="s">
        <v>17</v>
      </c>
      <c r="K390">
        <v>91.7</v>
      </c>
      <c r="L390">
        <v>143</v>
      </c>
      <c r="M390" t="s">
        <v>2810</v>
      </c>
      <c r="N390" t="s">
        <v>2811</v>
      </c>
    </row>
    <row r="391" spans="1:14" x14ac:dyDescent="0.3">
      <c r="A391">
        <v>1120299</v>
      </c>
      <c r="B391" t="s">
        <v>2785</v>
      </c>
      <c r="C391" t="s">
        <v>2421</v>
      </c>
      <c r="D391" t="s">
        <v>2806</v>
      </c>
      <c r="E391" t="s">
        <v>2807</v>
      </c>
      <c r="F391" t="s">
        <v>2808</v>
      </c>
      <c r="G391" t="s">
        <v>2815</v>
      </c>
      <c r="H391" t="s">
        <v>22</v>
      </c>
      <c r="I391" t="s">
        <v>22</v>
      </c>
      <c r="J391" t="s">
        <v>17</v>
      </c>
      <c r="K391">
        <v>91.7</v>
      </c>
      <c r="L391">
        <v>143</v>
      </c>
      <c r="M391" t="s">
        <v>2810</v>
      </c>
      <c r="N391" t="s">
        <v>2811</v>
      </c>
    </row>
    <row r="392" spans="1:14" x14ac:dyDescent="0.3">
      <c r="A392">
        <v>1120299</v>
      </c>
      <c r="B392" t="s">
        <v>2785</v>
      </c>
      <c r="C392" t="s">
        <v>2421</v>
      </c>
      <c r="D392" t="s">
        <v>2806</v>
      </c>
      <c r="E392" t="s">
        <v>2807</v>
      </c>
      <c r="F392" t="s">
        <v>2808</v>
      </c>
      <c r="G392" t="s">
        <v>2816</v>
      </c>
      <c r="H392" t="s">
        <v>22</v>
      </c>
      <c r="I392" t="s">
        <v>22</v>
      </c>
      <c r="J392" t="s">
        <v>17</v>
      </c>
      <c r="K392">
        <v>91.7</v>
      </c>
      <c r="L392">
        <v>143</v>
      </c>
      <c r="M392" t="s">
        <v>2810</v>
      </c>
      <c r="N392" t="s">
        <v>2811</v>
      </c>
    </row>
    <row r="393" spans="1:14" x14ac:dyDescent="0.3">
      <c r="A393">
        <v>1120299</v>
      </c>
      <c r="B393" t="s">
        <v>2785</v>
      </c>
      <c r="C393" t="s">
        <v>2421</v>
      </c>
      <c r="D393" t="s">
        <v>2806</v>
      </c>
      <c r="E393" t="s">
        <v>2807</v>
      </c>
      <c r="F393" t="s">
        <v>2808</v>
      </c>
      <c r="G393" t="s">
        <v>2817</v>
      </c>
      <c r="H393" t="s">
        <v>22</v>
      </c>
      <c r="I393" t="s">
        <v>22</v>
      </c>
      <c r="J393" t="s">
        <v>17</v>
      </c>
      <c r="K393">
        <v>91.7</v>
      </c>
      <c r="L393">
        <v>143</v>
      </c>
      <c r="M393" t="s">
        <v>2810</v>
      </c>
      <c r="N393" t="s">
        <v>2811</v>
      </c>
    </row>
    <row r="394" spans="1:14" x14ac:dyDescent="0.3">
      <c r="A394">
        <v>1120299</v>
      </c>
      <c r="B394" t="s">
        <v>2785</v>
      </c>
      <c r="C394" t="s">
        <v>2421</v>
      </c>
      <c r="D394" t="s">
        <v>2806</v>
      </c>
      <c r="E394" t="s">
        <v>2807</v>
      </c>
      <c r="F394" t="s">
        <v>2808</v>
      </c>
      <c r="G394" t="s">
        <v>2818</v>
      </c>
      <c r="H394" t="s">
        <v>22</v>
      </c>
      <c r="I394" t="s">
        <v>22</v>
      </c>
      <c r="J394" t="s">
        <v>17</v>
      </c>
      <c r="K394">
        <v>91.7</v>
      </c>
      <c r="L394">
        <v>143</v>
      </c>
      <c r="M394" t="s">
        <v>2810</v>
      </c>
      <c r="N394" t="s">
        <v>2811</v>
      </c>
    </row>
    <row r="395" spans="1:14" x14ac:dyDescent="0.3">
      <c r="A395">
        <v>1120299</v>
      </c>
      <c r="B395" t="s">
        <v>2785</v>
      </c>
      <c r="C395" t="s">
        <v>2421</v>
      </c>
      <c r="D395" t="s">
        <v>2806</v>
      </c>
      <c r="E395" t="s">
        <v>2807</v>
      </c>
      <c r="F395" t="s">
        <v>2808</v>
      </c>
      <c r="G395" t="s">
        <v>2819</v>
      </c>
      <c r="H395" t="s">
        <v>22</v>
      </c>
      <c r="I395" t="s">
        <v>22</v>
      </c>
      <c r="J395" t="s">
        <v>17</v>
      </c>
      <c r="K395">
        <v>91.7</v>
      </c>
      <c r="L395">
        <v>143</v>
      </c>
      <c r="M395" t="s">
        <v>2810</v>
      </c>
      <c r="N395" t="s">
        <v>2811</v>
      </c>
    </row>
    <row r="396" spans="1:14" x14ac:dyDescent="0.3">
      <c r="A396">
        <v>1120299</v>
      </c>
      <c r="B396" t="s">
        <v>2785</v>
      </c>
      <c r="C396" t="s">
        <v>2421</v>
      </c>
      <c r="D396" t="s">
        <v>2806</v>
      </c>
      <c r="E396" t="s">
        <v>2807</v>
      </c>
      <c r="F396" t="s">
        <v>2808</v>
      </c>
      <c r="G396" t="s">
        <v>2820</v>
      </c>
      <c r="H396" t="s">
        <v>22</v>
      </c>
      <c r="I396" t="s">
        <v>22</v>
      </c>
      <c r="J396" t="s">
        <v>17</v>
      </c>
      <c r="K396">
        <v>91.7</v>
      </c>
      <c r="L396">
        <v>143</v>
      </c>
      <c r="M396" t="s">
        <v>2810</v>
      </c>
      <c r="N396" t="s">
        <v>2811</v>
      </c>
    </row>
    <row r="397" spans="1:14" x14ac:dyDescent="0.3">
      <c r="A397">
        <v>1120299</v>
      </c>
      <c r="B397" t="s">
        <v>2785</v>
      </c>
      <c r="C397" t="s">
        <v>2421</v>
      </c>
      <c r="D397" t="s">
        <v>2806</v>
      </c>
      <c r="E397" t="s">
        <v>2807</v>
      </c>
      <c r="F397" t="s">
        <v>2808</v>
      </c>
      <c r="G397" t="s">
        <v>2821</v>
      </c>
      <c r="H397" t="s">
        <v>22</v>
      </c>
      <c r="I397" t="s">
        <v>22</v>
      </c>
      <c r="J397" t="s">
        <v>17</v>
      </c>
      <c r="K397">
        <v>91.7</v>
      </c>
      <c r="L397">
        <v>143</v>
      </c>
      <c r="M397" t="s">
        <v>2810</v>
      </c>
      <c r="N397" t="s">
        <v>2811</v>
      </c>
    </row>
    <row r="398" spans="1:14" x14ac:dyDescent="0.3">
      <c r="A398">
        <v>1120299</v>
      </c>
      <c r="B398" t="s">
        <v>2785</v>
      </c>
      <c r="C398" t="s">
        <v>2421</v>
      </c>
      <c r="D398" t="s">
        <v>2806</v>
      </c>
      <c r="E398" t="s">
        <v>2807</v>
      </c>
      <c r="F398" t="s">
        <v>2808</v>
      </c>
      <c r="G398" t="s">
        <v>2822</v>
      </c>
      <c r="H398" t="s">
        <v>22</v>
      </c>
      <c r="I398" t="s">
        <v>22</v>
      </c>
      <c r="J398" t="s">
        <v>17</v>
      </c>
      <c r="K398">
        <v>91.7</v>
      </c>
      <c r="L398">
        <v>143</v>
      </c>
      <c r="M398" t="s">
        <v>2810</v>
      </c>
      <c r="N398" t="s">
        <v>2811</v>
      </c>
    </row>
    <row r="399" spans="1:14" x14ac:dyDescent="0.3">
      <c r="A399">
        <v>1120299</v>
      </c>
      <c r="B399" t="s">
        <v>2785</v>
      </c>
      <c r="C399" t="s">
        <v>2421</v>
      </c>
      <c r="D399" t="s">
        <v>2806</v>
      </c>
      <c r="E399" t="s">
        <v>2807</v>
      </c>
      <c r="F399" t="s">
        <v>2808</v>
      </c>
      <c r="G399" t="s">
        <v>2823</v>
      </c>
      <c r="H399" t="s">
        <v>22</v>
      </c>
      <c r="I399" t="s">
        <v>22</v>
      </c>
      <c r="J399" t="s">
        <v>17</v>
      </c>
      <c r="K399">
        <v>91.7</v>
      </c>
      <c r="L399">
        <v>143</v>
      </c>
      <c r="M399" t="s">
        <v>2810</v>
      </c>
      <c r="N399" t="s">
        <v>2811</v>
      </c>
    </row>
    <row r="400" spans="1:14" x14ac:dyDescent="0.3">
      <c r="A400">
        <v>1120299</v>
      </c>
      <c r="B400" t="s">
        <v>2785</v>
      </c>
      <c r="C400" t="s">
        <v>2421</v>
      </c>
      <c r="D400" t="s">
        <v>2806</v>
      </c>
      <c r="E400" t="s">
        <v>2807</v>
      </c>
      <c r="F400" t="s">
        <v>2808</v>
      </c>
      <c r="G400" t="s">
        <v>2824</v>
      </c>
      <c r="H400" t="s">
        <v>22</v>
      </c>
      <c r="I400" t="s">
        <v>22</v>
      </c>
      <c r="J400" t="s">
        <v>17</v>
      </c>
      <c r="K400">
        <v>91.7</v>
      </c>
      <c r="L400">
        <v>143</v>
      </c>
      <c r="M400" t="s">
        <v>2810</v>
      </c>
      <c r="N400" t="s">
        <v>2811</v>
      </c>
    </row>
    <row r="401" spans="1:14" x14ac:dyDescent="0.3">
      <c r="A401">
        <v>1120299</v>
      </c>
      <c r="B401" t="s">
        <v>2785</v>
      </c>
      <c r="C401" t="s">
        <v>2421</v>
      </c>
      <c r="D401" t="s">
        <v>2806</v>
      </c>
      <c r="E401" t="s">
        <v>2807</v>
      </c>
      <c r="F401" t="s">
        <v>2808</v>
      </c>
      <c r="G401" t="s">
        <v>2825</v>
      </c>
      <c r="H401" t="s">
        <v>22</v>
      </c>
      <c r="I401" t="s">
        <v>22</v>
      </c>
      <c r="J401" t="s">
        <v>17</v>
      </c>
      <c r="K401">
        <v>91.7</v>
      </c>
      <c r="L401">
        <v>143</v>
      </c>
      <c r="M401" t="s">
        <v>2810</v>
      </c>
      <c r="N401" t="s">
        <v>2811</v>
      </c>
    </row>
    <row r="402" spans="1:14" x14ac:dyDescent="0.3">
      <c r="A402">
        <v>1120299</v>
      </c>
      <c r="B402" t="s">
        <v>2785</v>
      </c>
      <c r="C402" t="s">
        <v>2421</v>
      </c>
      <c r="D402" t="s">
        <v>2806</v>
      </c>
      <c r="E402" t="s">
        <v>2807</v>
      </c>
      <c r="F402" t="s">
        <v>2808</v>
      </c>
      <c r="G402" t="s">
        <v>2826</v>
      </c>
      <c r="H402" t="s">
        <v>22</v>
      </c>
      <c r="I402" t="s">
        <v>22</v>
      </c>
      <c r="J402" t="s">
        <v>17</v>
      </c>
      <c r="K402">
        <v>91.7</v>
      </c>
      <c r="L402">
        <v>143</v>
      </c>
      <c r="M402" t="s">
        <v>2810</v>
      </c>
      <c r="N402" t="s">
        <v>2811</v>
      </c>
    </row>
    <row r="403" spans="1:14" x14ac:dyDescent="0.3">
      <c r="A403">
        <v>1120299</v>
      </c>
      <c r="B403" t="s">
        <v>2785</v>
      </c>
      <c r="C403" t="s">
        <v>2421</v>
      </c>
      <c r="D403" t="s">
        <v>2806</v>
      </c>
      <c r="E403" t="s">
        <v>2807</v>
      </c>
      <c r="F403" t="s">
        <v>2808</v>
      </c>
      <c r="G403" t="s">
        <v>2827</v>
      </c>
      <c r="H403" t="s">
        <v>22</v>
      </c>
      <c r="I403" t="s">
        <v>22</v>
      </c>
      <c r="J403" t="s">
        <v>17</v>
      </c>
      <c r="K403">
        <v>91.7</v>
      </c>
      <c r="L403">
        <v>143</v>
      </c>
      <c r="M403" t="s">
        <v>2810</v>
      </c>
      <c r="N403" t="s">
        <v>2811</v>
      </c>
    </row>
    <row r="404" spans="1:14" x14ac:dyDescent="0.3">
      <c r="A404">
        <v>1120299</v>
      </c>
      <c r="B404" t="s">
        <v>2785</v>
      </c>
      <c r="C404" t="s">
        <v>2421</v>
      </c>
      <c r="D404" t="s">
        <v>2806</v>
      </c>
      <c r="E404" t="s">
        <v>2807</v>
      </c>
      <c r="F404" t="s">
        <v>2808</v>
      </c>
      <c r="G404" t="s">
        <v>2828</v>
      </c>
      <c r="H404" t="s">
        <v>22</v>
      </c>
      <c r="I404" t="s">
        <v>22</v>
      </c>
      <c r="J404" t="s">
        <v>17</v>
      </c>
      <c r="K404">
        <v>91.7</v>
      </c>
      <c r="L404">
        <v>143</v>
      </c>
      <c r="M404" t="s">
        <v>2810</v>
      </c>
      <c r="N404" t="s">
        <v>2811</v>
      </c>
    </row>
    <row r="405" spans="1:14" x14ac:dyDescent="0.3">
      <c r="A405">
        <v>1120299</v>
      </c>
      <c r="B405" t="s">
        <v>2785</v>
      </c>
      <c r="C405" t="s">
        <v>2421</v>
      </c>
      <c r="D405" t="s">
        <v>2806</v>
      </c>
      <c r="E405" t="s">
        <v>2807</v>
      </c>
      <c r="F405" t="s">
        <v>2808</v>
      </c>
      <c r="G405" t="s">
        <v>2829</v>
      </c>
      <c r="H405" t="s">
        <v>22</v>
      </c>
      <c r="I405" t="s">
        <v>22</v>
      </c>
      <c r="J405" t="s">
        <v>17</v>
      </c>
      <c r="K405">
        <v>91.7</v>
      </c>
      <c r="L405">
        <v>143</v>
      </c>
      <c r="M405" t="s">
        <v>2810</v>
      </c>
      <c r="N405" t="s">
        <v>2811</v>
      </c>
    </row>
    <row r="406" spans="1:14" x14ac:dyDescent="0.3">
      <c r="A406">
        <v>1120299</v>
      </c>
      <c r="B406" t="s">
        <v>2785</v>
      </c>
      <c r="C406" t="s">
        <v>2421</v>
      </c>
      <c r="D406" t="s">
        <v>2806</v>
      </c>
      <c r="E406" t="s">
        <v>2807</v>
      </c>
      <c r="F406" t="s">
        <v>2808</v>
      </c>
      <c r="G406" t="s">
        <v>2830</v>
      </c>
      <c r="H406" t="s">
        <v>22</v>
      </c>
      <c r="I406" t="s">
        <v>22</v>
      </c>
      <c r="J406" t="s">
        <v>17</v>
      </c>
      <c r="K406">
        <v>91.7</v>
      </c>
      <c r="L406">
        <v>143</v>
      </c>
      <c r="M406" t="s">
        <v>2810</v>
      </c>
      <c r="N406" t="s">
        <v>2811</v>
      </c>
    </row>
    <row r="407" spans="1:14" x14ac:dyDescent="0.3">
      <c r="A407">
        <v>1120299</v>
      </c>
      <c r="B407" t="s">
        <v>2785</v>
      </c>
      <c r="C407" t="s">
        <v>2421</v>
      </c>
      <c r="D407" t="s">
        <v>2806</v>
      </c>
      <c r="E407" t="s">
        <v>2807</v>
      </c>
      <c r="F407" t="s">
        <v>2808</v>
      </c>
      <c r="G407" t="s">
        <v>2831</v>
      </c>
      <c r="H407" t="s">
        <v>22</v>
      </c>
      <c r="I407" t="s">
        <v>22</v>
      </c>
      <c r="J407" t="s">
        <v>17</v>
      </c>
      <c r="K407">
        <v>91.7</v>
      </c>
      <c r="L407">
        <v>143</v>
      </c>
      <c r="M407" t="s">
        <v>2810</v>
      </c>
      <c r="N407" t="s">
        <v>2811</v>
      </c>
    </row>
    <row r="408" spans="1:14" x14ac:dyDescent="0.3">
      <c r="A408">
        <v>1120299</v>
      </c>
      <c r="B408" t="s">
        <v>2785</v>
      </c>
      <c r="C408" t="s">
        <v>2421</v>
      </c>
      <c r="D408" t="s">
        <v>2806</v>
      </c>
      <c r="E408" t="s">
        <v>2807</v>
      </c>
      <c r="F408" t="s">
        <v>2808</v>
      </c>
      <c r="G408" t="s">
        <v>2832</v>
      </c>
      <c r="H408" t="s">
        <v>22</v>
      </c>
      <c r="I408" t="s">
        <v>22</v>
      </c>
      <c r="J408" t="s">
        <v>17</v>
      </c>
      <c r="K408">
        <v>91.7</v>
      </c>
      <c r="L408">
        <v>143</v>
      </c>
      <c r="M408" t="s">
        <v>2810</v>
      </c>
      <c r="N408" t="s">
        <v>2811</v>
      </c>
    </row>
    <row r="409" spans="1:14" x14ac:dyDescent="0.3">
      <c r="A409">
        <v>1120299</v>
      </c>
      <c r="B409" t="s">
        <v>2785</v>
      </c>
      <c r="C409" t="s">
        <v>2421</v>
      </c>
      <c r="D409" t="s">
        <v>2806</v>
      </c>
      <c r="E409" t="s">
        <v>2807</v>
      </c>
      <c r="F409" t="s">
        <v>2808</v>
      </c>
      <c r="G409" t="s">
        <v>2833</v>
      </c>
      <c r="H409" t="s">
        <v>22</v>
      </c>
      <c r="I409" t="s">
        <v>22</v>
      </c>
      <c r="J409" t="s">
        <v>17</v>
      </c>
      <c r="K409">
        <v>91.7</v>
      </c>
      <c r="L409">
        <v>143</v>
      </c>
      <c r="M409" t="s">
        <v>2810</v>
      </c>
      <c r="N409" t="s">
        <v>2811</v>
      </c>
    </row>
    <row r="410" spans="1:14" x14ac:dyDescent="0.3">
      <c r="A410">
        <v>1120299</v>
      </c>
      <c r="B410" t="s">
        <v>2785</v>
      </c>
      <c r="C410" t="s">
        <v>2421</v>
      </c>
      <c r="D410" t="s">
        <v>2806</v>
      </c>
      <c r="E410" t="s">
        <v>2807</v>
      </c>
      <c r="F410" t="s">
        <v>2808</v>
      </c>
      <c r="G410" t="s">
        <v>2834</v>
      </c>
      <c r="H410" t="s">
        <v>22</v>
      </c>
      <c r="I410" t="s">
        <v>22</v>
      </c>
      <c r="J410" t="s">
        <v>17</v>
      </c>
      <c r="K410">
        <v>91.7</v>
      </c>
      <c r="L410">
        <v>143</v>
      </c>
      <c r="M410" t="s">
        <v>2810</v>
      </c>
      <c r="N410" t="s">
        <v>2811</v>
      </c>
    </row>
    <row r="411" spans="1:14" x14ac:dyDescent="0.3">
      <c r="A411">
        <v>1120299</v>
      </c>
      <c r="B411" t="s">
        <v>2785</v>
      </c>
      <c r="C411" t="s">
        <v>2421</v>
      </c>
      <c r="D411" t="s">
        <v>2806</v>
      </c>
      <c r="E411" t="s">
        <v>2807</v>
      </c>
      <c r="F411" t="s">
        <v>2808</v>
      </c>
      <c r="G411" t="s">
        <v>2835</v>
      </c>
      <c r="H411" t="s">
        <v>22</v>
      </c>
      <c r="I411" t="s">
        <v>22</v>
      </c>
      <c r="J411" t="s">
        <v>17</v>
      </c>
      <c r="K411">
        <v>91.7</v>
      </c>
      <c r="L411">
        <v>143</v>
      </c>
      <c r="M411" t="s">
        <v>2810</v>
      </c>
      <c r="N411" t="s">
        <v>2811</v>
      </c>
    </row>
    <row r="412" spans="1:14" x14ac:dyDescent="0.3">
      <c r="A412">
        <v>1120299</v>
      </c>
      <c r="B412" t="s">
        <v>2785</v>
      </c>
      <c r="C412" t="s">
        <v>2421</v>
      </c>
      <c r="D412" t="s">
        <v>2806</v>
      </c>
      <c r="E412" t="s">
        <v>2807</v>
      </c>
      <c r="F412" t="s">
        <v>2808</v>
      </c>
      <c r="G412" t="s">
        <v>2836</v>
      </c>
      <c r="H412" t="s">
        <v>22</v>
      </c>
      <c r="I412" t="s">
        <v>22</v>
      </c>
      <c r="J412" t="s">
        <v>17</v>
      </c>
      <c r="K412">
        <v>91.7</v>
      </c>
      <c r="L412">
        <v>143</v>
      </c>
      <c r="M412" t="s">
        <v>2810</v>
      </c>
      <c r="N412" t="s">
        <v>2811</v>
      </c>
    </row>
    <row r="413" spans="1:14" x14ac:dyDescent="0.3">
      <c r="A413">
        <v>1120299</v>
      </c>
      <c r="B413" t="s">
        <v>2785</v>
      </c>
      <c r="C413" t="s">
        <v>2421</v>
      </c>
      <c r="D413" t="s">
        <v>2806</v>
      </c>
      <c r="E413" t="s">
        <v>2807</v>
      </c>
      <c r="F413" t="s">
        <v>2808</v>
      </c>
      <c r="G413" t="s">
        <v>2837</v>
      </c>
      <c r="H413" t="s">
        <v>22</v>
      </c>
      <c r="I413" t="s">
        <v>22</v>
      </c>
      <c r="J413" t="s">
        <v>17</v>
      </c>
      <c r="K413">
        <v>91.7</v>
      </c>
      <c r="L413">
        <v>143</v>
      </c>
      <c r="M413" t="s">
        <v>2810</v>
      </c>
      <c r="N413" t="s">
        <v>2811</v>
      </c>
    </row>
    <row r="414" spans="1:14" x14ac:dyDescent="0.3">
      <c r="A414">
        <v>1120299</v>
      </c>
      <c r="B414" t="s">
        <v>2785</v>
      </c>
      <c r="C414" t="s">
        <v>2421</v>
      </c>
      <c r="D414" t="s">
        <v>2806</v>
      </c>
      <c r="E414" t="s">
        <v>2807</v>
      </c>
      <c r="F414" t="s">
        <v>2808</v>
      </c>
      <c r="G414" t="s">
        <v>2838</v>
      </c>
      <c r="H414" t="s">
        <v>22</v>
      </c>
      <c r="I414" t="s">
        <v>22</v>
      </c>
      <c r="J414" t="s">
        <v>17</v>
      </c>
      <c r="K414">
        <v>91.7</v>
      </c>
      <c r="L414">
        <v>143</v>
      </c>
      <c r="M414" t="s">
        <v>2810</v>
      </c>
      <c r="N414" t="s">
        <v>2811</v>
      </c>
    </row>
    <row r="415" spans="1:14" x14ac:dyDescent="0.3">
      <c r="A415">
        <v>1120299</v>
      </c>
      <c r="B415" t="s">
        <v>2785</v>
      </c>
      <c r="C415" t="s">
        <v>2421</v>
      </c>
      <c r="D415" t="s">
        <v>2806</v>
      </c>
      <c r="E415" t="s">
        <v>2807</v>
      </c>
      <c r="F415" t="s">
        <v>2808</v>
      </c>
      <c r="G415" t="s">
        <v>2839</v>
      </c>
      <c r="H415" t="s">
        <v>22</v>
      </c>
      <c r="I415" t="s">
        <v>22</v>
      </c>
      <c r="J415" t="s">
        <v>17</v>
      </c>
      <c r="K415">
        <v>91.7</v>
      </c>
      <c r="L415">
        <v>143</v>
      </c>
      <c r="M415" t="s">
        <v>2810</v>
      </c>
      <c r="N415" t="s">
        <v>2811</v>
      </c>
    </row>
    <row r="416" spans="1:14" x14ac:dyDescent="0.3">
      <c r="A416">
        <v>1120299</v>
      </c>
      <c r="B416" t="s">
        <v>2785</v>
      </c>
      <c r="C416" t="s">
        <v>2421</v>
      </c>
      <c r="D416" t="s">
        <v>2806</v>
      </c>
      <c r="E416" t="s">
        <v>2807</v>
      </c>
      <c r="F416" t="s">
        <v>2808</v>
      </c>
      <c r="G416" t="s">
        <v>2840</v>
      </c>
      <c r="H416" t="s">
        <v>22</v>
      </c>
      <c r="I416" t="s">
        <v>22</v>
      </c>
      <c r="J416" t="s">
        <v>17</v>
      </c>
      <c r="K416">
        <v>91.7</v>
      </c>
      <c r="L416">
        <v>143</v>
      </c>
      <c r="M416" t="s">
        <v>2810</v>
      </c>
      <c r="N416" t="s">
        <v>2811</v>
      </c>
    </row>
    <row r="417" spans="1:14" x14ac:dyDescent="0.3">
      <c r="A417">
        <v>1120299</v>
      </c>
      <c r="B417" t="s">
        <v>2785</v>
      </c>
      <c r="C417" t="s">
        <v>2421</v>
      </c>
      <c r="D417" t="s">
        <v>2806</v>
      </c>
      <c r="E417" t="s">
        <v>2807</v>
      </c>
      <c r="F417" t="s">
        <v>2808</v>
      </c>
      <c r="G417" t="s">
        <v>2841</v>
      </c>
      <c r="H417" t="s">
        <v>22</v>
      </c>
      <c r="I417" t="s">
        <v>22</v>
      </c>
      <c r="J417" t="s">
        <v>17</v>
      </c>
      <c r="K417">
        <v>91.7</v>
      </c>
      <c r="L417">
        <v>143</v>
      </c>
      <c r="M417" t="s">
        <v>2810</v>
      </c>
      <c r="N417" t="s">
        <v>2811</v>
      </c>
    </row>
    <row r="418" spans="1:14" x14ac:dyDescent="0.3">
      <c r="A418">
        <v>1120299</v>
      </c>
      <c r="B418" t="s">
        <v>2785</v>
      </c>
      <c r="C418" t="s">
        <v>2421</v>
      </c>
      <c r="D418" t="s">
        <v>2806</v>
      </c>
      <c r="E418" t="s">
        <v>2807</v>
      </c>
      <c r="F418" t="s">
        <v>2808</v>
      </c>
      <c r="G418" t="s">
        <v>2842</v>
      </c>
      <c r="H418" t="s">
        <v>22</v>
      </c>
      <c r="I418" t="s">
        <v>22</v>
      </c>
      <c r="J418" t="s">
        <v>17</v>
      </c>
      <c r="K418">
        <v>91.7</v>
      </c>
      <c r="L418">
        <v>143</v>
      </c>
      <c r="M418" t="s">
        <v>2810</v>
      </c>
      <c r="N418" t="s">
        <v>2811</v>
      </c>
    </row>
    <row r="419" spans="1:14" x14ac:dyDescent="0.3">
      <c r="A419">
        <v>1120299</v>
      </c>
      <c r="B419" t="s">
        <v>2785</v>
      </c>
      <c r="C419" t="s">
        <v>2421</v>
      </c>
      <c r="D419" t="s">
        <v>2806</v>
      </c>
      <c r="E419" t="s">
        <v>2807</v>
      </c>
      <c r="F419" t="s">
        <v>2808</v>
      </c>
      <c r="G419" t="s">
        <v>2843</v>
      </c>
      <c r="H419" t="s">
        <v>22</v>
      </c>
      <c r="I419" t="s">
        <v>22</v>
      </c>
      <c r="J419" t="s">
        <v>17</v>
      </c>
      <c r="K419">
        <v>91.7</v>
      </c>
      <c r="L419">
        <v>143</v>
      </c>
      <c r="M419" t="s">
        <v>2810</v>
      </c>
      <c r="N419" t="s">
        <v>2811</v>
      </c>
    </row>
    <row r="420" spans="1:14" x14ac:dyDescent="0.3">
      <c r="A420">
        <v>1120299</v>
      </c>
      <c r="B420" t="s">
        <v>2785</v>
      </c>
      <c r="C420" t="s">
        <v>2421</v>
      </c>
      <c r="D420" t="s">
        <v>2806</v>
      </c>
      <c r="E420" t="s">
        <v>2807</v>
      </c>
      <c r="F420" t="s">
        <v>2808</v>
      </c>
      <c r="G420" t="s">
        <v>2844</v>
      </c>
      <c r="H420" t="s">
        <v>22</v>
      </c>
      <c r="I420" t="s">
        <v>22</v>
      </c>
      <c r="J420" t="s">
        <v>17</v>
      </c>
      <c r="K420">
        <v>91.7</v>
      </c>
      <c r="L420">
        <v>143</v>
      </c>
      <c r="M420" t="s">
        <v>2810</v>
      </c>
      <c r="N420" t="s">
        <v>2811</v>
      </c>
    </row>
    <row r="421" spans="1:14" x14ac:dyDescent="0.3">
      <c r="A421">
        <v>1120299</v>
      </c>
      <c r="B421" t="s">
        <v>2785</v>
      </c>
      <c r="C421" t="s">
        <v>2421</v>
      </c>
      <c r="D421" t="s">
        <v>2806</v>
      </c>
      <c r="E421" t="s">
        <v>2807</v>
      </c>
      <c r="F421" t="s">
        <v>2808</v>
      </c>
      <c r="G421" t="s">
        <v>2845</v>
      </c>
      <c r="H421" t="s">
        <v>22</v>
      </c>
      <c r="I421" t="s">
        <v>22</v>
      </c>
      <c r="J421" t="s">
        <v>17</v>
      </c>
      <c r="K421">
        <v>91.7</v>
      </c>
      <c r="L421">
        <v>143</v>
      </c>
      <c r="M421" t="s">
        <v>2810</v>
      </c>
      <c r="N421" t="s">
        <v>2811</v>
      </c>
    </row>
    <row r="422" spans="1:14" x14ac:dyDescent="0.3">
      <c r="A422">
        <v>1120299</v>
      </c>
      <c r="B422" t="s">
        <v>2785</v>
      </c>
      <c r="C422" t="s">
        <v>2421</v>
      </c>
      <c r="D422" t="s">
        <v>2806</v>
      </c>
      <c r="E422" t="s">
        <v>2807</v>
      </c>
      <c r="F422" t="s">
        <v>2808</v>
      </c>
      <c r="G422" t="s">
        <v>2846</v>
      </c>
      <c r="H422" t="s">
        <v>22</v>
      </c>
      <c r="I422" t="s">
        <v>22</v>
      </c>
      <c r="J422" t="s">
        <v>17</v>
      </c>
      <c r="K422">
        <v>91.7</v>
      </c>
      <c r="L422">
        <v>143</v>
      </c>
      <c r="M422" t="s">
        <v>2810</v>
      </c>
      <c r="N422" t="s">
        <v>2811</v>
      </c>
    </row>
    <row r="423" spans="1:14" x14ac:dyDescent="0.3">
      <c r="A423">
        <v>1120299</v>
      </c>
      <c r="B423" t="s">
        <v>2785</v>
      </c>
      <c r="C423" t="s">
        <v>2421</v>
      </c>
      <c r="D423" t="s">
        <v>2806</v>
      </c>
      <c r="E423" t="s">
        <v>2807</v>
      </c>
      <c r="F423" t="s">
        <v>2808</v>
      </c>
      <c r="G423" t="s">
        <v>2847</v>
      </c>
      <c r="H423" t="s">
        <v>22</v>
      </c>
      <c r="I423" t="s">
        <v>22</v>
      </c>
      <c r="J423" t="s">
        <v>17</v>
      </c>
      <c r="K423">
        <v>91.7</v>
      </c>
      <c r="L423">
        <v>143</v>
      </c>
      <c r="M423" t="s">
        <v>2810</v>
      </c>
      <c r="N423" t="s">
        <v>2811</v>
      </c>
    </row>
    <row r="424" spans="1:14" x14ac:dyDescent="0.3">
      <c r="A424">
        <v>1120299</v>
      </c>
      <c r="B424" t="s">
        <v>2785</v>
      </c>
      <c r="C424" t="s">
        <v>2421</v>
      </c>
      <c r="D424" t="s">
        <v>2806</v>
      </c>
      <c r="E424" t="s">
        <v>2807</v>
      </c>
      <c r="F424" t="s">
        <v>2808</v>
      </c>
      <c r="G424" t="s">
        <v>2848</v>
      </c>
      <c r="H424" t="s">
        <v>22</v>
      </c>
      <c r="I424" t="s">
        <v>22</v>
      </c>
      <c r="J424" t="s">
        <v>17</v>
      </c>
      <c r="K424">
        <v>91.7</v>
      </c>
      <c r="L424">
        <v>143</v>
      </c>
      <c r="M424" t="s">
        <v>2810</v>
      </c>
      <c r="N424" t="s">
        <v>2811</v>
      </c>
    </row>
    <row r="425" spans="1:14" x14ac:dyDescent="0.3">
      <c r="A425">
        <v>1120299</v>
      </c>
      <c r="B425" t="s">
        <v>2785</v>
      </c>
      <c r="C425" t="s">
        <v>2421</v>
      </c>
      <c r="D425" t="s">
        <v>2806</v>
      </c>
      <c r="E425" t="s">
        <v>2807</v>
      </c>
      <c r="F425" t="s">
        <v>2808</v>
      </c>
      <c r="G425" t="s">
        <v>2849</v>
      </c>
      <c r="H425" t="s">
        <v>22</v>
      </c>
      <c r="I425" t="s">
        <v>22</v>
      </c>
      <c r="J425" t="s">
        <v>17</v>
      </c>
      <c r="K425">
        <v>91.7</v>
      </c>
      <c r="L425">
        <v>143</v>
      </c>
      <c r="M425" t="s">
        <v>2810</v>
      </c>
      <c r="N425" t="s">
        <v>2811</v>
      </c>
    </row>
    <row r="426" spans="1:14" x14ac:dyDescent="0.3">
      <c r="A426">
        <v>1120299</v>
      </c>
      <c r="B426" t="s">
        <v>2785</v>
      </c>
      <c r="C426" t="s">
        <v>2422</v>
      </c>
      <c r="H426" t="s">
        <v>16</v>
      </c>
      <c r="I426" t="s">
        <v>16</v>
      </c>
      <c r="J426" t="s">
        <v>17</v>
      </c>
      <c r="K426">
        <v>0</v>
      </c>
      <c r="L426">
        <v>0</v>
      </c>
    </row>
    <row r="427" spans="1:14" x14ac:dyDescent="0.3">
      <c r="A427">
        <v>1121520</v>
      </c>
      <c r="B427" t="s">
        <v>2850</v>
      </c>
      <c r="C427" t="s">
        <v>2423</v>
      </c>
      <c r="H427" t="s">
        <v>16</v>
      </c>
      <c r="I427" t="s">
        <v>16</v>
      </c>
      <c r="J427" t="s">
        <v>17</v>
      </c>
      <c r="K427">
        <v>0</v>
      </c>
      <c r="L427">
        <v>0</v>
      </c>
    </row>
    <row r="428" spans="1:14" x14ac:dyDescent="0.3">
      <c r="A428">
        <v>1121520</v>
      </c>
      <c r="B428" t="s">
        <v>2850</v>
      </c>
      <c r="C428" t="s">
        <v>2424</v>
      </c>
      <c r="D428" t="s">
        <v>2851</v>
      </c>
      <c r="E428" t="s">
        <v>2852</v>
      </c>
      <c r="G428" t="s">
        <v>2853</v>
      </c>
      <c r="H428" t="s">
        <v>22</v>
      </c>
      <c r="I428" t="s">
        <v>22</v>
      </c>
      <c r="J428" t="s">
        <v>17</v>
      </c>
      <c r="K428">
        <v>87.5</v>
      </c>
      <c r="L428">
        <v>113.5</v>
      </c>
    </row>
    <row r="429" spans="1:14" x14ac:dyDescent="0.3">
      <c r="A429">
        <v>1121520</v>
      </c>
      <c r="B429" t="s">
        <v>2850</v>
      </c>
      <c r="C429" t="s">
        <v>2424</v>
      </c>
      <c r="D429" t="s">
        <v>2851</v>
      </c>
      <c r="E429" t="s">
        <v>2852</v>
      </c>
      <c r="G429" t="s">
        <v>2854</v>
      </c>
      <c r="H429" t="s">
        <v>22</v>
      </c>
      <c r="I429" t="s">
        <v>22</v>
      </c>
      <c r="J429" t="s">
        <v>17</v>
      </c>
      <c r="K429">
        <v>87.5</v>
      </c>
      <c r="L429">
        <v>113.5</v>
      </c>
    </row>
    <row r="430" spans="1:14" x14ac:dyDescent="0.3">
      <c r="A430">
        <v>1121520</v>
      </c>
      <c r="B430" t="s">
        <v>2850</v>
      </c>
      <c r="C430" t="s">
        <v>2424</v>
      </c>
      <c r="D430" t="s">
        <v>2851</v>
      </c>
      <c r="E430" t="s">
        <v>2852</v>
      </c>
      <c r="G430" t="s">
        <v>2855</v>
      </c>
      <c r="H430" t="s">
        <v>22</v>
      </c>
      <c r="I430" t="s">
        <v>22</v>
      </c>
      <c r="J430" t="s">
        <v>17</v>
      </c>
      <c r="K430">
        <v>87.5</v>
      </c>
      <c r="L430">
        <v>113.5</v>
      </c>
    </row>
    <row r="431" spans="1:14" x14ac:dyDescent="0.3">
      <c r="A431">
        <v>1121520</v>
      </c>
      <c r="B431" t="s">
        <v>2850</v>
      </c>
      <c r="C431" t="s">
        <v>2424</v>
      </c>
      <c r="D431" t="s">
        <v>2851</v>
      </c>
      <c r="E431" t="s">
        <v>2852</v>
      </c>
      <c r="G431" t="s">
        <v>2856</v>
      </c>
      <c r="H431" t="s">
        <v>22</v>
      </c>
      <c r="I431" t="s">
        <v>22</v>
      </c>
      <c r="J431" t="s">
        <v>17</v>
      </c>
      <c r="K431">
        <v>87.5</v>
      </c>
      <c r="L431">
        <v>113.5</v>
      </c>
    </row>
    <row r="432" spans="1:14" x14ac:dyDescent="0.3">
      <c r="A432">
        <v>1121520</v>
      </c>
      <c r="B432" t="s">
        <v>2850</v>
      </c>
      <c r="C432" t="s">
        <v>2424</v>
      </c>
      <c r="D432" t="s">
        <v>2851</v>
      </c>
      <c r="E432" t="s">
        <v>2852</v>
      </c>
      <c r="G432" t="s">
        <v>2857</v>
      </c>
      <c r="H432" t="s">
        <v>22</v>
      </c>
      <c r="I432" t="s">
        <v>22</v>
      </c>
      <c r="J432" t="s">
        <v>17</v>
      </c>
      <c r="K432">
        <v>87.5</v>
      </c>
      <c r="L432">
        <v>113.5</v>
      </c>
    </row>
    <row r="433" spans="1:12" x14ac:dyDescent="0.3">
      <c r="A433">
        <v>1121520</v>
      </c>
      <c r="B433" t="s">
        <v>2850</v>
      </c>
      <c r="C433" t="s">
        <v>2424</v>
      </c>
      <c r="D433" t="s">
        <v>2851</v>
      </c>
      <c r="E433" t="s">
        <v>2852</v>
      </c>
      <c r="G433" t="s">
        <v>2858</v>
      </c>
      <c r="H433" t="s">
        <v>22</v>
      </c>
      <c r="I433" t="s">
        <v>22</v>
      </c>
      <c r="J433" t="s">
        <v>17</v>
      </c>
      <c r="K433">
        <v>87.5</v>
      </c>
      <c r="L433">
        <v>113.5</v>
      </c>
    </row>
    <row r="434" spans="1:12" x14ac:dyDescent="0.3">
      <c r="A434">
        <v>1121520</v>
      </c>
      <c r="B434" t="s">
        <v>2850</v>
      </c>
      <c r="C434" t="s">
        <v>2424</v>
      </c>
      <c r="D434" t="s">
        <v>2851</v>
      </c>
      <c r="E434" t="s">
        <v>2852</v>
      </c>
      <c r="G434" t="s">
        <v>2859</v>
      </c>
      <c r="H434" t="s">
        <v>22</v>
      </c>
      <c r="I434" t="s">
        <v>22</v>
      </c>
      <c r="J434" t="s">
        <v>17</v>
      </c>
      <c r="K434">
        <v>87.5</v>
      </c>
      <c r="L434">
        <v>113.5</v>
      </c>
    </row>
    <row r="435" spans="1:12" x14ac:dyDescent="0.3">
      <c r="A435">
        <v>1121520</v>
      </c>
      <c r="B435" t="s">
        <v>2850</v>
      </c>
      <c r="C435" t="s">
        <v>2424</v>
      </c>
      <c r="D435" t="s">
        <v>2851</v>
      </c>
      <c r="E435" t="s">
        <v>2852</v>
      </c>
      <c r="G435" t="s">
        <v>2860</v>
      </c>
      <c r="H435" t="s">
        <v>22</v>
      </c>
      <c r="I435" t="s">
        <v>22</v>
      </c>
      <c r="J435" t="s">
        <v>17</v>
      </c>
      <c r="K435">
        <v>87.5</v>
      </c>
      <c r="L435">
        <v>113.5</v>
      </c>
    </row>
    <row r="436" spans="1:12" x14ac:dyDescent="0.3">
      <c r="A436">
        <v>1121520</v>
      </c>
      <c r="B436" t="s">
        <v>2850</v>
      </c>
      <c r="C436" t="s">
        <v>2424</v>
      </c>
      <c r="D436" t="s">
        <v>2851</v>
      </c>
      <c r="E436" t="s">
        <v>2852</v>
      </c>
      <c r="G436" t="s">
        <v>2861</v>
      </c>
      <c r="H436" t="s">
        <v>22</v>
      </c>
      <c r="I436" t="s">
        <v>22</v>
      </c>
      <c r="J436" t="s">
        <v>17</v>
      </c>
      <c r="K436">
        <v>87.5</v>
      </c>
      <c r="L436">
        <v>113.5</v>
      </c>
    </row>
    <row r="437" spans="1:12" x14ac:dyDescent="0.3">
      <c r="A437">
        <v>1121520</v>
      </c>
      <c r="B437" t="s">
        <v>2850</v>
      </c>
      <c r="C437" t="s">
        <v>2424</v>
      </c>
      <c r="D437" t="s">
        <v>2851</v>
      </c>
      <c r="E437" t="s">
        <v>2852</v>
      </c>
      <c r="G437" t="s">
        <v>2862</v>
      </c>
      <c r="H437" t="s">
        <v>22</v>
      </c>
      <c r="I437" t="s">
        <v>22</v>
      </c>
      <c r="J437" t="s">
        <v>17</v>
      </c>
      <c r="K437">
        <v>87.5</v>
      </c>
      <c r="L437">
        <v>113.5</v>
      </c>
    </row>
    <row r="438" spans="1:12" x14ac:dyDescent="0.3">
      <c r="A438">
        <v>1121520</v>
      </c>
      <c r="B438" t="s">
        <v>2850</v>
      </c>
      <c r="C438" t="s">
        <v>2424</v>
      </c>
      <c r="D438" t="s">
        <v>2851</v>
      </c>
      <c r="E438" t="s">
        <v>2852</v>
      </c>
      <c r="G438" t="s">
        <v>2863</v>
      </c>
      <c r="H438" t="s">
        <v>22</v>
      </c>
      <c r="I438" t="s">
        <v>22</v>
      </c>
      <c r="J438" t="s">
        <v>17</v>
      </c>
      <c r="K438">
        <v>87.5</v>
      </c>
      <c r="L438">
        <v>113.5</v>
      </c>
    </row>
    <row r="439" spans="1:12" x14ac:dyDescent="0.3">
      <c r="A439">
        <v>1121520</v>
      </c>
      <c r="B439" t="s">
        <v>2850</v>
      </c>
      <c r="C439" t="s">
        <v>2424</v>
      </c>
      <c r="D439" t="s">
        <v>2851</v>
      </c>
      <c r="E439" t="s">
        <v>2852</v>
      </c>
      <c r="G439" t="s">
        <v>2864</v>
      </c>
      <c r="H439" t="s">
        <v>22</v>
      </c>
      <c r="I439" t="s">
        <v>22</v>
      </c>
      <c r="J439" t="s">
        <v>17</v>
      </c>
      <c r="K439">
        <v>87.5</v>
      </c>
      <c r="L439">
        <v>113.5</v>
      </c>
    </row>
    <row r="440" spans="1:12" x14ac:dyDescent="0.3">
      <c r="A440">
        <v>1121520</v>
      </c>
      <c r="B440" t="s">
        <v>2850</v>
      </c>
      <c r="C440" t="s">
        <v>2424</v>
      </c>
      <c r="D440" t="s">
        <v>2851</v>
      </c>
      <c r="E440" t="s">
        <v>2852</v>
      </c>
      <c r="G440" t="s">
        <v>2865</v>
      </c>
      <c r="H440" t="s">
        <v>22</v>
      </c>
      <c r="I440" t="s">
        <v>22</v>
      </c>
      <c r="J440" t="s">
        <v>17</v>
      </c>
      <c r="K440">
        <v>87.5</v>
      </c>
      <c r="L440">
        <v>113.5</v>
      </c>
    </row>
    <row r="441" spans="1:12" x14ac:dyDescent="0.3">
      <c r="A441">
        <v>1121520</v>
      </c>
      <c r="B441" t="s">
        <v>2850</v>
      </c>
      <c r="C441" t="s">
        <v>2424</v>
      </c>
      <c r="D441" t="s">
        <v>2851</v>
      </c>
      <c r="E441" t="s">
        <v>2852</v>
      </c>
      <c r="G441" t="s">
        <v>2866</v>
      </c>
      <c r="H441" t="s">
        <v>22</v>
      </c>
      <c r="I441" t="s">
        <v>22</v>
      </c>
      <c r="J441" t="s">
        <v>17</v>
      </c>
      <c r="K441">
        <v>87.5</v>
      </c>
      <c r="L441">
        <v>113.5</v>
      </c>
    </row>
    <row r="442" spans="1:12" x14ac:dyDescent="0.3">
      <c r="A442">
        <v>1121520</v>
      </c>
      <c r="B442" t="s">
        <v>2850</v>
      </c>
      <c r="C442" t="s">
        <v>2424</v>
      </c>
      <c r="D442" t="s">
        <v>2851</v>
      </c>
      <c r="E442" t="s">
        <v>2852</v>
      </c>
      <c r="G442" t="s">
        <v>2867</v>
      </c>
      <c r="H442" t="s">
        <v>22</v>
      </c>
      <c r="I442" t="s">
        <v>22</v>
      </c>
      <c r="J442" t="s">
        <v>17</v>
      </c>
      <c r="K442">
        <v>87.5</v>
      </c>
      <c r="L442">
        <v>113.5</v>
      </c>
    </row>
    <row r="443" spans="1:12" x14ac:dyDescent="0.3">
      <c r="A443">
        <v>1121520</v>
      </c>
      <c r="B443" t="s">
        <v>2850</v>
      </c>
      <c r="C443" t="s">
        <v>2424</v>
      </c>
      <c r="D443" t="s">
        <v>2851</v>
      </c>
      <c r="E443" t="s">
        <v>2852</v>
      </c>
      <c r="G443" t="s">
        <v>2868</v>
      </c>
      <c r="H443" t="s">
        <v>22</v>
      </c>
      <c r="I443" t="s">
        <v>22</v>
      </c>
      <c r="J443" t="s">
        <v>17</v>
      </c>
      <c r="K443">
        <v>87.5</v>
      </c>
      <c r="L443">
        <v>113.5</v>
      </c>
    </row>
    <row r="444" spans="1:12" x14ac:dyDescent="0.3">
      <c r="A444">
        <v>1121520</v>
      </c>
      <c r="B444" t="s">
        <v>2850</v>
      </c>
      <c r="C444" t="s">
        <v>2424</v>
      </c>
      <c r="D444" t="s">
        <v>2851</v>
      </c>
      <c r="E444" t="s">
        <v>2852</v>
      </c>
      <c r="G444" t="s">
        <v>2869</v>
      </c>
      <c r="H444" t="s">
        <v>22</v>
      </c>
      <c r="I444" t="s">
        <v>22</v>
      </c>
      <c r="J444" t="s">
        <v>17</v>
      </c>
      <c r="K444">
        <v>87.5</v>
      </c>
      <c r="L444">
        <v>113.5</v>
      </c>
    </row>
    <row r="445" spans="1:12" x14ac:dyDescent="0.3">
      <c r="A445">
        <v>1121520</v>
      </c>
      <c r="B445" t="s">
        <v>2850</v>
      </c>
      <c r="C445" t="s">
        <v>2424</v>
      </c>
      <c r="D445" t="s">
        <v>2851</v>
      </c>
      <c r="E445" t="s">
        <v>2852</v>
      </c>
      <c r="G445" t="s">
        <v>2870</v>
      </c>
      <c r="H445" t="s">
        <v>22</v>
      </c>
      <c r="I445" t="s">
        <v>22</v>
      </c>
      <c r="J445" t="s">
        <v>17</v>
      </c>
      <c r="K445">
        <v>87.5</v>
      </c>
      <c r="L445">
        <v>113.5</v>
      </c>
    </row>
    <row r="446" spans="1:12" x14ac:dyDescent="0.3">
      <c r="A446">
        <v>1121520</v>
      </c>
      <c r="B446" t="s">
        <v>2850</v>
      </c>
      <c r="C446" t="s">
        <v>2424</v>
      </c>
      <c r="D446" t="s">
        <v>2851</v>
      </c>
      <c r="E446" t="s">
        <v>2852</v>
      </c>
      <c r="G446" t="s">
        <v>2871</v>
      </c>
      <c r="H446" t="s">
        <v>22</v>
      </c>
      <c r="I446" t="s">
        <v>22</v>
      </c>
      <c r="J446" t="s">
        <v>17</v>
      </c>
      <c r="K446">
        <v>87.5</v>
      </c>
      <c r="L446">
        <v>113.5</v>
      </c>
    </row>
    <row r="447" spans="1:12" x14ac:dyDescent="0.3">
      <c r="A447">
        <v>1121520</v>
      </c>
      <c r="B447" t="s">
        <v>2850</v>
      </c>
      <c r="C447" t="s">
        <v>2424</v>
      </c>
      <c r="D447" t="s">
        <v>2851</v>
      </c>
      <c r="E447" t="s">
        <v>2852</v>
      </c>
      <c r="G447" t="s">
        <v>2872</v>
      </c>
      <c r="H447" t="s">
        <v>22</v>
      </c>
      <c r="I447" t="s">
        <v>22</v>
      </c>
      <c r="J447" t="s">
        <v>17</v>
      </c>
      <c r="K447">
        <v>87.5</v>
      </c>
      <c r="L447">
        <v>113.5</v>
      </c>
    </row>
    <row r="448" spans="1:12" x14ac:dyDescent="0.3">
      <c r="A448">
        <v>1121520</v>
      </c>
      <c r="B448" t="s">
        <v>2850</v>
      </c>
      <c r="C448" t="s">
        <v>2424</v>
      </c>
      <c r="D448" t="s">
        <v>2851</v>
      </c>
      <c r="E448" t="s">
        <v>2852</v>
      </c>
      <c r="G448" t="s">
        <v>2873</v>
      </c>
      <c r="H448" t="s">
        <v>22</v>
      </c>
      <c r="I448" t="s">
        <v>22</v>
      </c>
      <c r="J448" t="s">
        <v>17</v>
      </c>
      <c r="K448">
        <v>87.5</v>
      </c>
      <c r="L448">
        <v>113.5</v>
      </c>
    </row>
    <row r="449" spans="1:14" x14ac:dyDescent="0.3">
      <c r="A449">
        <v>1121520</v>
      </c>
      <c r="B449" t="s">
        <v>2850</v>
      </c>
      <c r="C449" t="s">
        <v>2424</v>
      </c>
      <c r="D449" t="s">
        <v>2851</v>
      </c>
      <c r="E449" t="s">
        <v>2852</v>
      </c>
      <c r="G449" t="s">
        <v>2874</v>
      </c>
      <c r="H449" t="s">
        <v>22</v>
      </c>
      <c r="I449" t="s">
        <v>22</v>
      </c>
      <c r="J449" t="s">
        <v>17</v>
      </c>
      <c r="K449">
        <v>87.5</v>
      </c>
      <c r="L449">
        <v>113.5</v>
      </c>
    </row>
    <row r="450" spans="1:14" x14ac:dyDescent="0.3">
      <c r="A450">
        <v>1121520</v>
      </c>
      <c r="B450" t="s">
        <v>2850</v>
      </c>
      <c r="C450" t="s">
        <v>2424</v>
      </c>
      <c r="D450" t="s">
        <v>2851</v>
      </c>
      <c r="E450" t="s">
        <v>2852</v>
      </c>
      <c r="G450" t="s">
        <v>2875</v>
      </c>
      <c r="H450" t="s">
        <v>22</v>
      </c>
      <c r="I450" t="s">
        <v>22</v>
      </c>
      <c r="J450" t="s">
        <v>17</v>
      </c>
      <c r="K450">
        <v>87.5</v>
      </c>
      <c r="L450">
        <v>113.5</v>
      </c>
    </row>
    <row r="451" spans="1:14" x14ac:dyDescent="0.3">
      <c r="A451">
        <v>1121520</v>
      </c>
      <c r="B451" t="s">
        <v>2850</v>
      </c>
      <c r="C451" t="s">
        <v>2425</v>
      </c>
      <c r="H451" t="s">
        <v>16</v>
      </c>
      <c r="I451" t="s">
        <v>16</v>
      </c>
      <c r="J451" t="s">
        <v>17</v>
      </c>
      <c r="K451">
        <v>0</v>
      </c>
      <c r="L451">
        <v>0</v>
      </c>
    </row>
    <row r="452" spans="1:14" x14ac:dyDescent="0.3">
      <c r="A452">
        <v>1121520</v>
      </c>
      <c r="B452" t="s">
        <v>2850</v>
      </c>
      <c r="C452" t="s">
        <v>2426</v>
      </c>
      <c r="D452" t="s">
        <v>2876</v>
      </c>
      <c r="E452" t="s">
        <v>2877</v>
      </c>
      <c r="G452" t="s">
        <v>2878</v>
      </c>
      <c r="H452" t="s">
        <v>22</v>
      </c>
      <c r="I452" t="s">
        <v>22</v>
      </c>
      <c r="J452" t="s">
        <v>17</v>
      </c>
      <c r="K452">
        <v>90</v>
      </c>
      <c r="L452">
        <v>109</v>
      </c>
    </row>
    <row r="453" spans="1:14" x14ac:dyDescent="0.3">
      <c r="A453">
        <v>1121520</v>
      </c>
      <c r="B453" t="s">
        <v>2850</v>
      </c>
      <c r="C453" t="s">
        <v>2426</v>
      </c>
      <c r="D453" t="s">
        <v>2876</v>
      </c>
      <c r="E453" t="s">
        <v>2877</v>
      </c>
      <c r="G453" t="s">
        <v>2878</v>
      </c>
      <c r="H453" t="s">
        <v>22</v>
      </c>
      <c r="I453" t="s">
        <v>22</v>
      </c>
      <c r="J453" t="s">
        <v>17</v>
      </c>
      <c r="K453">
        <v>90</v>
      </c>
      <c r="L453">
        <v>109</v>
      </c>
    </row>
    <row r="454" spans="1:14" x14ac:dyDescent="0.3">
      <c r="A454">
        <v>1121520</v>
      </c>
      <c r="B454" t="s">
        <v>2850</v>
      </c>
      <c r="C454" t="s">
        <v>2426</v>
      </c>
      <c r="D454" t="s">
        <v>2876</v>
      </c>
      <c r="E454" t="s">
        <v>2877</v>
      </c>
      <c r="G454" t="s">
        <v>2878</v>
      </c>
      <c r="H454" t="s">
        <v>22</v>
      </c>
      <c r="I454" t="s">
        <v>22</v>
      </c>
      <c r="J454" t="s">
        <v>17</v>
      </c>
      <c r="K454">
        <v>90</v>
      </c>
      <c r="L454">
        <v>109</v>
      </c>
    </row>
    <row r="455" spans="1:14" x14ac:dyDescent="0.3">
      <c r="A455">
        <v>1121520</v>
      </c>
      <c r="B455" t="s">
        <v>2850</v>
      </c>
      <c r="C455" t="s">
        <v>2427</v>
      </c>
      <c r="H455" t="s">
        <v>16</v>
      </c>
      <c r="I455" t="s">
        <v>16</v>
      </c>
      <c r="J455" t="s">
        <v>17</v>
      </c>
      <c r="K455">
        <v>0</v>
      </c>
      <c r="L455">
        <v>0</v>
      </c>
    </row>
    <row r="456" spans="1:14" x14ac:dyDescent="0.3">
      <c r="A456">
        <v>1121520</v>
      </c>
      <c r="B456" t="s">
        <v>2850</v>
      </c>
      <c r="C456" t="s">
        <v>2428</v>
      </c>
      <c r="H456" t="s">
        <v>16</v>
      </c>
      <c r="I456" t="s">
        <v>16</v>
      </c>
      <c r="J456" t="s">
        <v>17</v>
      </c>
      <c r="K456">
        <v>0</v>
      </c>
      <c r="L456">
        <v>0</v>
      </c>
    </row>
    <row r="457" spans="1:14" x14ac:dyDescent="0.3">
      <c r="A457">
        <v>1121520</v>
      </c>
      <c r="B457" t="s">
        <v>2850</v>
      </c>
      <c r="C457" t="s">
        <v>2429</v>
      </c>
      <c r="H457" t="s">
        <v>16</v>
      </c>
      <c r="I457" t="s">
        <v>16</v>
      </c>
      <c r="J457" t="s">
        <v>17</v>
      </c>
      <c r="K457">
        <v>0</v>
      </c>
      <c r="L457">
        <v>0</v>
      </c>
    </row>
    <row r="458" spans="1:14" x14ac:dyDescent="0.3">
      <c r="A458">
        <v>1121520</v>
      </c>
      <c r="B458" t="s">
        <v>2850</v>
      </c>
      <c r="C458" t="s">
        <v>2430</v>
      </c>
      <c r="D458" t="s">
        <v>2430</v>
      </c>
      <c r="E458" t="s">
        <v>2879</v>
      </c>
      <c r="H458" t="s">
        <v>22</v>
      </c>
      <c r="I458" t="s">
        <v>22</v>
      </c>
      <c r="J458" t="s">
        <v>17</v>
      </c>
      <c r="K458">
        <v>100</v>
      </c>
      <c r="L458">
        <v>114</v>
      </c>
      <c r="M458" t="s">
        <v>338</v>
      </c>
      <c r="N458" t="s">
        <v>339</v>
      </c>
    </row>
    <row r="459" spans="1:14" x14ac:dyDescent="0.3">
      <c r="A459">
        <v>1121520</v>
      </c>
      <c r="B459" t="s">
        <v>2850</v>
      </c>
      <c r="C459" t="s">
        <v>2431</v>
      </c>
      <c r="D459" t="s">
        <v>2431</v>
      </c>
      <c r="E459" t="s">
        <v>2880</v>
      </c>
      <c r="H459" t="s">
        <v>22</v>
      </c>
      <c r="I459" t="s">
        <v>22</v>
      </c>
      <c r="J459" t="s">
        <v>17</v>
      </c>
      <c r="K459">
        <v>100</v>
      </c>
      <c r="L459">
        <v>113</v>
      </c>
      <c r="M459" t="s">
        <v>245</v>
      </c>
      <c r="N459" t="s">
        <v>246</v>
      </c>
    </row>
    <row r="460" spans="1:14" x14ac:dyDescent="0.3">
      <c r="A460">
        <v>1126502</v>
      </c>
      <c r="B460" t="s">
        <v>2881</v>
      </c>
      <c r="C460" t="s">
        <v>2432</v>
      </c>
      <c r="D460" t="s">
        <v>2432</v>
      </c>
      <c r="E460" t="s">
        <v>2882</v>
      </c>
      <c r="H460" t="s">
        <v>22</v>
      </c>
      <c r="I460" t="s">
        <v>22</v>
      </c>
      <c r="J460" t="s">
        <v>17</v>
      </c>
      <c r="K460">
        <v>100</v>
      </c>
      <c r="L460">
        <v>110</v>
      </c>
      <c r="M460" t="s">
        <v>2038</v>
      </c>
      <c r="N460" t="s">
        <v>2039</v>
      </c>
    </row>
    <row r="461" spans="1:14" x14ac:dyDescent="0.3">
      <c r="A461">
        <v>1126502</v>
      </c>
      <c r="B461" t="s">
        <v>2881</v>
      </c>
      <c r="C461" t="s">
        <v>2433</v>
      </c>
      <c r="D461" t="s">
        <v>2883</v>
      </c>
      <c r="E461" t="s">
        <v>2884</v>
      </c>
      <c r="G461" t="s">
        <v>2885</v>
      </c>
      <c r="H461" t="s">
        <v>22</v>
      </c>
      <c r="I461" t="s">
        <v>22</v>
      </c>
      <c r="J461" t="s">
        <v>17</v>
      </c>
      <c r="K461">
        <v>91.7</v>
      </c>
      <c r="L461">
        <v>106</v>
      </c>
    </row>
    <row r="462" spans="1:14" x14ac:dyDescent="0.3">
      <c r="A462">
        <v>1126502</v>
      </c>
      <c r="B462" t="s">
        <v>2881</v>
      </c>
      <c r="C462" t="s">
        <v>2434</v>
      </c>
      <c r="D462" t="s">
        <v>2434</v>
      </c>
      <c r="E462" t="s">
        <v>2886</v>
      </c>
      <c r="H462" t="s">
        <v>22</v>
      </c>
      <c r="I462" t="s">
        <v>22</v>
      </c>
      <c r="J462" t="s">
        <v>17</v>
      </c>
      <c r="K462">
        <v>100</v>
      </c>
      <c r="L462">
        <v>114</v>
      </c>
      <c r="M462" t="s">
        <v>2887</v>
      </c>
      <c r="N462" t="s">
        <v>2888</v>
      </c>
    </row>
    <row r="463" spans="1:14" x14ac:dyDescent="0.3">
      <c r="A463">
        <v>1126502</v>
      </c>
      <c r="B463" t="s">
        <v>2881</v>
      </c>
      <c r="C463" t="s">
        <v>2435</v>
      </c>
      <c r="D463" t="s">
        <v>2889</v>
      </c>
      <c r="E463" t="s">
        <v>2890</v>
      </c>
      <c r="H463" t="s">
        <v>22</v>
      </c>
      <c r="I463" t="s">
        <v>22</v>
      </c>
      <c r="J463" t="s">
        <v>17</v>
      </c>
      <c r="K463">
        <v>73.7</v>
      </c>
      <c r="L463">
        <v>46.2</v>
      </c>
      <c r="M463" t="s">
        <v>2891</v>
      </c>
      <c r="N463" t="s">
        <v>2892</v>
      </c>
    </row>
    <row r="464" spans="1:14" x14ac:dyDescent="0.3">
      <c r="A464">
        <v>1126502</v>
      </c>
      <c r="B464" t="s">
        <v>2881</v>
      </c>
      <c r="C464" t="s">
        <v>2436</v>
      </c>
      <c r="H464" t="s">
        <v>16</v>
      </c>
      <c r="I464" t="s">
        <v>16</v>
      </c>
      <c r="J464" t="s">
        <v>17</v>
      </c>
      <c r="K464">
        <v>0</v>
      </c>
      <c r="L464">
        <v>0</v>
      </c>
    </row>
    <row r="465" spans="1:12" x14ac:dyDescent="0.3">
      <c r="A465">
        <v>1126502</v>
      </c>
      <c r="B465" t="s">
        <v>2881</v>
      </c>
      <c r="C465" t="s">
        <v>2437</v>
      </c>
      <c r="D465" t="s">
        <v>2893</v>
      </c>
      <c r="E465" t="s">
        <v>2894</v>
      </c>
      <c r="G465" t="s">
        <v>2895</v>
      </c>
      <c r="H465" t="s">
        <v>46</v>
      </c>
      <c r="I465" t="s">
        <v>46</v>
      </c>
      <c r="J465" t="s">
        <v>17</v>
      </c>
      <c r="K465">
        <v>100</v>
      </c>
      <c r="L465">
        <v>50</v>
      </c>
    </row>
    <row r="466" spans="1:12" x14ac:dyDescent="0.3">
      <c r="A466">
        <v>1126502</v>
      </c>
      <c r="B466" t="s">
        <v>2881</v>
      </c>
      <c r="C466" t="s">
        <v>2437</v>
      </c>
      <c r="D466" t="s">
        <v>2893</v>
      </c>
      <c r="E466" t="s">
        <v>2894</v>
      </c>
      <c r="G466" t="s">
        <v>2896</v>
      </c>
      <c r="H466" t="s">
        <v>46</v>
      </c>
      <c r="I466" t="s">
        <v>46</v>
      </c>
      <c r="J466" t="s">
        <v>17</v>
      </c>
      <c r="K466">
        <v>100</v>
      </c>
      <c r="L466">
        <v>50</v>
      </c>
    </row>
    <row r="467" spans="1:12" x14ac:dyDescent="0.3">
      <c r="A467">
        <v>1126502</v>
      </c>
      <c r="B467" t="s">
        <v>2881</v>
      </c>
      <c r="C467" t="s">
        <v>2437</v>
      </c>
      <c r="D467" t="s">
        <v>2893</v>
      </c>
      <c r="E467" t="s">
        <v>2894</v>
      </c>
      <c r="G467" t="s">
        <v>2897</v>
      </c>
      <c r="H467" t="s">
        <v>46</v>
      </c>
      <c r="I467" t="s">
        <v>46</v>
      </c>
      <c r="J467" t="s">
        <v>17</v>
      </c>
      <c r="K467">
        <v>100</v>
      </c>
      <c r="L467">
        <v>50</v>
      </c>
    </row>
    <row r="468" spans="1:12" x14ac:dyDescent="0.3">
      <c r="A468">
        <v>1126502</v>
      </c>
      <c r="B468" t="s">
        <v>2881</v>
      </c>
      <c r="C468" t="s">
        <v>2437</v>
      </c>
      <c r="D468" t="s">
        <v>2893</v>
      </c>
      <c r="E468" t="s">
        <v>2894</v>
      </c>
      <c r="G468" t="s">
        <v>2898</v>
      </c>
      <c r="H468" t="s">
        <v>46</v>
      </c>
      <c r="I468" t="s">
        <v>46</v>
      </c>
      <c r="J468" t="s">
        <v>17</v>
      </c>
      <c r="K468">
        <v>100</v>
      </c>
      <c r="L468">
        <v>50</v>
      </c>
    </row>
    <row r="469" spans="1:12" x14ac:dyDescent="0.3">
      <c r="A469">
        <v>1126502</v>
      </c>
      <c r="B469" t="s">
        <v>2881</v>
      </c>
      <c r="C469" t="s">
        <v>2437</v>
      </c>
      <c r="D469" t="s">
        <v>2893</v>
      </c>
      <c r="E469" t="s">
        <v>2894</v>
      </c>
      <c r="G469" t="s">
        <v>2899</v>
      </c>
      <c r="H469" t="s">
        <v>46</v>
      </c>
      <c r="I469" t="s">
        <v>46</v>
      </c>
      <c r="J469" t="s">
        <v>17</v>
      </c>
      <c r="K469">
        <v>100</v>
      </c>
      <c r="L469">
        <v>50</v>
      </c>
    </row>
    <row r="470" spans="1:12" x14ac:dyDescent="0.3">
      <c r="A470">
        <v>1126502</v>
      </c>
      <c r="B470" t="s">
        <v>2881</v>
      </c>
      <c r="C470" t="s">
        <v>2437</v>
      </c>
      <c r="D470" t="s">
        <v>2893</v>
      </c>
      <c r="E470" t="s">
        <v>2894</v>
      </c>
      <c r="G470" t="s">
        <v>2900</v>
      </c>
      <c r="H470" t="s">
        <v>46</v>
      </c>
      <c r="I470" t="s">
        <v>46</v>
      </c>
      <c r="J470" t="s">
        <v>17</v>
      </c>
      <c r="K470">
        <v>100</v>
      </c>
      <c r="L470">
        <v>50</v>
      </c>
    </row>
    <row r="471" spans="1:12" x14ac:dyDescent="0.3">
      <c r="A471">
        <v>1126502</v>
      </c>
      <c r="B471" t="s">
        <v>2881</v>
      </c>
      <c r="C471" t="s">
        <v>2437</v>
      </c>
      <c r="D471" t="s">
        <v>2893</v>
      </c>
      <c r="E471" t="s">
        <v>2894</v>
      </c>
      <c r="G471" t="s">
        <v>2901</v>
      </c>
      <c r="H471" t="s">
        <v>46</v>
      </c>
      <c r="I471" t="s">
        <v>46</v>
      </c>
      <c r="J471" t="s">
        <v>17</v>
      </c>
      <c r="K471">
        <v>100</v>
      </c>
      <c r="L471">
        <v>50</v>
      </c>
    </row>
    <row r="472" spans="1:12" x14ac:dyDescent="0.3">
      <c r="A472">
        <v>1126502</v>
      </c>
      <c r="B472" t="s">
        <v>2881</v>
      </c>
      <c r="C472" t="s">
        <v>2437</v>
      </c>
      <c r="D472" t="s">
        <v>2893</v>
      </c>
      <c r="E472" t="s">
        <v>2894</v>
      </c>
      <c r="G472" t="s">
        <v>2902</v>
      </c>
      <c r="H472" t="s">
        <v>46</v>
      </c>
      <c r="I472" t="s">
        <v>46</v>
      </c>
      <c r="J472" t="s">
        <v>17</v>
      </c>
      <c r="K472">
        <v>100</v>
      </c>
      <c r="L472">
        <v>50</v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790F97A-9F12-4569-BEC5-B0873F0701C9}">
  <dimension ref="A1:H105"/>
  <sheetViews>
    <sheetView workbookViewId="0">
      <selection activeCell="F1" sqref="F1:G6"/>
    </sheetView>
  </sheetViews>
  <sheetFormatPr defaultRowHeight="14.4" x14ac:dyDescent="0.3"/>
  <cols>
    <col min="1" max="1" width="27.109375" customWidth="1"/>
    <col min="2" max="4" width="23" customWidth="1"/>
  </cols>
  <sheetData>
    <row r="1" spans="1:8" x14ac:dyDescent="0.3">
      <c r="A1" t="s">
        <v>2</v>
      </c>
      <c r="B1" t="s">
        <v>2333</v>
      </c>
      <c r="C1" t="s">
        <v>2334</v>
      </c>
      <c r="D1" t="s">
        <v>2335</v>
      </c>
      <c r="F1" t="s">
        <v>538</v>
      </c>
      <c r="G1">
        <v>20</v>
      </c>
    </row>
    <row r="2" spans="1:8" x14ac:dyDescent="0.3">
      <c r="A2" t="s">
        <v>2336</v>
      </c>
      <c r="B2" t="s">
        <v>521</v>
      </c>
      <c r="C2" t="s">
        <v>17</v>
      </c>
      <c r="D2" t="s">
        <v>17</v>
      </c>
      <c r="F2" t="s">
        <v>539</v>
      </c>
      <c r="G2">
        <v>104</v>
      </c>
    </row>
    <row r="3" spans="1:8" x14ac:dyDescent="0.3">
      <c r="A3" t="s">
        <v>2337</v>
      </c>
      <c r="B3" t="s">
        <v>2338</v>
      </c>
      <c r="C3" t="s">
        <v>53</v>
      </c>
      <c r="D3" t="s">
        <v>17</v>
      </c>
      <c r="F3" t="s">
        <v>521</v>
      </c>
      <c r="G3">
        <v>78</v>
      </c>
      <c r="H3" s="3">
        <v>0.75</v>
      </c>
    </row>
    <row r="4" spans="1:8" x14ac:dyDescent="0.3">
      <c r="A4" t="s">
        <v>2339</v>
      </c>
      <c r="B4" t="s">
        <v>521</v>
      </c>
      <c r="C4" t="s">
        <v>17</v>
      </c>
      <c r="D4" t="s">
        <v>17</v>
      </c>
      <c r="F4" t="s">
        <v>2338</v>
      </c>
      <c r="G4">
        <v>26</v>
      </c>
      <c r="H4" s="3">
        <v>0.25</v>
      </c>
    </row>
    <row r="5" spans="1:8" x14ac:dyDescent="0.3">
      <c r="A5" t="s">
        <v>2340</v>
      </c>
      <c r="B5" t="s">
        <v>2338</v>
      </c>
      <c r="C5" t="s">
        <v>53</v>
      </c>
      <c r="D5" t="s">
        <v>17</v>
      </c>
      <c r="F5" t="s">
        <v>533</v>
      </c>
      <c r="G5">
        <v>50</v>
      </c>
      <c r="H5" s="3">
        <v>0.48</v>
      </c>
    </row>
    <row r="6" spans="1:8" x14ac:dyDescent="0.3">
      <c r="A6" t="s">
        <v>2341</v>
      </c>
      <c r="B6" t="s">
        <v>2338</v>
      </c>
      <c r="C6" t="s">
        <v>17</v>
      </c>
      <c r="D6" t="s">
        <v>17</v>
      </c>
      <c r="F6" t="s">
        <v>536</v>
      </c>
      <c r="G6">
        <v>5</v>
      </c>
      <c r="H6" s="3">
        <v>0.05</v>
      </c>
    </row>
    <row r="7" spans="1:8" x14ac:dyDescent="0.3">
      <c r="A7" t="s">
        <v>2342</v>
      </c>
      <c r="B7" t="s">
        <v>521</v>
      </c>
      <c r="C7" t="s">
        <v>17</v>
      </c>
      <c r="D7" t="s">
        <v>17</v>
      </c>
    </row>
    <row r="8" spans="1:8" x14ac:dyDescent="0.3">
      <c r="A8" t="s">
        <v>2343</v>
      </c>
      <c r="B8" t="s">
        <v>2338</v>
      </c>
      <c r="C8" t="s">
        <v>53</v>
      </c>
      <c r="D8" t="s">
        <v>17</v>
      </c>
    </row>
    <row r="9" spans="1:8" x14ac:dyDescent="0.3">
      <c r="A9" t="s">
        <v>2344</v>
      </c>
      <c r="B9" t="s">
        <v>521</v>
      </c>
      <c r="C9" t="s">
        <v>17</v>
      </c>
      <c r="D9" t="s">
        <v>17</v>
      </c>
    </row>
    <row r="10" spans="1:8" x14ac:dyDescent="0.3">
      <c r="A10" t="s">
        <v>2345</v>
      </c>
      <c r="B10" t="s">
        <v>2338</v>
      </c>
      <c r="C10" t="s">
        <v>53</v>
      </c>
      <c r="D10" t="s">
        <v>17</v>
      </c>
    </row>
    <row r="11" spans="1:8" x14ac:dyDescent="0.3">
      <c r="A11" t="s">
        <v>2346</v>
      </c>
      <c r="B11" t="s">
        <v>521</v>
      </c>
      <c r="C11" t="s">
        <v>53</v>
      </c>
      <c r="D11" t="s">
        <v>53</v>
      </c>
    </row>
    <row r="12" spans="1:8" x14ac:dyDescent="0.3">
      <c r="A12" t="s">
        <v>2347</v>
      </c>
      <c r="B12" t="s">
        <v>2338</v>
      </c>
      <c r="C12" t="s">
        <v>53</v>
      </c>
      <c r="D12" t="s">
        <v>17</v>
      </c>
    </row>
    <row r="13" spans="1:8" x14ac:dyDescent="0.3">
      <c r="A13" t="s">
        <v>2348</v>
      </c>
      <c r="B13" t="s">
        <v>521</v>
      </c>
      <c r="C13" t="s">
        <v>53</v>
      </c>
      <c r="D13" t="s">
        <v>17</v>
      </c>
    </row>
    <row r="14" spans="1:8" x14ac:dyDescent="0.3">
      <c r="A14" t="s">
        <v>2349</v>
      </c>
      <c r="B14" t="s">
        <v>2338</v>
      </c>
      <c r="C14" t="s">
        <v>17</v>
      </c>
      <c r="D14" t="s">
        <v>17</v>
      </c>
    </row>
    <row r="15" spans="1:8" x14ac:dyDescent="0.3">
      <c r="A15" t="s">
        <v>2350</v>
      </c>
      <c r="B15" t="s">
        <v>521</v>
      </c>
      <c r="C15" t="s">
        <v>53</v>
      </c>
      <c r="D15" t="s">
        <v>17</v>
      </c>
    </row>
    <row r="16" spans="1:8" x14ac:dyDescent="0.3">
      <c r="A16" t="s">
        <v>2351</v>
      </c>
      <c r="B16" t="s">
        <v>521</v>
      </c>
      <c r="C16" t="s">
        <v>53</v>
      </c>
      <c r="D16" t="s">
        <v>17</v>
      </c>
    </row>
    <row r="17" spans="1:4" x14ac:dyDescent="0.3">
      <c r="A17" t="s">
        <v>2352</v>
      </c>
      <c r="B17" t="s">
        <v>521</v>
      </c>
      <c r="C17" t="s">
        <v>17</v>
      </c>
      <c r="D17" t="s">
        <v>17</v>
      </c>
    </row>
    <row r="18" spans="1:4" x14ac:dyDescent="0.3">
      <c r="A18" t="s">
        <v>2353</v>
      </c>
      <c r="B18" t="s">
        <v>521</v>
      </c>
      <c r="C18" t="s">
        <v>17</v>
      </c>
      <c r="D18" t="s">
        <v>17</v>
      </c>
    </row>
    <row r="19" spans="1:4" x14ac:dyDescent="0.3">
      <c r="A19" t="s">
        <v>2354</v>
      </c>
      <c r="B19" t="s">
        <v>521</v>
      </c>
      <c r="C19" t="s">
        <v>17</v>
      </c>
      <c r="D19" t="s">
        <v>17</v>
      </c>
    </row>
    <row r="20" spans="1:4" x14ac:dyDescent="0.3">
      <c r="A20" t="s">
        <v>2355</v>
      </c>
      <c r="B20" t="s">
        <v>2338</v>
      </c>
      <c r="C20" t="s">
        <v>53</v>
      </c>
      <c r="D20" t="s">
        <v>17</v>
      </c>
    </row>
    <row r="21" spans="1:4" x14ac:dyDescent="0.3">
      <c r="A21" t="s">
        <v>2356</v>
      </c>
      <c r="B21" t="s">
        <v>2338</v>
      </c>
      <c r="C21" t="s">
        <v>53</v>
      </c>
      <c r="D21" t="s">
        <v>17</v>
      </c>
    </row>
    <row r="22" spans="1:4" x14ac:dyDescent="0.3">
      <c r="A22" t="s">
        <v>2357</v>
      </c>
      <c r="B22" t="s">
        <v>2338</v>
      </c>
      <c r="C22" t="s">
        <v>53</v>
      </c>
      <c r="D22" t="s">
        <v>17</v>
      </c>
    </row>
    <row r="23" spans="1:4" x14ac:dyDescent="0.3">
      <c r="A23" t="s">
        <v>2358</v>
      </c>
      <c r="B23" t="s">
        <v>521</v>
      </c>
      <c r="C23" t="s">
        <v>53</v>
      </c>
      <c r="D23" t="s">
        <v>17</v>
      </c>
    </row>
    <row r="24" spans="1:4" x14ac:dyDescent="0.3">
      <c r="A24" t="s">
        <v>2359</v>
      </c>
      <c r="B24" t="s">
        <v>2338</v>
      </c>
      <c r="C24" t="s">
        <v>53</v>
      </c>
      <c r="D24" t="s">
        <v>17</v>
      </c>
    </row>
    <row r="25" spans="1:4" x14ac:dyDescent="0.3">
      <c r="A25" t="s">
        <v>2360</v>
      </c>
      <c r="B25" t="s">
        <v>521</v>
      </c>
      <c r="C25" t="s">
        <v>53</v>
      </c>
      <c r="D25" t="s">
        <v>53</v>
      </c>
    </row>
    <row r="26" spans="1:4" x14ac:dyDescent="0.3">
      <c r="A26" t="s">
        <v>2361</v>
      </c>
      <c r="B26" t="s">
        <v>521</v>
      </c>
      <c r="C26" t="s">
        <v>17</v>
      </c>
      <c r="D26" t="s">
        <v>17</v>
      </c>
    </row>
    <row r="27" spans="1:4" x14ac:dyDescent="0.3">
      <c r="A27" t="s">
        <v>2362</v>
      </c>
      <c r="B27" t="s">
        <v>521</v>
      </c>
      <c r="C27" t="s">
        <v>53</v>
      </c>
      <c r="D27" t="s">
        <v>53</v>
      </c>
    </row>
    <row r="28" spans="1:4" x14ac:dyDescent="0.3">
      <c r="A28" t="s">
        <v>2363</v>
      </c>
      <c r="B28" t="s">
        <v>521</v>
      </c>
      <c r="C28" t="s">
        <v>53</v>
      </c>
      <c r="D28" t="s">
        <v>17</v>
      </c>
    </row>
    <row r="29" spans="1:4" x14ac:dyDescent="0.3">
      <c r="A29" t="s">
        <v>2364</v>
      </c>
      <c r="B29" t="s">
        <v>521</v>
      </c>
      <c r="C29" t="s">
        <v>53</v>
      </c>
      <c r="D29" t="s">
        <v>17</v>
      </c>
    </row>
    <row r="30" spans="1:4" x14ac:dyDescent="0.3">
      <c r="A30" t="s">
        <v>2365</v>
      </c>
      <c r="B30" t="s">
        <v>521</v>
      </c>
      <c r="C30" t="s">
        <v>17</v>
      </c>
      <c r="D30" t="s">
        <v>17</v>
      </c>
    </row>
    <row r="31" spans="1:4" x14ac:dyDescent="0.3">
      <c r="A31" t="s">
        <v>2366</v>
      </c>
      <c r="B31" t="s">
        <v>521</v>
      </c>
      <c r="C31" t="s">
        <v>53</v>
      </c>
      <c r="D31" t="s">
        <v>17</v>
      </c>
    </row>
    <row r="32" spans="1:4" x14ac:dyDescent="0.3">
      <c r="A32" t="s">
        <v>2367</v>
      </c>
      <c r="B32" t="s">
        <v>2338</v>
      </c>
      <c r="C32" t="s">
        <v>53</v>
      </c>
      <c r="D32" t="s">
        <v>17</v>
      </c>
    </row>
    <row r="33" spans="1:4" x14ac:dyDescent="0.3">
      <c r="A33" t="s">
        <v>2368</v>
      </c>
      <c r="B33" t="s">
        <v>521</v>
      </c>
      <c r="C33" t="s">
        <v>17</v>
      </c>
      <c r="D33" t="s">
        <v>17</v>
      </c>
    </row>
    <row r="34" spans="1:4" x14ac:dyDescent="0.3">
      <c r="A34" t="s">
        <v>2369</v>
      </c>
      <c r="B34" t="s">
        <v>2338</v>
      </c>
      <c r="C34" t="s">
        <v>17</v>
      </c>
      <c r="D34" t="s">
        <v>17</v>
      </c>
    </row>
    <row r="35" spans="1:4" x14ac:dyDescent="0.3">
      <c r="A35" t="s">
        <v>2370</v>
      </c>
      <c r="B35" t="s">
        <v>521</v>
      </c>
      <c r="C35" t="s">
        <v>17</v>
      </c>
      <c r="D35" t="s">
        <v>17</v>
      </c>
    </row>
    <row r="36" spans="1:4" x14ac:dyDescent="0.3">
      <c r="A36" t="s">
        <v>2371</v>
      </c>
      <c r="B36" t="s">
        <v>521</v>
      </c>
      <c r="C36" t="s">
        <v>17</v>
      </c>
      <c r="D36" t="s">
        <v>17</v>
      </c>
    </row>
    <row r="37" spans="1:4" x14ac:dyDescent="0.3">
      <c r="A37" t="s">
        <v>2372</v>
      </c>
      <c r="B37" t="s">
        <v>2338</v>
      </c>
      <c r="C37" t="s">
        <v>53</v>
      </c>
      <c r="D37" t="s">
        <v>17</v>
      </c>
    </row>
    <row r="38" spans="1:4" x14ac:dyDescent="0.3">
      <c r="A38" t="s">
        <v>2373</v>
      </c>
      <c r="B38" t="s">
        <v>2338</v>
      </c>
      <c r="C38" t="s">
        <v>53</v>
      </c>
      <c r="D38" t="s">
        <v>17</v>
      </c>
    </row>
    <row r="39" spans="1:4" x14ac:dyDescent="0.3">
      <c r="A39" t="s">
        <v>2362</v>
      </c>
      <c r="B39" t="s">
        <v>521</v>
      </c>
      <c r="C39" t="s">
        <v>53</v>
      </c>
      <c r="D39" t="s">
        <v>53</v>
      </c>
    </row>
    <row r="40" spans="1:4" x14ac:dyDescent="0.3">
      <c r="A40" t="s">
        <v>2374</v>
      </c>
      <c r="B40" t="s">
        <v>521</v>
      </c>
      <c r="C40" t="s">
        <v>53</v>
      </c>
      <c r="D40" t="s">
        <v>53</v>
      </c>
    </row>
    <row r="41" spans="1:4" x14ac:dyDescent="0.3">
      <c r="A41" t="s">
        <v>2375</v>
      </c>
      <c r="B41" t="s">
        <v>521</v>
      </c>
      <c r="C41" t="s">
        <v>53</v>
      </c>
      <c r="D41" t="s">
        <v>17</v>
      </c>
    </row>
    <row r="42" spans="1:4" x14ac:dyDescent="0.3">
      <c r="A42" t="s">
        <v>2376</v>
      </c>
      <c r="B42" t="s">
        <v>521</v>
      </c>
      <c r="C42" t="s">
        <v>17</v>
      </c>
      <c r="D42" t="s">
        <v>17</v>
      </c>
    </row>
    <row r="43" spans="1:4" x14ac:dyDescent="0.3">
      <c r="A43" t="s">
        <v>2377</v>
      </c>
      <c r="B43" t="s">
        <v>521</v>
      </c>
      <c r="C43" t="s">
        <v>17</v>
      </c>
      <c r="D43" t="s">
        <v>17</v>
      </c>
    </row>
    <row r="44" spans="1:4" x14ac:dyDescent="0.3">
      <c r="A44" t="s">
        <v>2378</v>
      </c>
      <c r="B44" t="s">
        <v>521</v>
      </c>
      <c r="C44" t="s">
        <v>17</v>
      </c>
      <c r="D44" t="s">
        <v>17</v>
      </c>
    </row>
    <row r="45" spans="1:4" x14ac:dyDescent="0.3">
      <c r="A45" t="s">
        <v>2379</v>
      </c>
      <c r="B45" t="s">
        <v>2338</v>
      </c>
      <c r="C45" t="s">
        <v>53</v>
      </c>
      <c r="D45" t="s">
        <v>17</v>
      </c>
    </row>
    <row r="46" spans="1:4" x14ac:dyDescent="0.3">
      <c r="A46" t="s">
        <v>2380</v>
      </c>
      <c r="B46" t="s">
        <v>521</v>
      </c>
      <c r="C46" t="s">
        <v>53</v>
      </c>
      <c r="D46" t="s">
        <v>17</v>
      </c>
    </row>
    <row r="47" spans="1:4" x14ac:dyDescent="0.3">
      <c r="A47" t="s">
        <v>2381</v>
      </c>
      <c r="B47" t="s">
        <v>2338</v>
      </c>
      <c r="C47" t="s">
        <v>53</v>
      </c>
      <c r="D47" t="s">
        <v>17</v>
      </c>
    </row>
    <row r="48" spans="1:4" x14ac:dyDescent="0.3">
      <c r="A48" t="s">
        <v>2382</v>
      </c>
      <c r="B48" t="s">
        <v>521</v>
      </c>
      <c r="C48" t="s">
        <v>17</v>
      </c>
      <c r="D48" t="s">
        <v>17</v>
      </c>
    </row>
    <row r="49" spans="1:4" x14ac:dyDescent="0.3">
      <c r="A49" t="s">
        <v>2383</v>
      </c>
      <c r="B49" t="s">
        <v>521</v>
      </c>
      <c r="C49" t="s">
        <v>17</v>
      </c>
      <c r="D49" t="s">
        <v>17</v>
      </c>
    </row>
    <row r="50" spans="1:4" x14ac:dyDescent="0.3">
      <c r="A50" t="s">
        <v>2384</v>
      </c>
      <c r="B50" t="s">
        <v>521</v>
      </c>
      <c r="C50" t="s">
        <v>17</v>
      </c>
      <c r="D50" t="s">
        <v>17</v>
      </c>
    </row>
    <row r="51" spans="1:4" x14ac:dyDescent="0.3">
      <c r="A51" t="s">
        <v>2385</v>
      </c>
      <c r="B51" t="s">
        <v>521</v>
      </c>
      <c r="C51" t="s">
        <v>17</v>
      </c>
      <c r="D51" t="s">
        <v>17</v>
      </c>
    </row>
    <row r="52" spans="1:4" x14ac:dyDescent="0.3">
      <c r="A52" t="s">
        <v>2386</v>
      </c>
      <c r="B52" t="s">
        <v>521</v>
      </c>
      <c r="C52" t="s">
        <v>17</v>
      </c>
      <c r="D52" t="s">
        <v>17</v>
      </c>
    </row>
    <row r="53" spans="1:4" x14ac:dyDescent="0.3">
      <c r="A53" t="s">
        <v>2387</v>
      </c>
      <c r="B53" t="s">
        <v>521</v>
      </c>
      <c r="C53" t="s">
        <v>53</v>
      </c>
      <c r="D53" t="s">
        <v>17</v>
      </c>
    </row>
    <row r="54" spans="1:4" x14ac:dyDescent="0.3">
      <c r="A54" t="s">
        <v>2388</v>
      </c>
      <c r="B54" t="s">
        <v>521</v>
      </c>
      <c r="C54" t="s">
        <v>17</v>
      </c>
      <c r="D54" t="s">
        <v>17</v>
      </c>
    </row>
    <row r="55" spans="1:4" x14ac:dyDescent="0.3">
      <c r="A55" t="s">
        <v>2389</v>
      </c>
      <c r="B55" t="s">
        <v>521</v>
      </c>
      <c r="C55" t="s">
        <v>17</v>
      </c>
      <c r="D55" t="s">
        <v>17</v>
      </c>
    </row>
    <row r="56" spans="1:4" x14ac:dyDescent="0.3">
      <c r="A56" t="s">
        <v>2390</v>
      </c>
      <c r="B56" t="s">
        <v>521</v>
      </c>
      <c r="C56" t="s">
        <v>53</v>
      </c>
      <c r="D56" t="s">
        <v>17</v>
      </c>
    </row>
    <row r="57" spans="1:4" x14ac:dyDescent="0.3">
      <c r="A57" t="s">
        <v>2391</v>
      </c>
      <c r="B57" t="s">
        <v>521</v>
      </c>
      <c r="C57" t="s">
        <v>17</v>
      </c>
      <c r="D57" t="s">
        <v>17</v>
      </c>
    </row>
    <row r="58" spans="1:4" x14ac:dyDescent="0.3">
      <c r="A58" t="s">
        <v>2392</v>
      </c>
      <c r="B58" t="s">
        <v>2338</v>
      </c>
      <c r="C58" t="s">
        <v>17</v>
      </c>
      <c r="D58" t="s">
        <v>17</v>
      </c>
    </row>
    <row r="59" spans="1:4" x14ac:dyDescent="0.3">
      <c r="A59" t="s">
        <v>2393</v>
      </c>
      <c r="B59" t="s">
        <v>521</v>
      </c>
      <c r="C59" t="s">
        <v>53</v>
      </c>
      <c r="D59" t="s">
        <v>17</v>
      </c>
    </row>
    <row r="60" spans="1:4" x14ac:dyDescent="0.3">
      <c r="A60" t="s">
        <v>2394</v>
      </c>
      <c r="B60" t="s">
        <v>521</v>
      </c>
      <c r="C60" t="s">
        <v>53</v>
      </c>
      <c r="D60" t="s">
        <v>17</v>
      </c>
    </row>
    <row r="61" spans="1:4" x14ac:dyDescent="0.3">
      <c r="A61" t="s">
        <v>2395</v>
      </c>
      <c r="B61" t="s">
        <v>521</v>
      </c>
      <c r="C61" t="s">
        <v>17</v>
      </c>
      <c r="D61" t="s">
        <v>17</v>
      </c>
    </row>
    <row r="62" spans="1:4" x14ac:dyDescent="0.3">
      <c r="A62" t="s">
        <v>2396</v>
      </c>
      <c r="B62" t="s">
        <v>521</v>
      </c>
      <c r="C62" t="s">
        <v>17</v>
      </c>
      <c r="D62" t="s">
        <v>17</v>
      </c>
    </row>
    <row r="63" spans="1:4" x14ac:dyDescent="0.3">
      <c r="A63" t="s">
        <v>2397</v>
      </c>
      <c r="B63" t="s">
        <v>521</v>
      </c>
      <c r="C63" t="s">
        <v>17</v>
      </c>
      <c r="D63" t="s">
        <v>17</v>
      </c>
    </row>
    <row r="64" spans="1:4" x14ac:dyDescent="0.3">
      <c r="A64" t="s">
        <v>2398</v>
      </c>
      <c r="B64" t="s">
        <v>521</v>
      </c>
      <c r="C64" t="s">
        <v>53</v>
      </c>
      <c r="D64" t="s">
        <v>17</v>
      </c>
    </row>
    <row r="65" spans="1:4" x14ac:dyDescent="0.3">
      <c r="A65" t="s">
        <v>2399</v>
      </c>
      <c r="B65" t="s">
        <v>521</v>
      </c>
      <c r="C65" t="s">
        <v>53</v>
      </c>
      <c r="D65" t="s">
        <v>17</v>
      </c>
    </row>
    <row r="66" spans="1:4" x14ac:dyDescent="0.3">
      <c r="A66" t="s">
        <v>2400</v>
      </c>
      <c r="B66" t="s">
        <v>521</v>
      </c>
      <c r="C66" t="s">
        <v>53</v>
      </c>
      <c r="D66" t="s">
        <v>17</v>
      </c>
    </row>
    <row r="67" spans="1:4" x14ac:dyDescent="0.3">
      <c r="A67" t="s">
        <v>2401</v>
      </c>
      <c r="B67" t="s">
        <v>521</v>
      </c>
      <c r="C67" t="s">
        <v>17</v>
      </c>
      <c r="D67" t="s">
        <v>17</v>
      </c>
    </row>
    <row r="68" spans="1:4" x14ac:dyDescent="0.3">
      <c r="A68" t="s">
        <v>2402</v>
      </c>
      <c r="B68" t="s">
        <v>521</v>
      </c>
      <c r="C68" t="s">
        <v>17</v>
      </c>
      <c r="D68" t="s">
        <v>17</v>
      </c>
    </row>
    <row r="69" spans="1:4" x14ac:dyDescent="0.3">
      <c r="A69" t="s">
        <v>2397</v>
      </c>
      <c r="B69" t="s">
        <v>521</v>
      </c>
      <c r="C69" t="s">
        <v>17</v>
      </c>
      <c r="D69" t="s">
        <v>17</v>
      </c>
    </row>
    <row r="70" spans="1:4" x14ac:dyDescent="0.3">
      <c r="A70" t="s">
        <v>2403</v>
      </c>
      <c r="B70" t="s">
        <v>521</v>
      </c>
      <c r="C70" t="s">
        <v>53</v>
      </c>
      <c r="D70" t="s">
        <v>17</v>
      </c>
    </row>
    <row r="71" spans="1:4" x14ac:dyDescent="0.3">
      <c r="A71" t="s">
        <v>2404</v>
      </c>
      <c r="B71" t="s">
        <v>2338</v>
      </c>
      <c r="C71" t="s">
        <v>17</v>
      </c>
      <c r="D71" t="s">
        <v>17</v>
      </c>
    </row>
    <row r="72" spans="1:4" x14ac:dyDescent="0.3">
      <c r="A72" t="s">
        <v>2405</v>
      </c>
      <c r="B72" t="s">
        <v>521</v>
      </c>
      <c r="C72" t="s">
        <v>53</v>
      </c>
      <c r="D72" t="s">
        <v>17</v>
      </c>
    </row>
    <row r="73" spans="1:4" x14ac:dyDescent="0.3">
      <c r="A73" t="s">
        <v>1090</v>
      </c>
      <c r="B73" t="s">
        <v>521</v>
      </c>
      <c r="C73" t="s">
        <v>53</v>
      </c>
      <c r="D73" t="s">
        <v>17</v>
      </c>
    </row>
    <row r="74" spans="1:4" x14ac:dyDescent="0.3">
      <c r="A74" t="s">
        <v>2406</v>
      </c>
      <c r="B74" t="s">
        <v>521</v>
      </c>
      <c r="C74" t="s">
        <v>17</v>
      </c>
      <c r="D74" t="s">
        <v>17</v>
      </c>
    </row>
    <row r="75" spans="1:4" x14ac:dyDescent="0.3">
      <c r="A75" t="s">
        <v>2407</v>
      </c>
      <c r="B75" t="s">
        <v>2338</v>
      </c>
      <c r="C75" t="s">
        <v>53</v>
      </c>
      <c r="D75" t="s">
        <v>17</v>
      </c>
    </row>
    <row r="76" spans="1:4" x14ac:dyDescent="0.3">
      <c r="A76" t="s">
        <v>2408</v>
      </c>
      <c r="B76" t="s">
        <v>521</v>
      </c>
      <c r="C76" t="s">
        <v>53</v>
      </c>
      <c r="D76" t="s">
        <v>17</v>
      </c>
    </row>
    <row r="77" spans="1:4" x14ac:dyDescent="0.3">
      <c r="A77" t="s">
        <v>2409</v>
      </c>
      <c r="B77" t="s">
        <v>2338</v>
      </c>
      <c r="C77" t="s">
        <v>17</v>
      </c>
      <c r="D77" t="s">
        <v>17</v>
      </c>
    </row>
    <row r="78" spans="1:4" x14ac:dyDescent="0.3">
      <c r="A78" t="s">
        <v>2410</v>
      </c>
      <c r="B78" t="s">
        <v>521</v>
      </c>
      <c r="C78" t="s">
        <v>17</v>
      </c>
      <c r="D78" t="s">
        <v>17</v>
      </c>
    </row>
    <row r="79" spans="1:4" x14ac:dyDescent="0.3">
      <c r="A79" t="s">
        <v>2411</v>
      </c>
      <c r="B79" t="s">
        <v>2338</v>
      </c>
      <c r="C79" t="s">
        <v>53</v>
      </c>
      <c r="D79" t="s">
        <v>17</v>
      </c>
    </row>
    <row r="80" spans="1:4" x14ac:dyDescent="0.3">
      <c r="A80" t="s">
        <v>2412</v>
      </c>
      <c r="B80" t="s">
        <v>521</v>
      </c>
      <c r="C80" t="s">
        <v>53</v>
      </c>
      <c r="D80" t="s">
        <v>17</v>
      </c>
    </row>
    <row r="81" spans="1:4" x14ac:dyDescent="0.3">
      <c r="A81" t="s">
        <v>2413</v>
      </c>
      <c r="B81" t="s">
        <v>521</v>
      </c>
      <c r="C81" t="s">
        <v>17</v>
      </c>
      <c r="D81" t="s">
        <v>17</v>
      </c>
    </row>
    <row r="82" spans="1:4" x14ac:dyDescent="0.3">
      <c r="A82" t="s">
        <v>2414</v>
      </c>
      <c r="B82" t="s">
        <v>2338</v>
      </c>
      <c r="C82" t="s">
        <v>53</v>
      </c>
      <c r="D82" t="s">
        <v>17</v>
      </c>
    </row>
    <row r="83" spans="1:4" x14ac:dyDescent="0.3">
      <c r="A83" t="s">
        <v>2415</v>
      </c>
      <c r="B83" t="s">
        <v>2338</v>
      </c>
      <c r="C83" t="s">
        <v>53</v>
      </c>
      <c r="D83" t="s">
        <v>17</v>
      </c>
    </row>
    <row r="84" spans="1:4" x14ac:dyDescent="0.3">
      <c r="A84" t="s">
        <v>2416</v>
      </c>
      <c r="B84" t="s">
        <v>521</v>
      </c>
      <c r="C84" t="s">
        <v>17</v>
      </c>
      <c r="D84" t="s">
        <v>17</v>
      </c>
    </row>
    <row r="85" spans="1:4" x14ac:dyDescent="0.3">
      <c r="A85" t="s">
        <v>2417</v>
      </c>
      <c r="B85" t="s">
        <v>521</v>
      </c>
      <c r="C85" t="s">
        <v>53</v>
      </c>
      <c r="D85" t="s">
        <v>17</v>
      </c>
    </row>
    <row r="86" spans="1:4" x14ac:dyDescent="0.3">
      <c r="A86" t="s">
        <v>2418</v>
      </c>
      <c r="B86" t="s">
        <v>521</v>
      </c>
      <c r="C86" t="s">
        <v>53</v>
      </c>
      <c r="D86" t="s">
        <v>17</v>
      </c>
    </row>
    <row r="87" spans="1:4" x14ac:dyDescent="0.3">
      <c r="A87" t="s">
        <v>2419</v>
      </c>
      <c r="B87" t="s">
        <v>521</v>
      </c>
      <c r="C87" t="s">
        <v>53</v>
      </c>
      <c r="D87" t="s">
        <v>17</v>
      </c>
    </row>
    <row r="88" spans="1:4" x14ac:dyDescent="0.3">
      <c r="A88" t="s">
        <v>2420</v>
      </c>
      <c r="B88" t="s">
        <v>521</v>
      </c>
      <c r="C88" t="s">
        <v>17</v>
      </c>
      <c r="D88" t="s">
        <v>17</v>
      </c>
    </row>
    <row r="89" spans="1:4" x14ac:dyDescent="0.3">
      <c r="A89" t="s">
        <v>2421</v>
      </c>
      <c r="B89" t="s">
        <v>521</v>
      </c>
      <c r="C89" t="s">
        <v>53</v>
      </c>
      <c r="D89" t="s">
        <v>17</v>
      </c>
    </row>
    <row r="90" spans="1:4" x14ac:dyDescent="0.3">
      <c r="A90" t="s">
        <v>2422</v>
      </c>
      <c r="B90" t="s">
        <v>521</v>
      </c>
      <c r="C90" t="s">
        <v>17</v>
      </c>
      <c r="D90" t="s">
        <v>17</v>
      </c>
    </row>
    <row r="91" spans="1:4" x14ac:dyDescent="0.3">
      <c r="A91" t="s">
        <v>2423</v>
      </c>
      <c r="B91" t="s">
        <v>521</v>
      </c>
      <c r="C91" t="s">
        <v>17</v>
      </c>
      <c r="D91" t="s">
        <v>17</v>
      </c>
    </row>
    <row r="92" spans="1:4" x14ac:dyDescent="0.3">
      <c r="A92" t="s">
        <v>2424</v>
      </c>
      <c r="B92" t="s">
        <v>521</v>
      </c>
      <c r="C92" t="s">
        <v>53</v>
      </c>
      <c r="D92" t="s">
        <v>17</v>
      </c>
    </row>
    <row r="93" spans="1:4" x14ac:dyDescent="0.3">
      <c r="A93" t="s">
        <v>2425</v>
      </c>
      <c r="B93" t="s">
        <v>521</v>
      </c>
      <c r="C93" t="s">
        <v>17</v>
      </c>
      <c r="D93" t="s">
        <v>17</v>
      </c>
    </row>
    <row r="94" spans="1:4" x14ac:dyDescent="0.3">
      <c r="A94" t="s">
        <v>2426</v>
      </c>
      <c r="B94" t="s">
        <v>521</v>
      </c>
      <c r="C94" t="s">
        <v>53</v>
      </c>
      <c r="D94" t="s">
        <v>17</v>
      </c>
    </row>
    <row r="95" spans="1:4" x14ac:dyDescent="0.3">
      <c r="A95" t="s">
        <v>2427</v>
      </c>
      <c r="B95" t="s">
        <v>521</v>
      </c>
      <c r="C95" t="s">
        <v>17</v>
      </c>
      <c r="D95" t="s">
        <v>17</v>
      </c>
    </row>
    <row r="96" spans="1:4" x14ac:dyDescent="0.3">
      <c r="A96" t="s">
        <v>2428</v>
      </c>
      <c r="B96" t="s">
        <v>521</v>
      </c>
      <c r="C96" t="s">
        <v>17</v>
      </c>
      <c r="D96" t="s">
        <v>17</v>
      </c>
    </row>
    <row r="97" spans="1:4" x14ac:dyDescent="0.3">
      <c r="A97" t="s">
        <v>2429</v>
      </c>
      <c r="B97" t="s">
        <v>521</v>
      </c>
      <c r="C97" t="s">
        <v>17</v>
      </c>
      <c r="D97" t="s">
        <v>17</v>
      </c>
    </row>
    <row r="98" spans="1:4" x14ac:dyDescent="0.3">
      <c r="A98" t="s">
        <v>2430</v>
      </c>
      <c r="B98" t="s">
        <v>521</v>
      </c>
      <c r="C98" t="s">
        <v>53</v>
      </c>
      <c r="D98" t="s">
        <v>17</v>
      </c>
    </row>
    <row r="99" spans="1:4" x14ac:dyDescent="0.3">
      <c r="A99" t="s">
        <v>2431</v>
      </c>
      <c r="B99" t="s">
        <v>521</v>
      </c>
      <c r="C99" t="s">
        <v>53</v>
      </c>
      <c r="D99" t="s">
        <v>17</v>
      </c>
    </row>
    <row r="100" spans="1:4" x14ac:dyDescent="0.3">
      <c r="A100" t="s">
        <v>2432</v>
      </c>
      <c r="B100" t="s">
        <v>2338</v>
      </c>
      <c r="C100" t="s">
        <v>53</v>
      </c>
      <c r="D100" t="s">
        <v>17</v>
      </c>
    </row>
    <row r="101" spans="1:4" x14ac:dyDescent="0.3">
      <c r="A101" t="s">
        <v>2433</v>
      </c>
      <c r="B101" t="s">
        <v>521</v>
      </c>
      <c r="C101" t="s">
        <v>53</v>
      </c>
      <c r="D101" t="s">
        <v>17</v>
      </c>
    </row>
    <row r="102" spans="1:4" x14ac:dyDescent="0.3">
      <c r="A102" t="s">
        <v>2434</v>
      </c>
      <c r="B102" t="s">
        <v>2338</v>
      </c>
      <c r="C102" t="s">
        <v>53</v>
      </c>
      <c r="D102" t="s">
        <v>17</v>
      </c>
    </row>
    <row r="103" spans="1:4" x14ac:dyDescent="0.3">
      <c r="A103" t="s">
        <v>2435</v>
      </c>
      <c r="B103" t="s">
        <v>521</v>
      </c>
      <c r="C103" t="s">
        <v>53</v>
      </c>
      <c r="D103" t="s">
        <v>17</v>
      </c>
    </row>
    <row r="104" spans="1:4" x14ac:dyDescent="0.3">
      <c r="A104" t="s">
        <v>2436</v>
      </c>
      <c r="B104" t="s">
        <v>521</v>
      </c>
      <c r="C104" t="s">
        <v>17</v>
      </c>
      <c r="D104" t="s">
        <v>17</v>
      </c>
    </row>
    <row r="105" spans="1:4" x14ac:dyDescent="0.3">
      <c r="A105" t="s">
        <v>2437</v>
      </c>
      <c r="B105" t="s">
        <v>521</v>
      </c>
      <c r="C105" t="s">
        <v>53</v>
      </c>
      <c r="D105" t="s">
        <v>17</v>
      </c>
    </row>
  </sheetData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CCF7029-76A5-4FFE-9621-EE89E4349242}">
  <dimension ref="A1:S329"/>
  <sheetViews>
    <sheetView topLeftCell="G1" workbookViewId="0">
      <selection activeCell="G6" sqref="G6"/>
    </sheetView>
  </sheetViews>
  <sheetFormatPr defaultRowHeight="14.4" x14ac:dyDescent="0.3"/>
  <cols>
    <col min="1" max="1" width="8" bestFit="1" customWidth="1"/>
    <col min="2" max="2" width="56.33203125" customWidth="1"/>
    <col min="3" max="3" width="25.33203125" customWidth="1"/>
    <col min="4" max="4" width="13.6640625" customWidth="1"/>
    <col min="5" max="5" width="14" bestFit="1" customWidth="1"/>
    <col min="6" max="6" width="10.5546875" bestFit="1" customWidth="1"/>
    <col min="7" max="7" width="195.33203125" customWidth="1"/>
    <col min="8" max="8" width="13.44140625" hidden="1" customWidth="1"/>
    <col min="9" max="9" width="13.6640625" hidden="1" customWidth="1"/>
    <col min="10" max="10" width="18.5546875" hidden="1" customWidth="1"/>
    <col min="11" max="11" width="16.33203125" hidden="1" customWidth="1"/>
    <col min="12" max="12" width="13.88671875" hidden="1" customWidth="1"/>
    <col min="13" max="13" width="51" hidden="1" customWidth="1"/>
    <col min="14" max="14" width="62.5546875" hidden="1" customWidth="1"/>
    <col min="15" max="15" width="15.33203125" bestFit="1" customWidth="1"/>
    <col min="16" max="16" width="11.109375" bestFit="1" customWidth="1"/>
    <col min="17" max="17" width="35.33203125" bestFit="1" customWidth="1"/>
    <col min="18" max="18" width="13.6640625" bestFit="1" customWidth="1"/>
    <col min="19" max="19" width="13.5546875" bestFit="1" customWidth="1"/>
  </cols>
  <sheetData>
    <row r="1" spans="1:19" x14ac:dyDescent="0.3">
      <c r="A1" t="s">
        <v>0</v>
      </c>
      <c r="B1" t="s">
        <v>1</v>
      </c>
      <c r="C1" t="s">
        <v>2</v>
      </c>
      <c r="D1" t="s">
        <v>3</v>
      </c>
      <c r="E1" t="s">
        <v>4</v>
      </c>
      <c r="F1" t="s">
        <v>5</v>
      </c>
      <c r="G1" t="s">
        <v>6</v>
      </c>
      <c r="H1" t="s">
        <v>7</v>
      </c>
      <c r="I1" t="s">
        <v>8</v>
      </c>
      <c r="J1" t="s">
        <v>9</v>
      </c>
      <c r="K1" t="s">
        <v>10</v>
      </c>
      <c r="L1" t="s">
        <v>11</v>
      </c>
      <c r="M1" t="s">
        <v>12</v>
      </c>
      <c r="N1" t="s">
        <v>13</v>
      </c>
      <c r="O1" t="s">
        <v>1819</v>
      </c>
      <c r="P1" t="s">
        <v>1818</v>
      </c>
      <c r="Q1" t="s">
        <v>1817</v>
      </c>
      <c r="R1" t="s">
        <v>1816</v>
      </c>
      <c r="S1" t="s">
        <v>1815</v>
      </c>
    </row>
    <row r="2" spans="1:19" x14ac:dyDescent="0.3">
      <c r="A2">
        <v>1023779</v>
      </c>
      <c r="B2" t="s">
        <v>1820</v>
      </c>
      <c r="C2" t="s">
        <v>1821</v>
      </c>
      <c r="D2" t="s">
        <v>1822</v>
      </c>
      <c r="E2" t="s">
        <v>1822</v>
      </c>
      <c r="F2" t="s">
        <v>1822</v>
      </c>
      <c r="G2" t="s">
        <v>1822</v>
      </c>
      <c r="H2" t="s">
        <v>16</v>
      </c>
      <c r="I2" t="s">
        <v>16</v>
      </c>
      <c r="J2" t="s">
        <v>17</v>
      </c>
      <c r="K2">
        <v>0</v>
      </c>
      <c r="L2">
        <v>0</v>
      </c>
      <c r="M2" t="s">
        <v>1822</v>
      </c>
      <c r="N2" t="s">
        <v>1822</v>
      </c>
      <c r="O2" t="s">
        <v>1764</v>
      </c>
      <c r="P2" t="s">
        <v>1743</v>
      </c>
      <c r="Q2" t="s">
        <v>1823</v>
      </c>
      <c r="R2" s="43">
        <f>COUNTIF(O2:O329,"*YES*")/COUNTA(O2:O329)</f>
        <v>0.82317073170731703</v>
      </c>
      <c r="S2" s="43">
        <f>COUNTIF(P2:P329,"*YES*")/COUNTA(P2:P329)</f>
        <v>0.25304878048780488</v>
      </c>
    </row>
    <row r="3" spans="1:19" x14ac:dyDescent="0.3">
      <c r="A3">
        <v>1023779</v>
      </c>
      <c r="B3" t="s">
        <v>1820</v>
      </c>
      <c r="C3" t="s">
        <v>1824</v>
      </c>
      <c r="D3" t="s">
        <v>1822</v>
      </c>
      <c r="E3" t="s">
        <v>1822</v>
      </c>
      <c r="F3" t="s">
        <v>1822</v>
      </c>
      <c r="G3" t="s">
        <v>1822</v>
      </c>
      <c r="H3" t="s">
        <v>16</v>
      </c>
      <c r="I3" t="s">
        <v>16</v>
      </c>
      <c r="J3" t="s">
        <v>17</v>
      </c>
      <c r="K3">
        <v>0</v>
      </c>
      <c r="L3">
        <v>0</v>
      </c>
      <c r="M3" t="s">
        <v>1822</v>
      </c>
      <c r="N3" t="s">
        <v>1822</v>
      </c>
      <c r="O3" t="s">
        <v>1764</v>
      </c>
      <c r="P3" t="s">
        <v>1743</v>
      </c>
      <c r="Q3" s="20" t="s">
        <v>1823</v>
      </c>
      <c r="R3" s="43"/>
      <c r="S3" s="43"/>
    </row>
    <row r="4" spans="1:19" x14ac:dyDescent="0.3">
      <c r="A4">
        <v>1023779</v>
      </c>
      <c r="B4" t="s">
        <v>1820</v>
      </c>
      <c r="C4" t="s">
        <v>1825</v>
      </c>
      <c r="D4" t="s">
        <v>1822</v>
      </c>
      <c r="E4" t="s">
        <v>1822</v>
      </c>
      <c r="F4" t="s">
        <v>1822</v>
      </c>
      <c r="G4" t="s">
        <v>1822</v>
      </c>
      <c r="H4" t="s">
        <v>16</v>
      </c>
      <c r="I4" t="s">
        <v>16</v>
      </c>
      <c r="J4" t="s">
        <v>17</v>
      </c>
      <c r="K4">
        <v>0</v>
      </c>
      <c r="L4">
        <v>0</v>
      </c>
      <c r="M4" t="s">
        <v>1822</v>
      </c>
      <c r="N4" t="s">
        <v>1822</v>
      </c>
      <c r="O4" t="s">
        <v>1790</v>
      </c>
      <c r="P4" t="s">
        <v>1743</v>
      </c>
      <c r="Q4" t="s">
        <v>1826</v>
      </c>
      <c r="R4" s="43"/>
      <c r="S4" s="43"/>
    </row>
    <row r="5" spans="1:19" x14ac:dyDescent="0.3">
      <c r="A5">
        <v>1023779</v>
      </c>
      <c r="B5" t="s">
        <v>1820</v>
      </c>
      <c r="C5" t="s">
        <v>1827</v>
      </c>
      <c r="D5" t="s">
        <v>1828</v>
      </c>
      <c r="E5" t="s">
        <v>1829</v>
      </c>
      <c r="F5" t="s">
        <v>1822</v>
      </c>
      <c r="G5" t="s">
        <v>1830</v>
      </c>
      <c r="H5" t="s">
        <v>46</v>
      </c>
      <c r="I5" t="s">
        <v>46</v>
      </c>
      <c r="J5" t="s">
        <v>17</v>
      </c>
      <c r="K5">
        <v>1000</v>
      </c>
      <c r="L5">
        <v>500</v>
      </c>
      <c r="M5" t="s">
        <v>1822</v>
      </c>
      <c r="N5" t="s">
        <v>1822</v>
      </c>
      <c r="O5" t="s">
        <v>1764</v>
      </c>
      <c r="P5" t="s">
        <v>1743</v>
      </c>
      <c r="Q5" s="44" t="s">
        <v>1831</v>
      </c>
      <c r="R5" s="43"/>
      <c r="S5" s="43"/>
    </row>
    <row r="6" spans="1:19" x14ac:dyDescent="0.3">
      <c r="A6">
        <v>1023779</v>
      </c>
      <c r="B6" t="s">
        <v>1820</v>
      </c>
      <c r="C6" t="s">
        <v>1827</v>
      </c>
      <c r="D6" t="s">
        <v>1828</v>
      </c>
      <c r="E6" t="s">
        <v>1829</v>
      </c>
      <c r="F6" t="s">
        <v>1822</v>
      </c>
      <c r="G6" t="s">
        <v>1832</v>
      </c>
      <c r="H6" t="s">
        <v>46</v>
      </c>
      <c r="I6" t="s">
        <v>46</v>
      </c>
      <c r="J6" t="s">
        <v>17</v>
      </c>
      <c r="K6">
        <v>1000</v>
      </c>
      <c r="L6">
        <v>500</v>
      </c>
      <c r="M6" t="s">
        <v>1822</v>
      </c>
      <c r="N6" t="s">
        <v>1822</v>
      </c>
      <c r="O6" t="s">
        <v>1764</v>
      </c>
      <c r="P6" t="s">
        <v>1743</v>
      </c>
      <c r="Q6" s="44"/>
      <c r="R6" s="43"/>
      <c r="S6" s="43"/>
    </row>
    <row r="7" spans="1:19" x14ac:dyDescent="0.3">
      <c r="A7">
        <v>1023779</v>
      </c>
      <c r="B7" t="s">
        <v>1820</v>
      </c>
      <c r="C7" t="s">
        <v>1827</v>
      </c>
      <c r="D7" t="s">
        <v>1828</v>
      </c>
      <c r="E7" t="s">
        <v>1829</v>
      </c>
      <c r="F7" t="s">
        <v>1822</v>
      </c>
      <c r="G7" t="s">
        <v>1833</v>
      </c>
      <c r="H7" t="s">
        <v>46</v>
      </c>
      <c r="I7" t="s">
        <v>46</v>
      </c>
      <c r="J7" t="s">
        <v>17</v>
      </c>
      <c r="K7">
        <v>1000</v>
      </c>
      <c r="L7">
        <v>500</v>
      </c>
      <c r="M7" t="s">
        <v>1822</v>
      </c>
      <c r="N7" t="s">
        <v>1822</v>
      </c>
      <c r="O7" t="s">
        <v>1764</v>
      </c>
      <c r="P7" t="s">
        <v>1743</v>
      </c>
      <c r="Q7" s="44"/>
      <c r="R7" s="43"/>
      <c r="S7" s="43"/>
    </row>
    <row r="8" spans="1:19" x14ac:dyDescent="0.3">
      <c r="A8">
        <v>1023779</v>
      </c>
      <c r="B8" t="s">
        <v>1820</v>
      </c>
      <c r="C8" t="s">
        <v>1827</v>
      </c>
      <c r="D8" t="s">
        <v>1828</v>
      </c>
      <c r="E8" t="s">
        <v>1829</v>
      </c>
      <c r="F8" t="s">
        <v>1822</v>
      </c>
      <c r="G8" t="s">
        <v>1834</v>
      </c>
      <c r="H8" t="s">
        <v>46</v>
      </c>
      <c r="I8" t="s">
        <v>46</v>
      </c>
      <c r="J8" t="s">
        <v>17</v>
      </c>
      <c r="K8">
        <v>1000</v>
      </c>
      <c r="L8">
        <v>500</v>
      </c>
      <c r="M8" t="s">
        <v>1822</v>
      </c>
      <c r="N8" t="s">
        <v>1822</v>
      </c>
      <c r="O8" t="s">
        <v>1764</v>
      </c>
      <c r="P8" t="s">
        <v>1743</v>
      </c>
      <c r="Q8" s="44"/>
      <c r="R8" s="43"/>
      <c r="S8" s="43"/>
    </row>
    <row r="9" spans="1:19" x14ac:dyDescent="0.3">
      <c r="A9">
        <v>1023779</v>
      </c>
      <c r="B9" t="s">
        <v>1820</v>
      </c>
      <c r="C9" t="s">
        <v>1827</v>
      </c>
      <c r="D9" t="s">
        <v>1828</v>
      </c>
      <c r="E9" t="s">
        <v>1829</v>
      </c>
      <c r="F9" t="s">
        <v>1822</v>
      </c>
      <c r="G9" t="s">
        <v>1835</v>
      </c>
      <c r="H9" t="s">
        <v>46</v>
      </c>
      <c r="I9" t="s">
        <v>46</v>
      </c>
      <c r="J9" t="s">
        <v>17</v>
      </c>
      <c r="K9">
        <v>1000</v>
      </c>
      <c r="L9">
        <v>500</v>
      </c>
      <c r="M9" t="s">
        <v>1822</v>
      </c>
      <c r="N9" t="s">
        <v>1822</v>
      </c>
      <c r="O9" t="s">
        <v>1764</v>
      </c>
      <c r="P9" t="s">
        <v>1743</v>
      </c>
      <c r="Q9" s="44"/>
      <c r="R9" s="43"/>
      <c r="S9" s="43"/>
    </row>
    <row r="10" spans="1:19" x14ac:dyDescent="0.3">
      <c r="A10">
        <v>1023779</v>
      </c>
      <c r="B10" t="s">
        <v>1820</v>
      </c>
      <c r="C10" t="s">
        <v>1827</v>
      </c>
      <c r="D10" t="s">
        <v>1828</v>
      </c>
      <c r="E10" t="s">
        <v>1829</v>
      </c>
      <c r="F10" t="s">
        <v>1822</v>
      </c>
      <c r="G10" t="s">
        <v>1836</v>
      </c>
      <c r="H10" t="s">
        <v>46</v>
      </c>
      <c r="I10" t="s">
        <v>46</v>
      </c>
      <c r="J10" t="s">
        <v>17</v>
      </c>
      <c r="K10">
        <v>1000</v>
      </c>
      <c r="L10">
        <v>500</v>
      </c>
      <c r="M10" t="s">
        <v>1822</v>
      </c>
      <c r="N10" t="s">
        <v>1822</v>
      </c>
      <c r="O10" t="s">
        <v>1764</v>
      </c>
      <c r="P10" t="s">
        <v>1743</v>
      </c>
      <c r="Q10" s="44"/>
      <c r="R10" s="43"/>
      <c r="S10" s="43"/>
    </row>
    <row r="11" spans="1:19" x14ac:dyDescent="0.3">
      <c r="A11">
        <v>1023779</v>
      </c>
      <c r="B11" t="s">
        <v>1820</v>
      </c>
      <c r="C11" t="s">
        <v>1827</v>
      </c>
      <c r="D11" t="s">
        <v>1828</v>
      </c>
      <c r="E11" t="s">
        <v>1829</v>
      </c>
      <c r="F11" t="s">
        <v>1822</v>
      </c>
      <c r="G11" t="s">
        <v>1837</v>
      </c>
      <c r="H11" t="s">
        <v>46</v>
      </c>
      <c r="I11" t="s">
        <v>46</v>
      </c>
      <c r="J11" t="s">
        <v>17</v>
      </c>
      <c r="K11">
        <v>1000</v>
      </c>
      <c r="L11">
        <v>500</v>
      </c>
      <c r="M11" t="s">
        <v>1822</v>
      </c>
      <c r="N11" t="s">
        <v>1822</v>
      </c>
      <c r="O11" t="s">
        <v>1764</v>
      </c>
      <c r="P11" t="s">
        <v>1743</v>
      </c>
      <c r="Q11" s="44"/>
      <c r="R11" s="43"/>
      <c r="S11" s="43"/>
    </row>
    <row r="12" spans="1:19" x14ac:dyDescent="0.3">
      <c r="A12">
        <v>1023779</v>
      </c>
      <c r="B12" t="s">
        <v>1820</v>
      </c>
      <c r="C12" t="s">
        <v>1827</v>
      </c>
      <c r="D12" t="s">
        <v>1828</v>
      </c>
      <c r="E12" t="s">
        <v>1829</v>
      </c>
      <c r="F12" t="s">
        <v>1822</v>
      </c>
      <c r="G12" t="s">
        <v>1838</v>
      </c>
      <c r="H12" t="s">
        <v>46</v>
      </c>
      <c r="I12" t="s">
        <v>46</v>
      </c>
      <c r="J12" t="s">
        <v>17</v>
      </c>
      <c r="K12">
        <v>1000</v>
      </c>
      <c r="L12">
        <v>500</v>
      </c>
      <c r="M12" t="s">
        <v>1822</v>
      </c>
      <c r="N12" t="s">
        <v>1822</v>
      </c>
      <c r="O12" t="s">
        <v>1764</v>
      </c>
      <c r="P12" t="s">
        <v>1743</v>
      </c>
      <c r="Q12" s="44"/>
      <c r="R12" s="43"/>
      <c r="S12" s="43"/>
    </row>
    <row r="13" spans="1:19" x14ac:dyDescent="0.3">
      <c r="A13">
        <v>1023779</v>
      </c>
      <c r="B13" t="s">
        <v>1820</v>
      </c>
      <c r="C13" t="s">
        <v>1827</v>
      </c>
      <c r="D13" t="s">
        <v>1828</v>
      </c>
      <c r="E13" t="s">
        <v>1829</v>
      </c>
      <c r="F13" t="s">
        <v>1822</v>
      </c>
      <c r="G13" t="s">
        <v>1839</v>
      </c>
      <c r="H13" t="s">
        <v>46</v>
      </c>
      <c r="I13" t="s">
        <v>46</v>
      </c>
      <c r="J13" t="s">
        <v>17</v>
      </c>
      <c r="K13">
        <v>1000</v>
      </c>
      <c r="L13">
        <v>500</v>
      </c>
      <c r="M13" t="s">
        <v>1822</v>
      </c>
      <c r="N13" t="s">
        <v>1822</v>
      </c>
      <c r="O13" t="s">
        <v>1764</v>
      </c>
      <c r="P13" t="s">
        <v>1743</v>
      </c>
      <c r="Q13" s="44"/>
      <c r="R13" s="43"/>
      <c r="S13" s="43"/>
    </row>
    <row r="14" spans="1:19" x14ac:dyDescent="0.3">
      <c r="A14">
        <v>1023779</v>
      </c>
      <c r="B14" t="s">
        <v>1820</v>
      </c>
      <c r="C14" t="s">
        <v>1827</v>
      </c>
      <c r="D14" t="s">
        <v>1828</v>
      </c>
      <c r="E14" t="s">
        <v>1829</v>
      </c>
      <c r="F14" t="s">
        <v>1822</v>
      </c>
      <c r="G14" t="s">
        <v>1840</v>
      </c>
      <c r="H14" t="s">
        <v>46</v>
      </c>
      <c r="I14" t="s">
        <v>46</v>
      </c>
      <c r="J14" t="s">
        <v>17</v>
      </c>
      <c r="K14">
        <v>1000</v>
      </c>
      <c r="L14">
        <v>500</v>
      </c>
      <c r="M14" t="s">
        <v>1822</v>
      </c>
      <c r="N14" t="s">
        <v>1822</v>
      </c>
      <c r="O14" t="s">
        <v>1764</v>
      </c>
      <c r="P14" t="s">
        <v>1743</v>
      </c>
      <c r="Q14" s="44"/>
      <c r="R14" s="43"/>
      <c r="S14" s="43"/>
    </row>
    <row r="15" spans="1:19" x14ac:dyDescent="0.3">
      <c r="A15">
        <v>1023779</v>
      </c>
      <c r="B15" t="s">
        <v>1820</v>
      </c>
      <c r="C15" t="s">
        <v>1827</v>
      </c>
      <c r="D15" t="s">
        <v>1828</v>
      </c>
      <c r="E15" t="s">
        <v>1829</v>
      </c>
      <c r="F15" t="s">
        <v>1822</v>
      </c>
      <c r="G15" t="s">
        <v>1841</v>
      </c>
      <c r="H15" t="s">
        <v>46</v>
      </c>
      <c r="I15" t="s">
        <v>46</v>
      </c>
      <c r="J15" t="s">
        <v>17</v>
      </c>
      <c r="K15">
        <v>1000</v>
      </c>
      <c r="L15">
        <v>500</v>
      </c>
      <c r="M15" t="s">
        <v>1822</v>
      </c>
      <c r="N15" t="s">
        <v>1822</v>
      </c>
      <c r="O15" t="s">
        <v>1764</v>
      </c>
      <c r="P15" t="s">
        <v>1743</v>
      </c>
      <c r="Q15" s="44"/>
      <c r="R15" s="43"/>
      <c r="S15" s="43"/>
    </row>
    <row r="16" spans="1:19" x14ac:dyDescent="0.3">
      <c r="A16">
        <v>1023779</v>
      </c>
      <c r="B16" t="s">
        <v>1820</v>
      </c>
      <c r="C16" t="s">
        <v>1827</v>
      </c>
      <c r="D16" t="s">
        <v>1828</v>
      </c>
      <c r="E16" t="s">
        <v>1829</v>
      </c>
      <c r="F16" t="s">
        <v>1822</v>
      </c>
      <c r="G16" t="s">
        <v>1842</v>
      </c>
      <c r="H16" t="s">
        <v>46</v>
      </c>
      <c r="I16" t="s">
        <v>46</v>
      </c>
      <c r="J16" t="s">
        <v>17</v>
      </c>
      <c r="K16">
        <v>1000</v>
      </c>
      <c r="L16">
        <v>500</v>
      </c>
      <c r="M16" t="s">
        <v>1822</v>
      </c>
      <c r="N16" t="s">
        <v>1822</v>
      </c>
      <c r="O16" t="s">
        <v>1764</v>
      </c>
      <c r="P16" t="s">
        <v>1743</v>
      </c>
      <c r="Q16" s="44"/>
      <c r="R16" s="43"/>
      <c r="S16" s="43"/>
    </row>
    <row r="17" spans="1:19" x14ac:dyDescent="0.3">
      <c r="A17">
        <v>1023779</v>
      </c>
      <c r="B17" t="s">
        <v>1820</v>
      </c>
      <c r="C17" t="s">
        <v>1827</v>
      </c>
      <c r="D17" t="s">
        <v>1828</v>
      </c>
      <c r="E17" t="s">
        <v>1829</v>
      </c>
      <c r="F17" t="s">
        <v>1822</v>
      </c>
      <c r="G17" t="s">
        <v>1843</v>
      </c>
      <c r="H17" t="s">
        <v>46</v>
      </c>
      <c r="I17" t="s">
        <v>46</v>
      </c>
      <c r="J17" t="s">
        <v>17</v>
      </c>
      <c r="K17">
        <v>1000</v>
      </c>
      <c r="L17">
        <v>500</v>
      </c>
      <c r="M17" t="s">
        <v>1822</v>
      </c>
      <c r="N17" t="s">
        <v>1822</v>
      </c>
      <c r="O17" t="s">
        <v>1764</v>
      </c>
      <c r="P17" t="s">
        <v>1743</v>
      </c>
      <c r="Q17" s="44"/>
      <c r="R17" s="43"/>
      <c r="S17" s="43"/>
    </row>
    <row r="18" spans="1:19" x14ac:dyDescent="0.3">
      <c r="A18">
        <v>1023779</v>
      </c>
      <c r="B18" t="s">
        <v>1820</v>
      </c>
      <c r="C18" t="s">
        <v>1827</v>
      </c>
      <c r="D18" t="s">
        <v>1828</v>
      </c>
      <c r="E18" t="s">
        <v>1829</v>
      </c>
      <c r="F18" t="s">
        <v>1822</v>
      </c>
      <c r="G18" t="s">
        <v>1844</v>
      </c>
      <c r="H18" t="s">
        <v>46</v>
      </c>
      <c r="I18" t="s">
        <v>46</v>
      </c>
      <c r="J18" t="s">
        <v>17</v>
      </c>
      <c r="K18">
        <v>1000</v>
      </c>
      <c r="L18">
        <v>500</v>
      </c>
      <c r="M18" t="s">
        <v>1822</v>
      </c>
      <c r="N18" t="s">
        <v>1822</v>
      </c>
      <c r="O18" t="s">
        <v>1764</v>
      </c>
      <c r="P18" t="s">
        <v>1743</v>
      </c>
      <c r="Q18" s="44"/>
      <c r="R18" s="43"/>
      <c r="S18" s="43"/>
    </row>
    <row r="19" spans="1:19" x14ac:dyDescent="0.3">
      <c r="A19">
        <v>1023779</v>
      </c>
      <c r="B19" t="s">
        <v>1820</v>
      </c>
      <c r="C19" t="s">
        <v>1827</v>
      </c>
      <c r="D19" t="s">
        <v>1828</v>
      </c>
      <c r="E19" t="s">
        <v>1829</v>
      </c>
      <c r="F19" t="s">
        <v>1822</v>
      </c>
      <c r="G19" t="s">
        <v>1845</v>
      </c>
      <c r="H19" t="s">
        <v>46</v>
      </c>
      <c r="I19" t="s">
        <v>46</v>
      </c>
      <c r="J19" t="s">
        <v>17</v>
      </c>
      <c r="K19">
        <v>1000</v>
      </c>
      <c r="L19">
        <v>500</v>
      </c>
      <c r="M19" t="s">
        <v>1822</v>
      </c>
      <c r="N19" t="s">
        <v>1822</v>
      </c>
      <c r="O19" t="s">
        <v>1764</v>
      </c>
      <c r="P19" t="s">
        <v>1743</v>
      </c>
      <c r="Q19" s="44"/>
      <c r="R19" s="43"/>
      <c r="S19" s="43"/>
    </row>
    <row r="20" spans="1:19" x14ac:dyDescent="0.3">
      <c r="A20">
        <v>1023779</v>
      </c>
      <c r="B20" t="s">
        <v>1820</v>
      </c>
      <c r="C20" t="s">
        <v>1827</v>
      </c>
      <c r="D20" t="s">
        <v>1828</v>
      </c>
      <c r="E20" t="s">
        <v>1829</v>
      </c>
      <c r="F20" t="s">
        <v>1822</v>
      </c>
      <c r="G20" t="s">
        <v>1846</v>
      </c>
      <c r="H20" t="s">
        <v>46</v>
      </c>
      <c r="I20" t="s">
        <v>46</v>
      </c>
      <c r="J20" t="s">
        <v>17</v>
      </c>
      <c r="K20">
        <v>1000</v>
      </c>
      <c r="L20">
        <v>500</v>
      </c>
      <c r="M20" t="s">
        <v>1822</v>
      </c>
      <c r="N20" t="s">
        <v>1822</v>
      </c>
      <c r="O20" t="s">
        <v>1764</v>
      </c>
      <c r="P20" t="s">
        <v>1743</v>
      </c>
      <c r="Q20" s="44"/>
      <c r="R20" s="43"/>
      <c r="S20" s="43"/>
    </row>
    <row r="21" spans="1:19" x14ac:dyDescent="0.3">
      <c r="A21">
        <v>1023779</v>
      </c>
      <c r="B21" t="s">
        <v>1820</v>
      </c>
      <c r="C21" t="s">
        <v>1847</v>
      </c>
      <c r="D21" t="s">
        <v>1822</v>
      </c>
      <c r="E21" t="s">
        <v>1822</v>
      </c>
      <c r="F21" t="s">
        <v>1822</v>
      </c>
      <c r="G21" t="s">
        <v>1822</v>
      </c>
      <c r="H21" t="s">
        <v>16</v>
      </c>
      <c r="I21" t="s">
        <v>16</v>
      </c>
      <c r="J21" t="s">
        <v>17</v>
      </c>
      <c r="K21">
        <v>0</v>
      </c>
      <c r="L21">
        <v>0</v>
      </c>
      <c r="M21" t="s">
        <v>1822</v>
      </c>
      <c r="N21" t="s">
        <v>1822</v>
      </c>
      <c r="O21" t="s">
        <v>1790</v>
      </c>
      <c r="P21" t="s">
        <v>1743</v>
      </c>
      <c r="Q21" t="s">
        <v>1848</v>
      </c>
      <c r="R21" s="43"/>
      <c r="S21" s="43"/>
    </row>
    <row r="22" spans="1:19" x14ac:dyDescent="0.3">
      <c r="A22">
        <v>1023779</v>
      </c>
      <c r="B22" t="s">
        <v>1820</v>
      </c>
      <c r="C22" t="s">
        <v>1849</v>
      </c>
      <c r="D22" t="s">
        <v>1822</v>
      </c>
      <c r="E22" t="s">
        <v>1822</v>
      </c>
      <c r="F22" t="s">
        <v>1822</v>
      </c>
      <c r="G22" t="s">
        <v>1822</v>
      </c>
      <c r="H22" t="s">
        <v>16</v>
      </c>
      <c r="I22" t="s">
        <v>16</v>
      </c>
      <c r="J22" t="s">
        <v>17</v>
      </c>
      <c r="K22">
        <v>0</v>
      </c>
      <c r="L22">
        <v>0</v>
      </c>
      <c r="M22" t="s">
        <v>1822</v>
      </c>
      <c r="N22" t="s">
        <v>1822</v>
      </c>
      <c r="O22" t="s">
        <v>1764</v>
      </c>
      <c r="P22" t="s">
        <v>1743</v>
      </c>
      <c r="Q22" t="s">
        <v>1850</v>
      </c>
      <c r="R22" s="43"/>
      <c r="S22" s="43"/>
    </row>
    <row r="23" spans="1:19" x14ac:dyDescent="0.3">
      <c r="A23">
        <v>1023779</v>
      </c>
      <c r="B23" t="s">
        <v>1820</v>
      </c>
      <c r="C23" t="s">
        <v>1851</v>
      </c>
      <c r="D23" t="s">
        <v>1851</v>
      </c>
      <c r="E23" t="s">
        <v>1852</v>
      </c>
      <c r="F23">
        <v>162726316</v>
      </c>
      <c r="G23" t="s">
        <v>1822</v>
      </c>
      <c r="H23" t="s">
        <v>22</v>
      </c>
      <c r="I23" t="s">
        <v>22</v>
      </c>
      <c r="J23" t="s">
        <v>17</v>
      </c>
      <c r="K23">
        <v>1000</v>
      </c>
      <c r="L23">
        <v>1430</v>
      </c>
      <c r="M23" t="s">
        <v>1853</v>
      </c>
      <c r="N23" t="s">
        <v>1854</v>
      </c>
      <c r="O23" t="s">
        <v>1764</v>
      </c>
      <c r="P23" t="s">
        <v>1743</v>
      </c>
      <c r="Q23" t="s">
        <v>1855</v>
      </c>
      <c r="R23" s="43"/>
      <c r="S23" s="43"/>
    </row>
    <row r="24" spans="1:19" x14ac:dyDescent="0.3">
      <c r="A24">
        <v>1023779</v>
      </c>
      <c r="B24" t="s">
        <v>1820</v>
      </c>
      <c r="C24" t="s">
        <v>1856</v>
      </c>
      <c r="D24" t="s">
        <v>1856</v>
      </c>
      <c r="E24" t="s">
        <v>1857</v>
      </c>
      <c r="F24" t="s">
        <v>1822</v>
      </c>
      <c r="G24" t="s">
        <v>1822</v>
      </c>
      <c r="H24" t="s">
        <v>22</v>
      </c>
      <c r="I24" t="s">
        <v>22</v>
      </c>
      <c r="J24" t="s">
        <v>17</v>
      </c>
      <c r="K24">
        <v>1000</v>
      </c>
      <c r="L24">
        <v>1150</v>
      </c>
      <c r="M24" t="s">
        <v>1858</v>
      </c>
      <c r="N24" t="s">
        <v>1859</v>
      </c>
      <c r="O24" t="s">
        <v>1764</v>
      </c>
      <c r="P24" t="s">
        <v>1743</v>
      </c>
      <c r="R24" s="43"/>
      <c r="S24" s="43"/>
    </row>
    <row r="25" spans="1:19" x14ac:dyDescent="0.3">
      <c r="A25">
        <v>1023779</v>
      </c>
      <c r="B25" t="s">
        <v>1820</v>
      </c>
      <c r="C25" t="s">
        <v>1860</v>
      </c>
      <c r="D25" t="s">
        <v>1860</v>
      </c>
      <c r="E25" t="s">
        <v>1861</v>
      </c>
      <c r="F25">
        <v>119432557</v>
      </c>
      <c r="G25" t="s">
        <v>1822</v>
      </c>
      <c r="H25" t="s">
        <v>22</v>
      </c>
      <c r="I25" t="s">
        <v>22</v>
      </c>
      <c r="J25" t="s">
        <v>17</v>
      </c>
      <c r="K25">
        <v>1000</v>
      </c>
      <c r="L25">
        <v>1160</v>
      </c>
      <c r="M25" t="s">
        <v>1862</v>
      </c>
      <c r="N25" t="s">
        <v>1863</v>
      </c>
      <c r="O25" t="s">
        <v>1764</v>
      </c>
      <c r="P25" t="s">
        <v>1743</v>
      </c>
      <c r="Q25" t="s">
        <v>1855</v>
      </c>
      <c r="R25" s="43"/>
      <c r="S25" s="43"/>
    </row>
    <row r="26" spans="1:19" x14ac:dyDescent="0.3">
      <c r="A26">
        <v>1023779</v>
      </c>
      <c r="B26" t="s">
        <v>1820</v>
      </c>
      <c r="C26" t="s">
        <v>1864</v>
      </c>
      <c r="D26" t="s">
        <v>1864</v>
      </c>
      <c r="E26" t="s">
        <v>1865</v>
      </c>
      <c r="F26" t="s">
        <v>1822</v>
      </c>
      <c r="G26" t="s">
        <v>1822</v>
      </c>
      <c r="H26" t="s">
        <v>22</v>
      </c>
      <c r="I26" t="s">
        <v>22</v>
      </c>
      <c r="J26" t="s">
        <v>17</v>
      </c>
      <c r="K26">
        <v>1000</v>
      </c>
      <c r="L26">
        <v>1150</v>
      </c>
      <c r="M26" t="s">
        <v>1866</v>
      </c>
      <c r="N26" t="s">
        <v>1867</v>
      </c>
      <c r="O26" t="s">
        <v>1764</v>
      </c>
      <c r="P26" t="s">
        <v>1743</v>
      </c>
      <c r="R26" s="43"/>
      <c r="S26" s="43"/>
    </row>
    <row r="27" spans="1:19" x14ac:dyDescent="0.3">
      <c r="A27">
        <v>1023779</v>
      </c>
      <c r="B27" t="s">
        <v>1820</v>
      </c>
      <c r="C27" t="s">
        <v>1868</v>
      </c>
      <c r="D27" t="s">
        <v>1868</v>
      </c>
      <c r="E27" t="s">
        <v>1869</v>
      </c>
      <c r="F27" t="s">
        <v>1822</v>
      </c>
      <c r="G27" t="s">
        <v>1822</v>
      </c>
      <c r="H27" t="s">
        <v>22</v>
      </c>
      <c r="I27" t="s">
        <v>22</v>
      </c>
      <c r="J27" t="s">
        <v>17</v>
      </c>
      <c r="K27">
        <v>1000</v>
      </c>
      <c r="L27">
        <v>1130</v>
      </c>
      <c r="M27" t="s">
        <v>1870</v>
      </c>
      <c r="N27" t="s">
        <v>1871</v>
      </c>
      <c r="O27" t="s">
        <v>1764</v>
      </c>
      <c r="P27" t="s">
        <v>1743</v>
      </c>
      <c r="R27" s="43"/>
      <c r="S27" s="43"/>
    </row>
    <row r="28" spans="1:19" x14ac:dyDescent="0.3">
      <c r="A28">
        <v>1023779</v>
      </c>
      <c r="B28" t="s">
        <v>1820</v>
      </c>
      <c r="C28" t="s">
        <v>1872</v>
      </c>
      <c r="D28" t="s">
        <v>1822</v>
      </c>
      <c r="E28" t="s">
        <v>1822</v>
      </c>
      <c r="F28" t="s">
        <v>1822</v>
      </c>
      <c r="G28" t="s">
        <v>1822</v>
      </c>
      <c r="H28" t="s">
        <v>16</v>
      </c>
      <c r="I28" t="s">
        <v>16</v>
      </c>
      <c r="J28" t="s">
        <v>17</v>
      </c>
      <c r="K28">
        <v>0</v>
      </c>
      <c r="L28">
        <v>0</v>
      </c>
      <c r="M28" t="s">
        <v>1822</v>
      </c>
      <c r="N28" t="s">
        <v>1822</v>
      </c>
      <c r="O28" t="s">
        <v>1764</v>
      </c>
      <c r="P28" t="s">
        <v>1743</v>
      </c>
      <c r="R28" s="43"/>
      <c r="S28" s="43"/>
    </row>
    <row r="29" spans="1:19" x14ac:dyDescent="0.3">
      <c r="A29">
        <v>1023779</v>
      </c>
      <c r="B29" t="s">
        <v>1820</v>
      </c>
      <c r="C29" t="s">
        <v>1873</v>
      </c>
      <c r="D29" t="s">
        <v>1822</v>
      </c>
      <c r="E29" t="s">
        <v>1822</v>
      </c>
      <c r="F29" t="s">
        <v>1822</v>
      </c>
      <c r="G29" t="s">
        <v>1822</v>
      </c>
      <c r="H29" t="s">
        <v>16</v>
      </c>
      <c r="I29" t="s">
        <v>16</v>
      </c>
      <c r="J29" t="s">
        <v>17</v>
      </c>
      <c r="K29">
        <v>0</v>
      </c>
      <c r="L29">
        <v>0</v>
      </c>
      <c r="M29" t="s">
        <v>1822</v>
      </c>
      <c r="N29" t="s">
        <v>1822</v>
      </c>
      <c r="O29" t="s">
        <v>1790</v>
      </c>
      <c r="P29" t="s">
        <v>1743</v>
      </c>
      <c r="Q29" t="s">
        <v>1848</v>
      </c>
      <c r="R29" s="43"/>
      <c r="S29" s="43"/>
    </row>
    <row r="30" spans="1:19" x14ac:dyDescent="0.3">
      <c r="A30">
        <v>1023779</v>
      </c>
      <c r="B30" t="s">
        <v>1820</v>
      </c>
      <c r="C30" t="s">
        <v>1874</v>
      </c>
      <c r="D30" t="s">
        <v>1875</v>
      </c>
      <c r="E30" t="s">
        <v>1876</v>
      </c>
      <c r="F30" t="s">
        <v>1822</v>
      </c>
      <c r="G30" t="s">
        <v>1822</v>
      </c>
      <c r="H30" t="s">
        <v>22</v>
      </c>
      <c r="I30" t="s">
        <v>22</v>
      </c>
      <c r="J30" t="s">
        <v>17</v>
      </c>
      <c r="K30">
        <v>875</v>
      </c>
      <c r="L30">
        <v>1035</v>
      </c>
      <c r="M30" t="s">
        <v>1877</v>
      </c>
      <c r="N30" t="s">
        <v>1878</v>
      </c>
      <c r="O30" t="s">
        <v>1764</v>
      </c>
      <c r="P30" t="s">
        <v>1743</v>
      </c>
      <c r="Q30" t="s">
        <v>1879</v>
      </c>
      <c r="R30" s="43"/>
      <c r="S30" s="43"/>
    </row>
    <row r="31" spans="1:19" x14ac:dyDescent="0.3">
      <c r="A31">
        <v>1023779</v>
      </c>
      <c r="B31" t="s">
        <v>1820</v>
      </c>
      <c r="C31" t="s">
        <v>1880</v>
      </c>
      <c r="D31" t="s">
        <v>1822</v>
      </c>
      <c r="E31" t="s">
        <v>1822</v>
      </c>
      <c r="F31" t="s">
        <v>1822</v>
      </c>
      <c r="G31" t="s">
        <v>1822</v>
      </c>
      <c r="H31" t="s">
        <v>16</v>
      </c>
      <c r="I31" t="s">
        <v>16</v>
      </c>
      <c r="J31" t="s">
        <v>17</v>
      </c>
      <c r="K31">
        <v>0</v>
      </c>
      <c r="L31">
        <v>0</v>
      </c>
      <c r="M31" t="s">
        <v>1822</v>
      </c>
      <c r="N31" t="s">
        <v>1822</v>
      </c>
      <c r="O31" t="s">
        <v>1790</v>
      </c>
      <c r="P31" t="s">
        <v>1743</v>
      </c>
      <c r="Q31" t="s">
        <v>1848</v>
      </c>
      <c r="R31" s="43"/>
      <c r="S31" s="43"/>
    </row>
    <row r="32" spans="1:19" x14ac:dyDescent="0.3">
      <c r="A32">
        <v>1023779</v>
      </c>
      <c r="B32" t="s">
        <v>1820</v>
      </c>
      <c r="C32" t="s">
        <v>1881</v>
      </c>
      <c r="D32" t="s">
        <v>1882</v>
      </c>
      <c r="E32" t="s">
        <v>1883</v>
      </c>
      <c r="F32">
        <v>131626960</v>
      </c>
      <c r="G32" t="s">
        <v>1884</v>
      </c>
      <c r="H32" t="s">
        <v>22</v>
      </c>
      <c r="I32" t="s">
        <v>22</v>
      </c>
      <c r="J32" t="s">
        <v>17</v>
      </c>
      <c r="K32">
        <v>714</v>
      </c>
      <c r="L32">
        <v>469</v>
      </c>
      <c r="M32" t="s">
        <v>1885</v>
      </c>
      <c r="N32" t="s">
        <v>1886</v>
      </c>
      <c r="O32" t="s">
        <v>1764</v>
      </c>
      <c r="P32" t="s">
        <v>1743</v>
      </c>
      <c r="Q32" s="44" t="s">
        <v>1887</v>
      </c>
      <c r="R32" s="43"/>
      <c r="S32" s="43"/>
    </row>
    <row r="33" spans="1:19" x14ac:dyDescent="0.3">
      <c r="A33">
        <v>1023779</v>
      </c>
      <c r="B33" t="s">
        <v>1820</v>
      </c>
      <c r="C33" t="s">
        <v>1881</v>
      </c>
      <c r="D33" t="s">
        <v>1882</v>
      </c>
      <c r="E33" t="s">
        <v>1883</v>
      </c>
      <c r="F33" t="s">
        <v>1888</v>
      </c>
      <c r="G33" t="s">
        <v>1889</v>
      </c>
      <c r="H33" t="s">
        <v>22</v>
      </c>
      <c r="I33" t="s">
        <v>22</v>
      </c>
      <c r="J33" t="s">
        <v>17</v>
      </c>
      <c r="K33">
        <v>714</v>
      </c>
      <c r="L33">
        <v>469</v>
      </c>
      <c r="M33" t="s">
        <v>1885</v>
      </c>
      <c r="N33" t="s">
        <v>1886</v>
      </c>
      <c r="O33" t="s">
        <v>1764</v>
      </c>
      <c r="P33" t="s">
        <v>1743</v>
      </c>
      <c r="Q33" s="44"/>
      <c r="R33" s="43"/>
      <c r="S33" s="43"/>
    </row>
    <row r="34" spans="1:19" x14ac:dyDescent="0.3">
      <c r="A34">
        <v>1023779</v>
      </c>
      <c r="B34" t="s">
        <v>1820</v>
      </c>
      <c r="C34" t="s">
        <v>1881</v>
      </c>
      <c r="D34" t="s">
        <v>1882</v>
      </c>
      <c r="E34" t="s">
        <v>1883</v>
      </c>
      <c r="F34" t="s">
        <v>1888</v>
      </c>
      <c r="G34" t="s">
        <v>1890</v>
      </c>
      <c r="H34" t="s">
        <v>22</v>
      </c>
      <c r="I34" t="s">
        <v>22</v>
      </c>
      <c r="J34" t="s">
        <v>17</v>
      </c>
      <c r="K34">
        <v>714</v>
      </c>
      <c r="L34">
        <v>469</v>
      </c>
      <c r="M34" t="s">
        <v>1885</v>
      </c>
      <c r="N34" t="s">
        <v>1886</v>
      </c>
      <c r="O34" t="s">
        <v>1764</v>
      </c>
      <c r="P34" t="s">
        <v>1743</v>
      </c>
      <c r="Q34" s="44"/>
      <c r="R34" s="43"/>
      <c r="S34" s="43"/>
    </row>
    <row r="35" spans="1:19" x14ac:dyDescent="0.3">
      <c r="A35">
        <v>1023779</v>
      </c>
      <c r="B35" t="s">
        <v>1820</v>
      </c>
      <c r="C35" t="s">
        <v>1881</v>
      </c>
      <c r="D35" t="s">
        <v>1882</v>
      </c>
      <c r="E35" t="s">
        <v>1883</v>
      </c>
      <c r="F35" t="s">
        <v>1888</v>
      </c>
      <c r="G35" t="s">
        <v>1891</v>
      </c>
      <c r="H35" t="s">
        <v>22</v>
      </c>
      <c r="I35" t="s">
        <v>22</v>
      </c>
      <c r="J35" t="s">
        <v>17</v>
      </c>
      <c r="K35">
        <v>714</v>
      </c>
      <c r="L35">
        <v>469</v>
      </c>
      <c r="M35" t="s">
        <v>1885</v>
      </c>
      <c r="N35" t="s">
        <v>1886</v>
      </c>
      <c r="O35" t="s">
        <v>1764</v>
      </c>
      <c r="P35" t="s">
        <v>1743</v>
      </c>
      <c r="Q35" s="44"/>
      <c r="R35" s="43"/>
      <c r="S35" s="43"/>
    </row>
    <row r="36" spans="1:19" x14ac:dyDescent="0.3">
      <c r="A36">
        <v>1023779</v>
      </c>
      <c r="B36" t="s">
        <v>1820</v>
      </c>
      <c r="C36" t="s">
        <v>1881</v>
      </c>
      <c r="D36" t="s">
        <v>1882</v>
      </c>
      <c r="E36" t="s">
        <v>1883</v>
      </c>
      <c r="F36" t="s">
        <v>1888</v>
      </c>
      <c r="G36" t="s">
        <v>1892</v>
      </c>
      <c r="H36" t="s">
        <v>22</v>
      </c>
      <c r="I36" t="s">
        <v>22</v>
      </c>
      <c r="J36" t="s">
        <v>17</v>
      </c>
      <c r="K36">
        <v>714</v>
      </c>
      <c r="L36">
        <v>469</v>
      </c>
      <c r="M36" t="s">
        <v>1885</v>
      </c>
      <c r="N36" t="s">
        <v>1886</v>
      </c>
      <c r="O36" t="s">
        <v>1764</v>
      </c>
      <c r="P36" t="s">
        <v>1743</v>
      </c>
      <c r="Q36" s="44"/>
      <c r="R36" s="43"/>
      <c r="S36" s="43"/>
    </row>
    <row r="37" spans="1:19" x14ac:dyDescent="0.3">
      <c r="A37">
        <v>1023779</v>
      </c>
      <c r="B37" t="s">
        <v>1820</v>
      </c>
      <c r="C37" t="s">
        <v>1881</v>
      </c>
      <c r="D37" t="s">
        <v>1882</v>
      </c>
      <c r="E37" t="s">
        <v>1883</v>
      </c>
      <c r="F37" t="s">
        <v>1888</v>
      </c>
      <c r="G37" t="s">
        <v>1893</v>
      </c>
      <c r="H37" t="s">
        <v>22</v>
      </c>
      <c r="I37" t="s">
        <v>22</v>
      </c>
      <c r="J37" t="s">
        <v>17</v>
      </c>
      <c r="K37">
        <v>714</v>
      </c>
      <c r="L37">
        <v>469</v>
      </c>
      <c r="M37" t="s">
        <v>1885</v>
      </c>
      <c r="N37" t="s">
        <v>1886</v>
      </c>
      <c r="O37" t="s">
        <v>1764</v>
      </c>
      <c r="P37" t="s">
        <v>1743</v>
      </c>
      <c r="Q37" s="44"/>
      <c r="R37" s="43"/>
      <c r="S37" s="43"/>
    </row>
    <row r="38" spans="1:19" x14ac:dyDescent="0.3">
      <c r="A38">
        <v>1023779</v>
      </c>
      <c r="B38" t="s">
        <v>1820</v>
      </c>
      <c r="C38" t="s">
        <v>1881</v>
      </c>
      <c r="D38" t="s">
        <v>1882</v>
      </c>
      <c r="E38" t="s">
        <v>1883</v>
      </c>
      <c r="F38" t="s">
        <v>1888</v>
      </c>
      <c r="G38" t="s">
        <v>1894</v>
      </c>
      <c r="H38" t="s">
        <v>22</v>
      </c>
      <c r="I38" t="s">
        <v>22</v>
      </c>
      <c r="J38" t="s">
        <v>17</v>
      </c>
      <c r="K38">
        <v>714</v>
      </c>
      <c r="L38">
        <v>469</v>
      </c>
      <c r="M38" t="s">
        <v>1885</v>
      </c>
      <c r="N38" t="s">
        <v>1886</v>
      </c>
      <c r="O38" t="s">
        <v>1764</v>
      </c>
      <c r="P38" t="s">
        <v>1743</v>
      </c>
      <c r="Q38" s="44"/>
      <c r="R38" s="43"/>
      <c r="S38" s="43"/>
    </row>
    <row r="39" spans="1:19" x14ac:dyDescent="0.3">
      <c r="A39">
        <v>1023779</v>
      </c>
      <c r="B39" t="s">
        <v>1820</v>
      </c>
      <c r="C39" t="s">
        <v>1881</v>
      </c>
      <c r="D39" t="s">
        <v>1882</v>
      </c>
      <c r="E39" t="s">
        <v>1883</v>
      </c>
      <c r="F39" t="s">
        <v>1888</v>
      </c>
      <c r="G39" t="s">
        <v>1895</v>
      </c>
      <c r="H39" t="s">
        <v>22</v>
      </c>
      <c r="I39" t="s">
        <v>22</v>
      </c>
      <c r="J39" t="s">
        <v>17</v>
      </c>
      <c r="K39">
        <v>714</v>
      </c>
      <c r="L39">
        <v>469</v>
      </c>
      <c r="M39" t="s">
        <v>1885</v>
      </c>
      <c r="N39" t="s">
        <v>1886</v>
      </c>
      <c r="O39" t="s">
        <v>1764</v>
      </c>
      <c r="P39" t="s">
        <v>1743</v>
      </c>
      <c r="Q39" s="44"/>
      <c r="R39" s="43"/>
      <c r="S39" s="43"/>
    </row>
    <row r="40" spans="1:19" x14ac:dyDescent="0.3">
      <c r="A40">
        <v>1023779</v>
      </c>
      <c r="B40" t="s">
        <v>1820</v>
      </c>
      <c r="C40" t="s">
        <v>1881</v>
      </c>
      <c r="D40" t="s">
        <v>1882</v>
      </c>
      <c r="E40" t="s">
        <v>1883</v>
      </c>
      <c r="F40" t="s">
        <v>1888</v>
      </c>
      <c r="G40" t="s">
        <v>1896</v>
      </c>
      <c r="H40" t="s">
        <v>22</v>
      </c>
      <c r="I40" t="s">
        <v>22</v>
      </c>
      <c r="J40" t="s">
        <v>17</v>
      </c>
      <c r="K40">
        <v>714</v>
      </c>
      <c r="L40">
        <v>469</v>
      </c>
      <c r="M40" t="s">
        <v>1885</v>
      </c>
      <c r="N40" t="s">
        <v>1886</v>
      </c>
      <c r="O40" t="s">
        <v>1764</v>
      </c>
      <c r="P40" t="s">
        <v>1743</v>
      </c>
      <c r="Q40" s="44"/>
      <c r="R40" s="43"/>
      <c r="S40" s="43"/>
    </row>
    <row r="41" spans="1:19" x14ac:dyDescent="0.3">
      <c r="A41">
        <v>1023779</v>
      </c>
      <c r="B41" t="s">
        <v>1820</v>
      </c>
      <c r="C41" t="s">
        <v>1881</v>
      </c>
      <c r="D41" t="s">
        <v>1882</v>
      </c>
      <c r="E41" t="s">
        <v>1883</v>
      </c>
      <c r="F41" t="s">
        <v>1888</v>
      </c>
      <c r="G41" t="s">
        <v>1897</v>
      </c>
      <c r="H41" t="s">
        <v>22</v>
      </c>
      <c r="I41" t="s">
        <v>22</v>
      </c>
      <c r="J41" t="s">
        <v>17</v>
      </c>
      <c r="K41">
        <v>714</v>
      </c>
      <c r="L41">
        <v>469</v>
      </c>
      <c r="M41" t="s">
        <v>1885</v>
      </c>
      <c r="N41" t="s">
        <v>1886</v>
      </c>
      <c r="O41" t="s">
        <v>1764</v>
      </c>
      <c r="P41" t="s">
        <v>1743</v>
      </c>
      <c r="Q41" s="44"/>
      <c r="R41" s="43"/>
      <c r="S41" s="43"/>
    </row>
    <row r="42" spans="1:19" x14ac:dyDescent="0.3">
      <c r="A42">
        <v>1023779</v>
      </c>
      <c r="B42" t="s">
        <v>1820</v>
      </c>
      <c r="C42" t="s">
        <v>1881</v>
      </c>
      <c r="D42" t="s">
        <v>1882</v>
      </c>
      <c r="E42" t="s">
        <v>1883</v>
      </c>
      <c r="F42" t="s">
        <v>1888</v>
      </c>
      <c r="G42" t="s">
        <v>1898</v>
      </c>
      <c r="H42" t="s">
        <v>22</v>
      </c>
      <c r="I42" t="s">
        <v>22</v>
      </c>
      <c r="J42" t="s">
        <v>17</v>
      </c>
      <c r="K42">
        <v>714</v>
      </c>
      <c r="L42">
        <v>469</v>
      </c>
      <c r="M42" t="s">
        <v>1885</v>
      </c>
      <c r="N42" t="s">
        <v>1886</v>
      </c>
      <c r="O42" t="s">
        <v>1764</v>
      </c>
      <c r="P42" t="s">
        <v>1743</v>
      </c>
      <c r="Q42" s="44"/>
      <c r="R42" s="43"/>
      <c r="S42" s="43"/>
    </row>
    <row r="43" spans="1:19" x14ac:dyDescent="0.3">
      <c r="A43">
        <v>1023779</v>
      </c>
      <c r="B43" t="s">
        <v>1820</v>
      </c>
      <c r="C43" t="s">
        <v>1881</v>
      </c>
      <c r="D43" t="s">
        <v>1882</v>
      </c>
      <c r="E43" t="s">
        <v>1883</v>
      </c>
      <c r="F43" t="s">
        <v>1888</v>
      </c>
      <c r="G43" t="s">
        <v>1899</v>
      </c>
      <c r="H43" t="s">
        <v>22</v>
      </c>
      <c r="I43" t="s">
        <v>22</v>
      </c>
      <c r="J43" t="s">
        <v>17</v>
      </c>
      <c r="K43">
        <v>714</v>
      </c>
      <c r="L43">
        <v>469</v>
      </c>
      <c r="M43" t="s">
        <v>1885</v>
      </c>
      <c r="N43" t="s">
        <v>1886</v>
      </c>
      <c r="O43" t="s">
        <v>1764</v>
      </c>
      <c r="P43" t="s">
        <v>1743</v>
      </c>
      <c r="Q43" s="44"/>
      <c r="R43" s="43"/>
      <c r="S43" s="43"/>
    </row>
    <row r="44" spans="1:19" x14ac:dyDescent="0.3">
      <c r="A44">
        <v>1023779</v>
      </c>
      <c r="B44" t="s">
        <v>1820</v>
      </c>
      <c r="C44" t="s">
        <v>1881</v>
      </c>
      <c r="D44" t="s">
        <v>1882</v>
      </c>
      <c r="E44" t="s">
        <v>1883</v>
      </c>
      <c r="F44" t="s">
        <v>1888</v>
      </c>
      <c r="G44" t="s">
        <v>1900</v>
      </c>
      <c r="H44" t="s">
        <v>22</v>
      </c>
      <c r="I44" t="s">
        <v>22</v>
      </c>
      <c r="J44" t="s">
        <v>17</v>
      </c>
      <c r="K44">
        <v>714</v>
      </c>
      <c r="L44">
        <v>469</v>
      </c>
      <c r="M44" t="s">
        <v>1885</v>
      </c>
      <c r="N44" t="s">
        <v>1886</v>
      </c>
      <c r="O44" t="s">
        <v>1764</v>
      </c>
      <c r="P44" t="s">
        <v>1743</v>
      </c>
      <c r="Q44" s="44"/>
      <c r="R44" s="43"/>
      <c r="S44" s="43"/>
    </row>
    <row r="45" spans="1:19" x14ac:dyDescent="0.3">
      <c r="A45">
        <v>1023779</v>
      </c>
      <c r="B45" t="s">
        <v>1820</v>
      </c>
      <c r="C45" t="s">
        <v>1881</v>
      </c>
      <c r="D45" t="s">
        <v>1882</v>
      </c>
      <c r="E45" t="s">
        <v>1883</v>
      </c>
      <c r="F45" t="s">
        <v>1888</v>
      </c>
      <c r="G45" t="s">
        <v>1901</v>
      </c>
      <c r="H45" t="s">
        <v>22</v>
      </c>
      <c r="I45" t="s">
        <v>22</v>
      </c>
      <c r="J45" t="s">
        <v>17</v>
      </c>
      <c r="K45">
        <v>714</v>
      </c>
      <c r="L45">
        <v>469</v>
      </c>
      <c r="M45" t="s">
        <v>1885</v>
      </c>
      <c r="N45" t="s">
        <v>1886</v>
      </c>
      <c r="O45" t="s">
        <v>1764</v>
      </c>
      <c r="P45" t="s">
        <v>1743</v>
      </c>
      <c r="Q45" s="44"/>
      <c r="R45" s="43"/>
      <c r="S45" s="43"/>
    </row>
    <row r="46" spans="1:19" x14ac:dyDescent="0.3">
      <c r="A46">
        <v>1023779</v>
      </c>
      <c r="B46" t="s">
        <v>1820</v>
      </c>
      <c r="C46" t="s">
        <v>1881</v>
      </c>
      <c r="D46" t="s">
        <v>1882</v>
      </c>
      <c r="E46" t="s">
        <v>1883</v>
      </c>
      <c r="F46" t="s">
        <v>1888</v>
      </c>
      <c r="G46" t="s">
        <v>1902</v>
      </c>
      <c r="H46" t="s">
        <v>22</v>
      </c>
      <c r="I46" t="s">
        <v>22</v>
      </c>
      <c r="J46" t="s">
        <v>17</v>
      </c>
      <c r="K46">
        <v>714</v>
      </c>
      <c r="L46">
        <v>469</v>
      </c>
      <c r="M46" t="s">
        <v>1885</v>
      </c>
      <c r="N46" t="s">
        <v>1886</v>
      </c>
      <c r="O46" t="s">
        <v>1764</v>
      </c>
      <c r="P46" t="s">
        <v>1743</v>
      </c>
      <c r="Q46" s="44"/>
      <c r="R46" s="43"/>
      <c r="S46" s="43"/>
    </row>
    <row r="47" spans="1:19" x14ac:dyDescent="0.3">
      <c r="A47">
        <v>1023779</v>
      </c>
      <c r="B47" t="s">
        <v>1820</v>
      </c>
      <c r="C47" t="s">
        <v>1903</v>
      </c>
      <c r="D47" t="s">
        <v>1904</v>
      </c>
      <c r="E47" t="s">
        <v>1905</v>
      </c>
      <c r="F47" t="s">
        <v>1822</v>
      </c>
      <c r="G47" t="s">
        <v>1822</v>
      </c>
      <c r="H47" t="s">
        <v>22</v>
      </c>
      <c r="I47" t="s">
        <v>22</v>
      </c>
      <c r="J47" t="s">
        <v>17</v>
      </c>
      <c r="K47">
        <v>933</v>
      </c>
      <c r="L47">
        <v>1090</v>
      </c>
      <c r="M47" t="s">
        <v>1906</v>
      </c>
      <c r="N47" t="s">
        <v>1907</v>
      </c>
      <c r="O47" t="s">
        <v>1764</v>
      </c>
      <c r="P47" t="s">
        <v>1743</v>
      </c>
      <c r="Q47" s="20" t="s">
        <v>1908</v>
      </c>
      <c r="R47" s="43"/>
      <c r="S47" s="43"/>
    </row>
    <row r="48" spans="1:19" x14ac:dyDescent="0.3">
      <c r="A48">
        <v>1065102</v>
      </c>
      <c r="B48" t="s">
        <v>1909</v>
      </c>
      <c r="C48" t="s">
        <v>1910</v>
      </c>
      <c r="D48" t="s">
        <v>1822</v>
      </c>
      <c r="E48" t="s">
        <v>1822</v>
      </c>
      <c r="F48" t="s">
        <v>1822</v>
      </c>
      <c r="G48" t="s">
        <v>1822</v>
      </c>
      <c r="H48" t="s">
        <v>16</v>
      </c>
      <c r="I48" t="s">
        <v>16</v>
      </c>
      <c r="J48" t="s">
        <v>17</v>
      </c>
      <c r="K48">
        <v>0</v>
      </c>
      <c r="L48">
        <v>0</v>
      </c>
      <c r="M48" t="s">
        <v>1822</v>
      </c>
      <c r="N48" t="s">
        <v>1822</v>
      </c>
      <c r="O48" t="s">
        <v>1764</v>
      </c>
      <c r="P48" t="s">
        <v>1743</v>
      </c>
      <c r="Q48" s="20"/>
      <c r="R48" s="43"/>
      <c r="S48" s="43"/>
    </row>
    <row r="49" spans="1:19" x14ac:dyDescent="0.3">
      <c r="A49">
        <v>1065102</v>
      </c>
      <c r="B49" t="s">
        <v>1909</v>
      </c>
      <c r="C49" t="s">
        <v>1911</v>
      </c>
      <c r="D49" t="s">
        <v>1912</v>
      </c>
      <c r="E49" t="s">
        <v>1913</v>
      </c>
      <c r="F49" t="s">
        <v>1822</v>
      </c>
      <c r="G49" t="s">
        <v>1914</v>
      </c>
      <c r="H49" t="s">
        <v>22</v>
      </c>
      <c r="I49" t="s">
        <v>22</v>
      </c>
      <c r="J49" t="s">
        <v>17</v>
      </c>
      <c r="K49">
        <v>765</v>
      </c>
      <c r="L49">
        <v>1299</v>
      </c>
      <c r="M49" t="s">
        <v>1915</v>
      </c>
      <c r="N49" t="s">
        <v>1916</v>
      </c>
      <c r="O49" t="s">
        <v>1764</v>
      </c>
      <c r="P49" t="s">
        <v>1743</v>
      </c>
      <c r="Q49" s="47" t="s">
        <v>1917</v>
      </c>
      <c r="R49" s="43"/>
      <c r="S49" s="43"/>
    </row>
    <row r="50" spans="1:19" x14ac:dyDescent="0.3">
      <c r="A50">
        <v>1065102</v>
      </c>
      <c r="B50" t="s">
        <v>1909</v>
      </c>
      <c r="C50" t="s">
        <v>1911</v>
      </c>
      <c r="D50" t="s">
        <v>1912</v>
      </c>
      <c r="E50" t="s">
        <v>1913</v>
      </c>
      <c r="F50" t="s">
        <v>1822</v>
      </c>
      <c r="G50" t="s">
        <v>1918</v>
      </c>
      <c r="H50" t="s">
        <v>22</v>
      </c>
      <c r="I50" t="s">
        <v>22</v>
      </c>
      <c r="J50" t="s">
        <v>17</v>
      </c>
      <c r="K50">
        <v>765</v>
      </c>
      <c r="L50">
        <v>1299</v>
      </c>
      <c r="M50" t="s">
        <v>1915</v>
      </c>
      <c r="N50" t="s">
        <v>1916</v>
      </c>
      <c r="O50" t="s">
        <v>1764</v>
      </c>
      <c r="P50" t="s">
        <v>1743</v>
      </c>
      <c r="Q50" s="47"/>
      <c r="R50" s="43"/>
      <c r="S50" s="43"/>
    </row>
    <row r="51" spans="1:19" x14ac:dyDescent="0.3">
      <c r="A51">
        <v>1065102</v>
      </c>
      <c r="B51" t="s">
        <v>1909</v>
      </c>
      <c r="C51" t="s">
        <v>1911</v>
      </c>
      <c r="D51" t="s">
        <v>1912</v>
      </c>
      <c r="E51" t="s">
        <v>1913</v>
      </c>
      <c r="F51" t="s">
        <v>1822</v>
      </c>
      <c r="G51" t="s">
        <v>1919</v>
      </c>
      <c r="H51" t="s">
        <v>22</v>
      </c>
      <c r="I51" t="s">
        <v>22</v>
      </c>
      <c r="J51" t="s">
        <v>17</v>
      </c>
      <c r="K51">
        <v>765</v>
      </c>
      <c r="L51">
        <v>1299</v>
      </c>
      <c r="M51" t="s">
        <v>1915</v>
      </c>
      <c r="N51" t="s">
        <v>1916</v>
      </c>
      <c r="O51" t="s">
        <v>1764</v>
      </c>
      <c r="P51" t="s">
        <v>1743</v>
      </c>
      <c r="Q51" s="47"/>
      <c r="R51" s="43"/>
      <c r="S51" s="43"/>
    </row>
    <row r="52" spans="1:19" x14ac:dyDescent="0.3">
      <c r="A52">
        <v>1065102</v>
      </c>
      <c r="B52" t="s">
        <v>1909</v>
      </c>
      <c r="C52" t="s">
        <v>1911</v>
      </c>
      <c r="D52" t="s">
        <v>1912</v>
      </c>
      <c r="E52" t="s">
        <v>1913</v>
      </c>
      <c r="F52" t="s">
        <v>1822</v>
      </c>
      <c r="G52" t="s">
        <v>1920</v>
      </c>
      <c r="H52" t="s">
        <v>22</v>
      </c>
      <c r="I52" t="s">
        <v>22</v>
      </c>
      <c r="J52" t="s">
        <v>17</v>
      </c>
      <c r="K52">
        <v>765</v>
      </c>
      <c r="L52">
        <v>1299</v>
      </c>
      <c r="M52" t="s">
        <v>1915</v>
      </c>
      <c r="N52" t="s">
        <v>1916</v>
      </c>
      <c r="O52" t="s">
        <v>1764</v>
      </c>
      <c r="P52" t="s">
        <v>1743</v>
      </c>
      <c r="Q52" s="47"/>
      <c r="R52" s="43"/>
      <c r="S52" s="43"/>
    </row>
    <row r="53" spans="1:19" x14ac:dyDescent="0.3">
      <c r="A53">
        <v>1065102</v>
      </c>
      <c r="B53" t="s">
        <v>1909</v>
      </c>
      <c r="C53" t="s">
        <v>1911</v>
      </c>
      <c r="D53" t="s">
        <v>1912</v>
      </c>
      <c r="E53" t="s">
        <v>1913</v>
      </c>
      <c r="F53" t="s">
        <v>1822</v>
      </c>
      <c r="G53" t="s">
        <v>1921</v>
      </c>
      <c r="H53" t="s">
        <v>22</v>
      </c>
      <c r="I53" t="s">
        <v>22</v>
      </c>
      <c r="J53" t="s">
        <v>17</v>
      </c>
      <c r="K53">
        <v>765</v>
      </c>
      <c r="L53">
        <v>1299</v>
      </c>
      <c r="M53" t="s">
        <v>1915</v>
      </c>
      <c r="N53" t="s">
        <v>1916</v>
      </c>
      <c r="O53" t="s">
        <v>1764</v>
      </c>
      <c r="P53" t="s">
        <v>1743</v>
      </c>
      <c r="Q53" s="47"/>
      <c r="R53" s="43"/>
      <c r="S53" s="43"/>
    </row>
    <row r="54" spans="1:19" x14ac:dyDescent="0.3">
      <c r="A54">
        <v>1065102</v>
      </c>
      <c r="B54" t="s">
        <v>1909</v>
      </c>
      <c r="C54" t="s">
        <v>1911</v>
      </c>
      <c r="D54" t="s">
        <v>1912</v>
      </c>
      <c r="E54" t="s">
        <v>1913</v>
      </c>
      <c r="F54" t="s">
        <v>1822</v>
      </c>
      <c r="G54" t="s">
        <v>1922</v>
      </c>
      <c r="H54" t="s">
        <v>22</v>
      </c>
      <c r="I54" t="s">
        <v>22</v>
      </c>
      <c r="J54" t="s">
        <v>17</v>
      </c>
      <c r="K54">
        <v>765</v>
      </c>
      <c r="L54">
        <v>1299</v>
      </c>
      <c r="M54" t="s">
        <v>1915</v>
      </c>
      <c r="N54" t="s">
        <v>1916</v>
      </c>
      <c r="O54" t="s">
        <v>1764</v>
      </c>
      <c r="P54" t="s">
        <v>1743</v>
      </c>
      <c r="Q54" s="47"/>
      <c r="R54" s="43"/>
      <c r="S54" s="43"/>
    </row>
    <row r="55" spans="1:19" x14ac:dyDescent="0.3">
      <c r="A55">
        <v>1065102</v>
      </c>
      <c r="B55" t="s">
        <v>1909</v>
      </c>
      <c r="C55" t="s">
        <v>1911</v>
      </c>
      <c r="D55" t="s">
        <v>1912</v>
      </c>
      <c r="E55" t="s">
        <v>1913</v>
      </c>
      <c r="F55" t="s">
        <v>1822</v>
      </c>
      <c r="G55" t="s">
        <v>1923</v>
      </c>
      <c r="H55" t="s">
        <v>22</v>
      </c>
      <c r="I55" t="s">
        <v>22</v>
      </c>
      <c r="J55" t="s">
        <v>17</v>
      </c>
      <c r="K55">
        <v>765</v>
      </c>
      <c r="L55">
        <v>1299</v>
      </c>
      <c r="M55" t="s">
        <v>1915</v>
      </c>
      <c r="N55" t="s">
        <v>1916</v>
      </c>
      <c r="O55" t="s">
        <v>1764</v>
      </c>
      <c r="P55" t="s">
        <v>1743</v>
      </c>
      <c r="Q55" s="47"/>
      <c r="R55" s="43"/>
      <c r="S55" s="43"/>
    </row>
    <row r="56" spans="1:19" x14ac:dyDescent="0.3">
      <c r="A56">
        <v>1065102</v>
      </c>
      <c r="B56" t="s">
        <v>1909</v>
      </c>
      <c r="C56" t="s">
        <v>1911</v>
      </c>
      <c r="D56" t="s">
        <v>1912</v>
      </c>
      <c r="E56" t="s">
        <v>1913</v>
      </c>
      <c r="F56" t="s">
        <v>1822</v>
      </c>
      <c r="G56" t="s">
        <v>1924</v>
      </c>
      <c r="H56" t="s">
        <v>22</v>
      </c>
      <c r="I56" t="s">
        <v>22</v>
      </c>
      <c r="J56" t="s">
        <v>17</v>
      </c>
      <c r="K56">
        <v>765</v>
      </c>
      <c r="L56">
        <v>1299</v>
      </c>
      <c r="M56" t="s">
        <v>1915</v>
      </c>
      <c r="N56" t="s">
        <v>1916</v>
      </c>
      <c r="O56" t="s">
        <v>1764</v>
      </c>
      <c r="P56" t="s">
        <v>1743</v>
      </c>
      <c r="Q56" s="47"/>
      <c r="R56" s="43"/>
      <c r="S56" s="43"/>
    </row>
    <row r="57" spans="1:19" x14ac:dyDescent="0.3">
      <c r="A57">
        <v>1065102</v>
      </c>
      <c r="B57" t="s">
        <v>1909</v>
      </c>
      <c r="C57" t="s">
        <v>1911</v>
      </c>
      <c r="D57" t="s">
        <v>1912</v>
      </c>
      <c r="E57" t="s">
        <v>1913</v>
      </c>
      <c r="F57" t="s">
        <v>1822</v>
      </c>
      <c r="G57" t="s">
        <v>1925</v>
      </c>
      <c r="H57" t="s">
        <v>22</v>
      </c>
      <c r="I57" t="s">
        <v>22</v>
      </c>
      <c r="J57" t="s">
        <v>17</v>
      </c>
      <c r="K57">
        <v>765</v>
      </c>
      <c r="L57">
        <v>1299</v>
      </c>
      <c r="M57" t="s">
        <v>1915</v>
      </c>
      <c r="N57" t="s">
        <v>1916</v>
      </c>
      <c r="O57" t="s">
        <v>1764</v>
      </c>
      <c r="P57" t="s">
        <v>1743</v>
      </c>
      <c r="Q57" s="47"/>
      <c r="R57" s="43"/>
      <c r="S57" s="43"/>
    </row>
    <row r="58" spans="1:19" x14ac:dyDescent="0.3">
      <c r="A58">
        <v>1065102</v>
      </c>
      <c r="B58" t="s">
        <v>1909</v>
      </c>
      <c r="C58" t="s">
        <v>1911</v>
      </c>
      <c r="D58" t="s">
        <v>1912</v>
      </c>
      <c r="E58" t="s">
        <v>1913</v>
      </c>
      <c r="F58" t="s">
        <v>1822</v>
      </c>
      <c r="G58" t="s">
        <v>1926</v>
      </c>
      <c r="H58" t="s">
        <v>22</v>
      </c>
      <c r="I58" t="s">
        <v>22</v>
      </c>
      <c r="J58" t="s">
        <v>17</v>
      </c>
      <c r="K58">
        <v>765</v>
      </c>
      <c r="L58">
        <v>1299</v>
      </c>
      <c r="M58" t="s">
        <v>1915</v>
      </c>
      <c r="N58" t="s">
        <v>1916</v>
      </c>
      <c r="O58" t="s">
        <v>1764</v>
      </c>
      <c r="P58" t="s">
        <v>1743</v>
      </c>
      <c r="Q58" s="47"/>
      <c r="R58" s="43"/>
      <c r="S58" s="43"/>
    </row>
    <row r="59" spans="1:19" x14ac:dyDescent="0.3">
      <c r="A59">
        <v>1065102</v>
      </c>
      <c r="B59" t="s">
        <v>1909</v>
      </c>
      <c r="C59" t="s">
        <v>1911</v>
      </c>
      <c r="D59" t="s">
        <v>1912</v>
      </c>
      <c r="E59" t="s">
        <v>1913</v>
      </c>
      <c r="F59" t="s">
        <v>1822</v>
      </c>
      <c r="G59" t="s">
        <v>1927</v>
      </c>
      <c r="H59" t="s">
        <v>22</v>
      </c>
      <c r="I59" t="s">
        <v>22</v>
      </c>
      <c r="J59" t="s">
        <v>17</v>
      </c>
      <c r="K59">
        <v>765</v>
      </c>
      <c r="L59">
        <v>1299</v>
      </c>
      <c r="M59" t="s">
        <v>1915</v>
      </c>
      <c r="N59" t="s">
        <v>1916</v>
      </c>
      <c r="O59" t="s">
        <v>1764</v>
      </c>
      <c r="P59" t="s">
        <v>1743</v>
      </c>
      <c r="Q59" s="47"/>
      <c r="R59" s="43"/>
      <c r="S59" s="43"/>
    </row>
    <row r="60" spans="1:19" x14ac:dyDescent="0.3">
      <c r="A60">
        <v>1065102</v>
      </c>
      <c r="B60" t="s">
        <v>1909</v>
      </c>
      <c r="C60" t="s">
        <v>1911</v>
      </c>
      <c r="D60" t="s">
        <v>1912</v>
      </c>
      <c r="E60" t="s">
        <v>1913</v>
      </c>
      <c r="F60" t="s">
        <v>1822</v>
      </c>
      <c r="G60" t="s">
        <v>1928</v>
      </c>
      <c r="H60" t="s">
        <v>22</v>
      </c>
      <c r="I60" t="s">
        <v>22</v>
      </c>
      <c r="J60" t="s">
        <v>17</v>
      </c>
      <c r="K60">
        <v>765</v>
      </c>
      <c r="L60">
        <v>1299</v>
      </c>
      <c r="M60" t="s">
        <v>1915</v>
      </c>
      <c r="N60" t="s">
        <v>1916</v>
      </c>
      <c r="O60" t="s">
        <v>1764</v>
      </c>
      <c r="P60" t="s">
        <v>1743</v>
      </c>
      <c r="Q60" s="47"/>
      <c r="R60" s="43"/>
      <c r="S60" s="43"/>
    </row>
    <row r="61" spans="1:19" x14ac:dyDescent="0.3">
      <c r="A61">
        <v>1065102</v>
      </c>
      <c r="B61" t="s">
        <v>1909</v>
      </c>
      <c r="C61" t="s">
        <v>1911</v>
      </c>
      <c r="D61" t="s">
        <v>1912</v>
      </c>
      <c r="E61" t="s">
        <v>1913</v>
      </c>
      <c r="F61" t="s">
        <v>1822</v>
      </c>
      <c r="G61" t="s">
        <v>1929</v>
      </c>
      <c r="H61" t="s">
        <v>22</v>
      </c>
      <c r="I61" t="s">
        <v>22</v>
      </c>
      <c r="J61" t="s">
        <v>17</v>
      </c>
      <c r="K61">
        <v>765</v>
      </c>
      <c r="L61">
        <v>1299</v>
      </c>
      <c r="M61" t="s">
        <v>1915</v>
      </c>
      <c r="N61" t="s">
        <v>1916</v>
      </c>
      <c r="O61" t="s">
        <v>1764</v>
      </c>
      <c r="P61" t="s">
        <v>1743</v>
      </c>
      <c r="Q61" s="47"/>
      <c r="R61" s="43"/>
      <c r="S61" s="43"/>
    </row>
    <row r="62" spans="1:19" x14ac:dyDescent="0.3">
      <c r="A62">
        <v>1065102</v>
      </c>
      <c r="B62" t="s">
        <v>1909</v>
      </c>
      <c r="C62" t="s">
        <v>1911</v>
      </c>
      <c r="D62" t="s">
        <v>1912</v>
      </c>
      <c r="E62" t="s">
        <v>1913</v>
      </c>
      <c r="F62" t="s">
        <v>1822</v>
      </c>
      <c r="G62" t="s">
        <v>1930</v>
      </c>
      <c r="H62" t="s">
        <v>22</v>
      </c>
      <c r="I62" t="s">
        <v>22</v>
      </c>
      <c r="J62" t="s">
        <v>17</v>
      </c>
      <c r="K62">
        <v>765</v>
      </c>
      <c r="L62">
        <v>1299</v>
      </c>
      <c r="M62" t="s">
        <v>1915</v>
      </c>
      <c r="N62" t="s">
        <v>1916</v>
      </c>
      <c r="O62" t="s">
        <v>1764</v>
      </c>
      <c r="P62" t="s">
        <v>1743</v>
      </c>
      <c r="Q62" s="47"/>
      <c r="R62" s="43"/>
      <c r="S62" s="43"/>
    </row>
    <row r="63" spans="1:19" x14ac:dyDescent="0.3">
      <c r="A63">
        <v>1065102</v>
      </c>
      <c r="B63" t="s">
        <v>1909</v>
      </c>
      <c r="C63" t="s">
        <v>1911</v>
      </c>
      <c r="D63" t="s">
        <v>1912</v>
      </c>
      <c r="E63" t="s">
        <v>1913</v>
      </c>
      <c r="F63" t="s">
        <v>1822</v>
      </c>
      <c r="G63" t="s">
        <v>1931</v>
      </c>
      <c r="H63" t="s">
        <v>22</v>
      </c>
      <c r="I63" t="s">
        <v>22</v>
      </c>
      <c r="J63" t="s">
        <v>17</v>
      </c>
      <c r="K63">
        <v>765</v>
      </c>
      <c r="L63">
        <v>1299</v>
      </c>
      <c r="M63" t="s">
        <v>1915</v>
      </c>
      <c r="N63" t="s">
        <v>1916</v>
      </c>
      <c r="O63" t="s">
        <v>1764</v>
      </c>
      <c r="P63" t="s">
        <v>1743</v>
      </c>
      <c r="Q63" s="47"/>
      <c r="R63" s="43"/>
      <c r="S63" s="43"/>
    </row>
    <row r="64" spans="1:19" x14ac:dyDescent="0.3">
      <c r="A64">
        <v>1065102</v>
      </c>
      <c r="B64" t="s">
        <v>1909</v>
      </c>
      <c r="C64" t="s">
        <v>1911</v>
      </c>
      <c r="D64" t="s">
        <v>1912</v>
      </c>
      <c r="E64" t="s">
        <v>1913</v>
      </c>
      <c r="F64" t="s">
        <v>1822</v>
      </c>
      <c r="G64" t="s">
        <v>1932</v>
      </c>
      <c r="H64" t="s">
        <v>22</v>
      </c>
      <c r="I64" t="s">
        <v>22</v>
      </c>
      <c r="J64" t="s">
        <v>17</v>
      </c>
      <c r="K64">
        <v>765</v>
      </c>
      <c r="L64">
        <v>1299</v>
      </c>
      <c r="M64" t="s">
        <v>1915</v>
      </c>
      <c r="N64" t="s">
        <v>1916</v>
      </c>
      <c r="O64" t="s">
        <v>1764</v>
      </c>
      <c r="P64" t="s">
        <v>1743</v>
      </c>
      <c r="Q64" s="47"/>
      <c r="R64" s="43"/>
      <c r="S64" s="43"/>
    </row>
    <row r="65" spans="1:19" x14ac:dyDescent="0.3">
      <c r="A65">
        <v>1065102</v>
      </c>
      <c r="B65" t="s">
        <v>1909</v>
      </c>
      <c r="C65" t="s">
        <v>1911</v>
      </c>
      <c r="D65" t="s">
        <v>1912</v>
      </c>
      <c r="E65" t="s">
        <v>1913</v>
      </c>
      <c r="F65" t="s">
        <v>1822</v>
      </c>
      <c r="G65" t="s">
        <v>1933</v>
      </c>
      <c r="H65" t="s">
        <v>22</v>
      </c>
      <c r="I65" t="s">
        <v>22</v>
      </c>
      <c r="J65" t="s">
        <v>17</v>
      </c>
      <c r="K65">
        <v>765</v>
      </c>
      <c r="L65">
        <v>1299</v>
      </c>
      <c r="M65" t="s">
        <v>1915</v>
      </c>
      <c r="N65" t="s">
        <v>1916</v>
      </c>
      <c r="O65" t="s">
        <v>1764</v>
      </c>
      <c r="P65" t="s">
        <v>1743</v>
      </c>
      <c r="Q65" s="47"/>
      <c r="R65" s="43"/>
      <c r="S65" s="43"/>
    </row>
    <row r="66" spans="1:19" x14ac:dyDescent="0.3">
      <c r="A66">
        <v>1065102</v>
      </c>
      <c r="B66" t="s">
        <v>1909</v>
      </c>
      <c r="C66" t="s">
        <v>1911</v>
      </c>
      <c r="D66" t="s">
        <v>1912</v>
      </c>
      <c r="E66" t="s">
        <v>1913</v>
      </c>
      <c r="F66" t="s">
        <v>1822</v>
      </c>
      <c r="G66" t="s">
        <v>1934</v>
      </c>
      <c r="H66" t="s">
        <v>22</v>
      </c>
      <c r="I66" t="s">
        <v>22</v>
      </c>
      <c r="J66" t="s">
        <v>17</v>
      </c>
      <c r="K66">
        <v>765</v>
      </c>
      <c r="L66">
        <v>1299</v>
      </c>
      <c r="M66" t="s">
        <v>1915</v>
      </c>
      <c r="N66" t="s">
        <v>1916</v>
      </c>
      <c r="O66" t="s">
        <v>1764</v>
      </c>
      <c r="P66" t="s">
        <v>1743</v>
      </c>
      <c r="Q66" s="47"/>
      <c r="R66" s="43"/>
      <c r="S66" s="43"/>
    </row>
    <row r="67" spans="1:19" x14ac:dyDescent="0.3">
      <c r="A67">
        <v>1065102</v>
      </c>
      <c r="B67" t="s">
        <v>1909</v>
      </c>
      <c r="C67" t="s">
        <v>1911</v>
      </c>
      <c r="D67" t="s">
        <v>1912</v>
      </c>
      <c r="E67" t="s">
        <v>1913</v>
      </c>
      <c r="F67" t="s">
        <v>1822</v>
      </c>
      <c r="G67" t="s">
        <v>1935</v>
      </c>
      <c r="H67" t="s">
        <v>22</v>
      </c>
      <c r="I67" t="s">
        <v>22</v>
      </c>
      <c r="J67" t="s">
        <v>17</v>
      </c>
      <c r="K67">
        <v>765</v>
      </c>
      <c r="L67">
        <v>1299</v>
      </c>
      <c r="M67" t="s">
        <v>1915</v>
      </c>
      <c r="N67" t="s">
        <v>1916</v>
      </c>
      <c r="O67" t="s">
        <v>1764</v>
      </c>
      <c r="P67" t="s">
        <v>1743</v>
      </c>
      <c r="Q67" s="47"/>
      <c r="R67" s="43"/>
      <c r="S67" s="43"/>
    </row>
    <row r="68" spans="1:19" x14ac:dyDescent="0.3">
      <c r="A68">
        <v>1065102</v>
      </c>
      <c r="B68" t="s">
        <v>1909</v>
      </c>
      <c r="C68" t="s">
        <v>1911</v>
      </c>
      <c r="D68" t="s">
        <v>1912</v>
      </c>
      <c r="E68" t="s">
        <v>1913</v>
      </c>
      <c r="F68" t="s">
        <v>1822</v>
      </c>
      <c r="G68" t="s">
        <v>1936</v>
      </c>
      <c r="H68" t="s">
        <v>22</v>
      </c>
      <c r="I68" t="s">
        <v>22</v>
      </c>
      <c r="J68" t="s">
        <v>17</v>
      </c>
      <c r="K68">
        <v>765</v>
      </c>
      <c r="L68">
        <v>1299</v>
      </c>
      <c r="M68" t="s">
        <v>1915</v>
      </c>
      <c r="N68" t="s">
        <v>1916</v>
      </c>
      <c r="O68" t="s">
        <v>1764</v>
      </c>
      <c r="P68" t="s">
        <v>1743</v>
      </c>
      <c r="Q68" s="47"/>
      <c r="R68" s="43"/>
      <c r="S68" s="43"/>
    </row>
    <row r="69" spans="1:19" x14ac:dyDescent="0.3">
      <c r="A69">
        <v>1065102</v>
      </c>
      <c r="B69" t="s">
        <v>1909</v>
      </c>
      <c r="C69" t="s">
        <v>1911</v>
      </c>
      <c r="D69" t="s">
        <v>1912</v>
      </c>
      <c r="E69" t="s">
        <v>1913</v>
      </c>
      <c r="F69" t="s">
        <v>1822</v>
      </c>
      <c r="G69" t="s">
        <v>1937</v>
      </c>
      <c r="H69" t="s">
        <v>22</v>
      </c>
      <c r="I69" t="s">
        <v>22</v>
      </c>
      <c r="J69" t="s">
        <v>17</v>
      </c>
      <c r="K69">
        <v>765</v>
      </c>
      <c r="L69">
        <v>1299</v>
      </c>
      <c r="M69" t="s">
        <v>1915</v>
      </c>
      <c r="N69" t="s">
        <v>1916</v>
      </c>
      <c r="O69" t="s">
        <v>1764</v>
      </c>
      <c r="P69" t="s">
        <v>1743</v>
      </c>
      <c r="Q69" s="47"/>
      <c r="R69" s="43"/>
      <c r="S69" s="43"/>
    </row>
    <row r="70" spans="1:19" x14ac:dyDescent="0.3">
      <c r="A70">
        <v>1065102</v>
      </c>
      <c r="B70" t="s">
        <v>1909</v>
      </c>
      <c r="C70" t="s">
        <v>1911</v>
      </c>
      <c r="D70" t="s">
        <v>1912</v>
      </c>
      <c r="E70" t="s">
        <v>1913</v>
      </c>
      <c r="F70" t="s">
        <v>1822</v>
      </c>
      <c r="G70" t="s">
        <v>1938</v>
      </c>
      <c r="H70" t="s">
        <v>22</v>
      </c>
      <c r="I70" t="s">
        <v>22</v>
      </c>
      <c r="J70" t="s">
        <v>17</v>
      </c>
      <c r="K70">
        <v>765</v>
      </c>
      <c r="L70">
        <v>1299</v>
      </c>
      <c r="M70" t="s">
        <v>1915</v>
      </c>
      <c r="N70" t="s">
        <v>1916</v>
      </c>
      <c r="O70" t="s">
        <v>1764</v>
      </c>
      <c r="P70" t="s">
        <v>1743</v>
      </c>
      <c r="Q70" s="47"/>
      <c r="R70" s="43"/>
      <c r="S70" s="43"/>
    </row>
    <row r="71" spans="1:19" x14ac:dyDescent="0.3">
      <c r="A71">
        <v>1065102</v>
      </c>
      <c r="B71" t="s">
        <v>1909</v>
      </c>
      <c r="C71" t="s">
        <v>1911</v>
      </c>
      <c r="D71" t="s">
        <v>1912</v>
      </c>
      <c r="E71" t="s">
        <v>1913</v>
      </c>
      <c r="F71" t="s">
        <v>1822</v>
      </c>
      <c r="G71" t="s">
        <v>1939</v>
      </c>
      <c r="H71" t="s">
        <v>22</v>
      </c>
      <c r="I71" t="s">
        <v>22</v>
      </c>
      <c r="J71" t="s">
        <v>17</v>
      </c>
      <c r="K71">
        <v>765</v>
      </c>
      <c r="L71">
        <v>1299</v>
      </c>
      <c r="M71" t="s">
        <v>1915</v>
      </c>
      <c r="N71" t="s">
        <v>1916</v>
      </c>
      <c r="O71" t="s">
        <v>1764</v>
      </c>
      <c r="P71" t="s">
        <v>1743</v>
      </c>
      <c r="Q71" s="47"/>
      <c r="R71" s="46"/>
      <c r="S71" s="43"/>
    </row>
    <row r="72" spans="1:19" x14ac:dyDescent="0.3">
      <c r="A72">
        <v>1065102</v>
      </c>
      <c r="B72" t="s">
        <v>1909</v>
      </c>
      <c r="C72" t="s">
        <v>1911</v>
      </c>
      <c r="D72" t="s">
        <v>1912</v>
      </c>
      <c r="E72" t="s">
        <v>1913</v>
      </c>
      <c r="F72" t="s">
        <v>1822</v>
      </c>
      <c r="G72" t="s">
        <v>1940</v>
      </c>
      <c r="H72" t="s">
        <v>22</v>
      </c>
      <c r="I72" t="s">
        <v>22</v>
      </c>
      <c r="J72" t="s">
        <v>17</v>
      </c>
      <c r="K72">
        <v>765</v>
      </c>
      <c r="L72">
        <v>1299</v>
      </c>
      <c r="M72" t="s">
        <v>1915</v>
      </c>
      <c r="N72" t="s">
        <v>1916</v>
      </c>
      <c r="O72" t="s">
        <v>1764</v>
      </c>
      <c r="P72" t="s">
        <v>1743</v>
      </c>
      <c r="Q72" s="47"/>
    </row>
    <row r="73" spans="1:19" x14ac:dyDescent="0.3">
      <c r="A73">
        <v>1065102</v>
      </c>
      <c r="B73" t="s">
        <v>1909</v>
      </c>
      <c r="C73" t="s">
        <v>1911</v>
      </c>
      <c r="D73" t="s">
        <v>1912</v>
      </c>
      <c r="E73" t="s">
        <v>1913</v>
      </c>
      <c r="F73" t="s">
        <v>1822</v>
      </c>
      <c r="G73" t="s">
        <v>1941</v>
      </c>
      <c r="H73" t="s">
        <v>22</v>
      </c>
      <c r="I73" t="s">
        <v>22</v>
      </c>
      <c r="J73" t="s">
        <v>17</v>
      </c>
      <c r="K73">
        <v>765</v>
      </c>
      <c r="L73">
        <v>1299</v>
      </c>
      <c r="M73" t="s">
        <v>1915</v>
      </c>
      <c r="N73" t="s">
        <v>1916</v>
      </c>
      <c r="O73" t="s">
        <v>1764</v>
      </c>
      <c r="P73" t="s">
        <v>1743</v>
      </c>
      <c r="Q73" s="47"/>
    </row>
    <row r="74" spans="1:19" x14ac:dyDescent="0.3">
      <c r="A74">
        <v>1065102</v>
      </c>
      <c r="B74" t="s">
        <v>1909</v>
      </c>
      <c r="C74" t="s">
        <v>1911</v>
      </c>
      <c r="D74" t="s">
        <v>1912</v>
      </c>
      <c r="E74" t="s">
        <v>1913</v>
      </c>
      <c r="F74" t="s">
        <v>1822</v>
      </c>
      <c r="G74" t="s">
        <v>1942</v>
      </c>
      <c r="H74" t="s">
        <v>22</v>
      </c>
      <c r="I74" t="s">
        <v>22</v>
      </c>
      <c r="J74" t="s">
        <v>17</v>
      </c>
      <c r="K74">
        <v>765</v>
      </c>
      <c r="L74">
        <v>1299</v>
      </c>
      <c r="M74" t="s">
        <v>1915</v>
      </c>
      <c r="N74" t="s">
        <v>1916</v>
      </c>
      <c r="O74" t="s">
        <v>1764</v>
      </c>
      <c r="P74" t="s">
        <v>1743</v>
      </c>
      <c r="Q74" s="47"/>
    </row>
    <row r="75" spans="1:19" x14ac:dyDescent="0.3">
      <c r="A75">
        <v>1065102</v>
      </c>
      <c r="B75" t="s">
        <v>1909</v>
      </c>
      <c r="C75" t="s">
        <v>1911</v>
      </c>
      <c r="D75" t="s">
        <v>1912</v>
      </c>
      <c r="E75" t="s">
        <v>1913</v>
      </c>
      <c r="F75" t="s">
        <v>1822</v>
      </c>
      <c r="G75" t="s">
        <v>1943</v>
      </c>
      <c r="H75" t="s">
        <v>22</v>
      </c>
      <c r="I75" t="s">
        <v>22</v>
      </c>
      <c r="J75" t="s">
        <v>17</v>
      </c>
      <c r="K75">
        <v>765</v>
      </c>
      <c r="L75">
        <v>1299</v>
      </c>
      <c r="M75" t="s">
        <v>1915</v>
      </c>
      <c r="N75" t="s">
        <v>1916</v>
      </c>
      <c r="O75" t="s">
        <v>1764</v>
      </c>
      <c r="P75" t="s">
        <v>1743</v>
      </c>
      <c r="Q75" s="47"/>
    </row>
    <row r="76" spans="1:19" x14ac:dyDescent="0.3">
      <c r="A76">
        <v>1065102</v>
      </c>
      <c r="B76" t="s">
        <v>1909</v>
      </c>
      <c r="C76" t="s">
        <v>1911</v>
      </c>
      <c r="D76" t="s">
        <v>1912</v>
      </c>
      <c r="E76" t="s">
        <v>1913</v>
      </c>
      <c r="F76" t="s">
        <v>1822</v>
      </c>
      <c r="G76" t="s">
        <v>1944</v>
      </c>
      <c r="H76" t="s">
        <v>22</v>
      </c>
      <c r="I76" t="s">
        <v>22</v>
      </c>
      <c r="J76" t="s">
        <v>17</v>
      </c>
      <c r="K76">
        <v>765</v>
      </c>
      <c r="L76">
        <v>1299</v>
      </c>
      <c r="M76" t="s">
        <v>1915</v>
      </c>
      <c r="N76" t="s">
        <v>1916</v>
      </c>
      <c r="O76" t="s">
        <v>1764</v>
      </c>
      <c r="P76" t="s">
        <v>1743</v>
      </c>
      <c r="Q76" s="47"/>
    </row>
    <row r="77" spans="1:19" x14ac:dyDescent="0.3">
      <c r="A77">
        <v>1065102</v>
      </c>
      <c r="B77" t="s">
        <v>1909</v>
      </c>
      <c r="C77" t="s">
        <v>1911</v>
      </c>
      <c r="D77" t="s">
        <v>1912</v>
      </c>
      <c r="E77" t="s">
        <v>1913</v>
      </c>
      <c r="F77" t="s">
        <v>1822</v>
      </c>
      <c r="G77" t="s">
        <v>1945</v>
      </c>
      <c r="H77" t="s">
        <v>22</v>
      </c>
      <c r="I77" t="s">
        <v>22</v>
      </c>
      <c r="J77" t="s">
        <v>17</v>
      </c>
      <c r="K77">
        <v>765</v>
      </c>
      <c r="L77">
        <v>1299</v>
      </c>
      <c r="M77" t="s">
        <v>1915</v>
      </c>
      <c r="N77" t="s">
        <v>1916</v>
      </c>
      <c r="O77" t="s">
        <v>1764</v>
      </c>
      <c r="P77" t="s">
        <v>1743</v>
      </c>
      <c r="Q77" s="47"/>
    </row>
    <row r="78" spans="1:19" x14ac:dyDescent="0.3">
      <c r="A78">
        <v>1065102</v>
      </c>
      <c r="B78" t="s">
        <v>1909</v>
      </c>
      <c r="C78" t="s">
        <v>1911</v>
      </c>
      <c r="D78" t="s">
        <v>1912</v>
      </c>
      <c r="E78" t="s">
        <v>1913</v>
      </c>
      <c r="F78" t="s">
        <v>1822</v>
      </c>
      <c r="G78" t="s">
        <v>1946</v>
      </c>
      <c r="H78" t="s">
        <v>22</v>
      </c>
      <c r="I78" t="s">
        <v>22</v>
      </c>
      <c r="J78" t="s">
        <v>17</v>
      </c>
      <c r="K78">
        <v>765</v>
      </c>
      <c r="L78">
        <v>1299</v>
      </c>
      <c r="M78" t="s">
        <v>1915</v>
      </c>
      <c r="N78" t="s">
        <v>1916</v>
      </c>
      <c r="O78" t="s">
        <v>1764</v>
      </c>
      <c r="P78" t="s">
        <v>1743</v>
      </c>
      <c r="Q78" s="47"/>
    </row>
    <row r="79" spans="1:19" x14ac:dyDescent="0.3">
      <c r="A79">
        <v>1065102</v>
      </c>
      <c r="B79" t="s">
        <v>1909</v>
      </c>
      <c r="C79" t="s">
        <v>1911</v>
      </c>
      <c r="D79" t="s">
        <v>1912</v>
      </c>
      <c r="E79" t="s">
        <v>1913</v>
      </c>
      <c r="F79" t="s">
        <v>1822</v>
      </c>
      <c r="G79" t="s">
        <v>1947</v>
      </c>
      <c r="H79" t="s">
        <v>22</v>
      </c>
      <c r="I79" t="s">
        <v>22</v>
      </c>
      <c r="J79" t="s">
        <v>17</v>
      </c>
      <c r="K79">
        <v>765</v>
      </c>
      <c r="L79">
        <v>1299</v>
      </c>
      <c r="M79" t="s">
        <v>1915</v>
      </c>
      <c r="N79" t="s">
        <v>1916</v>
      </c>
      <c r="O79" t="s">
        <v>1764</v>
      </c>
      <c r="P79" t="s">
        <v>1743</v>
      </c>
      <c r="Q79" s="47"/>
    </row>
    <row r="80" spans="1:19" x14ac:dyDescent="0.3">
      <c r="A80">
        <v>1065102</v>
      </c>
      <c r="B80" t="s">
        <v>1909</v>
      </c>
      <c r="C80" t="s">
        <v>1911</v>
      </c>
      <c r="D80" t="s">
        <v>1912</v>
      </c>
      <c r="E80" t="s">
        <v>1913</v>
      </c>
      <c r="F80" t="s">
        <v>1822</v>
      </c>
      <c r="G80" t="s">
        <v>1948</v>
      </c>
      <c r="H80" t="s">
        <v>22</v>
      </c>
      <c r="I80" t="s">
        <v>22</v>
      </c>
      <c r="J80" t="s">
        <v>17</v>
      </c>
      <c r="K80">
        <v>765</v>
      </c>
      <c r="L80">
        <v>1299</v>
      </c>
      <c r="M80" t="s">
        <v>1915</v>
      </c>
      <c r="N80" t="s">
        <v>1916</v>
      </c>
      <c r="O80" t="s">
        <v>1764</v>
      </c>
      <c r="P80" t="s">
        <v>1743</v>
      </c>
      <c r="Q80" s="47"/>
    </row>
    <row r="81" spans="1:17" x14ac:dyDescent="0.3">
      <c r="A81">
        <v>1065102</v>
      </c>
      <c r="B81" t="s">
        <v>1909</v>
      </c>
      <c r="C81" t="s">
        <v>1949</v>
      </c>
      <c r="D81" t="s">
        <v>1949</v>
      </c>
      <c r="E81" t="s">
        <v>1950</v>
      </c>
      <c r="F81" t="s">
        <v>1822</v>
      </c>
      <c r="G81" t="s">
        <v>1822</v>
      </c>
      <c r="H81" t="s">
        <v>22</v>
      </c>
      <c r="I81" t="s">
        <v>22</v>
      </c>
      <c r="J81" t="s">
        <v>17</v>
      </c>
      <c r="K81">
        <v>1000</v>
      </c>
      <c r="L81">
        <v>1140</v>
      </c>
      <c r="M81" t="s">
        <v>1951</v>
      </c>
      <c r="N81" t="s">
        <v>1952</v>
      </c>
      <c r="O81" t="s">
        <v>1764</v>
      </c>
      <c r="P81" t="s">
        <v>1743</v>
      </c>
    </row>
    <row r="82" spans="1:17" x14ac:dyDescent="0.3">
      <c r="A82">
        <v>1065102</v>
      </c>
      <c r="B82" t="s">
        <v>1909</v>
      </c>
      <c r="C82" t="s">
        <v>1953</v>
      </c>
      <c r="D82" t="s">
        <v>1953</v>
      </c>
      <c r="E82" t="s">
        <v>1954</v>
      </c>
      <c r="F82" t="s">
        <v>1955</v>
      </c>
      <c r="G82" t="s">
        <v>1822</v>
      </c>
      <c r="H82" t="s">
        <v>22</v>
      </c>
      <c r="I82" t="s">
        <v>22</v>
      </c>
      <c r="J82" t="s">
        <v>17</v>
      </c>
      <c r="K82">
        <v>1000</v>
      </c>
      <c r="L82">
        <v>1140</v>
      </c>
      <c r="M82" t="s">
        <v>1956</v>
      </c>
      <c r="N82" t="s">
        <v>1957</v>
      </c>
      <c r="O82" t="s">
        <v>1764</v>
      </c>
      <c r="P82" t="s">
        <v>1743</v>
      </c>
    </row>
    <row r="83" spans="1:17" x14ac:dyDescent="0.3">
      <c r="A83">
        <v>1065102</v>
      </c>
      <c r="B83" t="s">
        <v>1909</v>
      </c>
      <c r="C83" t="s">
        <v>1958</v>
      </c>
      <c r="D83" t="s">
        <v>1958</v>
      </c>
      <c r="E83" t="s">
        <v>1959</v>
      </c>
      <c r="F83" t="s">
        <v>1822</v>
      </c>
      <c r="G83" t="s">
        <v>1822</v>
      </c>
      <c r="H83" t="s">
        <v>22</v>
      </c>
      <c r="I83" t="s">
        <v>22</v>
      </c>
      <c r="J83" t="s">
        <v>17</v>
      </c>
      <c r="K83">
        <v>1000</v>
      </c>
      <c r="L83">
        <v>1140</v>
      </c>
      <c r="M83" t="s">
        <v>1960</v>
      </c>
      <c r="N83" t="s">
        <v>1961</v>
      </c>
      <c r="O83" t="s">
        <v>1764</v>
      </c>
      <c r="P83" t="s">
        <v>1743</v>
      </c>
    </row>
    <row r="84" spans="1:17" x14ac:dyDescent="0.3">
      <c r="A84">
        <v>1065102</v>
      </c>
      <c r="B84" t="s">
        <v>1909</v>
      </c>
      <c r="C84" t="s">
        <v>1962</v>
      </c>
      <c r="D84" t="s">
        <v>1962</v>
      </c>
      <c r="E84" t="s">
        <v>1963</v>
      </c>
      <c r="F84" t="s">
        <v>1822</v>
      </c>
      <c r="G84" t="s">
        <v>1822</v>
      </c>
      <c r="H84" t="s">
        <v>22</v>
      </c>
      <c r="I84" t="s">
        <v>22</v>
      </c>
      <c r="J84" t="s">
        <v>17</v>
      </c>
      <c r="K84">
        <v>1000</v>
      </c>
      <c r="L84">
        <v>1130</v>
      </c>
      <c r="M84" t="s">
        <v>1858</v>
      </c>
      <c r="N84" t="s">
        <v>1859</v>
      </c>
      <c r="O84" t="s">
        <v>1764</v>
      </c>
      <c r="P84" t="s">
        <v>1743</v>
      </c>
    </row>
    <row r="85" spans="1:17" x14ac:dyDescent="0.3">
      <c r="A85">
        <v>1133552</v>
      </c>
      <c r="B85" t="s">
        <v>1964</v>
      </c>
      <c r="C85" t="s">
        <v>1965</v>
      </c>
      <c r="D85" t="s">
        <v>1822</v>
      </c>
      <c r="E85" t="s">
        <v>1822</v>
      </c>
      <c r="F85" t="s">
        <v>1822</v>
      </c>
      <c r="G85" t="s">
        <v>1822</v>
      </c>
      <c r="H85" t="s">
        <v>16</v>
      </c>
      <c r="I85" t="s">
        <v>16</v>
      </c>
      <c r="J85" t="s">
        <v>17</v>
      </c>
      <c r="K85">
        <v>0</v>
      </c>
      <c r="L85">
        <v>0</v>
      </c>
      <c r="M85" t="s">
        <v>1822</v>
      </c>
      <c r="N85" t="s">
        <v>1822</v>
      </c>
      <c r="O85" t="s">
        <v>1764</v>
      </c>
      <c r="P85" t="s">
        <v>1743</v>
      </c>
    </row>
    <row r="86" spans="1:17" x14ac:dyDescent="0.3">
      <c r="A86">
        <v>1133552</v>
      </c>
      <c r="B86" t="s">
        <v>1964</v>
      </c>
      <c r="C86" t="s">
        <v>1966</v>
      </c>
      <c r="D86" t="s">
        <v>1822</v>
      </c>
      <c r="E86" t="s">
        <v>1822</v>
      </c>
      <c r="F86" t="s">
        <v>1822</v>
      </c>
      <c r="G86" t="s">
        <v>1822</v>
      </c>
      <c r="H86" t="s">
        <v>16</v>
      </c>
      <c r="I86" t="s">
        <v>16</v>
      </c>
      <c r="J86" t="s">
        <v>17</v>
      </c>
      <c r="K86">
        <v>0</v>
      </c>
      <c r="L86">
        <v>0</v>
      </c>
      <c r="M86" t="s">
        <v>1822</v>
      </c>
      <c r="N86" t="s">
        <v>1822</v>
      </c>
      <c r="O86" t="s">
        <v>1764</v>
      </c>
      <c r="P86" t="s">
        <v>1743</v>
      </c>
    </row>
    <row r="87" spans="1:17" x14ac:dyDescent="0.3">
      <c r="A87">
        <v>1133552</v>
      </c>
      <c r="B87" t="s">
        <v>1964</v>
      </c>
      <c r="C87" t="s">
        <v>1967</v>
      </c>
      <c r="D87" t="s">
        <v>1968</v>
      </c>
      <c r="E87" t="s">
        <v>1969</v>
      </c>
      <c r="F87" t="s">
        <v>1822</v>
      </c>
      <c r="G87" t="s">
        <v>1970</v>
      </c>
      <c r="H87" t="s">
        <v>22</v>
      </c>
      <c r="I87" t="s">
        <v>22</v>
      </c>
      <c r="J87" t="s">
        <v>17</v>
      </c>
      <c r="K87">
        <v>935</v>
      </c>
      <c r="L87">
        <v>1091</v>
      </c>
      <c r="M87" t="s">
        <v>1971</v>
      </c>
      <c r="N87" t="s">
        <v>1972</v>
      </c>
      <c r="O87" t="s">
        <v>1764</v>
      </c>
      <c r="P87" t="s">
        <v>1743</v>
      </c>
      <c r="Q87" s="45" t="s">
        <v>1973</v>
      </c>
    </row>
    <row r="88" spans="1:17" x14ac:dyDescent="0.3">
      <c r="A88">
        <v>1133552</v>
      </c>
      <c r="B88" t="s">
        <v>1964</v>
      </c>
      <c r="C88" t="s">
        <v>1967</v>
      </c>
      <c r="D88" t="s">
        <v>1968</v>
      </c>
      <c r="E88" t="s">
        <v>1969</v>
      </c>
      <c r="F88" t="s">
        <v>1822</v>
      </c>
      <c r="G88" t="s">
        <v>1974</v>
      </c>
      <c r="H88" t="s">
        <v>22</v>
      </c>
      <c r="I88" t="s">
        <v>22</v>
      </c>
      <c r="J88" t="s">
        <v>17</v>
      </c>
      <c r="K88">
        <v>935</v>
      </c>
      <c r="L88">
        <v>1091</v>
      </c>
      <c r="M88" t="s">
        <v>1971</v>
      </c>
      <c r="N88" t="s">
        <v>1972</v>
      </c>
      <c r="O88" t="s">
        <v>1764</v>
      </c>
      <c r="P88" t="s">
        <v>1743</v>
      </c>
      <c r="Q88" s="45"/>
    </row>
    <row r="89" spans="1:17" x14ac:dyDescent="0.3">
      <c r="A89">
        <v>1133552</v>
      </c>
      <c r="B89" t="s">
        <v>1964</v>
      </c>
      <c r="C89" t="s">
        <v>1975</v>
      </c>
      <c r="D89" t="s">
        <v>1822</v>
      </c>
      <c r="E89" t="s">
        <v>1822</v>
      </c>
      <c r="F89" t="s">
        <v>1822</v>
      </c>
      <c r="G89" t="s">
        <v>1822</v>
      </c>
      <c r="H89" t="s">
        <v>16</v>
      </c>
      <c r="I89" t="s">
        <v>16</v>
      </c>
      <c r="J89" t="s">
        <v>17</v>
      </c>
      <c r="K89">
        <v>0</v>
      </c>
      <c r="L89">
        <v>0</v>
      </c>
      <c r="M89" t="s">
        <v>1822</v>
      </c>
      <c r="N89" t="s">
        <v>1822</v>
      </c>
      <c r="O89" t="s">
        <v>1764</v>
      </c>
      <c r="P89" t="s">
        <v>1743</v>
      </c>
    </row>
    <row r="90" spans="1:17" x14ac:dyDescent="0.3">
      <c r="A90">
        <v>1133552</v>
      </c>
      <c r="B90" t="s">
        <v>1964</v>
      </c>
      <c r="C90" t="s">
        <v>1976</v>
      </c>
      <c r="D90" t="s">
        <v>1977</v>
      </c>
      <c r="E90" t="s">
        <v>1978</v>
      </c>
      <c r="F90" t="s">
        <v>1822</v>
      </c>
      <c r="G90" t="s">
        <v>1979</v>
      </c>
      <c r="H90" t="s">
        <v>22</v>
      </c>
      <c r="I90" t="s">
        <v>22</v>
      </c>
      <c r="J90" t="s">
        <v>17</v>
      </c>
      <c r="K90">
        <v>833</v>
      </c>
      <c r="L90">
        <v>1010</v>
      </c>
      <c r="M90" t="s">
        <v>1980</v>
      </c>
      <c r="N90" t="s">
        <v>1981</v>
      </c>
      <c r="O90" t="s">
        <v>1764</v>
      </c>
      <c r="P90" t="s">
        <v>1743</v>
      </c>
      <c r="Q90" s="44" t="s">
        <v>1982</v>
      </c>
    </row>
    <row r="91" spans="1:17" x14ac:dyDescent="0.3">
      <c r="A91">
        <v>1133552</v>
      </c>
      <c r="B91" t="s">
        <v>1964</v>
      </c>
      <c r="C91" t="s">
        <v>1976</v>
      </c>
      <c r="D91" t="s">
        <v>1977</v>
      </c>
      <c r="E91" t="s">
        <v>1978</v>
      </c>
      <c r="F91" t="s">
        <v>1822</v>
      </c>
      <c r="G91" t="s">
        <v>1983</v>
      </c>
      <c r="H91" t="s">
        <v>22</v>
      </c>
      <c r="I91" t="s">
        <v>22</v>
      </c>
      <c r="J91" t="s">
        <v>17</v>
      </c>
      <c r="K91">
        <v>833</v>
      </c>
      <c r="L91">
        <v>1010</v>
      </c>
      <c r="M91" t="s">
        <v>1980</v>
      </c>
      <c r="N91" t="s">
        <v>1981</v>
      </c>
      <c r="O91" t="s">
        <v>1764</v>
      </c>
      <c r="P91" t="s">
        <v>1743</v>
      </c>
      <c r="Q91" s="44"/>
    </row>
    <row r="92" spans="1:17" x14ac:dyDescent="0.3">
      <c r="A92">
        <v>1133552</v>
      </c>
      <c r="B92" t="s">
        <v>1964</v>
      </c>
      <c r="C92" t="s">
        <v>1976</v>
      </c>
      <c r="D92" t="s">
        <v>1977</v>
      </c>
      <c r="E92" t="s">
        <v>1978</v>
      </c>
      <c r="F92" t="s">
        <v>1822</v>
      </c>
      <c r="G92" t="s">
        <v>1984</v>
      </c>
      <c r="H92" t="s">
        <v>22</v>
      </c>
      <c r="I92" t="s">
        <v>22</v>
      </c>
      <c r="J92" t="s">
        <v>17</v>
      </c>
      <c r="K92">
        <v>833</v>
      </c>
      <c r="L92">
        <v>1010</v>
      </c>
      <c r="M92" t="s">
        <v>1980</v>
      </c>
      <c r="N92" t="s">
        <v>1981</v>
      </c>
      <c r="O92" t="s">
        <v>1764</v>
      </c>
      <c r="P92" t="s">
        <v>1743</v>
      </c>
      <c r="Q92" s="44"/>
    </row>
    <row r="93" spans="1:17" x14ac:dyDescent="0.3">
      <c r="A93">
        <v>1133552</v>
      </c>
      <c r="B93" t="s">
        <v>1964</v>
      </c>
      <c r="C93" t="s">
        <v>1976</v>
      </c>
      <c r="D93" t="s">
        <v>1977</v>
      </c>
      <c r="E93" t="s">
        <v>1978</v>
      </c>
      <c r="F93" t="s">
        <v>1822</v>
      </c>
      <c r="G93" t="s">
        <v>1985</v>
      </c>
      <c r="H93" t="s">
        <v>22</v>
      </c>
      <c r="I93" t="s">
        <v>22</v>
      </c>
      <c r="J93" t="s">
        <v>17</v>
      </c>
      <c r="K93">
        <v>833</v>
      </c>
      <c r="L93">
        <v>1010</v>
      </c>
      <c r="M93" t="s">
        <v>1980</v>
      </c>
      <c r="N93" t="s">
        <v>1981</v>
      </c>
      <c r="O93" t="s">
        <v>1764</v>
      </c>
      <c r="P93" t="s">
        <v>1743</v>
      </c>
      <c r="Q93" s="44"/>
    </row>
    <row r="94" spans="1:17" x14ac:dyDescent="0.3">
      <c r="A94">
        <v>1133552</v>
      </c>
      <c r="B94" t="s">
        <v>1964</v>
      </c>
      <c r="C94" t="s">
        <v>1976</v>
      </c>
      <c r="D94" t="s">
        <v>1977</v>
      </c>
      <c r="E94" t="s">
        <v>1978</v>
      </c>
      <c r="F94" t="s">
        <v>1822</v>
      </c>
      <c r="G94" t="s">
        <v>1986</v>
      </c>
      <c r="H94" t="s">
        <v>22</v>
      </c>
      <c r="I94" t="s">
        <v>22</v>
      </c>
      <c r="J94" t="s">
        <v>17</v>
      </c>
      <c r="K94">
        <v>833</v>
      </c>
      <c r="L94">
        <v>1010</v>
      </c>
      <c r="M94" t="s">
        <v>1980</v>
      </c>
      <c r="N94" t="s">
        <v>1981</v>
      </c>
      <c r="O94" t="s">
        <v>1764</v>
      </c>
      <c r="P94" t="s">
        <v>1743</v>
      </c>
      <c r="Q94" s="44"/>
    </row>
    <row r="95" spans="1:17" x14ac:dyDescent="0.3">
      <c r="A95">
        <v>1133552</v>
      </c>
      <c r="B95" t="s">
        <v>1964</v>
      </c>
      <c r="C95" t="s">
        <v>1976</v>
      </c>
      <c r="D95" t="s">
        <v>1977</v>
      </c>
      <c r="E95" t="s">
        <v>1978</v>
      </c>
      <c r="F95" t="s">
        <v>1822</v>
      </c>
      <c r="G95" t="s">
        <v>1987</v>
      </c>
      <c r="H95" t="s">
        <v>22</v>
      </c>
      <c r="I95" t="s">
        <v>22</v>
      </c>
      <c r="J95" t="s">
        <v>17</v>
      </c>
      <c r="K95">
        <v>833</v>
      </c>
      <c r="L95">
        <v>1010</v>
      </c>
      <c r="M95" t="s">
        <v>1980</v>
      </c>
      <c r="N95" t="s">
        <v>1981</v>
      </c>
      <c r="O95" t="s">
        <v>1764</v>
      </c>
      <c r="P95" t="s">
        <v>1743</v>
      </c>
      <c r="Q95" s="44"/>
    </row>
    <row r="96" spans="1:17" x14ac:dyDescent="0.3">
      <c r="A96">
        <v>1133552</v>
      </c>
      <c r="B96" t="s">
        <v>1964</v>
      </c>
      <c r="C96" t="s">
        <v>1988</v>
      </c>
      <c r="D96" t="s">
        <v>1988</v>
      </c>
      <c r="E96" t="s">
        <v>1989</v>
      </c>
      <c r="F96" t="s">
        <v>1822</v>
      </c>
      <c r="G96" t="s">
        <v>1822</v>
      </c>
      <c r="H96" t="s">
        <v>22</v>
      </c>
      <c r="I96" t="s">
        <v>22</v>
      </c>
      <c r="J96" t="s">
        <v>17</v>
      </c>
      <c r="K96">
        <v>1000</v>
      </c>
      <c r="L96">
        <v>1120</v>
      </c>
      <c r="M96" t="s">
        <v>338</v>
      </c>
      <c r="N96" t="s">
        <v>339</v>
      </c>
      <c r="O96" t="s">
        <v>1764</v>
      </c>
      <c r="P96" t="s">
        <v>1743</v>
      </c>
    </row>
    <row r="97" spans="1:17" x14ac:dyDescent="0.3">
      <c r="A97">
        <v>1133562</v>
      </c>
      <c r="B97" t="s">
        <v>1990</v>
      </c>
      <c r="C97" t="s">
        <v>994</v>
      </c>
      <c r="D97" t="s">
        <v>994</v>
      </c>
      <c r="E97" t="s">
        <v>995</v>
      </c>
      <c r="F97" t="s">
        <v>1822</v>
      </c>
      <c r="G97" t="s">
        <v>1822</v>
      </c>
      <c r="H97" t="s">
        <v>22</v>
      </c>
      <c r="I97" t="s">
        <v>22</v>
      </c>
      <c r="J97" t="s">
        <v>17</v>
      </c>
      <c r="K97">
        <v>1000</v>
      </c>
      <c r="L97">
        <v>1110</v>
      </c>
      <c r="M97" t="s">
        <v>182</v>
      </c>
      <c r="N97" t="s">
        <v>183</v>
      </c>
      <c r="O97" t="s">
        <v>1764</v>
      </c>
      <c r="P97" t="s">
        <v>1743</v>
      </c>
      <c r="Q97" t="s">
        <v>1982</v>
      </c>
    </row>
    <row r="98" spans="1:17" x14ac:dyDescent="0.3">
      <c r="A98">
        <v>1133562</v>
      </c>
      <c r="B98" t="s">
        <v>1990</v>
      </c>
      <c r="C98" t="s">
        <v>1991</v>
      </c>
      <c r="D98" t="s">
        <v>1991</v>
      </c>
      <c r="E98" t="s">
        <v>1992</v>
      </c>
      <c r="F98" t="s">
        <v>1822</v>
      </c>
      <c r="G98" t="s">
        <v>1822</v>
      </c>
      <c r="H98" t="s">
        <v>22</v>
      </c>
      <c r="I98" t="s">
        <v>22</v>
      </c>
      <c r="J98" t="s">
        <v>17</v>
      </c>
      <c r="K98">
        <v>1000</v>
      </c>
      <c r="L98">
        <v>1100</v>
      </c>
      <c r="M98" t="s">
        <v>1822</v>
      </c>
      <c r="N98" t="s">
        <v>1822</v>
      </c>
      <c r="O98" t="s">
        <v>1764</v>
      </c>
      <c r="P98" t="s">
        <v>1743</v>
      </c>
      <c r="Q98" t="s">
        <v>1993</v>
      </c>
    </row>
    <row r="99" spans="1:17" x14ac:dyDescent="0.3">
      <c r="A99">
        <v>1133562</v>
      </c>
      <c r="B99" t="s">
        <v>1990</v>
      </c>
      <c r="C99" t="s">
        <v>1994</v>
      </c>
      <c r="D99" t="s">
        <v>1994</v>
      </c>
      <c r="E99" t="s">
        <v>1995</v>
      </c>
      <c r="F99" t="s">
        <v>1822</v>
      </c>
      <c r="G99" t="s">
        <v>1822</v>
      </c>
      <c r="H99" t="s">
        <v>22</v>
      </c>
      <c r="I99" t="s">
        <v>22</v>
      </c>
      <c r="J99" t="s">
        <v>17</v>
      </c>
      <c r="K99">
        <v>1000</v>
      </c>
      <c r="L99">
        <v>1100</v>
      </c>
      <c r="M99" t="s">
        <v>1822</v>
      </c>
      <c r="N99" t="s">
        <v>1822</v>
      </c>
      <c r="O99" t="s">
        <v>1764</v>
      </c>
      <c r="P99" t="s">
        <v>1743</v>
      </c>
      <c r="Q99" t="s">
        <v>1996</v>
      </c>
    </row>
    <row r="100" spans="1:17" x14ac:dyDescent="0.3">
      <c r="A100">
        <v>1133562</v>
      </c>
      <c r="B100" t="s">
        <v>1990</v>
      </c>
      <c r="C100" t="s">
        <v>1997</v>
      </c>
      <c r="D100" t="s">
        <v>1998</v>
      </c>
      <c r="E100" t="s">
        <v>1999</v>
      </c>
      <c r="F100" t="s">
        <v>1822</v>
      </c>
      <c r="G100" t="s">
        <v>1822</v>
      </c>
      <c r="H100" t="s">
        <v>22</v>
      </c>
      <c r="I100" t="s">
        <v>22</v>
      </c>
      <c r="J100" t="s">
        <v>17</v>
      </c>
      <c r="K100">
        <v>900</v>
      </c>
      <c r="L100">
        <v>1050</v>
      </c>
      <c r="M100" t="s">
        <v>1822</v>
      </c>
      <c r="N100" t="s">
        <v>1822</v>
      </c>
      <c r="O100" t="s">
        <v>1764</v>
      </c>
      <c r="P100" t="s">
        <v>1743</v>
      </c>
      <c r="Q100" t="s">
        <v>1996</v>
      </c>
    </row>
    <row r="101" spans="1:17" x14ac:dyDescent="0.3">
      <c r="A101">
        <v>1133562</v>
      </c>
      <c r="B101" t="s">
        <v>1990</v>
      </c>
      <c r="C101" t="s">
        <v>1988</v>
      </c>
      <c r="D101" t="s">
        <v>1988</v>
      </c>
      <c r="E101" t="s">
        <v>1989</v>
      </c>
      <c r="F101" t="s">
        <v>1822</v>
      </c>
      <c r="G101" t="s">
        <v>1822</v>
      </c>
      <c r="H101" t="s">
        <v>22</v>
      </c>
      <c r="I101" t="s">
        <v>22</v>
      </c>
      <c r="J101" t="s">
        <v>17</v>
      </c>
      <c r="K101">
        <v>1000</v>
      </c>
      <c r="L101">
        <v>1110</v>
      </c>
      <c r="M101" t="s">
        <v>338</v>
      </c>
      <c r="N101" t="s">
        <v>339</v>
      </c>
      <c r="O101" t="s">
        <v>1764</v>
      </c>
      <c r="P101" t="s">
        <v>1743</v>
      </c>
    </row>
    <row r="102" spans="1:17" x14ac:dyDescent="0.3">
      <c r="A102">
        <v>1133562</v>
      </c>
      <c r="B102" t="s">
        <v>1990</v>
      </c>
      <c r="C102" t="s">
        <v>2000</v>
      </c>
      <c r="D102" t="s">
        <v>1822</v>
      </c>
      <c r="E102" t="s">
        <v>1822</v>
      </c>
      <c r="F102" t="s">
        <v>1822</v>
      </c>
      <c r="G102" t="s">
        <v>1822</v>
      </c>
      <c r="H102" t="s">
        <v>16</v>
      </c>
      <c r="I102" t="s">
        <v>16</v>
      </c>
      <c r="J102" t="s">
        <v>17</v>
      </c>
      <c r="K102">
        <v>0</v>
      </c>
      <c r="L102">
        <v>0</v>
      </c>
      <c r="M102" t="s">
        <v>1822</v>
      </c>
      <c r="N102" t="s">
        <v>1822</v>
      </c>
      <c r="O102" t="s">
        <v>1790</v>
      </c>
      <c r="P102" t="s">
        <v>1743</v>
      </c>
      <c r="Q102" t="s">
        <v>2001</v>
      </c>
    </row>
    <row r="103" spans="1:17" x14ac:dyDescent="0.3">
      <c r="A103">
        <v>1133562</v>
      </c>
      <c r="B103" t="s">
        <v>1990</v>
      </c>
      <c r="C103" t="s">
        <v>2002</v>
      </c>
      <c r="D103" t="s">
        <v>1822</v>
      </c>
      <c r="E103" t="s">
        <v>1822</v>
      </c>
      <c r="F103" t="s">
        <v>1822</v>
      </c>
      <c r="G103" t="s">
        <v>1822</v>
      </c>
      <c r="H103" t="s">
        <v>16</v>
      </c>
      <c r="I103" t="s">
        <v>16</v>
      </c>
      <c r="J103" t="s">
        <v>17</v>
      </c>
      <c r="K103">
        <v>0</v>
      </c>
      <c r="L103">
        <v>0</v>
      </c>
      <c r="M103" t="s">
        <v>1822</v>
      </c>
      <c r="N103" t="s">
        <v>1822</v>
      </c>
      <c r="O103" t="s">
        <v>1764</v>
      </c>
      <c r="P103" t="s">
        <v>1743</v>
      </c>
      <c r="Q103" t="s">
        <v>2003</v>
      </c>
    </row>
    <row r="104" spans="1:17" x14ac:dyDescent="0.3">
      <c r="A104">
        <v>1133662</v>
      </c>
      <c r="B104" t="s">
        <v>2004</v>
      </c>
      <c r="C104" t="s">
        <v>2005</v>
      </c>
      <c r="D104" t="s">
        <v>1822</v>
      </c>
      <c r="E104" t="s">
        <v>1822</v>
      </c>
      <c r="F104" t="s">
        <v>1822</v>
      </c>
      <c r="G104" t="s">
        <v>1822</v>
      </c>
      <c r="H104" t="s">
        <v>16</v>
      </c>
      <c r="I104" t="s">
        <v>16</v>
      </c>
      <c r="J104" t="s">
        <v>17</v>
      </c>
      <c r="K104">
        <v>0</v>
      </c>
      <c r="L104">
        <v>0</v>
      </c>
      <c r="M104" t="s">
        <v>1822</v>
      </c>
      <c r="N104" t="s">
        <v>1822</v>
      </c>
      <c r="O104" t="s">
        <v>1790</v>
      </c>
      <c r="P104" t="s">
        <v>1743</v>
      </c>
      <c r="Q104" t="s">
        <v>2001</v>
      </c>
    </row>
    <row r="105" spans="1:17" x14ac:dyDescent="0.3">
      <c r="A105">
        <v>1133662</v>
      </c>
      <c r="B105" t="s">
        <v>2004</v>
      </c>
      <c r="C105" t="s">
        <v>2006</v>
      </c>
      <c r="D105" t="s">
        <v>1822</v>
      </c>
      <c r="E105" t="s">
        <v>1822</v>
      </c>
      <c r="F105" t="s">
        <v>1822</v>
      </c>
      <c r="G105" t="s">
        <v>1822</v>
      </c>
      <c r="H105" t="s">
        <v>16</v>
      </c>
      <c r="I105" t="s">
        <v>16</v>
      </c>
      <c r="J105" t="s">
        <v>17</v>
      </c>
      <c r="K105">
        <v>0</v>
      </c>
      <c r="L105">
        <v>0</v>
      </c>
      <c r="M105" t="s">
        <v>1822</v>
      </c>
      <c r="N105" t="s">
        <v>1822</v>
      </c>
      <c r="O105" t="s">
        <v>1790</v>
      </c>
      <c r="P105" t="s">
        <v>1743</v>
      </c>
      <c r="Q105" t="s">
        <v>2001</v>
      </c>
    </row>
    <row r="106" spans="1:17" x14ac:dyDescent="0.3">
      <c r="A106">
        <v>1133662</v>
      </c>
      <c r="B106" t="s">
        <v>2004</v>
      </c>
      <c r="C106" t="s">
        <v>2007</v>
      </c>
      <c r="D106" t="s">
        <v>1822</v>
      </c>
      <c r="E106" t="s">
        <v>1822</v>
      </c>
      <c r="F106" t="s">
        <v>1822</v>
      </c>
      <c r="G106" t="s">
        <v>1822</v>
      </c>
      <c r="H106" t="s">
        <v>16</v>
      </c>
      <c r="I106" t="s">
        <v>16</v>
      </c>
      <c r="J106" t="s">
        <v>17</v>
      </c>
      <c r="K106">
        <v>0</v>
      </c>
      <c r="L106">
        <v>0</v>
      </c>
      <c r="M106" t="s">
        <v>1822</v>
      </c>
      <c r="N106" t="s">
        <v>1822</v>
      </c>
      <c r="O106" t="s">
        <v>1790</v>
      </c>
      <c r="P106" t="s">
        <v>1743</v>
      </c>
      <c r="Q106" t="s">
        <v>2001</v>
      </c>
    </row>
    <row r="107" spans="1:17" x14ac:dyDescent="0.3">
      <c r="A107">
        <v>1133662</v>
      </c>
      <c r="B107" t="s">
        <v>2004</v>
      </c>
      <c r="C107" t="s">
        <v>2008</v>
      </c>
      <c r="D107" t="s">
        <v>1822</v>
      </c>
      <c r="E107" t="s">
        <v>1822</v>
      </c>
      <c r="F107" t="s">
        <v>1822</v>
      </c>
      <c r="G107" t="s">
        <v>1822</v>
      </c>
      <c r="H107" t="s">
        <v>16</v>
      </c>
      <c r="I107" t="s">
        <v>16</v>
      </c>
      <c r="J107" t="s">
        <v>17</v>
      </c>
      <c r="K107">
        <v>0</v>
      </c>
      <c r="L107">
        <v>0</v>
      </c>
      <c r="M107" t="s">
        <v>1822</v>
      </c>
      <c r="N107" t="s">
        <v>1822</v>
      </c>
      <c r="O107" t="s">
        <v>1790</v>
      </c>
      <c r="P107" t="s">
        <v>1743</v>
      </c>
      <c r="Q107" t="s">
        <v>2001</v>
      </c>
    </row>
    <row r="108" spans="1:17" x14ac:dyDescent="0.3">
      <c r="A108">
        <v>1136203</v>
      </c>
      <c r="B108" t="s">
        <v>2009</v>
      </c>
      <c r="C108" t="s">
        <v>2010</v>
      </c>
      <c r="D108" t="s">
        <v>1822</v>
      </c>
      <c r="E108" t="s">
        <v>1822</v>
      </c>
      <c r="F108" t="s">
        <v>1822</v>
      </c>
      <c r="G108" t="s">
        <v>1822</v>
      </c>
      <c r="H108" t="s">
        <v>16</v>
      </c>
      <c r="I108" t="s">
        <v>16</v>
      </c>
      <c r="J108" t="s">
        <v>17</v>
      </c>
      <c r="K108">
        <v>0</v>
      </c>
      <c r="L108">
        <v>0</v>
      </c>
      <c r="M108" t="s">
        <v>1822</v>
      </c>
      <c r="N108" t="s">
        <v>1822</v>
      </c>
      <c r="O108" t="s">
        <v>1764</v>
      </c>
      <c r="P108" t="s">
        <v>1743</v>
      </c>
    </row>
    <row r="109" spans="1:17" x14ac:dyDescent="0.3">
      <c r="A109">
        <v>1136203</v>
      </c>
      <c r="B109" t="s">
        <v>2009</v>
      </c>
      <c r="C109" t="s">
        <v>2011</v>
      </c>
      <c r="D109" t="s">
        <v>1822</v>
      </c>
      <c r="E109" t="s">
        <v>1822</v>
      </c>
      <c r="F109" t="s">
        <v>1822</v>
      </c>
      <c r="G109" t="s">
        <v>1822</v>
      </c>
      <c r="H109" t="s">
        <v>16</v>
      </c>
      <c r="I109" t="s">
        <v>16</v>
      </c>
      <c r="J109" t="s">
        <v>17</v>
      </c>
      <c r="K109">
        <v>0</v>
      </c>
      <c r="L109">
        <v>0</v>
      </c>
      <c r="M109" t="s">
        <v>1822</v>
      </c>
      <c r="N109" t="s">
        <v>1822</v>
      </c>
      <c r="O109" t="s">
        <v>1764</v>
      </c>
      <c r="P109" t="s">
        <v>1743</v>
      </c>
      <c r="Q109" t="s">
        <v>1982</v>
      </c>
    </row>
    <row r="110" spans="1:17" x14ac:dyDescent="0.3">
      <c r="A110">
        <v>1136203</v>
      </c>
      <c r="B110" t="s">
        <v>2009</v>
      </c>
      <c r="C110" t="s">
        <v>2012</v>
      </c>
      <c r="D110" t="s">
        <v>1822</v>
      </c>
      <c r="E110" t="s">
        <v>1822</v>
      </c>
      <c r="F110" t="s">
        <v>1822</v>
      </c>
      <c r="G110" t="s">
        <v>1822</v>
      </c>
      <c r="H110" t="s">
        <v>16</v>
      </c>
      <c r="I110" t="s">
        <v>16</v>
      </c>
      <c r="J110" t="s">
        <v>17</v>
      </c>
      <c r="K110">
        <v>0</v>
      </c>
      <c r="L110">
        <v>0</v>
      </c>
      <c r="M110" t="s">
        <v>1822</v>
      </c>
      <c r="N110" t="s">
        <v>1822</v>
      </c>
      <c r="O110" t="s">
        <v>1764</v>
      </c>
      <c r="P110" t="s">
        <v>1743</v>
      </c>
      <c r="Q110" t="s">
        <v>2013</v>
      </c>
    </row>
    <row r="111" spans="1:17" x14ac:dyDescent="0.3">
      <c r="A111">
        <v>1136203</v>
      </c>
      <c r="B111" t="s">
        <v>2009</v>
      </c>
      <c r="C111" t="s">
        <v>2014</v>
      </c>
      <c r="D111" t="s">
        <v>1822</v>
      </c>
      <c r="E111" t="s">
        <v>1822</v>
      </c>
      <c r="F111" t="s">
        <v>1822</v>
      </c>
      <c r="G111" t="s">
        <v>1822</v>
      </c>
      <c r="H111" t="s">
        <v>16</v>
      </c>
      <c r="I111" t="s">
        <v>16</v>
      </c>
      <c r="J111" t="s">
        <v>17</v>
      </c>
      <c r="K111">
        <v>0</v>
      </c>
      <c r="L111">
        <v>0</v>
      </c>
      <c r="M111" t="s">
        <v>1822</v>
      </c>
      <c r="N111" t="s">
        <v>1822</v>
      </c>
      <c r="O111" t="s">
        <v>1764</v>
      </c>
      <c r="P111" t="s">
        <v>1743</v>
      </c>
      <c r="Q111" t="s">
        <v>2013</v>
      </c>
    </row>
    <row r="112" spans="1:17" x14ac:dyDescent="0.3">
      <c r="A112">
        <v>1136203</v>
      </c>
      <c r="B112" t="s">
        <v>2009</v>
      </c>
      <c r="C112" t="s">
        <v>2015</v>
      </c>
      <c r="D112" t="s">
        <v>2016</v>
      </c>
      <c r="E112" t="s">
        <v>2017</v>
      </c>
      <c r="F112" t="s">
        <v>1822</v>
      </c>
      <c r="G112" t="s">
        <v>1822</v>
      </c>
      <c r="H112" t="s">
        <v>22</v>
      </c>
      <c r="I112" t="s">
        <v>22</v>
      </c>
      <c r="J112" t="s">
        <v>17</v>
      </c>
      <c r="K112">
        <v>909</v>
      </c>
      <c r="L112">
        <v>1055</v>
      </c>
      <c r="M112" t="s">
        <v>2018</v>
      </c>
      <c r="N112" t="s">
        <v>2019</v>
      </c>
      <c r="O112" t="s">
        <v>1764</v>
      </c>
      <c r="P112" t="s">
        <v>1743</v>
      </c>
      <c r="Q112" t="s">
        <v>1982</v>
      </c>
    </row>
    <row r="113" spans="1:17" x14ac:dyDescent="0.3">
      <c r="A113">
        <v>1136203</v>
      </c>
      <c r="B113" t="s">
        <v>2009</v>
      </c>
      <c r="C113" t="s">
        <v>2020</v>
      </c>
      <c r="D113" t="s">
        <v>1822</v>
      </c>
      <c r="E113" t="s">
        <v>1822</v>
      </c>
      <c r="F113" t="s">
        <v>1822</v>
      </c>
      <c r="G113" t="s">
        <v>1822</v>
      </c>
      <c r="H113" t="s">
        <v>16</v>
      </c>
      <c r="I113" t="s">
        <v>16</v>
      </c>
      <c r="J113" t="s">
        <v>17</v>
      </c>
      <c r="K113">
        <v>0</v>
      </c>
      <c r="L113">
        <v>0</v>
      </c>
      <c r="M113" t="s">
        <v>1822</v>
      </c>
      <c r="N113" t="s">
        <v>1822</v>
      </c>
      <c r="O113" t="s">
        <v>1764</v>
      </c>
      <c r="P113" t="s">
        <v>1743</v>
      </c>
      <c r="Q113" t="s">
        <v>2013</v>
      </c>
    </row>
    <row r="114" spans="1:17" x14ac:dyDescent="0.3">
      <c r="A114">
        <v>1136208</v>
      </c>
      <c r="B114" t="s">
        <v>2021</v>
      </c>
      <c r="C114" t="s">
        <v>2022</v>
      </c>
      <c r="D114" t="s">
        <v>2023</v>
      </c>
      <c r="E114" t="s">
        <v>2024</v>
      </c>
      <c r="F114" t="s">
        <v>1822</v>
      </c>
      <c r="G114" t="s">
        <v>2025</v>
      </c>
      <c r="H114" t="s">
        <v>46</v>
      </c>
      <c r="I114" t="s">
        <v>46</v>
      </c>
      <c r="J114" t="s">
        <v>17</v>
      </c>
      <c r="K114">
        <v>1000</v>
      </c>
      <c r="L114">
        <v>800</v>
      </c>
      <c r="M114" t="s">
        <v>2026</v>
      </c>
      <c r="N114" t="s">
        <v>2027</v>
      </c>
      <c r="O114" t="s">
        <v>1703</v>
      </c>
      <c r="P114" t="s">
        <v>1743</v>
      </c>
      <c r="Q114" s="45" t="s">
        <v>1917</v>
      </c>
    </row>
    <row r="115" spans="1:17" x14ac:dyDescent="0.3">
      <c r="A115">
        <v>1136208</v>
      </c>
      <c r="B115" t="s">
        <v>2021</v>
      </c>
      <c r="C115" t="s">
        <v>2022</v>
      </c>
      <c r="D115" t="s">
        <v>2023</v>
      </c>
      <c r="E115" t="s">
        <v>2024</v>
      </c>
      <c r="F115" t="s">
        <v>1822</v>
      </c>
      <c r="G115" t="s">
        <v>2028</v>
      </c>
      <c r="H115" t="s">
        <v>46</v>
      </c>
      <c r="I115" t="s">
        <v>46</v>
      </c>
      <c r="J115" t="s">
        <v>17</v>
      </c>
      <c r="K115">
        <v>1000</v>
      </c>
      <c r="L115">
        <v>800</v>
      </c>
      <c r="M115" t="s">
        <v>2026</v>
      </c>
      <c r="N115" t="s">
        <v>2027</v>
      </c>
      <c r="O115" t="s">
        <v>1703</v>
      </c>
      <c r="P115" t="s">
        <v>1743</v>
      </c>
      <c r="Q115" s="45"/>
    </row>
    <row r="116" spans="1:17" x14ac:dyDescent="0.3">
      <c r="A116">
        <v>1136208</v>
      </c>
      <c r="B116" t="s">
        <v>2021</v>
      </c>
      <c r="C116" t="s">
        <v>2022</v>
      </c>
      <c r="D116" t="s">
        <v>2023</v>
      </c>
      <c r="E116" t="s">
        <v>2024</v>
      </c>
      <c r="F116" t="s">
        <v>1822</v>
      </c>
      <c r="G116" t="s">
        <v>2029</v>
      </c>
      <c r="H116" t="s">
        <v>46</v>
      </c>
      <c r="I116" t="s">
        <v>46</v>
      </c>
      <c r="J116" t="s">
        <v>17</v>
      </c>
      <c r="K116">
        <v>1000</v>
      </c>
      <c r="L116">
        <v>800</v>
      </c>
      <c r="M116" t="s">
        <v>2026</v>
      </c>
      <c r="N116" t="s">
        <v>2027</v>
      </c>
      <c r="O116" t="s">
        <v>1703</v>
      </c>
      <c r="P116" t="s">
        <v>1743</v>
      </c>
      <c r="Q116" s="45"/>
    </row>
    <row r="117" spans="1:17" x14ac:dyDescent="0.3">
      <c r="A117">
        <v>1136208</v>
      </c>
      <c r="B117" t="s">
        <v>2021</v>
      </c>
      <c r="C117" t="s">
        <v>2030</v>
      </c>
      <c r="D117" t="s">
        <v>2031</v>
      </c>
      <c r="E117" t="s">
        <v>2032</v>
      </c>
      <c r="F117" t="s">
        <v>1822</v>
      </c>
      <c r="G117" t="s">
        <v>1822</v>
      </c>
      <c r="H117" t="s">
        <v>22</v>
      </c>
      <c r="I117" t="s">
        <v>22</v>
      </c>
      <c r="J117" t="s">
        <v>17</v>
      </c>
      <c r="K117">
        <v>947</v>
      </c>
      <c r="L117">
        <v>1118</v>
      </c>
      <c r="M117" t="s">
        <v>2033</v>
      </c>
      <c r="N117" t="s">
        <v>2034</v>
      </c>
      <c r="O117" t="s">
        <v>1703</v>
      </c>
      <c r="P117" t="s">
        <v>1743</v>
      </c>
      <c r="Q117" t="s">
        <v>1908</v>
      </c>
    </row>
    <row r="118" spans="1:17" x14ac:dyDescent="0.3">
      <c r="A118">
        <v>1136208</v>
      </c>
      <c r="B118" t="s">
        <v>2021</v>
      </c>
      <c r="C118" t="s">
        <v>2035</v>
      </c>
      <c r="D118" t="s">
        <v>2036</v>
      </c>
      <c r="E118" t="s">
        <v>2037</v>
      </c>
      <c r="F118" t="s">
        <v>1822</v>
      </c>
      <c r="G118" t="s">
        <v>1822</v>
      </c>
      <c r="H118" t="s">
        <v>46</v>
      </c>
      <c r="I118" t="s">
        <v>46</v>
      </c>
      <c r="J118" t="s">
        <v>17</v>
      </c>
      <c r="K118">
        <v>1000</v>
      </c>
      <c r="L118">
        <v>500</v>
      </c>
      <c r="M118" t="s">
        <v>2038</v>
      </c>
      <c r="N118" t="s">
        <v>2039</v>
      </c>
      <c r="O118" t="s">
        <v>1790</v>
      </c>
      <c r="P118" t="s">
        <v>1743</v>
      </c>
      <c r="Q118" t="s">
        <v>2040</v>
      </c>
    </row>
    <row r="119" spans="1:17" x14ac:dyDescent="0.3">
      <c r="A119">
        <v>1136208</v>
      </c>
      <c r="B119" t="s">
        <v>2021</v>
      </c>
      <c r="C119" t="s">
        <v>2041</v>
      </c>
      <c r="D119" t="s">
        <v>2041</v>
      </c>
      <c r="E119" t="s">
        <v>2042</v>
      </c>
      <c r="F119" t="s">
        <v>1822</v>
      </c>
      <c r="G119" t="s">
        <v>1822</v>
      </c>
      <c r="H119" t="s">
        <v>22</v>
      </c>
      <c r="I119" t="s">
        <v>22</v>
      </c>
      <c r="J119" t="s">
        <v>17</v>
      </c>
      <c r="K119">
        <v>1000</v>
      </c>
      <c r="L119">
        <v>1110</v>
      </c>
      <c r="M119" t="s">
        <v>2043</v>
      </c>
      <c r="N119" t="s">
        <v>2044</v>
      </c>
      <c r="O119" t="s">
        <v>1790</v>
      </c>
      <c r="P119" t="s">
        <v>1743</v>
      </c>
      <c r="Q119" t="s">
        <v>2045</v>
      </c>
    </row>
    <row r="120" spans="1:17" x14ac:dyDescent="0.3">
      <c r="A120">
        <v>1136208</v>
      </c>
      <c r="B120" t="s">
        <v>2021</v>
      </c>
      <c r="C120" t="s">
        <v>2046</v>
      </c>
      <c r="D120" t="s">
        <v>2047</v>
      </c>
      <c r="E120" t="s">
        <v>2048</v>
      </c>
      <c r="F120" t="s">
        <v>1822</v>
      </c>
      <c r="G120" t="s">
        <v>1822</v>
      </c>
      <c r="H120" t="s">
        <v>46</v>
      </c>
      <c r="I120" t="s">
        <v>46</v>
      </c>
      <c r="J120" t="s">
        <v>17</v>
      </c>
      <c r="K120">
        <v>1000</v>
      </c>
      <c r="L120">
        <v>500</v>
      </c>
      <c r="M120" t="s">
        <v>2049</v>
      </c>
      <c r="N120" t="s">
        <v>2050</v>
      </c>
      <c r="O120" t="s">
        <v>1790</v>
      </c>
      <c r="P120" t="s">
        <v>1743</v>
      </c>
      <c r="Q120" t="s">
        <v>2051</v>
      </c>
    </row>
    <row r="121" spans="1:17" x14ac:dyDescent="0.3">
      <c r="A121">
        <v>1143494</v>
      </c>
      <c r="B121" t="s">
        <v>2052</v>
      </c>
      <c r="C121" t="s">
        <v>2053</v>
      </c>
      <c r="D121" t="s">
        <v>2053</v>
      </c>
      <c r="E121" t="s">
        <v>2054</v>
      </c>
      <c r="F121" t="s">
        <v>1822</v>
      </c>
      <c r="G121" t="s">
        <v>1822</v>
      </c>
      <c r="H121" t="s">
        <v>22</v>
      </c>
      <c r="I121" t="s">
        <v>22</v>
      </c>
      <c r="J121" t="s">
        <v>17</v>
      </c>
      <c r="K121">
        <v>1000</v>
      </c>
      <c r="L121">
        <v>1110</v>
      </c>
      <c r="M121" t="s">
        <v>338</v>
      </c>
      <c r="N121" t="s">
        <v>339</v>
      </c>
      <c r="O121" t="s">
        <v>1790</v>
      </c>
      <c r="P121" t="s">
        <v>1743</v>
      </c>
      <c r="Q121" t="s">
        <v>2055</v>
      </c>
    </row>
    <row r="122" spans="1:17" ht="14.4" customHeight="1" x14ac:dyDescent="0.3">
      <c r="A122">
        <v>1143494</v>
      </c>
      <c r="B122" t="s">
        <v>2052</v>
      </c>
      <c r="C122" t="s">
        <v>2056</v>
      </c>
      <c r="D122" t="s">
        <v>2057</v>
      </c>
      <c r="E122" t="s">
        <v>2058</v>
      </c>
      <c r="F122" t="s">
        <v>1822</v>
      </c>
      <c r="G122" t="s">
        <v>2059</v>
      </c>
      <c r="H122" t="s">
        <v>22</v>
      </c>
      <c r="I122" t="s">
        <v>22</v>
      </c>
      <c r="J122" t="s">
        <v>17</v>
      </c>
      <c r="K122">
        <v>960</v>
      </c>
      <c r="L122">
        <v>1096</v>
      </c>
      <c r="M122" t="s">
        <v>1822</v>
      </c>
      <c r="N122" t="s">
        <v>1822</v>
      </c>
      <c r="O122" t="s">
        <v>1764</v>
      </c>
      <c r="P122" t="s">
        <v>1743</v>
      </c>
      <c r="Q122" s="45" t="s">
        <v>2060</v>
      </c>
    </row>
    <row r="123" spans="1:17" ht="14.4" customHeight="1" x14ac:dyDescent="0.3">
      <c r="A123">
        <v>1143494</v>
      </c>
      <c r="B123" t="s">
        <v>2052</v>
      </c>
      <c r="C123" t="s">
        <v>2056</v>
      </c>
      <c r="D123" t="s">
        <v>2057</v>
      </c>
      <c r="E123" t="s">
        <v>2058</v>
      </c>
      <c r="F123" t="s">
        <v>1822</v>
      </c>
      <c r="G123" t="s">
        <v>2061</v>
      </c>
      <c r="H123" t="s">
        <v>22</v>
      </c>
      <c r="I123" t="s">
        <v>22</v>
      </c>
      <c r="J123" t="s">
        <v>17</v>
      </c>
      <c r="K123">
        <v>960</v>
      </c>
      <c r="L123">
        <v>1096</v>
      </c>
      <c r="M123" t="s">
        <v>1822</v>
      </c>
      <c r="N123" t="s">
        <v>1822</v>
      </c>
      <c r="O123" t="s">
        <v>1764</v>
      </c>
      <c r="P123" t="s">
        <v>1743</v>
      </c>
      <c r="Q123" s="45"/>
    </row>
    <row r="124" spans="1:17" ht="14.4" customHeight="1" x14ac:dyDescent="0.3">
      <c r="A124">
        <v>1143494</v>
      </c>
      <c r="B124" t="s">
        <v>2052</v>
      </c>
      <c r="C124" t="s">
        <v>2056</v>
      </c>
      <c r="D124" t="s">
        <v>2057</v>
      </c>
      <c r="E124" t="s">
        <v>2058</v>
      </c>
      <c r="F124" t="s">
        <v>1822</v>
      </c>
      <c r="G124" t="s">
        <v>2062</v>
      </c>
      <c r="H124" t="s">
        <v>22</v>
      </c>
      <c r="I124" t="s">
        <v>22</v>
      </c>
      <c r="J124" t="s">
        <v>17</v>
      </c>
      <c r="K124">
        <v>960</v>
      </c>
      <c r="L124">
        <v>1096</v>
      </c>
      <c r="M124" t="s">
        <v>1822</v>
      </c>
      <c r="N124" t="s">
        <v>1822</v>
      </c>
      <c r="O124" t="s">
        <v>1764</v>
      </c>
      <c r="P124" t="s">
        <v>1743</v>
      </c>
      <c r="Q124" s="45"/>
    </row>
    <row r="125" spans="1:17" ht="14.4" customHeight="1" x14ac:dyDescent="0.3">
      <c r="A125">
        <v>1143494</v>
      </c>
      <c r="B125" t="s">
        <v>2052</v>
      </c>
      <c r="C125" t="s">
        <v>2063</v>
      </c>
      <c r="D125" t="s">
        <v>2064</v>
      </c>
      <c r="E125" t="s">
        <v>2065</v>
      </c>
      <c r="F125" t="s">
        <v>1822</v>
      </c>
      <c r="G125" t="s">
        <v>2066</v>
      </c>
      <c r="H125" t="s">
        <v>46</v>
      </c>
      <c r="I125" t="s">
        <v>46</v>
      </c>
      <c r="J125" t="s">
        <v>17</v>
      </c>
      <c r="K125">
        <v>1000</v>
      </c>
      <c r="L125">
        <v>800</v>
      </c>
      <c r="M125" t="s">
        <v>2067</v>
      </c>
      <c r="N125" t="s">
        <v>2068</v>
      </c>
      <c r="O125" t="s">
        <v>1764</v>
      </c>
      <c r="P125" t="s">
        <v>1790</v>
      </c>
      <c r="Q125" s="45"/>
    </row>
    <row r="126" spans="1:17" ht="14.4" customHeight="1" x14ac:dyDescent="0.3">
      <c r="A126">
        <v>1143494</v>
      </c>
      <c r="B126" t="s">
        <v>2052</v>
      </c>
      <c r="C126" t="s">
        <v>2063</v>
      </c>
      <c r="D126" t="s">
        <v>2064</v>
      </c>
      <c r="E126" t="s">
        <v>2065</v>
      </c>
      <c r="F126" t="s">
        <v>1822</v>
      </c>
      <c r="G126" t="s">
        <v>2069</v>
      </c>
      <c r="H126" t="s">
        <v>46</v>
      </c>
      <c r="I126" t="s">
        <v>46</v>
      </c>
      <c r="J126" t="s">
        <v>17</v>
      </c>
      <c r="K126">
        <v>1000</v>
      </c>
      <c r="L126">
        <v>800</v>
      </c>
      <c r="M126" t="s">
        <v>2067</v>
      </c>
      <c r="N126" t="s">
        <v>2068</v>
      </c>
      <c r="O126" t="s">
        <v>1764</v>
      </c>
      <c r="P126" t="s">
        <v>1743</v>
      </c>
      <c r="Q126" s="45"/>
    </row>
    <row r="127" spans="1:17" ht="14.4" customHeight="1" x14ac:dyDescent="0.3">
      <c r="A127">
        <v>1143494</v>
      </c>
      <c r="B127" t="s">
        <v>2052</v>
      </c>
      <c r="C127" t="s">
        <v>2063</v>
      </c>
      <c r="D127" t="s">
        <v>2064</v>
      </c>
      <c r="E127" t="s">
        <v>2065</v>
      </c>
      <c r="F127" t="s">
        <v>1822</v>
      </c>
      <c r="G127" t="s">
        <v>2070</v>
      </c>
      <c r="H127" t="s">
        <v>46</v>
      </c>
      <c r="I127" t="s">
        <v>46</v>
      </c>
      <c r="J127" t="s">
        <v>17</v>
      </c>
      <c r="K127">
        <v>1000</v>
      </c>
      <c r="L127">
        <v>800</v>
      </c>
      <c r="M127" t="s">
        <v>2067</v>
      </c>
      <c r="N127" t="s">
        <v>2068</v>
      </c>
      <c r="O127" t="s">
        <v>1764</v>
      </c>
      <c r="P127" t="s">
        <v>1743</v>
      </c>
      <c r="Q127" s="45"/>
    </row>
    <row r="128" spans="1:17" ht="14.4" customHeight="1" x14ac:dyDescent="0.3">
      <c r="A128">
        <v>1143494</v>
      </c>
      <c r="B128" t="s">
        <v>2052</v>
      </c>
      <c r="C128" t="s">
        <v>2063</v>
      </c>
      <c r="D128" t="s">
        <v>2064</v>
      </c>
      <c r="E128" t="s">
        <v>2065</v>
      </c>
      <c r="F128" t="s">
        <v>1822</v>
      </c>
      <c r="G128" t="s">
        <v>2071</v>
      </c>
      <c r="H128" t="s">
        <v>46</v>
      </c>
      <c r="I128" t="s">
        <v>46</v>
      </c>
      <c r="J128" t="s">
        <v>17</v>
      </c>
      <c r="K128">
        <v>1000</v>
      </c>
      <c r="L128">
        <v>800</v>
      </c>
      <c r="M128" t="s">
        <v>2067</v>
      </c>
      <c r="N128" t="s">
        <v>2068</v>
      </c>
      <c r="O128" t="s">
        <v>1703</v>
      </c>
      <c r="P128" t="s">
        <v>1743</v>
      </c>
      <c r="Q128" s="45"/>
    </row>
    <row r="129" spans="1:17" ht="14.4" customHeight="1" x14ac:dyDescent="0.3">
      <c r="A129">
        <v>1143494</v>
      </c>
      <c r="B129" t="s">
        <v>2052</v>
      </c>
      <c r="C129" t="s">
        <v>2063</v>
      </c>
      <c r="D129" t="s">
        <v>2064</v>
      </c>
      <c r="E129" t="s">
        <v>2065</v>
      </c>
      <c r="F129" t="s">
        <v>1822</v>
      </c>
      <c r="G129" t="s">
        <v>2072</v>
      </c>
      <c r="H129" t="s">
        <v>46</v>
      </c>
      <c r="I129" t="s">
        <v>46</v>
      </c>
      <c r="J129" t="s">
        <v>17</v>
      </c>
      <c r="K129">
        <v>1000</v>
      </c>
      <c r="L129">
        <v>800</v>
      </c>
      <c r="M129" t="s">
        <v>2067</v>
      </c>
      <c r="N129" t="s">
        <v>2068</v>
      </c>
      <c r="O129" t="s">
        <v>1764</v>
      </c>
      <c r="P129" t="s">
        <v>1743</v>
      </c>
      <c r="Q129" s="45"/>
    </row>
    <row r="130" spans="1:17" ht="14.4" customHeight="1" x14ac:dyDescent="0.3">
      <c r="A130">
        <v>1143494</v>
      </c>
      <c r="B130" t="s">
        <v>2052</v>
      </c>
      <c r="C130" t="s">
        <v>2063</v>
      </c>
      <c r="D130" t="s">
        <v>2064</v>
      </c>
      <c r="E130" t="s">
        <v>2065</v>
      </c>
      <c r="F130" t="s">
        <v>1822</v>
      </c>
      <c r="G130" t="s">
        <v>2073</v>
      </c>
      <c r="H130" t="s">
        <v>46</v>
      </c>
      <c r="I130" t="s">
        <v>46</v>
      </c>
      <c r="J130" t="s">
        <v>17</v>
      </c>
      <c r="K130">
        <v>1000</v>
      </c>
      <c r="L130">
        <v>800</v>
      </c>
      <c r="M130" t="s">
        <v>2067</v>
      </c>
      <c r="N130" t="s">
        <v>2068</v>
      </c>
      <c r="O130" t="s">
        <v>1764</v>
      </c>
      <c r="P130" t="s">
        <v>1743</v>
      </c>
      <c r="Q130" s="45"/>
    </row>
    <row r="131" spans="1:17" ht="14.4" customHeight="1" x14ac:dyDescent="0.3">
      <c r="A131">
        <v>1143494</v>
      </c>
      <c r="B131" t="s">
        <v>2052</v>
      </c>
      <c r="C131" t="s">
        <v>2063</v>
      </c>
      <c r="D131" t="s">
        <v>2064</v>
      </c>
      <c r="E131" t="s">
        <v>2065</v>
      </c>
      <c r="F131" t="s">
        <v>1822</v>
      </c>
      <c r="G131" t="s">
        <v>2074</v>
      </c>
      <c r="H131" t="s">
        <v>46</v>
      </c>
      <c r="I131" t="s">
        <v>46</v>
      </c>
      <c r="J131" t="s">
        <v>17</v>
      </c>
      <c r="K131">
        <v>1000</v>
      </c>
      <c r="L131">
        <v>800</v>
      </c>
      <c r="M131" t="s">
        <v>2067</v>
      </c>
      <c r="N131" t="s">
        <v>2068</v>
      </c>
      <c r="O131" t="s">
        <v>1764</v>
      </c>
      <c r="P131" t="s">
        <v>1743</v>
      </c>
      <c r="Q131" s="45"/>
    </row>
    <row r="132" spans="1:17" x14ac:dyDescent="0.3">
      <c r="A132">
        <v>1148843</v>
      </c>
      <c r="B132" t="s">
        <v>2075</v>
      </c>
      <c r="C132" t="s">
        <v>2076</v>
      </c>
      <c r="D132" t="s">
        <v>2077</v>
      </c>
      <c r="E132" t="s">
        <v>2078</v>
      </c>
      <c r="F132" t="s">
        <v>1822</v>
      </c>
      <c r="G132" t="s">
        <v>1822</v>
      </c>
      <c r="H132" t="s">
        <v>22</v>
      </c>
      <c r="I132" t="s">
        <v>22</v>
      </c>
      <c r="J132" t="s">
        <v>17</v>
      </c>
      <c r="K132">
        <v>783</v>
      </c>
      <c r="L132">
        <v>520</v>
      </c>
      <c r="M132" t="s">
        <v>2079</v>
      </c>
      <c r="N132" t="s">
        <v>2080</v>
      </c>
      <c r="O132" t="s">
        <v>1764</v>
      </c>
      <c r="P132" t="s">
        <v>1743</v>
      </c>
    </row>
    <row r="133" spans="1:17" x14ac:dyDescent="0.3">
      <c r="A133">
        <v>1148843</v>
      </c>
      <c r="B133" t="s">
        <v>2075</v>
      </c>
      <c r="C133" t="s">
        <v>2081</v>
      </c>
      <c r="D133" t="s">
        <v>2082</v>
      </c>
      <c r="E133" t="s">
        <v>2083</v>
      </c>
      <c r="F133" t="s">
        <v>1822</v>
      </c>
      <c r="G133" t="s">
        <v>2084</v>
      </c>
      <c r="H133" t="s">
        <v>22</v>
      </c>
      <c r="I133" t="s">
        <v>22</v>
      </c>
      <c r="J133" t="s">
        <v>17</v>
      </c>
      <c r="K133">
        <v>900</v>
      </c>
      <c r="L133">
        <v>1130</v>
      </c>
      <c r="M133" t="s">
        <v>2085</v>
      </c>
      <c r="N133" t="s">
        <v>2086</v>
      </c>
      <c r="O133" t="s">
        <v>1703</v>
      </c>
      <c r="P133" t="s">
        <v>1790</v>
      </c>
      <c r="Q133" t="s">
        <v>2060</v>
      </c>
    </row>
    <row r="134" spans="1:17" x14ac:dyDescent="0.3">
      <c r="A134">
        <v>1148843</v>
      </c>
      <c r="B134" t="s">
        <v>2075</v>
      </c>
      <c r="C134" t="s">
        <v>2081</v>
      </c>
      <c r="D134" t="s">
        <v>2082</v>
      </c>
      <c r="E134" t="s">
        <v>2083</v>
      </c>
      <c r="F134" t="s">
        <v>1822</v>
      </c>
      <c r="G134" t="s">
        <v>2087</v>
      </c>
      <c r="H134" t="s">
        <v>22</v>
      </c>
      <c r="I134" t="s">
        <v>22</v>
      </c>
      <c r="J134" t="s">
        <v>17</v>
      </c>
      <c r="K134">
        <v>900</v>
      </c>
      <c r="L134">
        <v>1130</v>
      </c>
      <c r="M134" t="s">
        <v>2085</v>
      </c>
      <c r="N134" t="s">
        <v>2086</v>
      </c>
      <c r="O134" t="s">
        <v>1703</v>
      </c>
      <c r="P134" t="s">
        <v>1790</v>
      </c>
      <c r="Q134" t="s">
        <v>2060</v>
      </c>
    </row>
    <row r="135" spans="1:17" x14ac:dyDescent="0.3">
      <c r="A135">
        <v>1148843</v>
      </c>
      <c r="B135" t="s">
        <v>2075</v>
      </c>
      <c r="C135" t="s">
        <v>2081</v>
      </c>
      <c r="D135" t="s">
        <v>2082</v>
      </c>
      <c r="E135" t="s">
        <v>2083</v>
      </c>
      <c r="F135" t="s">
        <v>1822</v>
      </c>
      <c r="G135" t="s">
        <v>2088</v>
      </c>
      <c r="H135" t="s">
        <v>22</v>
      </c>
      <c r="I135" t="s">
        <v>22</v>
      </c>
      <c r="J135" t="s">
        <v>17</v>
      </c>
      <c r="K135">
        <v>900</v>
      </c>
      <c r="L135">
        <v>1130</v>
      </c>
      <c r="M135" t="s">
        <v>2085</v>
      </c>
      <c r="N135" t="s">
        <v>2086</v>
      </c>
      <c r="O135" t="s">
        <v>1703</v>
      </c>
      <c r="P135" t="s">
        <v>1790</v>
      </c>
      <c r="Q135" t="s">
        <v>2060</v>
      </c>
    </row>
    <row r="136" spans="1:17" x14ac:dyDescent="0.3">
      <c r="A136">
        <v>1148843</v>
      </c>
      <c r="B136" t="s">
        <v>2075</v>
      </c>
      <c r="C136" t="s">
        <v>2081</v>
      </c>
      <c r="D136" t="s">
        <v>2082</v>
      </c>
      <c r="E136" t="s">
        <v>2083</v>
      </c>
      <c r="F136" t="s">
        <v>1822</v>
      </c>
      <c r="G136" t="s">
        <v>2089</v>
      </c>
      <c r="H136" t="s">
        <v>22</v>
      </c>
      <c r="I136" t="s">
        <v>22</v>
      </c>
      <c r="J136" t="s">
        <v>17</v>
      </c>
      <c r="K136">
        <v>900</v>
      </c>
      <c r="L136">
        <v>1130</v>
      </c>
      <c r="M136" t="s">
        <v>2085</v>
      </c>
      <c r="N136" t="s">
        <v>2086</v>
      </c>
      <c r="O136" t="s">
        <v>1703</v>
      </c>
      <c r="P136" t="s">
        <v>1790</v>
      </c>
      <c r="Q136" t="s">
        <v>2060</v>
      </c>
    </row>
    <row r="137" spans="1:17" x14ac:dyDescent="0.3">
      <c r="A137">
        <v>1148843</v>
      </c>
      <c r="B137" t="s">
        <v>2075</v>
      </c>
      <c r="C137" t="s">
        <v>2081</v>
      </c>
      <c r="D137" t="s">
        <v>2082</v>
      </c>
      <c r="E137" t="s">
        <v>2083</v>
      </c>
      <c r="F137" t="s">
        <v>1822</v>
      </c>
      <c r="G137" t="s">
        <v>2090</v>
      </c>
      <c r="H137" t="s">
        <v>22</v>
      </c>
      <c r="I137" t="s">
        <v>22</v>
      </c>
      <c r="J137" t="s">
        <v>17</v>
      </c>
      <c r="K137">
        <v>900</v>
      </c>
      <c r="L137">
        <v>1130</v>
      </c>
      <c r="M137" t="s">
        <v>2085</v>
      </c>
      <c r="N137" t="s">
        <v>2086</v>
      </c>
      <c r="O137" t="s">
        <v>1703</v>
      </c>
      <c r="P137" t="s">
        <v>1790</v>
      </c>
      <c r="Q137" t="s">
        <v>2060</v>
      </c>
    </row>
    <row r="138" spans="1:17" x14ac:dyDescent="0.3">
      <c r="A138">
        <v>1148843</v>
      </c>
      <c r="B138" t="s">
        <v>2075</v>
      </c>
      <c r="C138" t="s">
        <v>2081</v>
      </c>
      <c r="D138" t="s">
        <v>2082</v>
      </c>
      <c r="E138" t="s">
        <v>2083</v>
      </c>
      <c r="F138" t="s">
        <v>1822</v>
      </c>
      <c r="G138" t="s">
        <v>2091</v>
      </c>
      <c r="H138" t="s">
        <v>22</v>
      </c>
      <c r="I138" t="s">
        <v>22</v>
      </c>
      <c r="J138" t="s">
        <v>17</v>
      </c>
      <c r="K138">
        <v>900</v>
      </c>
      <c r="L138">
        <v>1130</v>
      </c>
      <c r="M138" t="s">
        <v>2085</v>
      </c>
      <c r="N138" t="s">
        <v>2086</v>
      </c>
      <c r="O138" t="s">
        <v>1703</v>
      </c>
      <c r="P138" t="s">
        <v>1790</v>
      </c>
      <c r="Q138" t="s">
        <v>2060</v>
      </c>
    </row>
    <row r="139" spans="1:17" x14ac:dyDescent="0.3">
      <c r="A139">
        <v>1148843</v>
      </c>
      <c r="B139" t="s">
        <v>2075</v>
      </c>
      <c r="C139" t="s">
        <v>2081</v>
      </c>
      <c r="D139" t="s">
        <v>2082</v>
      </c>
      <c r="E139" t="s">
        <v>2083</v>
      </c>
      <c r="F139" t="s">
        <v>1822</v>
      </c>
      <c r="G139" t="s">
        <v>2092</v>
      </c>
      <c r="H139" t="s">
        <v>22</v>
      </c>
      <c r="I139" t="s">
        <v>22</v>
      </c>
      <c r="J139" t="s">
        <v>17</v>
      </c>
      <c r="K139">
        <v>900</v>
      </c>
      <c r="L139">
        <v>1130</v>
      </c>
      <c r="M139" t="s">
        <v>2085</v>
      </c>
      <c r="N139" t="s">
        <v>2086</v>
      </c>
      <c r="O139" t="s">
        <v>1703</v>
      </c>
      <c r="P139" t="s">
        <v>1790</v>
      </c>
      <c r="Q139" t="s">
        <v>2060</v>
      </c>
    </row>
    <row r="140" spans="1:17" x14ac:dyDescent="0.3">
      <c r="A140">
        <v>1148843</v>
      </c>
      <c r="B140" t="s">
        <v>2075</v>
      </c>
      <c r="C140" t="s">
        <v>2081</v>
      </c>
      <c r="D140" t="s">
        <v>2082</v>
      </c>
      <c r="E140" t="s">
        <v>2083</v>
      </c>
      <c r="F140" t="s">
        <v>1822</v>
      </c>
      <c r="G140" t="s">
        <v>2093</v>
      </c>
      <c r="H140" t="s">
        <v>22</v>
      </c>
      <c r="I140" t="s">
        <v>22</v>
      </c>
      <c r="J140" t="s">
        <v>17</v>
      </c>
      <c r="K140">
        <v>900</v>
      </c>
      <c r="L140">
        <v>1130</v>
      </c>
      <c r="M140" t="s">
        <v>2085</v>
      </c>
      <c r="N140" t="s">
        <v>2086</v>
      </c>
      <c r="O140" t="s">
        <v>1703</v>
      </c>
      <c r="P140" t="s">
        <v>1790</v>
      </c>
      <c r="Q140" t="s">
        <v>2060</v>
      </c>
    </row>
    <row r="141" spans="1:17" x14ac:dyDescent="0.3">
      <c r="A141">
        <v>1148843</v>
      </c>
      <c r="B141" t="s">
        <v>2075</v>
      </c>
      <c r="C141" t="s">
        <v>2081</v>
      </c>
      <c r="D141" t="s">
        <v>2082</v>
      </c>
      <c r="E141" t="s">
        <v>2083</v>
      </c>
      <c r="F141" t="s">
        <v>1822</v>
      </c>
      <c r="G141" t="s">
        <v>2094</v>
      </c>
      <c r="H141" t="s">
        <v>22</v>
      </c>
      <c r="I141" t="s">
        <v>22</v>
      </c>
      <c r="J141" t="s">
        <v>17</v>
      </c>
      <c r="K141">
        <v>900</v>
      </c>
      <c r="L141">
        <v>1130</v>
      </c>
      <c r="M141" t="s">
        <v>2085</v>
      </c>
      <c r="N141" t="s">
        <v>2086</v>
      </c>
      <c r="O141" t="s">
        <v>1703</v>
      </c>
      <c r="P141" t="s">
        <v>1790</v>
      </c>
      <c r="Q141" t="s">
        <v>2060</v>
      </c>
    </row>
    <row r="142" spans="1:17" x14ac:dyDescent="0.3">
      <c r="A142">
        <v>1148843</v>
      </c>
      <c r="B142" t="s">
        <v>2075</v>
      </c>
      <c r="C142" t="s">
        <v>2081</v>
      </c>
      <c r="D142" t="s">
        <v>2082</v>
      </c>
      <c r="E142" t="s">
        <v>2083</v>
      </c>
      <c r="F142" t="s">
        <v>1822</v>
      </c>
      <c r="G142" t="s">
        <v>2095</v>
      </c>
      <c r="H142" t="s">
        <v>22</v>
      </c>
      <c r="I142" t="s">
        <v>22</v>
      </c>
      <c r="J142" t="s">
        <v>17</v>
      </c>
      <c r="K142">
        <v>900</v>
      </c>
      <c r="L142">
        <v>1130</v>
      </c>
      <c r="M142" t="s">
        <v>2085</v>
      </c>
      <c r="N142" t="s">
        <v>2086</v>
      </c>
      <c r="O142" t="s">
        <v>1703</v>
      </c>
      <c r="P142" t="s">
        <v>1790</v>
      </c>
      <c r="Q142" t="s">
        <v>2060</v>
      </c>
    </row>
    <row r="143" spans="1:17" x14ac:dyDescent="0.3">
      <c r="A143">
        <v>1148843</v>
      </c>
      <c r="B143" t="s">
        <v>2075</v>
      </c>
      <c r="C143" t="s">
        <v>2081</v>
      </c>
      <c r="D143" t="s">
        <v>2082</v>
      </c>
      <c r="E143" t="s">
        <v>2083</v>
      </c>
      <c r="F143" t="s">
        <v>1822</v>
      </c>
      <c r="G143" t="s">
        <v>2096</v>
      </c>
      <c r="H143" t="s">
        <v>22</v>
      </c>
      <c r="I143" t="s">
        <v>22</v>
      </c>
      <c r="J143" t="s">
        <v>17</v>
      </c>
      <c r="K143">
        <v>900</v>
      </c>
      <c r="L143">
        <v>1130</v>
      </c>
      <c r="M143" t="s">
        <v>2085</v>
      </c>
      <c r="N143" t="s">
        <v>2086</v>
      </c>
      <c r="O143" t="s">
        <v>1703</v>
      </c>
      <c r="P143" t="s">
        <v>1790</v>
      </c>
      <c r="Q143" t="s">
        <v>2060</v>
      </c>
    </row>
    <row r="144" spans="1:17" x14ac:dyDescent="0.3">
      <c r="A144">
        <v>1148843</v>
      </c>
      <c r="B144" t="s">
        <v>2075</v>
      </c>
      <c r="C144" t="s">
        <v>2081</v>
      </c>
      <c r="D144" t="s">
        <v>2082</v>
      </c>
      <c r="E144" t="s">
        <v>2083</v>
      </c>
      <c r="F144" t="s">
        <v>1822</v>
      </c>
      <c r="G144" t="s">
        <v>2097</v>
      </c>
      <c r="H144" t="s">
        <v>22</v>
      </c>
      <c r="I144" t="s">
        <v>22</v>
      </c>
      <c r="J144" t="s">
        <v>17</v>
      </c>
      <c r="K144">
        <v>900</v>
      </c>
      <c r="L144">
        <v>1130</v>
      </c>
      <c r="M144" t="s">
        <v>2085</v>
      </c>
      <c r="N144" t="s">
        <v>2086</v>
      </c>
      <c r="O144" t="s">
        <v>1703</v>
      </c>
      <c r="P144" t="s">
        <v>1790</v>
      </c>
      <c r="Q144" t="s">
        <v>2060</v>
      </c>
    </row>
    <row r="145" spans="1:17" x14ac:dyDescent="0.3">
      <c r="A145">
        <v>1148843</v>
      </c>
      <c r="B145" t="s">
        <v>2075</v>
      </c>
      <c r="C145" t="s">
        <v>2081</v>
      </c>
      <c r="D145" t="s">
        <v>2082</v>
      </c>
      <c r="E145" t="s">
        <v>2083</v>
      </c>
      <c r="F145" t="s">
        <v>1822</v>
      </c>
      <c r="G145" t="s">
        <v>2098</v>
      </c>
      <c r="H145" t="s">
        <v>22</v>
      </c>
      <c r="I145" t="s">
        <v>22</v>
      </c>
      <c r="J145" t="s">
        <v>17</v>
      </c>
      <c r="K145">
        <v>900</v>
      </c>
      <c r="L145">
        <v>1130</v>
      </c>
      <c r="M145" t="s">
        <v>2085</v>
      </c>
      <c r="N145" t="s">
        <v>2086</v>
      </c>
      <c r="O145" t="s">
        <v>1703</v>
      </c>
      <c r="P145" t="s">
        <v>1790</v>
      </c>
      <c r="Q145" t="s">
        <v>2060</v>
      </c>
    </row>
    <row r="146" spans="1:17" x14ac:dyDescent="0.3">
      <c r="A146">
        <v>1148843</v>
      </c>
      <c r="B146" t="s">
        <v>2075</v>
      </c>
      <c r="C146" t="s">
        <v>2081</v>
      </c>
      <c r="D146" t="s">
        <v>2082</v>
      </c>
      <c r="E146" t="s">
        <v>2083</v>
      </c>
      <c r="F146" t="s">
        <v>1822</v>
      </c>
      <c r="G146" t="s">
        <v>2099</v>
      </c>
      <c r="H146" t="s">
        <v>22</v>
      </c>
      <c r="I146" t="s">
        <v>22</v>
      </c>
      <c r="J146" t="s">
        <v>17</v>
      </c>
      <c r="K146">
        <v>900</v>
      </c>
      <c r="L146">
        <v>1130</v>
      </c>
      <c r="M146" t="s">
        <v>2085</v>
      </c>
      <c r="N146" t="s">
        <v>2086</v>
      </c>
      <c r="O146" t="s">
        <v>1703</v>
      </c>
      <c r="P146" t="s">
        <v>1790</v>
      </c>
      <c r="Q146" t="s">
        <v>2060</v>
      </c>
    </row>
    <row r="147" spans="1:17" x14ac:dyDescent="0.3">
      <c r="A147">
        <v>1148843</v>
      </c>
      <c r="B147" t="s">
        <v>2075</v>
      </c>
      <c r="C147" t="s">
        <v>2081</v>
      </c>
      <c r="D147" t="s">
        <v>2082</v>
      </c>
      <c r="E147" t="s">
        <v>2083</v>
      </c>
      <c r="F147" t="s">
        <v>1822</v>
      </c>
      <c r="G147" t="s">
        <v>2100</v>
      </c>
      <c r="H147" t="s">
        <v>22</v>
      </c>
      <c r="I147" t="s">
        <v>22</v>
      </c>
      <c r="J147" t="s">
        <v>17</v>
      </c>
      <c r="K147">
        <v>900</v>
      </c>
      <c r="L147">
        <v>1130</v>
      </c>
      <c r="M147" t="s">
        <v>2085</v>
      </c>
      <c r="N147" t="s">
        <v>2086</v>
      </c>
      <c r="O147" t="s">
        <v>1703</v>
      </c>
      <c r="P147" t="s">
        <v>1790</v>
      </c>
      <c r="Q147" t="s">
        <v>2060</v>
      </c>
    </row>
    <row r="148" spans="1:17" x14ac:dyDescent="0.3">
      <c r="A148">
        <v>1148843</v>
      </c>
      <c r="B148" t="s">
        <v>2075</v>
      </c>
      <c r="C148" t="s">
        <v>2081</v>
      </c>
      <c r="D148" t="s">
        <v>2082</v>
      </c>
      <c r="E148" t="s">
        <v>2083</v>
      </c>
      <c r="F148" t="s">
        <v>1822</v>
      </c>
      <c r="G148" t="s">
        <v>2101</v>
      </c>
      <c r="H148" t="s">
        <v>22</v>
      </c>
      <c r="I148" t="s">
        <v>22</v>
      </c>
      <c r="J148" t="s">
        <v>17</v>
      </c>
      <c r="K148">
        <v>900</v>
      </c>
      <c r="L148">
        <v>1130</v>
      </c>
      <c r="M148" t="s">
        <v>2085</v>
      </c>
      <c r="N148" t="s">
        <v>2086</v>
      </c>
      <c r="O148" t="s">
        <v>1703</v>
      </c>
      <c r="P148" t="s">
        <v>1790</v>
      </c>
      <c r="Q148" t="s">
        <v>2060</v>
      </c>
    </row>
    <row r="149" spans="1:17" x14ac:dyDescent="0.3">
      <c r="A149">
        <v>1148843</v>
      </c>
      <c r="B149" t="s">
        <v>2075</v>
      </c>
      <c r="C149" t="s">
        <v>2081</v>
      </c>
      <c r="D149" t="s">
        <v>2082</v>
      </c>
      <c r="E149" t="s">
        <v>2083</v>
      </c>
      <c r="F149" t="s">
        <v>1822</v>
      </c>
      <c r="G149" t="s">
        <v>2102</v>
      </c>
      <c r="H149" t="s">
        <v>22</v>
      </c>
      <c r="I149" t="s">
        <v>22</v>
      </c>
      <c r="J149" t="s">
        <v>17</v>
      </c>
      <c r="K149">
        <v>900</v>
      </c>
      <c r="L149">
        <v>1130</v>
      </c>
      <c r="M149" t="s">
        <v>2085</v>
      </c>
      <c r="N149" t="s">
        <v>2086</v>
      </c>
      <c r="O149" t="s">
        <v>1703</v>
      </c>
      <c r="P149" t="s">
        <v>1790</v>
      </c>
      <c r="Q149" t="s">
        <v>2060</v>
      </c>
    </row>
    <row r="150" spans="1:17" x14ac:dyDescent="0.3">
      <c r="A150">
        <v>1148843</v>
      </c>
      <c r="B150" t="s">
        <v>2075</v>
      </c>
      <c r="C150" t="s">
        <v>2081</v>
      </c>
      <c r="D150" t="s">
        <v>2082</v>
      </c>
      <c r="E150" t="s">
        <v>2083</v>
      </c>
      <c r="F150" t="s">
        <v>1822</v>
      </c>
      <c r="G150" t="s">
        <v>2103</v>
      </c>
      <c r="H150" t="s">
        <v>22</v>
      </c>
      <c r="I150" t="s">
        <v>22</v>
      </c>
      <c r="J150" t="s">
        <v>17</v>
      </c>
      <c r="K150">
        <v>900</v>
      </c>
      <c r="L150">
        <v>1130</v>
      </c>
      <c r="M150" t="s">
        <v>2085</v>
      </c>
      <c r="N150" t="s">
        <v>2086</v>
      </c>
      <c r="O150" t="s">
        <v>1703</v>
      </c>
      <c r="P150" t="s">
        <v>1790</v>
      </c>
      <c r="Q150" t="s">
        <v>2060</v>
      </c>
    </row>
    <row r="151" spans="1:17" x14ac:dyDescent="0.3">
      <c r="A151">
        <v>1148843</v>
      </c>
      <c r="B151" t="s">
        <v>2075</v>
      </c>
      <c r="C151" t="s">
        <v>2081</v>
      </c>
      <c r="D151" t="s">
        <v>2082</v>
      </c>
      <c r="E151" t="s">
        <v>2083</v>
      </c>
      <c r="F151" t="s">
        <v>1822</v>
      </c>
      <c r="G151" t="s">
        <v>2104</v>
      </c>
      <c r="H151" t="s">
        <v>22</v>
      </c>
      <c r="I151" t="s">
        <v>22</v>
      </c>
      <c r="J151" t="s">
        <v>17</v>
      </c>
      <c r="K151">
        <v>900</v>
      </c>
      <c r="L151">
        <v>1130</v>
      </c>
      <c r="M151" t="s">
        <v>2085</v>
      </c>
      <c r="N151" t="s">
        <v>2086</v>
      </c>
      <c r="O151" t="s">
        <v>1703</v>
      </c>
      <c r="P151" t="s">
        <v>1790</v>
      </c>
      <c r="Q151" t="s">
        <v>2060</v>
      </c>
    </row>
    <row r="152" spans="1:17" x14ac:dyDescent="0.3">
      <c r="A152">
        <v>1148843</v>
      </c>
      <c r="B152" t="s">
        <v>2075</v>
      </c>
      <c r="C152" t="s">
        <v>2081</v>
      </c>
      <c r="D152" t="s">
        <v>2082</v>
      </c>
      <c r="E152" t="s">
        <v>2083</v>
      </c>
      <c r="F152" t="s">
        <v>1822</v>
      </c>
      <c r="G152" t="s">
        <v>2105</v>
      </c>
      <c r="H152" t="s">
        <v>22</v>
      </c>
      <c r="I152" t="s">
        <v>22</v>
      </c>
      <c r="J152" t="s">
        <v>17</v>
      </c>
      <c r="K152">
        <v>900</v>
      </c>
      <c r="L152">
        <v>1130</v>
      </c>
      <c r="M152" t="s">
        <v>2085</v>
      </c>
      <c r="N152" t="s">
        <v>2086</v>
      </c>
      <c r="O152" t="s">
        <v>1703</v>
      </c>
      <c r="P152" t="s">
        <v>1790</v>
      </c>
      <c r="Q152" t="s">
        <v>2060</v>
      </c>
    </row>
    <row r="153" spans="1:17" x14ac:dyDescent="0.3">
      <c r="A153">
        <v>1148843</v>
      </c>
      <c r="B153" t="s">
        <v>2075</v>
      </c>
      <c r="C153" t="s">
        <v>2081</v>
      </c>
      <c r="D153" t="s">
        <v>2082</v>
      </c>
      <c r="E153" t="s">
        <v>2083</v>
      </c>
      <c r="F153" t="s">
        <v>1822</v>
      </c>
      <c r="G153" t="s">
        <v>2106</v>
      </c>
      <c r="H153" t="s">
        <v>22</v>
      </c>
      <c r="I153" t="s">
        <v>22</v>
      </c>
      <c r="J153" t="s">
        <v>17</v>
      </c>
      <c r="K153">
        <v>900</v>
      </c>
      <c r="L153">
        <v>1130</v>
      </c>
      <c r="M153" t="s">
        <v>2085</v>
      </c>
      <c r="N153" t="s">
        <v>2086</v>
      </c>
      <c r="O153" t="s">
        <v>1703</v>
      </c>
      <c r="P153" t="s">
        <v>1790</v>
      </c>
      <c r="Q153" t="s">
        <v>2060</v>
      </c>
    </row>
    <row r="154" spans="1:17" x14ac:dyDescent="0.3">
      <c r="A154">
        <v>1148843</v>
      </c>
      <c r="B154" t="s">
        <v>2075</v>
      </c>
      <c r="C154" t="s">
        <v>2107</v>
      </c>
      <c r="D154" t="s">
        <v>2108</v>
      </c>
      <c r="E154" t="s">
        <v>2109</v>
      </c>
      <c r="F154" t="s">
        <v>1822</v>
      </c>
      <c r="G154" t="s">
        <v>1822</v>
      </c>
      <c r="H154" t="s">
        <v>46</v>
      </c>
      <c r="I154" t="s">
        <v>46</v>
      </c>
      <c r="J154" t="s">
        <v>17</v>
      </c>
      <c r="K154">
        <v>1000</v>
      </c>
      <c r="L154">
        <v>500</v>
      </c>
      <c r="M154" t="s">
        <v>245</v>
      </c>
      <c r="N154" t="s">
        <v>246</v>
      </c>
      <c r="O154" t="s">
        <v>1790</v>
      </c>
      <c r="P154" t="s">
        <v>1743</v>
      </c>
      <c r="Q154" t="s">
        <v>2110</v>
      </c>
    </row>
    <row r="155" spans="1:17" x14ac:dyDescent="0.3">
      <c r="A155">
        <v>1148843</v>
      </c>
      <c r="B155" t="s">
        <v>2075</v>
      </c>
      <c r="C155" t="s">
        <v>2111</v>
      </c>
      <c r="D155" t="s">
        <v>2111</v>
      </c>
      <c r="E155" t="s">
        <v>2112</v>
      </c>
      <c r="F155" t="s">
        <v>2113</v>
      </c>
      <c r="G155" t="s">
        <v>2114</v>
      </c>
      <c r="H155" t="s">
        <v>22</v>
      </c>
      <c r="I155" t="s">
        <v>22</v>
      </c>
      <c r="J155" t="s">
        <v>17</v>
      </c>
      <c r="K155">
        <v>1000</v>
      </c>
      <c r="L155">
        <v>1150</v>
      </c>
      <c r="M155" t="s">
        <v>2115</v>
      </c>
      <c r="N155" t="s">
        <v>2116</v>
      </c>
      <c r="O155" t="s">
        <v>1790</v>
      </c>
      <c r="P155" t="s">
        <v>1703</v>
      </c>
    </row>
    <row r="156" spans="1:17" x14ac:dyDescent="0.3">
      <c r="A156">
        <v>1148843</v>
      </c>
      <c r="B156" t="s">
        <v>2075</v>
      </c>
      <c r="C156" t="s">
        <v>2111</v>
      </c>
      <c r="D156" t="s">
        <v>2111</v>
      </c>
      <c r="E156" t="s">
        <v>2112</v>
      </c>
      <c r="F156" t="s">
        <v>2113</v>
      </c>
      <c r="G156" t="s">
        <v>2117</v>
      </c>
      <c r="H156" t="s">
        <v>22</v>
      </c>
      <c r="I156" t="s">
        <v>22</v>
      </c>
      <c r="J156" t="s">
        <v>17</v>
      </c>
      <c r="K156">
        <v>1000</v>
      </c>
      <c r="L156">
        <v>1150</v>
      </c>
      <c r="M156" t="s">
        <v>2115</v>
      </c>
      <c r="N156" t="s">
        <v>2116</v>
      </c>
      <c r="O156" t="s">
        <v>1790</v>
      </c>
      <c r="P156" t="s">
        <v>1703</v>
      </c>
    </row>
    <row r="157" spans="1:17" x14ac:dyDescent="0.3">
      <c r="A157">
        <v>1148843</v>
      </c>
      <c r="B157" t="s">
        <v>2075</v>
      </c>
      <c r="C157" t="s">
        <v>2111</v>
      </c>
      <c r="D157" t="s">
        <v>2111</v>
      </c>
      <c r="E157" t="s">
        <v>2112</v>
      </c>
      <c r="F157" t="s">
        <v>2113</v>
      </c>
      <c r="G157" t="s">
        <v>2118</v>
      </c>
      <c r="H157" t="s">
        <v>22</v>
      </c>
      <c r="I157" t="s">
        <v>22</v>
      </c>
      <c r="J157" t="s">
        <v>17</v>
      </c>
      <c r="K157">
        <v>1000</v>
      </c>
      <c r="L157">
        <v>1150</v>
      </c>
      <c r="M157" t="s">
        <v>2115</v>
      </c>
      <c r="N157" t="s">
        <v>2116</v>
      </c>
      <c r="O157" t="s">
        <v>1790</v>
      </c>
      <c r="P157" t="s">
        <v>1703</v>
      </c>
    </row>
    <row r="158" spans="1:17" x14ac:dyDescent="0.3">
      <c r="A158">
        <v>1148843</v>
      </c>
      <c r="B158" t="s">
        <v>2075</v>
      </c>
      <c r="C158" t="s">
        <v>2111</v>
      </c>
      <c r="D158" t="s">
        <v>2111</v>
      </c>
      <c r="E158" t="s">
        <v>2112</v>
      </c>
      <c r="F158" t="s">
        <v>2113</v>
      </c>
      <c r="G158" t="s">
        <v>2119</v>
      </c>
      <c r="H158" t="s">
        <v>22</v>
      </c>
      <c r="I158" t="s">
        <v>22</v>
      </c>
      <c r="J158" t="s">
        <v>17</v>
      </c>
      <c r="K158">
        <v>1000</v>
      </c>
      <c r="L158">
        <v>1150</v>
      </c>
      <c r="M158" t="s">
        <v>2115</v>
      </c>
      <c r="N158" t="s">
        <v>2116</v>
      </c>
      <c r="O158" t="s">
        <v>1790</v>
      </c>
      <c r="P158" t="s">
        <v>1703</v>
      </c>
    </row>
    <row r="159" spans="1:17" x14ac:dyDescent="0.3">
      <c r="A159">
        <v>1148843</v>
      </c>
      <c r="B159" t="s">
        <v>2075</v>
      </c>
      <c r="C159" t="s">
        <v>2111</v>
      </c>
      <c r="D159" t="s">
        <v>2111</v>
      </c>
      <c r="E159" t="s">
        <v>2112</v>
      </c>
      <c r="F159" t="s">
        <v>2113</v>
      </c>
      <c r="G159" t="s">
        <v>2120</v>
      </c>
      <c r="H159" t="s">
        <v>22</v>
      </c>
      <c r="I159" t="s">
        <v>22</v>
      </c>
      <c r="J159" t="s">
        <v>17</v>
      </c>
      <c r="K159">
        <v>1000</v>
      </c>
      <c r="L159">
        <v>1150</v>
      </c>
      <c r="M159" t="s">
        <v>2115</v>
      </c>
      <c r="N159" t="s">
        <v>2116</v>
      </c>
      <c r="O159" t="s">
        <v>1790</v>
      </c>
      <c r="P159" t="s">
        <v>1703</v>
      </c>
    </row>
    <row r="160" spans="1:17" x14ac:dyDescent="0.3">
      <c r="A160">
        <v>1148843</v>
      </c>
      <c r="B160" t="s">
        <v>2075</v>
      </c>
      <c r="C160" t="s">
        <v>2111</v>
      </c>
      <c r="D160" t="s">
        <v>2111</v>
      </c>
      <c r="E160" t="s">
        <v>2112</v>
      </c>
      <c r="F160" t="s">
        <v>2113</v>
      </c>
      <c r="G160" t="s">
        <v>2121</v>
      </c>
      <c r="H160" t="s">
        <v>22</v>
      </c>
      <c r="I160" t="s">
        <v>22</v>
      </c>
      <c r="J160" t="s">
        <v>17</v>
      </c>
      <c r="K160">
        <v>1000</v>
      </c>
      <c r="L160">
        <v>1150</v>
      </c>
      <c r="M160" t="s">
        <v>2115</v>
      </c>
      <c r="N160" t="s">
        <v>2116</v>
      </c>
      <c r="O160" t="s">
        <v>1790</v>
      </c>
      <c r="P160" t="s">
        <v>1703</v>
      </c>
    </row>
    <row r="161" spans="1:16" x14ac:dyDescent="0.3">
      <c r="A161">
        <v>1148843</v>
      </c>
      <c r="B161" t="s">
        <v>2075</v>
      </c>
      <c r="C161" t="s">
        <v>2111</v>
      </c>
      <c r="D161" t="s">
        <v>2111</v>
      </c>
      <c r="E161" t="s">
        <v>2112</v>
      </c>
      <c r="F161" t="s">
        <v>2113</v>
      </c>
      <c r="G161" t="s">
        <v>2122</v>
      </c>
      <c r="H161" t="s">
        <v>22</v>
      </c>
      <c r="I161" t="s">
        <v>22</v>
      </c>
      <c r="J161" t="s">
        <v>17</v>
      </c>
      <c r="K161">
        <v>1000</v>
      </c>
      <c r="L161">
        <v>1150</v>
      </c>
      <c r="M161" t="s">
        <v>2115</v>
      </c>
      <c r="N161" t="s">
        <v>2116</v>
      </c>
      <c r="O161" t="s">
        <v>1790</v>
      </c>
      <c r="P161" t="s">
        <v>1703</v>
      </c>
    </row>
    <row r="162" spans="1:16" x14ac:dyDescent="0.3">
      <c r="A162">
        <v>1148843</v>
      </c>
      <c r="B162" t="s">
        <v>2075</v>
      </c>
      <c r="C162" t="s">
        <v>2111</v>
      </c>
      <c r="D162" t="s">
        <v>2111</v>
      </c>
      <c r="E162" t="s">
        <v>2112</v>
      </c>
      <c r="F162" t="s">
        <v>2113</v>
      </c>
      <c r="G162" t="s">
        <v>2123</v>
      </c>
      <c r="H162" t="s">
        <v>22</v>
      </c>
      <c r="I162" t="s">
        <v>22</v>
      </c>
      <c r="J162" t="s">
        <v>17</v>
      </c>
      <c r="K162">
        <v>1000</v>
      </c>
      <c r="L162">
        <v>1150</v>
      </c>
      <c r="M162" t="s">
        <v>2115</v>
      </c>
      <c r="N162" t="s">
        <v>2116</v>
      </c>
      <c r="O162" t="s">
        <v>1790</v>
      </c>
      <c r="P162" t="s">
        <v>1703</v>
      </c>
    </row>
    <row r="163" spans="1:16" x14ac:dyDescent="0.3">
      <c r="A163">
        <v>1148843</v>
      </c>
      <c r="B163" t="s">
        <v>2075</v>
      </c>
      <c r="C163" t="s">
        <v>2111</v>
      </c>
      <c r="D163" t="s">
        <v>2111</v>
      </c>
      <c r="E163" t="s">
        <v>2112</v>
      </c>
      <c r="F163" t="s">
        <v>2113</v>
      </c>
      <c r="G163" t="s">
        <v>2124</v>
      </c>
      <c r="H163" t="s">
        <v>22</v>
      </c>
      <c r="I163" t="s">
        <v>22</v>
      </c>
      <c r="J163" t="s">
        <v>17</v>
      </c>
      <c r="K163">
        <v>1000</v>
      </c>
      <c r="L163">
        <v>1150</v>
      </c>
      <c r="M163" t="s">
        <v>2115</v>
      </c>
      <c r="N163" t="s">
        <v>2116</v>
      </c>
      <c r="O163" t="s">
        <v>1790</v>
      </c>
      <c r="P163" t="s">
        <v>1703</v>
      </c>
    </row>
    <row r="164" spans="1:16" x14ac:dyDescent="0.3">
      <c r="A164">
        <v>1148843</v>
      </c>
      <c r="B164" t="s">
        <v>2075</v>
      </c>
      <c r="C164" t="s">
        <v>2111</v>
      </c>
      <c r="D164" t="s">
        <v>2111</v>
      </c>
      <c r="E164" t="s">
        <v>2112</v>
      </c>
      <c r="F164" t="s">
        <v>2113</v>
      </c>
      <c r="G164" t="s">
        <v>2125</v>
      </c>
      <c r="H164" t="s">
        <v>22</v>
      </c>
      <c r="I164" t="s">
        <v>22</v>
      </c>
      <c r="J164" t="s">
        <v>17</v>
      </c>
      <c r="K164">
        <v>1000</v>
      </c>
      <c r="L164">
        <v>1150</v>
      </c>
      <c r="M164" t="s">
        <v>2115</v>
      </c>
      <c r="N164" t="s">
        <v>2116</v>
      </c>
      <c r="O164" t="s">
        <v>1790</v>
      </c>
      <c r="P164" t="s">
        <v>1703</v>
      </c>
    </row>
    <row r="165" spans="1:16" x14ac:dyDescent="0.3">
      <c r="A165">
        <v>1148843</v>
      </c>
      <c r="B165" t="s">
        <v>2075</v>
      </c>
      <c r="C165" t="s">
        <v>2111</v>
      </c>
      <c r="D165" t="s">
        <v>2111</v>
      </c>
      <c r="E165" t="s">
        <v>2112</v>
      </c>
      <c r="F165" t="s">
        <v>2113</v>
      </c>
      <c r="G165" t="s">
        <v>2126</v>
      </c>
      <c r="H165" t="s">
        <v>22</v>
      </c>
      <c r="I165" t="s">
        <v>22</v>
      </c>
      <c r="J165" t="s">
        <v>17</v>
      </c>
      <c r="K165">
        <v>1000</v>
      </c>
      <c r="L165">
        <v>1150</v>
      </c>
      <c r="M165" t="s">
        <v>2115</v>
      </c>
      <c r="N165" t="s">
        <v>2116</v>
      </c>
      <c r="O165" t="s">
        <v>1790</v>
      </c>
      <c r="P165" t="s">
        <v>1703</v>
      </c>
    </row>
    <row r="166" spans="1:16" x14ac:dyDescent="0.3">
      <c r="A166">
        <v>1148866</v>
      </c>
      <c r="B166" t="s">
        <v>2127</v>
      </c>
      <c r="C166" t="s">
        <v>2128</v>
      </c>
      <c r="D166" t="s">
        <v>2129</v>
      </c>
      <c r="E166" t="s">
        <v>2130</v>
      </c>
      <c r="F166" t="s">
        <v>1822</v>
      </c>
      <c r="G166" t="s">
        <v>2131</v>
      </c>
      <c r="H166" t="s">
        <v>22</v>
      </c>
      <c r="I166" t="s">
        <v>22</v>
      </c>
      <c r="J166" t="s">
        <v>17</v>
      </c>
      <c r="K166">
        <v>917</v>
      </c>
      <c r="L166">
        <v>1080</v>
      </c>
      <c r="M166" t="s">
        <v>1822</v>
      </c>
      <c r="N166" t="s">
        <v>1822</v>
      </c>
      <c r="O166" t="s">
        <v>1703</v>
      </c>
      <c r="P166" t="s">
        <v>1743</v>
      </c>
    </row>
    <row r="167" spans="1:16" x14ac:dyDescent="0.3">
      <c r="A167">
        <v>1148866</v>
      </c>
      <c r="B167" t="s">
        <v>2127</v>
      </c>
      <c r="C167" t="s">
        <v>2128</v>
      </c>
      <c r="D167" t="s">
        <v>2129</v>
      </c>
      <c r="E167" t="s">
        <v>2130</v>
      </c>
      <c r="F167" t="s">
        <v>1822</v>
      </c>
      <c r="G167" t="s">
        <v>2132</v>
      </c>
      <c r="H167" t="s">
        <v>22</v>
      </c>
      <c r="I167" t="s">
        <v>22</v>
      </c>
      <c r="J167" t="s">
        <v>17</v>
      </c>
      <c r="K167">
        <v>917</v>
      </c>
      <c r="L167">
        <v>1080</v>
      </c>
      <c r="M167" t="s">
        <v>1822</v>
      </c>
      <c r="N167" t="s">
        <v>1822</v>
      </c>
      <c r="O167" t="s">
        <v>1703</v>
      </c>
      <c r="P167" t="s">
        <v>1743</v>
      </c>
    </row>
    <row r="168" spans="1:16" x14ac:dyDescent="0.3">
      <c r="A168">
        <v>1148866</v>
      </c>
      <c r="B168" t="s">
        <v>2127</v>
      </c>
      <c r="C168" t="s">
        <v>2128</v>
      </c>
      <c r="D168" t="s">
        <v>2129</v>
      </c>
      <c r="E168" t="s">
        <v>2130</v>
      </c>
      <c r="F168" t="s">
        <v>1822</v>
      </c>
      <c r="G168" t="s">
        <v>2133</v>
      </c>
      <c r="H168" t="s">
        <v>22</v>
      </c>
      <c r="I168" t="s">
        <v>22</v>
      </c>
      <c r="J168" t="s">
        <v>17</v>
      </c>
      <c r="K168">
        <v>917</v>
      </c>
      <c r="L168">
        <v>1080</v>
      </c>
      <c r="M168" t="s">
        <v>1822</v>
      </c>
      <c r="N168" t="s">
        <v>1822</v>
      </c>
      <c r="O168" t="s">
        <v>1703</v>
      </c>
      <c r="P168" t="s">
        <v>1743</v>
      </c>
    </row>
    <row r="169" spans="1:16" x14ac:dyDescent="0.3">
      <c r="A169">
        <v>1148866</v>
      </c>
      <c r="B169" t="s">
        <v>2127</v>
      </c>
      <c r="C169" t="s">
        <v>2134</v>
      </c>
      <c r="D169" t="s">
        <v>2135</v>
      </c>
      <c r="E169" t="s">
        <v>2136</v>
      </c>
      <c r="F169" t="s">
        <v>1822</v>
      </c>
      <c r="G169" t="s">
        <v>2137</v>
      </c>
      <c r="H169" t="s">
        <v>46</v>
      </c>
      <c r="I169" t="s">
        <v>46</v>
      </c>
      <c r="J169" t="s">
        <v>17</v>
      </c>
      <c r="K169">
        <v>1000</v>
      </c>
      <c r="L169">
        <v>500</v>
      </c>
      <c r="M169" t="s">
        <v>1822</v>
      </c>
      <c r="N169" t="s">
        <v>1822</v>
      </c>
      <c r="O169" t="s">
        <v>1703</v>
      </c>
      <c r="P169" t="s">
        <v>1743</v>
      </c>
    </row>
    <row r="170" spans="1:16" x14ac:dyDescent="0.3">
      <c r="A170">
        <v>1148866</v>
      </c>
      <c r="B170" t="s">
        <v>2127</v>
      </c>
      <c r="C170" t="s">
        <v>2134</v>
      </c>
      <c r="D170" t="s">
        <v>2135</v>
      </c>
      <c r="E170" t="s">
        <v>2136</v>
      </c>
      <c r="F170" t="s">
        <v>1822</v>
      </c>
      <c r="G170" t="s">
        <v>2138</v>
      </c>
      <c r="H170" t="s">
        <v>46</v>
      </c>
      <c r="I170" t="s">
        <v>46</v>
      </c>
      <c r="J170" t="s">
        <v>17</v>
      </c>
      <c r="K170">
        <v>1000</v>
      </c>
      <c r="L170">
        <v>500</v>
      </c>
      <c r="M170" t="s">
        <v>1822</v>
      </c>
      <c r="N170" t="s">
        <v>1822</v>
      </c>
      <c r="O170" t="s">
        <v>1703</v>
      </c>
      <c r="P170" t="s">
        <v>1743</v>
      </c>
    </row>
    <row r="171" spans="1:16" x14ac:dyDescent="0.3">
      <c r="A171">
        <v>1148866</v>
      </c>
      <c r="B171" t="s">
        <v>2127</v>
      </c>
      <c r="C171" t="s">
        <v>2139</v>
      </c>
      <c r="D171" t="s">
        <v>1822</v>
      </c>
      <c r="E171" t="s">
        <v>1822</v>
      </c>
      <c r="F171" t="s">
        <v>1822</v>
      </c>
      <c r="G171" t="s">
        <v>1822</v>
      </c>
      <c r="H171" t="s">
        <v>16</v>
      </c>
      <c r="I171" t="s">
        <v>16</v>
      </c>
      <c r="J171" t="s">
        <v>17</v>
      </c>
      <c r="K171">
        <v>0</v>
      </c>
      <c r="L171">
        <v>0</v>
      </c>
      <c r="M171" t="s">
        <v>1822</v>
      </c>
      <c r="N171" t="s">
        <v>1822</v>
      </c>
      <c r="O171" t="s">
        <v>1790</v>
      </c>
      <c r="P171" t="s">
        <v>1743</v>
      </c>
    </row>
    <row r="172" spans="1:16" x14ac:dyDescent="0.3">
      <c r="A172">
        <v>1148866</v>
      </c>
      <c r="B172" t="s">
        <v>2127</v>
      </c>
      <c r="C172" t="s">
        <v>2140</v>
      </c>
      <c r="D172" t="s">
        <v>2141</v>
      </c>
      <c r="E172" t="s">
        <v>2142</v>
      </c>
      <c r="F172" t="s">
        <v>1822</v>
      </c>
      <c r="G172" t="s">
        <v>1822</v>
      </c>
      <c r="H172" t="s">
        <v>46</v>
      </c>
      <c r="I172" t="s">
        <v>46</v>
      </c>
      <c r="J172" t="s">
        <v>17</v>
      </c>
      <c r="K172">
        <v>1000</v>
      </c>
      <c r="L172">
        <v>500</v>
      </c>
      <c r="M172" t="s">
        <v>2143</v>
      </c>
      <c r="N172" t="s">
        <v>2144</v>
      </c>
      <c r="O172" t="s">
        <v>1703</v>
      </c>
      <c r="P172" t="s">
        <v>1743</v>
      </c>
    </row>
    <row r="173" spans="1:16" x14ac:dyDescent="0.3">
      <c r="A173">
        <v>1148866</v>
      </c>
      <c r="B173" t="s">
        <v>2127</v>
      </c>
      <c r="C173" t="s">
        <v>2145</v>
      </c>
      <c r="D173" t="s">
        <v>1822</v>
      </c>
      <c r="E173" t="s">
        <v>1822</v>
      </c>
      <c r="F173" t="s">
        <v>1822</v>
      </c>
      <c r="G173" t="s">
        <v>1822</v>
      </c>
      <c r="H173" t="s">
        <v>16</v>
      </c>
      <c r="I173" t="s">
        <v>16</v>
      </c>
      <c r="J173" t="s">
        <v>17</v>
      </c>
      <c r="K173">
        <v>0</v>
      </c>
      <c r="L173">
        <v>0</v>
      </c>
      <c r="M173" t="s">
        <v>1822</v>
      </c>
      <c r="N173" t="s">
        <v>1822</v>
      </c>
      <c r="O173" t="s">
        <v>1703</v>
      </c>
      <c r="P173" t="s">
        <v>1743</v>
      </c>
    </row>
    <row r="174" spans="1:16" x14ac:dyDescent="0.3">
      <c r="A174">
        <v>1148866</v>
      </c>
      <c r="B174" t="s">
        <v>2127</v>
      </c>
      <c r="C174" t="s">
        <v>2146</v>
      </c>
      <c r="D174" t="s">
        <v>1039</v>
      </c>
      <c r="E174" t="s">
        <v>2147</v>
      </c>
      <c r="F174">
        <v>119338890</v>
      </c>
      <c r="G174" t="s">
        <v>2148</v>
      </c>
      <c r="H174" t="s">
        <v>22</v>
      </c>
      <c r="I174" t="s">
        <v>22</v>
      </c>
      <c r="J174" t="s">
        <v>17</v>
      </c>
      <c r="K174">
        <v>900</v>
      </c>
      <c r="L174">
        <v>1370</v>
      </c>
      <c r="M174" t="s">
        <v>2149</v>
      </c>
      <c r="N174" t="s">
        <v>2150</v>
      </c>
      <c r="O174" t="s">
        <v>1703</v>
      </c>
      <c r="P174" t="s">
        <v>1703</v>
      </c>
    </row>
    <row r="175" spans="1:16" x14ac:dyDescent="0.3">
      <c r="A175">
        <v>1148866</v>
      </c>
      <c r="B175" t="s">
        <v>2127</v>
      </c>
      <c r="C175" t="s">
        <v>2146</v>
      </c>
      <c r="D175" t="s">
        <v>1039</v>
      </c>
      <c r="E175" t="s">
        <v>2147</v>
      </c>
      <c r="F175" t="s">
        <v>2151</v>
      </c>
      <c r="G175" t="s">
        <v>2152</v>
      </c>
      <c r="H175" t="s">
        <v>22</v>
      </c>
      <c r="I175" t="s">
        <v>22</v>
      </c>
      <c r="J175" t="s">
        <v>17</v>
      </c>
      <c r="K175">
        <v>900</v>
      </c>
      <c r="L175">
        <v>1370</v>
      </c>
      <c r="M175" t="s">
        <v>2149</v>
      </c>
      <c r="N175" t="s">
        <v>2150</v>
      </c>
      <c r="O175" t="s">
        <v>1703</v>
      </c>
      <c r="P175" t="s">
        <v>1703</v>
      </c>
    </row>
    <row r="176" spans="1:16" x14ac:dyDescent="0.3">
      <c r="A176">
        <v>1148866</v>
      </c>
      <c r="B176" t="s">
        <v>2127</v>
      </c>
      <c r="C176" t="s">
        <v>2146</v>
      </c>
      <c r="D176" t="s">
        <v>1039</v>
      </c>
      <c r="E176" t="s">
        <v>2147</v>
      </c>
      <c r="F176" t="s">
        <v>2151</v>
      </c>
      <c r="G176" t="s">
        <v>2153</v>
      </c>
      <c r="H176" t="s">
        <v>22</v>
      </c>
      <c r="I176" t="s">
        <v>22</v>
      </c>
      <c r="J176" t="s">
        <v>17</v>
      </c>
      <c r="K176">
        <v>900</v>
      </c>
      <c r="L176">
        <v>1370</v>
      </c>
      <c r="M176" t="s">
        <v>2149</v>
      </c>
      <c r="N176" t="s">
        <v>2150</v>
      </c>
      <c r="O176" t="s">
        <v>1703</v>
      </c>
      <c r="P176" t="s">
        <v>1703</v>
      </c>
    </row>
    <row r="177" spans="1:16" x14ac:dyDescent="0.3">
      <c r="A177">
        <v>1148866</v>
      </c>
      <c r="B177" t="s">
        <v>2127</v>
      </c>
      <c r="C177" t="s">
        <v>2146</v>
      </c>
      <c r="D177" t="s">
        <v>1039</v>
      </c>
      <c r="E177" t="s">
        <v>2147</v>
      </c>
      <c r="F177" t="s">
        <v>2151</v>
      </c>
      <c r="G177" t="s">
        <v>2154</v>
      </c>
      <c r="H177" t="s">
        <v>22</v>
      </c>
      <c r="I177" t="s">
        <v>22</v>
      </c>
      <c r="J177" t="s">
        <v>17</v>
      </c>
      <c r="K177">
        <v>900</v>
      </c>
      <c r="L177">
        <v>1370</v>
      </c>
      <c r="M177" t="s">
        <v>2149</v>
      </c>
      <c r="N177" t="s">
        <v>2150</v>
      </c>
      <c r="O177" t="s">
        <v>1703</v>
      </c>
      <c r="P177" t="s">
        <v>1703</v>
      </c>
    </row>
    <row r="178" spans="1:16" x14ac:dyDescent="0.3">
      <c r="A178">
        <v>1148866</v>
      </c>
      <c r="B178" t="s">
        <v>2127</v>
      </c>
      <c r="C178" t="s">
        <v>2146</v>
      </c>
      <c r="D178" t="s">
        <v>1039</v>
      </c>
      <c r="E178" t="s">
        <v>2147</v>
      </c>
      <c r="F178" t="s">
        <v>2151</v>
      </c>
      <c r="G178" t="s">
        <v>2155</v>
      </c>
      <c r="H178" t="s">
        <v>22</v>
      </c>
      <c r="I178" t="s">
        <v>22</v>
      </c>
      <c r="J178" t="s">
        <v>17</v>
      </c>
      <c r="K178">
        <v>900</v>
      </c>
      <c r="L178">
        <v>1370</v>
      </c>
      <c r="M178" t="s">
        <v>2149</v>
      </c>
      <c r="N178" t="s">
        <v>2150</v>
      </c>
      <c r="O178" t="s">
        <v>1703</v>
      </c>
      <c r="P178" t="s">
        <v>1703</v>
      </c>
    </row>
    <row r="179" spans="1:16" x14ac:dyDescent="0.3">
      <c r="A179">
        <v>1148866</v>
      </c>
      <c r="B179" t="s">
        <v>2127</v>
      </c>
      <c r="C179" t="s">
        <v>2146</v>
      </c>
      <c r="D179" t="s">
        <v>1039</v>
      </c>
      <c r="E179" t="s">
        <v>2147</v>
      </c>
      <c r="F179" t="s">
        <v>2151</v>
      </c>
      <c r="G179" t="s">
        <v>2156</v>
      </c>
      <c r="H179" t="s">
        <v>22</v>
      </c>
      <c r="I179" t="s">
        <v>22</v>
      </c>
      <c r="J179" t="s">
        <v>17</v>
      </c>
      <c r="K179">
        <v>900</v>
      </c>
      <c r="L179">
        <v>1370</v>
      </c>
      <c r="M179" t="s">
        <v>2149</v>
      </c>
      <c r="N179" t="s">
        <v>2150</v>
      </c>
      <c r="O179" t="s">
        <v>1703</v>
      </c>
      <c r="P179" t="s">
        <v>1703</v>
      </c>
    </row>
    <row r="180" spans="1:16" x14ac:dyDescent="0.3">
      <c r="A180">
        <v>1148866</v>
      </c>
      <c r="B180" t="s">
        <v>2127</v>
      </c>
      <c r="C180" t="s">
        <v>2146</v>
      </c>
      <c r="D180" t="s">
        <v>1039</v>
      </c>
      <c r="E180" t="s">
        <v>2147</v>
      </c>
      <c r="F180" t="s">
        <v>2151</v>
      </c>
      <c r="G180" t="s">
        <v>2157</v>
      </c>
      <c r="H180" t="s">
        <v>22</v>
      </c>
      <c r="I180" t="s">
        <v>22</v>
      </c>
      <c r="J180" t="s">
        <v>17</v>
      </c>
      <c r="K180">
        <v>900</v>
      </c>
      <c r="L180">
        <v>1370</v>
      </c>
      <c r="M180" t="s">
        <v>2149</v>
      </c>
      <c r="N180" t="s">
        <v>2150</v>
      </c>
      <c r="O180" t="s">
        <v>1703</v>
      </c>
      <c r="P180" t="s">
        <v>1703</v>
      </c>
    </row>
    <row r="181" spans="1:16" x14ac:dyDescent="0.3">
      <c r="A181">
        <v>1148866</v>
      </c>
      <c r="B181" t="s">
        <v>2127</v>
      </c>
      <c r="C181" t="s">
        <v>2146</v>
      </c>
      <c r="D181" t="s">
        <v>1039</v>
      </c>
      <c r="E181" t="s">
        <v>2147</v>
      </c>
      <c r="F181" t="s">
        <v>2151</v>
      </c>
      <c r="G181" t="s">
        <v>2158</v>
      </c>
      <c r="H181" t="s">
        <v>22</v>
      </c>
      <c r="I181" t="s">
        <v>22</v>
      </c>
      <c r="J181" t="s">
        <v>17</v>
      </c>
      <c r="K181">
        <v>900</v>
      </c>
      <c r="L181">
        <v>1370</v>
      </c>
      <c r="M181" t="s">
        <v>2149</v>
      </c>
      <c r="N181" t="s">
        <v>2150</v>
      </c>
      <c r="O181" t="s">
        <v>1703</v>
      </c>
      <c r="P181" t="s">
        <v>1703</v>
      </c>
    </row>
    <row r="182" spans="1:16" x14ac:dyDescent="0.3">
      <c r="A182">
        <v>1148866</v>
      </c>
      <c r="B182" t="s">
        <v>2127</v>
      </c>
      <c r="C182" t="s">
        <v>2146</v>
      </c>
      <c r="D182" t="s">
        <v>1039</v>
      </c>
      <c r="E182" t="s">
        <v>2147</v>
      </c>
      <c r="F182" t="s">
        <v>2151</v>
      </c>
      <c r="G182" t="s">
        <v>2159</v>
      </c>
      <c r="H182" t="s">
        <v>22</v>
      </c>
      <c r="I182" t="s">
        <v>22</v>
      </c>
      <c r="J182" t="s">
        <v>17</v>
      </c>
      <c r="K182">
        <v>900</v>
      </c>
      <c r="L182">
        <v>1370</v>
      </c>
      <c r="M182" t="s">
        <v>2149</v>
      </c>
      <c r="N182" t="s">
        <v>2150</v>
      </c>
      <c r="O182" t="s">
        <v>1703</v>
      </c>
      <c r="P182" t="s">
        <v>1703</v>
      </c>
    </row>
    <row r="183" spans="1:16" x14ac:dyDescent="0.3">
      <c r="A183">
        <v>1148866</v>
      </c>
      <c r="B183" t="s">
        <v>2127</v>
      </c>
      <c r="C183" t="s">
        <v>2146</v>
      </c>
      <c r="D183" t="s">
        <v>1039</v>
      </c>
      <c r="E183" t="s">
        <v>2147</v>
      </c>
      <c r="F183" t="s">
        <v>2151</v>
      </c>
      <c r="G183" t="s">
        <v>2160</v>
      </c>
      <c r="H183" t="s">
        <v>22</v>
      </c>
      <c r="I183" t="s">
        <v>22</v>
      </c>
      <c r="J183" t="s">
        <v>17</v>
      </c>
      <c r="K183">
        <v>900</v>
      </c>
      <c r="L183">
        <v>1370</v>
      </c>
      <c r="M183" t="s">
        <v>2149</v>
      </c>
      <c r="N183" t="s">
        <v>2150</v>
      </c>
      <c r="O183" t="s">
        <v>1703</v>
      </c>
      <c r="P183" t="s">
        <v>1703</v>
      </c>
    </row>
    <row r="184" spans="1:16" x14ac:dyDescent="0.3">
      <c r="A184">
        <v>1148866</v>
      </c>
      <c r="B184" t="s">
        <v>2127</v>
      </c>
      <c r="C184" t="s">
        <v>2146</v>
      </c>
      <c r="D184" t="s">
        <v>1039</v>
      </c>
      <c r="E184" t="s">
        <v>2147</v>
      </c>
      <c r="F184" t="s">
        <v>2151</v>
      </c>
      <c r="G184" t="s">
        <v>2161</v>
      </c>
      <c r="H184" t="s">
        <v>22</v>
      </c>
      <c r="I184" t="s">
        <v>22</v>
      </c>
      <c r="J184" t="s">
        <v>17</v>
      </c>
      <c r="K184">
        <v>900</v>
      </c>
      <c r="L184">
        <v>1370</v>
      </c>
      <c r="M184" t="s">
        <v>2149</v>
      </c>
      <c r="N184" t="s">
        <v>2150</v>
      </c>
      <c r="O184" t="s">
        <v>1703</v>
      </c>
      <c r="P184" t="s">
        <v>1703</v>
      </c>
    </row>
    <row r="185" spans="1:16" x14ac:dyDescent="0.3">
      <c r="A185">
        <v>1148866</v>
      </c>
      <c r="B185" t="s">
        <v>2127</v>
      </c>
      <c r="C185" t="s">
        <v>2146</v>
      </c>
      <c r="D185" t="s">
        <v>1039</v>
      </c>
      <c r="E185" t="s">
        <v>2147</v>
      </c>
      <c r="F185" t="s">
        <v>2151</v>
      </c>
      <c r="G185" t="s">
        <v>2162</v>
      </c>
      <c r="H185" t="s">
        <v>22</v>
      </c>
      <c r="I185" t="s">
        <v>22</v>
      </c>
      <c r="J185" t="s">
        <v>17</v>
      </c>
      <c r="K185">
        <v>900</v>
      </c>
      <c r="L185">
        <v>1370</v>
      </c>
      <c r="M185" t="s">
        <v>2149</v>
      </c>
      <c r="N185" t="s">
        <v>2150</v>
      </c>
      <c r="O185" t="s">
        <v>1703</v>
      </c>
      <c r="P185" t="s">
        <v>1703</v>
      </c>
    </row>
    <row r="186" spans="1:16" x14ac:dyDescent="0.3">
      <c r="A186">
        <v>1148866</v>
      </c>
      <c r="B186" t="s">
        <v>2127</v>
      </c>
      <c r="C186" t="s">
        <v>2146</v>
      </c>
      <c r="D186" t="s">
        <v>1039</v>
      </c>
      <c r="E186" t="s">
        <v>2147</v>
      </c>
      <c r="F186" t="s">
        <v>2151</v>
      </c>
      <c r="G186" t="s">
        <v>2163</v>
      </c>
      <c r="H186" t="s">
        <v>22</v>
      </c>
      <c r="I186" t="s">
        <v>22</v>
      </c>
      <c r="J186" t="s">
        <v>17</v>
      </c>
      <c r="K186">
        <v>900</v>
      </c>
      <c r="L186">
        <v>1370</v>
      </c>
      <c r="M186" t="s">
        <v>2149</v>
      </c>
      <c r="N186" t="s">
        <v>2150</v>
      </c>
      <c r="O186" t="s">
        <v>1703</v>
      </c>
      <c r="P186" t="s">
        <v>1703</v>
      </c>
    </row>
    <row r="187" spans="1:16" x14ac:dyDescent="0.3">
      <c r="A187">
        <v>1148866</v>
      </c>
      <c r="B187" t="s">
        <v>2127</v>
      </c>
      <c r="C187" t="s">
        <v>2146</v>
      </c>
      <c r="D187" t="s">
        <v>1039</v>
      </c>
      <c r="E187" t="s">
        <v>2147</v>
      </c>
      <c r="F187" t="s">
        <v>2151</v>
      </c>
      <c r="G187" t="s">
        <v>2164</v>
      </c>
      <c r="H187" t="s">
        <v>22</v>
      </c>
      <c r="I187" t="s">
        <v>22</v>
      </c>
      <c r="J187" t="s">
        <v>17</v>
      </c>
      <c r="K187">
        <v>900</v>
      </c>
      <c r="L187">
        <v>1370</v>
      </c>
      <c r="M187" t="s">
        <v>2149</v>
      </c>
      <c r="N187" t="s">
        <v>2150</v>
      </c>
      <c r="O187" t="s">
        <v>1703</v>
      </c>
      <c r="P187" t="s">
        <v>1703</v>
      </c>
    </row>
    <row r="188" spans="1:16" x14ac:dyDescent="0.3">
      <c r="A188">
        <v>1148866</v>
      </c>
      <c r="B188" t="s">
        <v>2127</v>
      </c>
      <c r="C188" t="s">
        <v>2146</v>
      </c>
      <c r="D188" t="s">
        <v>1039</v>
      </c>
      <c r="E188" t="s">
        <v>2147</v>
      </c>
      <c r="F188" t="s">
        <v>2151</v>
      </c>
      <c r="G188" t="s">
        <v>2165</v>
      </c>
      <c r="H188" t="s">
        <v>22</v>
      </c>
      <c r="I188" t="s">
        <v>22</v>
      </c>
      <c r="J188" t="s">
        <v>17</v>
      </c>
      <c r="K188">
        <v>900</v>
      </c>
      <c r="L188">
        <v>1370</v>
      </c>
      <c r="M188" t="s">
        <v>2149</v>
      </c>
      <c r="N188" t="s">
        <v>2150</v>
      </c>
      <c r="O188" t="s">
        <v>1703</v>
      </c>
      <c r="P188" t="s">
        <v>1703</v>
      </c>
    </row>
    <row r="189" spans="1:16" x14ac:dyDescent="0.3">
      <c r="A189">
        <v>1148866</v>
      </c>
      <c r="B189" t="s">
        <v>2127</v>
      </c>
      <c r="C189" t="s">
        <v>2146</v>
      </c>
      <c r="D189" t="s">
        <v>1039</v>
      </c>
      <c r="E189" t="s">
        <v>2147</v>
      </c>
      <c r="F189" t="s">
        <v>2151</v>
      </c>
      <c r="G189" t="s">
        <v>2166</v>
      </c>
      <c r="H189" t="s">
        <v>22</v>
      </c>
      <c r="I189" t="s">
        <v>22</v>
      </c>
      <c r="J189" t="s">
        <v>17</v>
      </c>
      <c r="K189">
        <v>900</v>
      </c>
      <c r="L189">
        <v>1370</v>
      </c>
      <c r="M189" t="s">
        <v>2149</v>
      </c>
      <c r="N189" t="s">
        <v>2150</v>
      </c>
      <c r="O189" t="s">
        <v>1703</v>
      </c>
      <c r="P189" t="s">
        <v>1703</v>
      </c>
    </row>
    <row r="190" spans="1:16" x14ac:dyDescent="0.3">
      <c r="A190">
        <v>1148866</v>
      </c>
      <c r="B190" t="s">
        <v>2127</v>
      </c>
      <c r="C190" t="s">
        <v>2146</v>
      </c>
      <c r="D190" t="s">
        <v>1039</v>
      </c>
      <c r="E190" t="s">
        <v>2147</v>
      </c>
      <c r="F190" t="s">
        <v>2151</v>
      </c>
      <c r="G190" t="s">
        <v>2167</v>
      </c>
      <c r="H190" t="s">
        <v>22</v>
      </c>
      <c r="I190" t="s">
        <v>22</v>
      </c>
      <c r="J190" t="s">
        <v>17</v>
      </c>
      <c r="K190">
        <v>900</v>
      </c>
      <c r="L190">
        <v>1370</v>
      </c>
      <c r="M190" t="s">
        <v>2149</v>
      </c>
      <c r="N190" t="s">
        <v>2150</v>
      </c>
      <c r="O190" t="s">
        <v>1703</v>
      </c>
      <c r="P190" t="s">
        <v>1703</v>
      </c>
    </row>
    <row r="191" spans="1:16" x14ac:dyDescent="0.3">
      <c r="A191">
        <v>1148866</v>
      </c>
      <c r="B191" t="s">
        <v>2127</v>
      </c>
      <c r="C191" t="s">
        <v>2146</v>
      </c>
      <c r="D191" t="s">
        <v>1039</v>
      </c>
      <c r="E191" t="s">
        <v>2147</v>
      </c>
      <c r="F191" t="s">
        <v>2151</v>
      </c>
      <c r="G191" t="s">
        <v>2168</v>
      </c>
      <c r="H191" t="s">
        <v>22</v>
      </c>
      <c r="I191" t="s">
        <v>22</v>
      </c>
      <c r="J191" t="s">
        <v>17</v>
      </c>
      <c r="K191">
        <v>900</v>
      </c>
      <c r="L191">
        <v>1370</v>
      </c>
      <c r="M191" t="s">
        <v>2149</v>
      </c>
      <c r="N191" t="s">
        <v>2150</v>
      </c>
      <c r="O191" t="s">
        <v>1703</v>
      </c>
      <c r="P191" t="s">
        <v>1703</v>
      </c>
    </row>
    <row r="192" spans="1:16" x14ac:dyDescent="0.3">
      <c r="A192">
        <v>1148866</v>
      </c>
      <c r="B192" t="s">
        <v>2127</v>
      </c>
      <c r="C192" t="s">
        <v>2146</v>
      </c>
      <c r="D192" t="s">
        <v>1039</v>
      </c>
      <c r="E192" t="s">
        <v>2147</v>
      </c>
      <c r="F192" t="s">
        <v>2151</v>
      </c>
      <c r="G192" t="s">
        <v>2169</v>
      </c>
      <c r="H192" t="s">
        <v>22</v>
      </c>
      <c r="I192" t="s">
        <v>22</v>
      </c>
      <c r="J192" t="s">
        <v>17</v>
      </c>
      <c r="K192">
        <v>900</v>
      </c>
      <c r="L192">
        <v>1370</v>
      </c>
      <c r="M192" t="s">
        <v>2149</v>
      </c>
      <c r="N192" t="s">
        <v>2150</v>
      </c>
      <c r="O192" t="s">
        <v>1703</v>
      </c>
      <c r="P192" t="s">
        <v>1703</v>
      </c>
    </row>
    <row r="193" spans="1:17" x14ac:dyDescent="0.3">
      <c r="A193">
        <v>1148866</v>
      </c>
      <c r="B193" t="s">
        <v>2127</v>
      </c>
      <c r="C193" t="s">
        <v>2170</v>
      </c>
      <c r="D193" t="s">
        <v>2170</v>
      </c>
      <c r="E193" t="s">
        <v>2171</v>
      </c>
      <c r="F193" t="s">
        <v>1822</v>
      </c>
      <c r="G193" t="s">
        <v>1822</v>
      </c>
      <c r="H193" t="s">
        <v>22</v>
      </c>
      <c r="I193" t="s">
        <v>22</v>
      </c>
      <c r="J193" t="s">
        <v>17</v>
      </c>
      <c r="K193">
        <v>1000</v>
      </c>
      <c r="L193">
        <v>1110</v>
      </c>
      <c r="M193" t="s">
        <v>2172</v>
      </c>
      <c r="N193" t="s">
        <v>2173</v>
      </c>
      <c r="O193" t="s">
        <v>1790</v>
      </c>
      <c r="P193" t="s">
        <v>1743</v>
      </c>
    </row>
    <row r="194" spans="1:17" x14ac:dyDescent="0.3">
      <c r="A194">
        <v>1148866</v>
      </c>
      <c r="B194" t="s">
        <v>2127</v>
      </c>
      <c r="C194" t="s">
        <v>2174</v>
      </c>
      <c r="D194" t="s">
        <v>1822</v>
      </c>
      <c r="E194" t="s">
        <v>1822</v>
      </c>
      <c r="F194" t="s">
        <v>1822</v>
      </c>
      <c r="G194" t="s">
        <v>1822</v>
      </c>
      <c r="H194" t="s">
        <v>16</v>
      </c>
      <c r="I194" t="s">
        <v>16</v>
      </c>
      <c r="J194" t="s">
        <v>17</v>
      </c>
      <c r="K194">
        <v>0</v>
      </c>
      <c r="L194">
        <v>0</v>
      </c>
      <c r="M194" t="s">
        <v>1822</v>
      </c>
      <c r="N194" t="s">
        <v>1822</v>
      </c>
      <c r="O194" t="s">
        <v>1790</v>
      </c>
      <c r="P194" t="s">
        <v>1743</v>
      </c>
    </row>
    <row r="195" spans="1:17" x14ac:dyDescent="0.3">
      <c r="A195">
        <v>1148866</v>
      </c>
      <c r="B195" t="s">
        <v>2127</v>
      </c>
      <c r="C195" t="s">
        <v>2175</v>
      </c>
      <c r="D195" t="s">
        <v>1822</v>
      </c>
      <c r="E195" t="s">
        <v>1822</v>
      </c>
      <c r="F195" t="s">
        <v>1822</v>
      </c>
      <c r="G195" t="s">
        <v>1822</v>
      </c>
      <c r="H195" t="s">
        <v>16</v>
      </c>
      <c r="I195" t="s">
        <v>16</v>
      </c>
      <c r="J195" t="s">
        <v>17</v>
      </c>
      <c r="K195">
        <v>0</v>
      </c>
      <c r="L195">
        <v>0</v>
      </c>
      <c r="M195" t="s">
        <v>1822</v>
      </c>
      <c r="N195" t="s">
        <v>1822</v>
      </c>
      <c r="O195" t="s">
        <v>1703</v>
      </c>
      <c r="P195" t="s">
        <v>1743</v>
      </c>
    </row>
    <row r="196" spans="1:17" x14ac:dyDescent="0.3">
      <c r="A196">
        <v>1148866</v>
      </c>
      <c r="B196" t="s">
        <v>2127</v>
      </c>
      <c r="C196" t="s">
        <v>2176</v>
      </c>
      <c r="D196" t="s">
        <v>2176</v>
      </c>
      <c r="E196" t="s">
        <v>2177</v>
      </c>
      <c r="F196" t="s">
        <v>1822</v>
      </c>
      <c r="G196" t="s">
        <v>1822</v>
      </c>
      <c r="H196" t="s">
        <v>22</v>
      </c>
      <c r="I196" t="s">
        <v>22</v>
      </c>
      <c r="J196" t="s">
        <v>17</v>
      </c>
      <c r="K196">
        <v>1000</v>
      </c>
      <c r="L196">
        <v>1110</v>
      </c>
      <c r="M196" t="s">
        <v>182</v>
      </c>
      <c r="N196" t="s">
        <v>183</v>
      </c>
      <c r="O196" t="s">
        <v>1790</v>
      </c>
      <c r="P196" t="s">
        <v>1743</v>
      </c>
    </row>
    <row r="197" spans="1:17" ht="28.8" x14ac:dyDescent="0.3">
      <c r="A197">
        <v>1148874</v>
      </c>
      <c r="B197" t="s">
        <v>2178</v>
      </c>
      <c r="C197" s="4" t="s">
        <v>2179</v>
      </c>
      <c r="D197" t="s">
        <v>1822</v>
      </c>
      <c r="E197" t="s">
        <v>1822</v>
      </c>
      <c r="F197" t="s">
        <v>1822</v>
      </c>
      <c r="G197" t="s">
        <v>1822</v>
      </c>
      <c r="H197" t="s">
        <v>16</v>
      </c>
      <c r="I197" t="s">
        <v>16</v>
      </c>
      <c r="J197" t="s">
        <v>17</v>
      </c>
      <c r="K197">
        <v>0</v>
      </c>
      <c r="L197">
        <v>0</v>
      </c>
      <c r="M197" t="s">
        <v>1822</v>
      </c>
      <c r="N197" t="s">
        <v>1822</v>
      </c>
      <c r="O197" t="s">
        <v>1790</v>
      </c>
      <c r="P197" t="s">
        <v>1743</v>
      </c>
    </row>
    <row r="198" spans="1:17" x14ac:dyDescent="0.3">
      <c r="A198">
        <v>1148874</v>
      </c>
      <c r="B198" t="s">
        <v>2178</v>
      </c>
      <c r="C198" t="s">
        <v>2180</v>
      </c>
      <c r="D198" t="s">
        <v>2181</v>
      </c>
      <c r="E198" t="s">
        <v>2182</v>
      </c>
      <c r="F198" t="s">
        <v>1822</v>
      </c>
      <c r="G198" t="s">
        <v>2183</v>
      </c>
      <c r="H198" t="s">
        <v>46</v>
      </c>
      <c r="I198" t="s">
        <v>46</v>
      </c>
      <c r="J198" t="s">
        <v>17</v>
      </c>
      <c r="K198">
        <v>1000</v>
      </c>
      <c r="L198">
        <v>500</v>
      </c>
      <c r="M198" t="s">
        <v>2184</v>
      </c>
      <c r="N198" t="s">
        <v>2185</v>
      </c>
      <c r="O198" t="s">
        <v>1703</v>
      </c>
      <c r="P198" t="s">
        <v>1743</v>
      </c>
    </row>
    <row r="199" spans="1:17" x14ac:dyDescent="0.3">
      <c r="A199">
        <v>1148874</v>
      </c>
      <c r="B199" t="s">
        <v>2178</v>
      </c>
      <c r="C199" t="s">
        <v>2180</v>
      </c>
      <c r="D199" t="s">
        <v>2181</v>
      </c>
      <c r="E199" t="s">
        <v>2182</v>
      </c>
      <c r="F199" t="s">
        <v>1822</v>
      </c>
      <c r="G199" t="s">
        <v>2186</v>
      </c>
      <c r="H199" t="s">
        <v>46</v>
      </c>
      <c r="I199" t="s">
        <v>46</v>
      </c>
      <c r="J199" t="s">
        <v>17</v>
      </c>
      <c r="K199">
        <v>1000</v>
      </c>
      <c r="L199">
        <v>500</v>
      </c>
      <c r="M199" t="s">
        <v>2184</v>
      </c>
      <c r="N199" t="s">
        <v>2185</v>
      </c>
      <c r="O199" t="s">
        <v>1703</v>
      </c>
      <c r="P199" t="s">
        <v>1743</v>
      </c>
    </row>
    <row r="200" spans="1:17" x14ac:dyDescent="0.3">
      <c r="A200">
        <v>1148874</v>
      </c>
      <c r="B200" t="s">
        <v>2178</v>
      </c>
      <c r="C200" t="s">
        <v>2180</v>
      </c>
      <c r="D200" t="s">
        <v>2181</v>
      </c>
      <c r="E200" t="s">
        <v>2182</v>
      </c>
      <c r="F200" t="s">
        <v>1822</v>
      </c>
      <c r="G200" t="s">
        <v>2187</v>
      </c>
      <c r="H200" t="s">
        <v>46</v>
      </c>
      <c r="I200" t="s">
        <v>46</v>
      </c>
      <c r="J200" t="s">
        <v>17</v>
      </c>
      <c r="K200">
        <v>1000</v>
      </c>
      <c r="L200">
        <v>500</v>
      </c>
      <c r="M200" t="s">
        <v>2184</v>
      </c>
      <c r="N200" t="s">
        <v>2185</v>
      </c>
      <c r="O200" t="s">
        <v>1703</v>
      </c>
      <c r="P200" t="s">
        <v>1743</v>
      </c>
    </row>
    <row r="201" spans="1:17" x14ac:dyDescent="0.3">
      <c r="A201">
        <v>1148933</v>
      </c>
      <c r="B201" t="s">
        <v>2188</v>
      </c>
      <c r="C201" t="s">
        <v>2189</v>
      </c>
      <c r="D201" t="s">
        <v>2190</v>
      </c>
      <c r="E201" t="s">
        <v>2191</v>
      </c>
      <c r="F201" t="s">
        <v>1822</v>
      </c>
      <c r="G201" t="s">
        <v>1822</v>
      </c>
      <c r="H201" t="s">
        <v>46</v>
      </c>
      <c r="I201" t="s">
        <v>46</v>
      </c>
      <c r="J201" t="s">
        <v>17</v>
      </c>
      <c r="K201">
        <v>1000</v>
      </c>
      <c r="L201">
        <v>500</v>
      </c>
      <c r="M201" t="s">
        <v>1226</v>
      </c>
      <c r="N201" t="s">
        <v>1225</v>
      </c>
      <c r="O201" t="s">
        <v>1790</v>
      </c>
      <c r="P201" t="s">
        <v>1743</v>
      </c>
      <c r="Q201" t="s">
        <v>2192</v>
      </c>
    </row>
    <row r="202" spans="1:17" x14ac:dyDescent="0.3">
      <c r="A202">
        <v>1148933</v>
      </c>
      <c r="B202" t="s">
        <v>2188</v>
      </c>
      <c r="C202" t="s">
        <v>2193</v>
      </c>
      <c r="D202" t="s">
        <v>2194</v>
      </c>
      <c r="E202" t="s">
        <v>2195</v>
      </c>
      <c r="F202" t="s">
        <v>1822</v>
      </c>
      <c r="G202" t="s">
        <v>2196</v>
      </c>
      <c r="H202" t="s">
        <v>46</v>
      </c>
      <c r="I202" t="s">
        <v>46</v>
      </c>
      <c r="J202" t="s">
        <v>17</v>
      </c>
      <c r="K202">
        <v>1000</v>
      </c>
      <c r="L202">
        <v>500</v>
      </c>
      <c r="M202" t="s">
        <v>2197</v>
      </c>
      <c r="N202" t="s">
        <v>2198</v>
      </c>
      <c r="O202" t="s">
        <v>1703</v>
      </c>
      <c r="P202" t="s">
        <v>1743</v>
      </c>
    </row>
    <row r="203" spans="1:17" x14ac:dyDescent="0.3">
      <c r="A203">
        <v>1148933</v>
      </c>
      <c r="B203" t="s">
        <v>2188</v>
      </c>
      <c r="C203" t="s">
        <v>2193</v>
      </c>
      <c r="D203" t="s">
        <v>2194</v>
      </c>
      <c r="E203" t="s">
        <v>2195</v>
      </c>
      <c r="F203" t="s">
        <v>1822</v>
      </c>
      <c r="G203" t="s">
        <v>2199</v>
      </c>
      <c r="H203" t="s">
        <v>46</v>
      </c>
      <c r="I203" t="s">
        <v>46</v>
      </c>
      <c r="J203" t="s">
        <v>17</v>
      </c>
      <c r="K203">
        <v>1000</v>
      </c>
      <c r="L203">
        <v>500</v>
      </c>
      <c r="M203" t="s">
        <v>2197</v>
      </c>
      <c r="N203" t="s">
        <v>2198</v>
      </c>
      <c r="O203" t="s">
        <v>1703</v>
      </c>
      <c r="P203" t="s">
        <v>1743</v>
      </c>
    </row>
    <row r="204" spans="1:17" x14ac:dyDescent="0.3">
      <c r="A204">
        <v>1148933</v>
      </c>
      <c r="B204" t="s">
        <v>2188</v>
      </c>
      <c r="C204" t="s">
        <v>2193</v>
      </c>
      <c r="D204" t="s">
        <v>2194</v>
      </c>
      <c r="E204" t="s">
        <v>2195</v>
      </c>
      <c r="F204" t="s">
        <v>1822</v>
      </c>
      <c r="G204" t="s">
        <v>2200</v>
      </c>
      <c r="H204" t="s">
        <v>46</v>
      </c>
      <c r="I204" t="s">
        <v>46</v>
      </c>
      <c r="J204" t="s">
        <v>17</v>
      </c>
      <c r="K204">
        <v>1000</v>
      </c>
      <c r="L204">
        <v>500</v>
      </c>
      <c r="M204" t="s">
        <v>2197</v>
      </c>
      <c r="N204" t="s">
        <v>2198</v>
      </c>
      <c r="O204" t="s">
        <v>1703</v>
      </c>
      <c r="P204" t="s">
        <v>1743</v>
      </c>
    </row>
    <row r="205" spans="1:17" x14ac:dyDescent="0.3">
      <c r="A205">
        <v>1148933</v>
      </c>
      <c r="B205" t="s">
        <v>2188</v>
      </c>
      <c r="C205" t="s">
        <v>2193</v>
      </c>
      <c r="D205" t="s">
        <v>2194</v>
      </c>
      <c r="E205" t="s">
        <v>2195</v>
      </c>
      <c r="F205" t="s">
        <v>1822</v>
      </c>
      <c r="G205" t="s">
        <v>2201</v>
      </c>
      <c r="H205" t="s">
        <v>46</v>
      </c>
      <c r="I205" t="s">
        <v>46</v>
      </c>
      <c r="J205" t="s">
        <v>17</v>
      </c>
      <c r="K205">
        <v>1000</v>
      </c>
      <c r="L205">
        <v>500</v>
      </c>
      <c r="M205" t="s">
        <v>2197</v>
      </c>
      <c r="N205" t="s">
        <v>2198</v>
      </c>
      <c r="O205" t="s">
        <v>1703</v>
      </c>
      <c r="P205" t="s">
        <v>1743</v>
      </c>
    </row>
    <row r="206" spans="1:17" x14ac:dyDescent="0.3">
      <c r="A206">
        <v>1148933</v>
      </c>
      <c r="B206" t="s">
        <v>2188</v>
      </c>
      <c r="C206" t="s">
        <v>2193</v>
      </c>
      <c r="D206" t="s">
        <v>2194</v>
      </c>
      <c r="E206" t="s">
        <v>2195</v>
      </c>
      <c r="F206" t="s">
        <v>1822</v>
      </c>
      <c r="G206" t="s">
        <v>2202</v>
      </c>
      <c r="H206" t="s">
        <v>46</v>
      </c>
      <c r="I206" t="s">
        <v>46</v>
      </c>
      <c r="J206" t="s">
        <v>17</v>
      </c>
      <c r="K206">
        <v>1000</v>
      </c>
      <c r="L206">
        <v>500</v>
      </c>
      <c r="M206" t="s">
        <v>2197</v>
      </c>
      <c r="N206" t="s">
        <v>2198</v>
      </c>
      <c r="O206" t="s">
        <v>1703</v>
      </c>
      <c r="P206" t="s">
        <v>1743</v>
      </c>
    </row>
    <row r="207" spans="1:17" x14ac:dyDescent="0.3">
      <c r="A207">
        <v>1148933</v>
      </c>
      <c r="B207" t="s">
        <v>2188</v>
      </c>
      <c r="C207" t="s">
        <v>2193</v>
      </c>
      <c r="D207" t="s">
        <v>2194</v>
      </c>
      <c r="E207" t="s">
        <v>2195</v>
      </c>
      <c r="F207" t="s">
        <v>1822</v>
      </c>
      <c r="G207" t="s">
        <v>2203</v>
      </c>
      <c r="H207" t="s">
        <v>46</v>
      </c>
      <c r="I207" t="s">
        <v>46</v>
      </c>
      <c r="J207" t="s">
        <v>17</v>
      </c>
      <c r="K207">
        <v>1000</v>
      </c>
      <c r="L207">
        <v>500</v>
      </c>
      <c r="M207" t="s">
        <v>2197</v>
      </c>
      <c r="N207" t="s">
        <v>2198</v>
      </c>
      <c r="O207" t="s">
        <v>1703</v>
      </c>
      <c r="P207" t="s">
        <v>1743</v>
      </c>
    </row>
    <row r="208" spans="1:17" x14ac:dyDescent="0.3">
      <c r="A208">
        <v>1148933</v>
      </c>
      <c r="B208" t="s">
        <v>2188</v>
      </c>
      <c r="C208" t="s">
        <v>2193</v>
      </c>
      <c r="D208" t="s">
        <v>2194</v>
      </c>
      <c r="E208" t="s">
        <v>2195</v>
      </c>
      <c r="F208" t="s">
        <v>1822</v>
      </c>
      <c r="G208" t="s">
        <v>2204</v>
      </c>
      <c r="H208" t="s">
        <v>46</v>
      </c>
      <c r="I208" t="s">
        <v>46</v>
      </c>
      <c r="J208" t="s">
        <v>17</v>
      </c>
      <c r="K208">
        <v>1000</v>
      </c>
      <c r="L208">
        <v>500</v>
      </c>
      <c r="M208" t="s">
        <v>2197</v>
      </c>
      <c r="N208" t="s">
        <v>2198</v>
      </c>
      <c r="O208" t="s">
        <v>1703</v>
      </c>
      <c r="P208" t="s">
        <v>1743</v>
      </c>
    </row>
    <row r="209" spans="1:16" x14ac:dyDescent="0.3">
      <c r="A209">
        <v>1148933</v>
      </c>
      <c r="B209" t="s">
        <v>2188</v>
      </c>
      <c r="C209" t="s">
        <v>2193</v>
      </c>
      <c r="D209" t="s">
        <v>2194</v>
      </c>
      <c r="E209" t="s">
        <v>2195</v>
      </c>
      <c r="F209" t="s">
        <v>1822</v>
      </c>
      <c r="G209" t="s">
        <v>2205</v>
      </c>
      <c r="H209" t="s">
        <v>46</v>
      </c>
      <c r="I209" t="s">
        <v>46</v>
      </c>
      <c r="J209" t="s">
        <v>17</v>
      </c>
      <c r="K209">
        <v>1000</v>
      </c>
      <c r="L209">
        <v>500</v>
      </c>
      <c r="M209" t="s">
        <v>2197</v>
      </c>
      <c r="N209" t="s">
        <v>2198</v>
      </c>
      <c r="O209" t="s">
        <v>1703</v>
      </c>
      <c r="P209" t="s">
        <v>1743</v>
      </c>
    </row>
    <row r="210" spans="1:16" x14ac:dyDescent="0.3">
      <c r="A210">
        <v>1148933</v>
      </c>
      <c r="B210" t="s">
        <v>2188</v>
      </c>
      <c r="C210" t="s">
        <v>2193</v>
      </c>
      <c r="D210" t="s">
        <v>2194</v>
      </c>
      <c r="E210" t="s">
        <v>2195</v>
      </c>
      <c r="F210" t="s">
        <v>1822</v>
      </c>
      <c r="G210" t="s">
        <v>2206</v>
      </c>
      <c r="H210" t="s">
        <v>46</v>
      </c>
      <c r="I210" t="s">
        <v>46</v>
      </c>
      <c r="J210" t="s">
        <v>17</v>
      </c>
      <c r="K210">
        <v>1000</v>
      </c>
      <c r="L210">
        <v>500</v>
      </c>
      <c r="M210" t="s">
        <v>2197</v>
      </c>
      <c r="N210" t="s">
        <v>2198</v>
      </c>
      <c r="O210" t="s">
        <v>1703</v>
      </c>
      <c r="P210" t="s">
        <v>1743</v>
      </c>
    </row>
    <row r="211" spans="1:16" x14ac:dyDescent="0.3">
      <c r="A211">
        <v>1148933</v>
      </c>
      <c r="B211" t="s">
        <v>2188</v>
      </c>
      <c r="C211" t="s">
        <v>2193</v>
      </c>
      <c r="D211" t="s">
        <v>2194</v>
      </c>
      <c r="E211" t="s">
        <v>2195</v>
      </c>
      <c r="F211" t="s">
        <v>1822</v>
      </c>
      <c r="G211" t="s">
        <v>2207</v>
      </c>
      <c r="H211" t="s">
        <v>46</v>
      </c>
      <c r="I211" t="s">
        <v>46</v>
      </c>
      <c r="J211" t="s">
        <v>17</v>
      </c>
      <c r="K211">
        <v>1000</v>
      </c>
      <c r="L211">
        <v>500</v>
      </c>
      <c r="M211" t="s">
        <v>2197</v>
      </c>
      <c r="N211" t="s">
        <v>2198</v>
      </c>
      <c r="O211" t="s">
        <v>1703</v>
      </c>
      <c r="P211" t="s">
        <v>1743</v>
      </c>
    </row>
    <row r="212" spans="1:16" x14ac:dyDescent="0.3">
      <c r="A212">
        <v>1148933</v>
      </c>
      <c r="B212" t="s">
        <v>2188</v>
      </c>
      <c r="C212" t="s">
        <v>2193</v>
      </c>
      <c r="D212" t="s">
        <v>2194</v>
      </c>
      <c r="E212" t="s">
        <v>2195</v>
      </c>
      <c r="F212" t="s">
        <v>1822</v>
      </c>
      <c r="G212" t="s">
        <v>2208</v>
      </c>
      <c r="H212" t="s">
        <v>46</v>
      </c>
      <c r="I212" t="s">
        <v>46</v>
      </c>
      <c r="J212" t="s">
        <v>17</v>
      </c>
      <c r="K212">
        <v>1000</v>
      </c>
      <c r="L212">
        <v>500</v>
      </c>
      <c r="M212" t="s">
        <v>2197</v>
      </c>
      <c r="N212" t="s">
        <v>2198</v>
      </c>
      <c r="O212" t="s">
        <v>1703</v>
      </c>
      <c r="P212" t="s">
        <v>1743</v>
      </c>
    </row>
    <row r="213" spans="1:16" x14ac:dyDescent="0.3">
      <c r="A213">
        <v>1148933</v>
      </c>
      <c r="B213" t="s">
        <v>2188</v>
      </c>
      <c r="C213" t="s">
        <v>2193</v>
      </c>
      <c r="D213" t="s">
        <v>2194</v>
      </c>
      <c r="E213" t="s">
        <v>2195</v>
      </c>
      <c r="F213" t="s">
        <v>1822</v>
      </c>
      <c r="G213" t="s">
        <v>2209</v>
      </c>
      <c r="H213" t="s">
        <v>46</v>
      </c>
      <c r="I213" t="s">
        <v>46</v>
      </c>
      <c r="J213" t="s">
        <v>17</v>
      </c>
      <c r="K213">
        <v>1000</v>
      </c>
      <c r="L213">
        <v>500</v>
      </c>
      <c r="M213" t="s">
        <v>2197</v>
      </c>
      <c r="N213" t="s">
        <v>2198</v>
      </c>
      <c r="O213" t="s">
        <v>1703</v>
      </c>
      <c r="P213" t="s">
        <v>1743</v>
      </c>
    </row>
    <row r="214" spans="1:16" x14ac:dyDescent="0.3">
      <c r="A214">
        <v>1148933</v>
      </c>
      <c r="B214" t="s">
        <v>2188</v>
      </c>
      <c r="C214" t="s">
        <v>2193</v>
      </c>
      <c r="D214" t="s">
        <v>2194</v>
      </c>
      <c r="E214" t="s">
        <v>2195</v>
      </c>
      <c r="F214" t="s">
        <v>1822</v>
      </c>
      <c r="G214" t="s">
        <v>2210</v>
      </c>
      <c r="H214" t="s">
        <v>46</v>
      </c>
      <c r="I214" t="s">
        <v>46</v>
      </c>
      <c r="J214" t="s">
        <v>17</v>
      </c>
      <c r="K214">
        <v>1000</v>
      </c>
      <c r="L214">
        <v>500</v>
      </c>
      <c r="M214" t="s">
        <v>2197</v>
      </c>
      <c r="N214" t="s">
        <v>2198</v>
      </c>
      <c r="O214" t="s">
        <v>1703</v>
      </c>
      <c r="P214" t="s">
        <v>1743</v>
      </c>
    </row>
    <row r="215" spans="1:16" x14ac:dyDescent="0.3">
      <c r="A215">
        <v>1148933</v>
      </c>
      <c r="B215" t="s">
        <v>2188</v>
      </c>
      <c r="C215" t="s">
        <v>2193</v>
      </c>
      <c r="D215" t="s">
        <v>2194</v>
      </c>
      <c r="E215" t="s">
        <v>2195</v>
      </c>
      <c r="F215" t="s">
        <v>1822</v>
      </c>
      <c r="G215" t="s">
        <v>2211</v>
      </c>
      <c r="H215" t="s">
        <v>46</v>
      </c>
      <c r="I215" t="s">
        <v>46</v>
      </c>
      <c r="J215" t="s">
        <v>17</v>
      </c>
      <c r="K215">
        <v>1000</v>
      </c>
      <c r="L215">
        <v>500</v>
      </c>
      <c r="M215" t="s">
        <v>2197</v>
      </c>
      <c r="N215" t="s">
        <v>2198</v>
      </c>
      <c r="O215" t="s">
        <v>1703</v>
      </c>
      <c r="P215" t="s">
        <v>1743</v>
      </c>
    </row>
    <row r="216" spans="1:16" x14ac:dyDescent="0.3">
      <c r="A216">
        <v>1148933</v>
      </c>
      <c r="B216" t="s">
        <v>2188</v>
      </c>
      <c r="C216" t="s">
        <v>2193</v>
      </c>
      <c r="D216" t="s">
        <v>2194</v>
      </c>
      <c r="E216" t="s">
        <v>2195</v>
      </c>
      <c r="F216" t="s">
        <v>1822</v>
      </c>
      <c r="G216" t="s">
        <v>2212</v>
      </c>
      <c r="H216" t="s">
        <v>46</v>
      </c>
      <c r="I216" t="s">
        <v>46</v>
      </c>
      <c r="J216" t="s">
        <v>17</v>
      </c>
      <c r="K216">
        <v>1000</v>
      </c>
      <c r="L216">
        <v>500</v>
      </c>
      <c r="M216" t="s">
        <v>2197</v>
      </c>
      <c r="N216" t="s">
        <v>2198</v>
      </c>
      <c r="O216" t="s">
        <v>1703</v>
      </c>
      <c r="P216" t="s">
        <v>1743</v>
      </c>
    </row>
    <row r="217" spans="1:16" x14ac:dyDescent="0.3">
      <c r="A217">
        <v>1148933</v>
      </c>
      <c r="B217" t="s">
        <v>2188</v>
      </c>
      <c r="C217" t="s">
        <v>2193</v>
      </c>
      <c r="D217" t="s">
        <v>2194</v>
      </c>
      <c r="E217" t="s">
        <v>2195</v>
      </c>
      <c r="F217" t="s">
        <v>1822</v>
      </c>
      <c r="G217" t="s">
        <v>2213</v>
      </c>
      <c r="H217" t="s">
        <v>46</v>
      </c>
      <c r="I217" t="s">
        <v>46</v>
      </c>
      <c r="J217" t="s">
        <v>17</v>
      </c>
      <c r="K217">
        <v>1000</v>
      </c>
      <c r="L217">
        <v>500</v>
      </c>
      <c r="M217" t="s">
        <v>2197</v>
      </c>
      <c r="N217" t="s">
        <v>2198</v>
      </c>
      <c r="O217" t="s">
        <v>1703</v>
      </c>
      <c r="P217" t="s">
        <v>1743</v>
      </c>
    </row>
    <row r="218" spans="1:16" x14ac:dyDescent="0.3">
      <c r="A218">
        <v>1148933</v>
      </c>
      <c r="B218" t="s">
        <v>2188</v>
      </c>
      <c r="C218" t="s">
        <v>2193</v>
      </c>
      <c r="D218" t="s">
        <v>2194</v>
      </c>
      <c r="E218" t="s">
        <v>2195</v>
      </c>
      <c r="F218" t="s">
        <v>1822</v>
      </c>
      <c r="G218" t="s">
        <v>2214</v>
      </c>
      <c r="H218" t="s">
        <v>46</v>
      </c>
      <c r="I218" t="s">
        <v>46</v>
      </c>
      <c r="J218" t="s">
        <v>17</v>
      </c>
      <c r="K218">
        <v>1000</v>
      </c>
      <c r="L218">
        <v>500</v>
      </c>
      <c r="M218" t="s">
        <v>2197</v>
      </c>
      <c r="N218" t="s">
        <v>2198</v>
      </c>
      <c r="O218" t="s">
        <v>1703</v>
      </c>
      <c r="P218" t="s">
        <v>1743</v>
      </c>
    </row>
    <row r="219" spans="1:16" x14ac:dyDescent="0.3">
      <c r="A219">
        <v>1148933</v>
      </c>
      <c r="B219" t="s">
        <v>2188</v>
      </c>
      <c r="C219" t="s">
        <v>2193</v>
      </c>
      <c r="D219" t="s">
        <v>2194</v>
      </c>
      <c r="E219" t="s">
        <v>2195</v>
      </c>
      <c r="F219" t="s">
        <v>1822</v>
      </c>
      <c r="G219" t="s">
        <v>2215</v>
      </c>
      <c r="H219" t="s">
        <v>46</v>
      </c>
      <c r="I219" t="s">
        <v>46</v>
      </c>
      <c r="J219" t="s">
        <v>17</v>
      </c>
      <c r="K219">
        <v>1000</v>
      </c>
      <c r="L219">
        <v>500</v>
      </c>
      <c r="M219" t="s">
        <v>2197</v>
      </c>
      <c r="N219" t="s">
        <v>2198</v>
      </c>
      <c r="O219" t="s">
        <v>1703</v>
      </c>
      <c r="P219" t="s">
        <v>1743</v>
      </c>
    </row>
    <row r="220" spans="1:16" x14ac:dyDescent="0.3">
      <c r="A220">
        <v>1148933</v>
      </c>
      <c r="B220" t="s">
        <v>2188</v>
      </c>
      <c r="C220" t="s">
        <v>2193</v>
      </c>
      <c r="D220" t="s">
        <v>2194</v>
      </c>
      <c r="E220" t="s">
        <v>2195</v>
      </c>
      <c r="F220" t="s">
        <v>1822</v>
      </c>
      <c r="G220" t="s">
        <v>2216</v>
      </c>
      <c r="H220" t="s">
        <v>46</v>
      </c>
      <c r="I220" t="s">
        <v>46</v>
      </c>
      <c r="J220" t="s">
        <v>17</v>
      </c>
      <c r="K220">
        <v>1000</v>
      </c>
      <c r="L220">
        <v>500</v>
      </c>
      <c r="M220" t="s">
        <v>2197</v>
      </c>
      <c r="N220" t="s">
        <v>2198</v>
      </c>
      <c r="O220" t="s">
        <v>1703</v>
      </c>
      <c r="P220" t="s">
        <v>1743</v>
      </c>
    </row>
    <row r="221" spans="1:16" x14ac:dyDescent="0.3">
      <c r="A221">
        <v>1148933</v>
      </c>
      <c r="B221" t="s">
        <v>2188</v>
      </c>
      <c r="C221" t="s">
        <v>2193</v>
      </c>
      <c r="D221" t="s">
        <v>2194</v>
      </c>
      <c r="E221" t="s">
        <v>2195</v>
      </c>
      <c r="F221" t="s">
        <v>1822</v>
      </c>
      <c r="G221" t="s">
        <v>2217</v>
      </c>
      <c r="H221" t="s">
        <v>46</v>
      </c>
      <c r="I221" t="s">
        <v>46</v>
      </c>
      <c r="J221" t="s">
        <v>17</v>
      </c>
      <c r="K221">
        <v>1000</v>
      </c>
      <c r="L221">
        <v>500</v>
      </c>
      <c r="M221" t="s">
        <v>2197</v>
      </c>
      <c r="N221" t="s">
        <v>2198</v>
      </c>
      <c r="O221" t="s">
        <v>1703</v>
      </c>
      <c r="P221" t="s">
        <v>1743</v>
      </c>
    </row>
    <row r="222" spans="1:16" x14ac:dyDescent="0.3">
      <c r="A222">
        <v>1148933</v>
      </c>
      <c r="B222" t="s">
        <v>2188</v>
      </c>
      <c r="C222" t="s">
        <v>2193</v>
      </c>
      <c r="D222" t="s">
        <v>2194</v>
      </c>
      <c r="E222" t="s">
        <v>2195</v>
      </c>
      <c r="F222" t="s">
        <v>1822</v>
      </c>
      <c r="G222" t="s">
        <v>2218</v>
      </c>
      <c r="H222" t="s">
        <v>46</v>
      </c>
      <c r="I222" t="s">
        <v>46</v>
      </c>
      <c r="J222" t="s">
        <v>17</v>
      </c>
      <c r="K222">
        <v>1000</v>
      </c>
      <c r="L222">
        <v>500</v>
      </c>
      <c r="M222" t="s">
        <v>2197</v>
      </c>
      <c r="N222" t="s">
        <v>2198</v>
      </c>
      <c r="O222" t="s">
        <v>1703</v>
      </c>
      <c r="P222" t="s">
        <v>1743</v>
      </c>
    </row>
    <row r="223" spans="1:16" x14ac:dyDescent="0.3">
      <c r="A223">
        <v>1148933</v>
      </c>
      <c r="B223" t="s">
        <v>2188</v>
      </c>
      <c r="C223" t="s">
        <v>2193</v>
      </c>
      <c r="D223" t="s">
        <v>2194</v>
      </c>
      <c r="E223" t="s">
        <v>2195</v>
      </c>
      <c r="F223" t="s">
        <v>1822</v>
      </c>
      <c r="G223" t="s">
        <v>2219</v>
      </c>
      <c r="H223" t="s">
        <v>46</v>
      </c>
      <c r="I223" t="s">
        <v>46</v>
      </c>
      <c r="J223" t="s">
        <v>17</v>
      </c>
      <c r="K223">
        <v>1000</v>
      </c>
      <c r="L223">
        <v>500</v>
      </c>
      <c r="M223" t="s">
        <v>2197</v>
      </c>
      <c r="N223" t="s">
        <v>2198</v>
      </c>
      <c r="O223" t="s">
        <v>1703</v>
      </c>
      <c r="P223" t="s">
        <v>1743</v>
      </c>
    </row>
    <row r="224" spans="1:16" x14ac:dyDescent="0.3">
      <c r="A224">
        <v>1148933</v>
      </c>
      <c r="B224" t="s">
        <v>2188</v>
      </c>
      <c r="C224" t="s">
        <v>2193</v>
      </c>
      <c r="D224" t="s">
        <v>2194</v>
      </c>
      <c r="E224" t="s">
        <v>2195</v>
      </c>
      <c r="F224" t="s">
        <v>1822</v>
      </c>
      <c r="G224" t="s">
        <v>2220</v>
      </c>
      <c r="H224" t="s">
        <v>46</v>
      </c>
      <c r="I224" t="s">
        <v>46</v>
      </c>
      <c r="J224" t="s">
        <v>17</v>
      </c>
      <c r="K224">
        <v>1000</v>
      </c>
      <c r="L224">
        <v>500</v>
      </c>
      <c r="M224" t="s">
        <v>2197</v>
      </c>
      <c r="N224" t="s">
        <v>2198</v>
      </c>
      <c r="O224" t="s">
        <v>1703</v>
      </c>
      <c r="P224" t="s">
        <v>1743</v>
      </c>
    </row>
    <row r="225" spans="1:17" x14ac:dyDescent="0.3">
      <c r="A225">
        <v>1148933</v>
      </c>
      <c r="B225" t="s">
        <v>2188</v>
      </c>
      <c r="C225" t="s">
        <v>2193</v>
      </c>
      <c r="D225" t="s">
        <v>2194</v>
      </c>
      <c r="E225" t="s">
        <v>2195</v>
      </c>
      <c r="F225" t="s">
        <v>1822</v>
      </c>
      <c r="G225" t="s">
        <v>2221</v>
      </c>
      <c r="H225" t="s">
        <v>46</v>
      </c>
      <c r="I225" t="s">
        <v>46</v>
      </c>
      <c r="J225" t="s">
        <v>17</v>
      </c>
      <c r="K225">
        <v>1000</v>
      </c>
      <c r="L225">
        <v>500</v>
      </c>
      <c r="M225" t="s">
        <v>2197</v>
      </c>
      <c r="N225" t="s">
        <v>2198</v>
      </c>
      <c r="O225" t="s">
        <v>1703</v>
      </c>
      <c r="P225" t="s">
        <v>1743</v>
      </c>
    </row>
    <row r="226" spans="1:17" x14ac:dyDescent="0.3">
      <c r="A226">
        <v>1148933</v>
      </c>
      <c r="B226" t="s">
        <v>2188</v>
      </c>
      <c r="C226" t="s">
        <v>2193</v>
      </c>
      <c r="D226" t="s">
        <v>2194</v>
      </c>
      <c r="E226" t="s">
        <v>2195</v>
      </c>
      <c r="F226" t="s">
        <v>1822</v>
      </c>
      <c r="G226" t="s">
        <v>2222</v>
      </c>
      <c r="H226" t="s">
        <v>46</v>
      </c>
      <c r="I226" t="s">
        <v>46</v>
      </c>
      <c r="J226" t="s">
        <v>17</v>
      </c>
      <c r="K226">
        <v>1000</v>
      </c>
      <c r="L226">
        <v>500</v>
      </c>
      <c r="M226" t="s">
        <v>2197</v>
      </c>
      <c r="N226" t="s">
        <v>2198</v>
      </c>
      <c r="O226" t="s">
        <v>1703</v>
      </c>
      <c r="P226" t="s">
        <v>1743</v>
      </c>
    </row>
    <row r="227" spans="1:17" x14ac:dyDescent="0.3">
      <c r="A227">
        <v>1148933</v>
      </c>
      <c r="B227" t="s">
        <v>2188</v>
      </c>
      <c r="C227" t="s">
        <v>2193</v>
      </c>
      <c r="D227" t="s">
        <v>2194</v>
      </c>
      <c r="E227" t="s">
        <v>2195</v>
      </c>
      <c r="F227" t="s">
        <v>1822</v>
      </c>
      <c r="G227" t="s">
        <v>2223</v>
      </c>
      <c r="H227" t="s">
        <v>46</v>
      </c>
      <c r="I227" t="s">
        <v>46</v>
      </c>
      <c r="J227" t="s">
        <v>17</v>
      </c>
      <c r="K227">
        <v>1000</v>
      </c>
      <c r="L227">
        <v>500</v>
      </c>
      <c r="M227" t="s">
        <v>2197</v>
      </c>
      <c r="N227" t="s">
        <v>2198</v>
      </c>
      <c r="O227" t="s">
        <v>1703</v>
      </c>
      <c r="P227" t="s">
        <v>1743</v>
      </c>
    </row>
    <row r="228" spans="1:17" x14ac:dyDescent="0.3">
      <c r="A228">
        <v>1148933</v>
      </c>
      <c r="B228" t="s">
        <v>2188</v>
      </c>
      <c r="C228" t="s">
        <v>2224</v>
      </c>
      <c r="D228" t="s">
        <v>2225</v>
      </c>
      <c r="E228" t="s">
        <v>2226</v>
      </c>
      <c r="F228" t="s">
        <v>2227</v>
      </c>
      <c r="G228" t="s">
        <v>2228</v>
      </c>
      <c r="H228" t="s">
        <v>46</v>
      </c>
      <c r="I228" t="s">
        <v>46</v>
      </c>
      <c r="J228" t="s">
        <v>17</v>
      </c>
      <c r="K228">
        <v>1000</v>
      </c>
      <c r="L228">
        <v>800</v>
      </c>
      <c r="M228" t="s">
        <v>2229</v>
      </c>
      <c r="N228" t="s">
        <v>2230</v>
      </c>
      <c r="O228" t="s">
        <v>1703</v>
      </c>
      <c r="P228" t="s">
        <v>1703</v>
      </c>
    </row>
    <row r="229" spans="1:17" x14ac:dyDescent="0.3">
      <c r="A229">
        <v>1148933</v>
      </c>
      <c r="B229" t="s">
        <v>2188</v>
      </c>
      <c r="C229" t="s">
        <v>2224</v>
      </c>
      <c r="D229" t="s">
        <v>2225</v>
      </c>
      <c r="E229" t="s">
        <v>2226</v>
      </c>
      <c r="F229" t="s">
        <v>2227</v>
      </c>
      <c r="G229" t="s">
        <v>2231</v>
      </c>
      <c r="H229" t="s">
        <v>46</v>
      </c>
      <c r="I229" t="s">
        <v>46</v>
      </c>
      <c r="J229" t="s">
        <v>17</v>
      </c>
      <c r="K229">
        <v>1000</v>
      </c>
      <c r="L229">
        <v>800</v>
      </c>
      <c r="M229" t="s">
        <v>2229</v>
      </c>
      <c r="N229" t="s">
        <v>2230</v>
      </c>
      <c r="O229" t="s">
        <v>1703</v>
      </c>
      <c r="P229" t="s">
        <v>1703</v>
      </c>
    </row>
    <row r="230" spans="1:17" x14ac:dyDescent="0.3">
      <c r="A230">
        <v>1148933</v>
      </c>
      <c r="B230" t="s">
        <v>2188</v>
      </c>
      <c r="C230" t="s">
        <v>2224</v>
      </c>
      <c r="D230" t="s">
        <v>2225</v>
      </c>
      <c r="E230" t="s">
        <v>2226</v>
      </c>
      <c r="F230" t="s">
        <v>2227</v>
      </c>
      <c r="G230" t="s">
        <v>2232</v>
      </c>
      <c r="H230" t="s">
        <v>46</v>
      </c>
      <c r="I230" t="s">
        <v>46</v>
      </c>
      <c r="J230" t="s">
        <v>17</v>
      </c>
      <c r="K230">
        <v>1000</v>
      </c>
      <c r="L230">
        <v>800</v>
      </c>
      <c r="M230" t="s">
        <v>2229</v>
      </c>
      <c r="N230" t="s">
        <v>2230</v>
      </c>
      <c r="O230" t="s">
        <v>1703</v>
      </c>
      <c r="P230" t="s">
        <v>1703</v>
      </c>
    </row>
    <row r="231" spans="1:17" x14ac:dyDescent="0.3">
      <c r="A231">
        <v>1148933</v>
      </c>
      <c r="B231" t="s">
        <v>2188</v>
      </c>
      <c r="C231" t="s">
        <v>2224</v>
      </c>
      <c r="D231" t="s">
        <v>2225</v>
      </c>
      <c r="E231" t="s">
        <v>2226</v>
      </c>
      <c r="F231" t="s">
        <v>2227</v>
      </c>
      <c r="G231" t="s">
        <v>2233</v>
      </c>
      <c r="H231" t="s">
        <v>46</v>
      </c>
      <c r="I231" t="s">
        <v>46</v>
      </c>
      <c r="J231" t="s">
        <v>17</v>
      </c>
      <c r="K231">
        <v>1000</v>
      </c>
      <c r="L231">
        <v>800</v>
      </c>
      <c r="M231" t="s">
        <v>2229</v>
      </c>
      <c r="N231" t="s">
        <v>2230</v>
      </c>
      <c r="O231" t="s">
        <v>1703</v>
      </c>
      <c r="P231" t="s">
        <v>1703</v>
      </c>
    </row>
    <row r="232" spans="1:17" x14ac:dyDescent="0.3">
      <c r="A232">
        <v>1148933</v>
      </c>
      <c r="B232" t="s">
        <v>2188</v>
      </c>
      <c r="C232" t="s">
        <v>2234</v>
      </c>
      <c r="D232" t="s">
        <v>2234</v>
      </c>
      <c r="E232" t="s">
        <v>2235</v>
      </c>
      <c r="F232" t="s">
        <v>1822</v>
      </c>
      <c r="G232" t="s">
        <v>2236</v>
      </c>
      <c r="H232" t="s">
        <v>22</v>
      </c>
      <c r="I232" t="s">
        <v>22</v>
      </c>
      <c r="J232" t="s">
        <v>17</v>
      </c>
      <c r="K232">
        <v>1000</v>
      </c>
      <c r="L232">
        <v>1100</v>
      </c>
      <c r="M232" t="s">
        <v>2237</v>
      </c>
      <c r="N232" t="s">
        <v>2238</v>
      </c>
      <c r="O232" t="s">
        <v>1790</v>
      </c>
      <c r="P232" t="s">
        <v>1743</v>
      </c>
      <c r="Q232" t="s">
        <v>2239</v>
      </c>
    </row>
    <row r="233" spans="1:17" x14ac:dyDescent="0.3">
      <c r="A233">
        <v>1148933</v>
      </c>
      <c r="B233" t="s">
        <v>2188</v>
      </c>
      <c r="C233" t="s">
        <v>2234</v>
      </c>
      <c r="D233" t="s">
        <v>2234</v>
      </c>
      <c r="E233" t="s">
        <v>2235</v>
      </c>
      <c r="F233" t="s">
        <v>1822</v>
      </c>
      <c r="G233" t="s">
        <v>2240</v>
      </c>
      <c r="H233" t="s">
        <v>22</v>
      </c>
      <c r="I233" t="s">
        <v>22</v>
      </c>
      <c r="J233" t="s">
        <v>17</v>
      </c>
      <c r="K233">
        <v>1000</v>
      </c>
      <c r="L233">
        <v>1100</v>
      </c>
      <c r="M233" t="s">
        <v>2237</v>
      </c>
      <c r="N233" t="s">
        <v>2238</v>
      </c>
      <c r="O233" t="s">
        <v>1790</v>
      </c>
      <c r="P233" t="s">
        <v>1743</v>
      </c>
    </row>
    <row r="234" spans="1:17" x14ac:dyDescent="0.3">
      <c r="A234">
        <v>1148933</v>
      </c>
      <c r="B234" t="s">
        <v>2188</v>
      </c>
      <c r="C234" t="s">
        <v>2234</v>
      </c>
      <c r="D234" t="s">
        <v>2234</v>
      </c>
      <c r="E234" t="s">
        <v>2235</v>
      </c>
      <c r="F234" t="s">
        <v>1822</v>
      </c>
      <c r="G234" t="s">
        <v>2241</v>
      </c>
      <c r="H234" t="s">
        <v>22</v>
      </c>
      <c r="I234" t="s">
        <v>22</v>
      </c>
      <c r="J234" t="s">
        <v>17</v>
      </c>
      <c r="K234">
        <v>1000</v>
      </c>
      <c r="L234">
        <v>1100</v>
      </c>
      <c r="M234" t="s">
        <v>2237</v>
      </c>
      <c r="N234" t="s">
        <v>2238</v>
      </c>
      <c r="O234" t="s">
        <v>1790</v>
      </c>
      <c r="P234" t="s">
        <v>1743</v>
      </c>
    </row>
    <row r="235" spans="1:17" x14ac:dyDescent="0.3">
      <c r="A235">
        <v>1149819</v>
      </c>
      <c r="B235" t="s">
        <v>2242</v>
      </c>
      <c r="C235" t="s">
        <v>2243</v>
      </c>
      <c r="D235" t="s">
        <v>2244</v>
      </c>
      <c r="E235" t="s">
        <v>2245</v>
      </c>
      <c r="F235" t="s">
        <v>1822</v>
      </c>
      <c r="G235" t="s">
        <v>2246</v>
      </c>
      <c r="H235" t="s">
        <v>46</v>
      </c>
      <c r="I235" t="s">
        <v>46</v>
      </c>
      <c r="J235" t="s">
        <v>17</v>
      </c>
      <c r="K235">
        <v>1000</v>
      </c>
      <c r="L235">
        <v>500</v>
      </c>
      <c r="M235" t="s">
        <v>1822</v>
      </c>
      <c r="N235" t="s">
        <v>1822</v>
      </c>
      <c r="O235" t="s">
        <v>1703</v>
      </c>
      <c r="P235" t="s">
        <v>1743</v>
      </c>
    </row>
    <row r="236" spans="1:17" x14ac:dyDescent="0.3">
      <c r="A236">
        <v>1149819</v>
      </c>
      <c r="B236" t="s">
        <v>2242</v>
      </c>
      <c r="C236" t="s">
        <v>2243</v>
      </c>
      <c r="D236" t="s">
        <v>2244</v>
      </c>
      <c r="E236" t="s">
        <v>2245</v>
      </c>
      <c r="F236" t="s">
        <v>1822</v>
      </c>
      <c r="G236" t="s">
        <v>2247</v>
      </c>
      <c r="H236" t="s">
        <v>46</v>
      </c>
      <c r="I236" t="s">
        <v>46</v>
      </c>
      <c r="J236" t="s">
        <v>17</v>
      </c>
      <c r="K236">
        <v>1000</v>
      </c>
      <c r="L236">
        <v>500</v>
      </c>
      <c r="M236" t="s">
        <v>1822</v>
      </c>
      <c r="N236" t="s">
        <v>1822</v>
      </c>
      <c r="O236" t="s">
        <v>1703</v>
      </c>
      <c r="P236" t="s">
        <v>1743</v>
      </c>
    </row>
    <row r="237" spans="1:17" x14ac:dyDescent="0.3">
      <c r="A237">
        <v>1149819</v>
      </c>
      <c r="B237" t="s">
        <v>2242</v>
      </c>
      <c r="C237" t="s">
        <v>2243</v>
      </c>
      <c r="D237" t="s">
        <v>2244</v>
      </c>
      <c r="E237" t="s">
        <v>2245</v>
      </c>
      <c r="F237" t="s">
        <v>1822</v>
      </c>
      <c r="G237" t="s">
        <v>2248</v>
      </c>
      <c r="H237" t="s">
        <v>46</v>
      </c>
      <c r="I237" t="s">
        <v>46</v>
      </c>
      <c r="J237" t="s">
        <v>17</v>
      </c>
      <c r="K237">
        <v>1000</v>
      </c>
      <c r="L237">
        <v>500</v>
      </c>
      <c r="M237" t="s">
        <v>1822</v>
      </c>
      <c r="N237" t="s">
        <v>1822</v>
      </c>
      <c r="O237" t="s">
        <v>1703</v>
      </c>
      <c r="P237" t="s">
        <v>1743</v>
      </c>
    </row>
    <row r="238" spans="1:17" x14ac:dyDescent="0.3">
      <c r="A238">
        <v>1149819</v>
      </c>
      <c r="B238" t="s">
        <v>2242</v>
      </c>
      <c r="C238" t="s">
        <v>2243</v>
      </c>
      <c r="D238" t="s">
        <v>2244</v>
      </c>
      <c r="E238" t="s">
        <v>2245</v>
      </c>
      <c r="F238" t="s">
        <v>1822</v>
      </c>
      <c r="G238" t="s">
        <v>2249</v>
      </c>
      <c r="H238" t="s">
        <v>46</v>
      </c>
      <c r="I238" t="s">
        <v>46</v>
      </c>
      <c r="J238" t="s">
        <v>17</v>
      </c>
      <c r="K238">
        <v>1000</v>
      </c>
      <c r="L238">
        <v>500</v>
      </c>
      <c r="M238" t="s">
        <v>1822</v>
      </c>
      <c r="N238" t="s">
        <v>1822</v>
      </c>
      <c r="O238" t="s">
        <v>1703</v>
      </c>
      <c r="P238" t="s">
        <v>1743</v>
      </c>
    </row>
    <row r="239" spans="1:17" x14ac:dyDescent="0.3">
      <c r="A239">
        <v>1149819</v>
      </c>
      <c r="B239" t="s">
        <v>2242</v>
      </c>
      <c r="C239" t="s">
        <v>2243</v>
      </c>
      <c r="D239" t="s">
        <v>2244</v>
      </c>
      <c r="E239" t="s">
        <v>2245</v>
      </c>
      <c r="F239" t="s">
        <v>1822</v>
      </c>
      <c r="G239" t="s">
        <v>2250</v>
      </c>
      <c r="H239" t="s">
        <v>46</v>
      </c>
      <c r="I239" t="s">
        <v>46</v>
      </c>
      <c r="J239" t="s">
        <v>17</v>
      </c>
      <c r="K239">
        <v>1000</v>
      </c>
      <c r="L239">
        <v>500</v>
      </c>
      <c r="M239" t="s">
        <v>1822</v>
      </c>
      <c r="N239" t="s">
        <v>1822</v>
      </c>
      <c r="O239" t="s">
        <v>1703</v>
      </c>
      <c r="P239" t="s">
        <v>1743</v>
      </c>
    </row>
    <row r="240" spans="1:17" x14ac:dyDescent="0.3">
      <c r="A240">
        <v>1149819</v>
      </c>
      <c r="B240" t="s">
        <v>2242</v>
      </c>
      <c r="C240" t="s">
        <v>2243</v>
      </c>
      <c r="D240" t="s">
        <v>2244</v>
      </c>
      <c r="E240" t="s">
        <v>2245</v>
      </c>
      <c r="F240" t="s">
        <v>1822</v>
      </c>
      <c r="G240" t="s">
        <v>2251</v>
      </c>
      <c r="H240" t="s">
        <v>46</v>
      </c>
      <c r="I240" t="s">
        <v>46</v>
      </c>
      <c r="J240" t="s">
        <v>17</v>
      </c>
      <c r="K240">
        <v>1000</v>
      </c>
      <c r="L240">
        <v>500</v>
      </c>
      <c r="M240" t="s">
        <v>1822</v>
      </c>
      <c r="N240" t="s">
        <v>1822</v>
      </c>
      <c r="O240" t="s">
        <v>1703</v>
      </c>
      <c r="P240" t="s">
        <v>1743</v>
      </c>
    </row>
    <row r="241" spans="1:17" x14ac:dyDescent="0.3">
      <c r="A241">
        <v>1149819</v>
      </c>
      <c r="B241" t="s">
        <v>2242</v>
      </c>
      <c r="C241" t="s">
        <v>2243</v>
      </c>
      <c r="D241" t="s">
        <v>2244</v>
      </c>
      <c r="E241" t="s">
        <v>2245</v>
      </c>
      <c r="F241" t="s">
        <v>1822</v>
      </c>
      <c r="G241" t="s">
        <v>2252</v>
      </c>
      <c r="H241" t="s">
        <v>46</v>
      </c>
      <c r="I241" t="s">
        <v>46</v>
      </c>
      <c r="J241" t="s">
        <v>17</v>
      </c>
      <c r="K241">
        <v>1000</v>
      </c>
      <c r="L241">
        <v>500</v>
      </c>
      <c r="M241" t="s">
        <v>1822</v>
      </c>
      <c r="N241" t="s">
        <v>1822</v>
      </c>
      <c r="O241" t="s">
        <v>1703</v>
      </c>
      <c r="P241" t="s">
        <v>1743</v>
      </c>
    </row>
    <row r="242" spans="1:17" x14ac:dyDescent="0.3">
      <c r="A242">
        <v>1149819</v>
      </c>
      <c r="B242" t="s">
        <v>2242</v>
      </c>
      <c r="C242" t="s">
        <v>2243</v>
      </c>
      <c r="D242" t="s">
        <v>2244</v>
      </c>
      <c r="E242" t="s">
        <v>2245</v>
      </c>
      <c r="F242" t="s">
        <v>1822</v>
      </c>
      <c r="G242" t="s">
        <v>2253</v>
      </c>
      <c r="H242" t="s">
        <v>46</v>
      </c>
      <c r="I242" t="s">
        <v>46</v>
      </c>
      <c r="J242" t="s">
        <v>17</v>
      </c>
      <c r="K242">
        <v>1000</v>
      </c>
      <c r="L242">
        <v>500</v>
      </c>
      <c r="M242" t="s">
        <v>1822</v>
      </c>
      <c r="N242" t="s">
        <v>1822</v>
      </c>
      <c r="O242" t="s">
        <v>1703</v>
      </c>
      <c r="P242" t="s">
        <v>1743</v>
      </c>
    </row>
    <row r="243" spans="1:17" x14ac:dyDescent="0.3">
      <c r="A243">
        <v>1149819</v>
      </c>
      <c r="B243" t="s">
        <v>2242</v>
      </c>
      <c r="C243" t="s">
        <v>2243</v>
      </c>
      <c r="D243" t="s">
        <v>2244</v>
      </c>
      <c r="E243" t="s">
        <v>2245</v>
      </c>
      <c r="F243" t="s">
        <v>1822</v>
      </c>
      <c r="G243" t="s">
        <v>2254</v>
      </c>
      <c r="H243" t="s">
        <v>46</v>
      </c>
      <c r="I243" t="s">
        <v>46</v>
      </c>
      <c r="J243" t="s">
        <v>17</v>
      </c>
      <c r="K243">
        <v>1000</v>
      </c>
      <c r="L243">
        <v>500</v>
      </c>
      <c r="M243" t="s">
        <v>1822</v>
      </c>
      <c r="N243" t="s">
        <v>1822</v>
      </c>
      <c r="O243" t="s">
        <v>1703</v>
      </c>
      <c r="P243" t="s">
        <v>1743</v>
      </c>
    </row>
    <row r="244" spans="1:17" x14ac:dyDescent="0.3">
      <c r="A244">
        <v>1149819</v>
      </c>
      <c r="B244" t="s">
        <v>2242</v>
      </c>
      <c r="C244" t="s">
        <v>2243</v>
      </c>
      <c r="D244" t="s">
        <v>2244</v>
      </c>
      <c r="E244" t="s">
        <v>2245</v>
      </c>
      <c r="F244" t="s">
        <v>1822</v>
      </c>
      <c r="G244" t="s">
        <v>2255</v>
      </c>
      <c r="H244" t="s">
        <v>46</v>
      </c>
      <c r="I244" t="s">
        <v>46</v>
      </c>
      <c r="J244" t="s">
        <v>17</v>
      </c>
      <c r="K244">
        <v>1000</v>
      </c>
      <c r="L244">
        <v>500</v>
      </c>
      <c r="M244" t="s">
        <v>1822</v>
      </c>
      <c r="N244" t="s">
        <v>1822</v>
      </c>
      <c r="O244" t="s">
        <v>1703</v>
      </c>
      <c r="P244" t="s">
        <v>1743</v>
      </c>
    </row>
    <row r="245" spans="1:17" x14ac:dyDescent="0.3">
      <c r="A245">
        <v>1149819</v>
      </c>
      <c r="B245" t="s">
        <v>2242</v>
      </c>
      <c r="C245" t="s">
        <v>2243</v>
      </c>
      <c r="D245" t="s">
        <v>2244</v>
      </c>
      <c r="E245" t="s">
        <v>2245</v>
      </c>
      <c r="F245" t="s">
        <v>1822</v>
      </c>
      <c r="G245" t="s">
        <v>2256</v>
      </c>
      <c r="H245" t="s">
        <v>46</v>
      </c>
      <c r="I245" t="s">
        <v>46</v>
      </c>
      <c r="J245" t="s">
        <v>17</v>
      </c>
      <c r="K245">
        <v>1000</v>
      </c>
      <c r="L245">
        <v>500</v>
      </c>
      <c r="M245" t="s">
        <v>1822</v>
      </c>
      <c r="N245" t="s">
        <v>1822</v>
      </c>
      <c r="O245" t="s">
        <v>1703</v>
      </c>
      <c r="P245" t="s">
        <v>1743</v>
      </c>
    </row>
    <row r="246" spans="1:17" x14ac:dyDescent="0.3">
      <c r="A246">
        <v>1149819</v>
      </c>
      <c r="B246" t="s">
        <v>2242</v>
      </c>
      <c r="C246" t="s">
        <v>2243</v>
      </c>
      <c r="D246" t="s">
        <v>2244</v>
      </c>
      <c r="E246" t="s">
        <v>2245</v>
      </c>
      <c r="F246" t="s">
        <v>1822</v>
      </c>
      <c r="G246" t="s">
        <v>2257</v>
      </c>
      <c r="H246" t="s">
        <v>46</v>
      </c>
      <c r="I246" t="s">
        <v>46</v>
      </c>
      <c r="J246" t="s">
        <v>17</v>
      </c>
      <c r="K246">
        <v>1000</v>
      </c>
      <c r="L246">
        <v>500</v>
      </c>
      <c r="M246" t="s">
        <v>1822</v>
      </c>
      <c r="N246" t="s">
        <v>1822</v>
      </c>
      <c r="O246" t="s">
        <v>1703</v>
      </c>
      <c r="P246" t="s">
        <v>1743</v>
      </c>
    </row>
    <row r="247" spans="1:17" x14ac:dyDescent="0.3">
      <c r="A247">
        <v>1149819</v>
      </c>
      <c r="B247" t="s">
        <v>2242</v>
      </c>
      <c r="C247" t="s">
        <v>2243</v>
      </c>
      <c r="D247" t="s">
        <v>2244</v>
      </c>
      <c r="E247" t="s">
        <v>2245</v>
      </c>
      <c r="F247" t="s">
        <v>1822</v>
      </c>
      <c r="G247" t="s">
        <v>2258</v>
      </c>
      <c r="H247" t="s">
        <v>46</v>
      </c>
      <c r="I247" t="s">
        <v>46</v>
      </c>
      <c r="J247" t="s">
        <v>17</v>
      </c>
      <c r="K247">
        <v>1000</v>
      </c>
      <c r="L247">
        <v>500</v>
      </c>
      <c r="M247" t="s">
        <v>1822</v>
      </c>
      <c r="N247" t="s">
        <v>1822</v>
      </c>
      <c r="O247" t="s">
        <v>1703</v>
      </c>
      <c r="P247" t="s">
        <v>1743</v>
      </c>
    </row>
    <row r="248" spans="1:17" x14ac:dyDescent="0.3">
      <c r="A248">
        <v>1149819</v>
      </c>
      <c r="B248" t="s">
        <v>2242</v>
      </c>
      <c r="C248" t="s">
        <v>2243</v>
      </c>
      <c r="D248" t="s">
        <v>2244</v>
      </c>
      <c r="E248" t="s">
        <v>2245</v>
      </c>
      <c r="F248" t="s">
        <v>1822</v>
      </c>
      <c r="G248" t="s">
        <v>2259</v>
      </c>
      <c r="H248" t="s">
        <v>46</v>
      </c>
      <c r="I248" t="s">
        <v>46</v>
      </c>
      <c r="J248" t="s">
        <v>17</v>
      </c>
      <c r="K248">
        <v>1000</v>
      </c>
      <c r="L248">
        <v>500</v>
      </c>
      <c r="M248" t="s">
        <v>1822</v>
      </c>
      <c r="N248" t="s">
        <v>1822</v>
      </c>
      <c r="O248" t="s">
        <v>1703</v>
      </c>
      <c r="P248" t="s">
        <v>1743</v>
      </c>
    </row>
    <row r="249" spans="1:17" x14ac:dyDescent="0.3">
      <c r="A249">
        <v>1149819</v>
      </c>
      <c r="B249" t="s">
        <v>2242</v>
      </c>
      <c r="C249" t="s">
        <v>2243</v>
      </c>
      <c r="D249" t="s">
        <v>2244</v>
      </c>
      <c r="E249" t="s">
        <v>2245</v>
      </c>
      <c r="F249" t="s">
        <v>1822</v>
      </c>
      <c r="G249" t="s">
        <v>2260</v>
      </c>
      <c r="H249" t="s">
        <v>46</v>
      </c>
      <c r="I249" t="s">
        <v>46</v>
      </c>
      <c r="J249" t="s">
        <v>17</v>
      </c>
      <c r="K249">
        <v>1000</v>
      </c>
      <c r="L249">
        <v>500</v>
      </c>
      <c r="M249" t="s">
        <v>1822</v>
      </c>
      <c r="N249" t="s">
        <v>1822</v>
      </c>
      <c r="O249" t="s">
        <v>1703</v>
      </c>
      <c r="P249" t="s">
        <v>1743</v>
      </c>
    </row>
    <row r="250" spans="1:17" ht="28.8" x14ac:dyDescent="0.3">
      <c r="A250">
        <v>1149819</v>
      </c>
      <c r="B250" t="s">
        <v>2242</v>
      </c>
      <c r="C250" t="s">
        <v>2189</v>
      </c>
      <c r="D250" s="4" t="s">
        <v>2190</v>
      </c>
      <c r="E250" t="s">
        <v>2191</v>
      </c>
      <c r="F250" t="s">
        <v>1822</v>
      </c>
      <c r="G250" t="s">
        <v>1822</v>
      </c>
      <c r="H250" t="s">
        <v>46</v>
      </c>
      <c r="I250" t="s">
        <v>46</v>
      </c>
      <c r="J250" t="s">
        <v>17</v>
      </c>
      <c r="K250">
        <v>1000</v>
      </c>
      <c r="L250">
        <v>500</v>
      </c>
      <c r="M250" t="s">
        <v>1226</v>
      </c>
      <c r="N250" t="s">
        <v>1225</v>
      </c>
      <c r="O250" t="s">
        <v>1790</v>
      </c>
      <c r="P250" t="s">
        <v>1743</v>
      </c>
      <c r="Q250" t="s">
        <v>2261</v>
      </c>
    </row>
    <row r="251" spans="1:17" x14ac:dyDescent="0.3">
      <c r="A251">
        <v>1149819</v>
      </c>
      <c r="B251" t="s">
        <v>2242</v>
      </c>
      <c r="C251" t="s">
        <v>2262</v>
      </c>
      <c r="D251" t="s">
        <v>2263</v>
      </c>
      <c r="E251" t="s">
        <v>2264</v>
      </c>
      <c r="F251" t="s">
        <v>2265</v>
      </c>
      <c r="G251" t="s">
        <v>2266</v>
      </c>
      <c r="H251" t="s">
        <v>22</v>
      </c>
      <c r="I251" t="s">
        <v>22</v>
      </c>
      <c r="J251" t="s">
        <v>17</v>
      </c>
      <c r="K251">
        <v>941</v>
      </c>
      <c r="L251">
        <v>1365</v>
      </c>
      <c r="M251" t="s">
        <v>2267</v>
      </c>
      <c r="N251" t="s">
        <v>2268</v>
      </c>
      <c r="O251" t="s">
        <v>1703</v>
      </c>
      <c r="P251" t="s">
        <v>1703</v>
      </c>
    </row>
    <row r="252" spans="1:17" x14ac:dyDescent="0.3">
      <c r="A252">
        <v>1149819</v>
      </c>
      <c r="B252" t="s">
        <v>2242</v>
      </c>
      <c r="C252" t="s">
        <v>2262</v>
      </c>
      <c r="D252" t="s">
        <v>2263</v>
      </c>
      <c r="E252" t="s">
        <v>2264</v>
      </c>
      <c r="F252" t="s">
        <v>2265</v>
      </c>
      <c r="G252" t="s">
        <v>2269</v>
      </c>
      <c r="H252" t="s">
        <v>22</v>
      </c>
      <c r="I252" t="s">
        <v>22</v>
      </c>
      <c r="J252" t="s">
        <v>17</v>
      </c>
      <c r="K252">
        <v>941</v>
      </c>
      <c r="L252">
        <v>1365</v>
      </c>
      <c r="M252" t="s">
        <v>2267</v>
      </c>
      <c r="N252" t="s">
        <v>2268</v>
      </c>
      <c r="O252" t="s">
        <v>1703</v>
      </c>
      <c r="P252" t="s">
        <v>1703</v>
      </c>
    </row>
    <row r="253" spans="1:17" x14ac:dyDescent="0.3">
      <c r="A253">
        <v>1149819</v>
      </c>
      <c r="B253" t="s">
        <v>2242</v>
      </c>
      <c r="C253" t="s">
        <v>2262</v>
      </c>
      <c r="D253" t="s">
        <v>2263</v>
      </c>
      <c r="E253" t="s">
        <v>2264</v>
      </c>
      <c r="F253" t="s">
        <v>2265</v>
      </c>
      <c r="G253" t="s">
        <v>2270</v>
      </c>
      <c r="H253" t="s">
        <v>22</v>
      </c>
      <c r="I253" t="s">
        <v>22</v>
      </c>
      <c r="J253" t="s">
        <v>17</v>
      </c>
      <c r="K253">
        <v>941</v>
      </c>
      <c r="L253">
        <v>1365</v>
      </c>
      <c r="M253" t="s">
        <v>2267</v>
      </c>
      <c r="N253" t="s">
        <v>2268</v>
      </c>
      <c r="O253" t="s">
        <v>1703</v>
      </c>
      <c r="P253" t="s">
        <v>1703</v>
      </c>
    </row>
    <row r="254" spans="1:17" x14ac:dyDescent="0.3">
      <c r="A254">
        <v>1149819</v>
      </c>
      <c r="B254" t="s">
        <v>2242</v>
      </c>
      <c r="C254" t="s">
        <v>2262</v>
      </c>
      <c r="D254" t="s">
        <v>2263</v>
      </c>
      <c r="E254" t="s">
        <v>2264</v>
      </c>
      <c r="F254" t="s">
        <v>2265</v>
      </c>
      <c r="G254" t="s">
        <v>2271</v>
      </c>
      <c r="H254" t="s">
        <v>22</v>
      </c>
      <c r="I254" t="s">
        <v>22</v>
      </c>
      <c r="J254" t="s">
        <v>17</v>
      </c>
      <c r="K254">
        <v>941</v>
      </c>
      <c r="L254">
        <v>1365</v>
      </c>
      <c r="M254" t="s">
        <v>2267</v>
      </c>
      <c r="N254" t="s">
        <v>2268</v>
      </c>
      <c r="O254" t="s">
        <v>1703</v>
      </c>
      <c r="P254" t="s">
        <v>1703</v>
      </c>
    </row>
    <row r="255" spans="1:17" x14ac:dyDescent="0.3">
      <c r="A255">
        <v>1149819</v>
      </c>
      <c r="B255" t="s">
        <v>2242</v>
      </c>
      <c r="C255" t="s">
        <v>2262</v>
      </c>
      <c r="D255" t="s">
        <v>2263</v>
      </c>
      <c r="E255" t="s">
        <v>2264</v>
      </c>
      <c r="F255" t="s">
        <v>2265</v>
      </c>
      <c r="G255" t="s">
        <v>2272</v>
      </c>
      <c r="H255" t="s">
        <v>22</v>
      </c>
      <c r="I255" t="s">
        <v>22</v>
      </c>
      <c r="J255" t="s">
        <v>17</v>
      </c>
      <c r="K255">
        <v>941</v>
      </c>
      <c r="L255">
        <v>1365</v>
      </c>
      <c r="M255" t="s">
        <v>2267</v>
      </c>
      <c r="N255" t="s">
        <v>2268</v>
      </c>
      <c r="O255" t="s">
        <v>1703</v>
      </c>
      <c r="P255" t="s">
        <v>1703</v>
      </c>
    </row>
    <row r="256" spans="1:17" x14ac:dyDescent="0.3">
      <c r="A256">
        <v>1149819</v>
      </c>
      <c r="B256" t="s">
        <v>2242</v>
      </c>
      <c r="C256" t="s">
        <v>2262</v>
      </c>
      <c r="D256" t="s">
        <v>2263</v>
      </c>
      <c r="E256" t="s">
        <v>2264</v>
      </c>
      <c r="F256" t="s">
        <v>2265</v>
      </c>
      <c r="G256" t="s">
        <v>2273</v>
      </c>
      <c r="H256" t="s">
        <v>22</v>
      </c>
      <c r="I256" t="s">
        <v>22</v>
      </c>
      <c r="J256" t="s">
        <v>17</v>
      </c>
      <c r="K256">
        <v>941</v>
      </c>
      <c r="L256">
        <v>1365</v>
      </c>
      <c r="M256" t="s">
        <v>2267</v>
      </c>
      <c r="N256" t="s">
        <v>2268</v>
      </c>
      <c r="O256" t="s">
        <v>1703</v>
      </c>
      <c r="P256" t="s">
        <v>1703</v>
      </c>
    </row>
    <row r="257" spans="1:16" x14ac:dyDescent="0.3">
      <c r="A257">
        <v>1149819</v>
      </c>
      <c r="B257" t="s">
        <v>2242</v>
      </c>
      <c r="C257" t="s">
        <v>2262</v>
      </c>
      <c r="D257" t="s">
        <v>2263</v>
      </c>
      <c r="E257" t="s">
        <v>2264</v>
      </c>
      <c r="F257" t="s">
        <v>2265</v>
      </c>
      <c r="G257" t="s">
        <v>2274</v>
      </c>
      <c r="H257" t="s">
        <v>22</v>
      </c>
      <c r="I257" t="s">
        <v>22</v>
      </c>
      <c r="J257" t="s">
        <v>17</v>
      </c>
      <c r="K257">
        <v>941</v>
      </c>
      <c r="L257">
        <v>1365</v>
      </c>
      <c r="M257" t="s">
        <v>2267</v>
      </c>
      <c r="N257" t="s">
        <v>2268</v>
      </c>
      <c r="O257" t="s">
        <v>1703</v>
      </c>
      <c r="P257" t="s">
        <v>1703</v>
      </c>
    </row>
    <row r="258" spans="1:16" x14ac:dyDescent="0.3">
      <c r="A258">
        <v>1149819</v>
      </c>
      <c r="B258" t="s">
        <v>2242</v>
      </c>
      <c r="C258" t="s">
        <v>2262</v>
      </c>
      <c r="D258" t="s">
        <v>2263</v>
      </c>
      <c r="E258" t="s">
        <v>2264</v>
      </c>
      <c r="F258" t="s">
        <v>2265</v>
      </c>
      <c r="G258" t="s">
        <v>2275</v>
      </c>
      <c r="H258" t="s">
        <v>22</v>
      </c>
      <c r="I258" t="s">
        <v>22</v>
      </c>
      <c r="J258" t="s">
        <v>17</v>
      </c>
      <c r="K258">
        <v>941</v>
      </c>
      <c r="L258">
        <v>1365</v>
      </c>
      <c r="M258" t="s">
        <v>2267</v>
      </c>
      <c r="N258" t="s">
        <v>2268</v>
      </c>
      <c r="O258" t="s">
        <v>1703</v>
      </c>
      <c r="P258" t="s">
        <v>1703</v>
      </c>
    </row>
    <row r="259" spans="1:16" x14ac:dyDescent="0.3">
      <c r="A259">
        <v>1149836</v>
      </c>
      <c r="B259" t="s">
        <v>2276</v>
      </c>
      <c r="C259" t="s">
        <v>2111</v>
      </c>
      <c r="D259" t="s">
        <v>2111</v>
      </c>
      <c r="E259" t="s">
        <v>2112</v>
      </c>
      <c r="F259" t="s">
        <v>2113</v>
      </c>
      <c r="G259" t="s">
        <v>2114</v>
      </c>
      <c r="H259" t="s">
        <v>22</v>
      </c>
      <c r="I259" t="s">
        <v>22</v>
      </c>
      <c r="J259" t="s">
        <v>17</v>
      </c>
      <c r="K259">
        <v>1000</v>
      </c>
      <c r="L259">
        <v>1100</v>
      </c>
      <c r="M259" t="s">
        <v>2115</v>
      </c>
      <c r="N259" t="s">
        <v>2116</v>
      </c>
      <c r="O259" t="s">
        <v>1703</v>
      </c>
      <c r="P259" t="s">
        <v>1703</v>
      </c>
    </row>
    <row r="260" spans="1:16" x14ac:dyDescent="0.3">
      <c r="A260">
        <v>1149836</v>
      </c>
      <c r="B260" t="s">
        <v>2276</v>
      </c>
      <c r="C260" t="s">
        <v>2111</v>
      </c>
      <c r="D260" t="s">
        <v>2111</v>
      </c>
      <c r="E260" t="s">
        <v>2112</v>
      </c>
      <c r="F260" t="s">
        <v>2113</v>
      </c>
      <c r="G260" t="s">
        <v>2117</v>
      </c>
      <c r="H260" t="s">
        <v>22</v>
      </c>
      <c r="I260" t="s">
        <v>22</v>
      </c>
      <c r="J260" t="s">
        <v>17</v>
      </c>
      <c r="K260">
        <v>1000</v>
      </c>
      <c r="L260">
        <v>1100</v>
      </c>
      <c r="M260" t="s">
        <v>2115</v>
      </c>
      <c r="N260" t="s">
        <v>2116</v>
      </c>
      <c r="O260" t="s">
        <v>1703</v>
      </c>
      <c r="P260" t="s">
        <v>1703</v>
      </c>
    </row>
    <row r="261" spans="1:16" x14ac:dyDescent="0.3">
      <c r="A261">
        <v>1149836</v>
      </c>
      <c r="B261" t="s">
        <v>2276</v>
      </c>
      <c r="C261" t="s">
        <v>2111</v>
      </c>
      <c r="D261" t="s">
        <v>2111</v>
      </c>
      <c r="E261" t="s">
        <v>2112</v>
      </c>
      <c r="F261" t="s">
        <v>2113</v>
      </c>
      <c r="G261" t="s">
        <v>2118</v>
      </c>
      <c r="H261" t="s">
        <v>22</v>
      </c>
      <c r="I261" t="s">
        <v>22</v>
      </c>
      <c r="J261" t="s">
        <v>17</v>
      </c>
      <c r="K261">
        <v>1000</v>
      </c>
      <c r="L261">
        <v>1100</v>
      </c>
      <c r="M261" t="s">
        <v>2115</v>
      </c>
      <c r="N261" t="s">
        <v>2116</v>
      </c>
      <c r="O261" t="s">
        <v>1703</v>
      </c>
      <c r="P261" t="s">
        <v>1703</v>
      </c>
    </row>
    <row r="262" spans="1:16" x14ac:dyDescent="0.3">
      <c r="A262">
        <v>1149836</v>
      </c>
      <c r="B262" t="s">
        <v>2276</v>
      </c>
      <c r="C262" t="s">
        <v>2111</v>
      </c>
      <c r="D262" t="s">
        <v>2111</v>
      </c>
      <c r="E262" t="s">
        <v>2112</v>
      </c>
      <c r="F262" t="s">
        <v>2113</v>
      </c>
      <c r="G262" t="s">
        <v>2119</v>
      </c>
      <c r="H262" t="s">
        <v>22</v>
      </c>
      <c r="I262" t="s">
        <v>22</v>
      </c>
      <c r="J262" t="s">
        <v>17</v>
      </c>
      <c r="K262">
        <v>1000</v>
      </c>
      <c r="L262">
        <v>1100</v>
      </c>
      <c r="M262" t="s">
        <v>2115</v>
      </c>
      <c r="N262" t="s">
        <v>2116</v>
      </c>
      <c r="O262" t="s">
        <v>1703</v>
      </c>
      <c r="P262" t="s">
        <v>1703</v>
      </c>
    </row>
    <row r="263" spans="1:16" x14ac:dyDescent="0.3">
      <c r="A263">
        <v>1149836</v>
      </c>
      <c r="B263" t="s">
        <v>2276</v>
      </c>
      <c r="C263" t="s">
        <v>2111</v>
      </c>
      <c r="D263" t="s">
        <v>2111</v>
      </c>
      <c r="E263" t="s">
        <v>2112</v>
      </c>
      <c r="F263" t="s">
        <v>2113</v>
      </c>
      <c r="G263" t="s">
        <v>2120</v>
      </c>
      <c r="H263" t="s">
        <v>22</v>
      </c>
      <c r="I263" t="s">
        <v>22</v>
      </c>
      <c r="J263" t="s">
        <v>17</v>
      </c>
      <c r="K263">
        <v>1000</v>
      </c>
      <c r="L263">
        <v>1100</v>
      </c>
      <c r="M263" t="s">
        <v>2115</v>
      </c>
      <c r="N263" t="s">
        <v>2116</v>
      </c>
      <c r="O263" t="s">
        <v>1703</v>
      </c>
      <c r="P263" t="s">
        <v>1703</v>
      </c>
    </row>
    <row r="264" spans="1:16" x14ac:dyDescent="0.3">
      <c r="A264">
        <v>1149836</v>
      </c>
      <c r="B264" t="s">
        <v>2276</v>
      </c>
      <c r="C264" t="s">
        <v>2111</v>
      </c>
      <c r="D264" t="s">
        <v>2111</v>
      </c>
      <c r="E264" t="s">
        <v>2112</v>
      </c>
      <c r="F264" t="s">
        <v>2113</v>
      </c>
      <c r="G264" t="s">
        <v>2121</v>
      </c>
      <c r="H264" t="s">
        <v>22</v>
      </c>
      <c r="I264" t="s">
        <v>22</v>
      </c>
      <c r="J264" t="s">
        <v>17</v>
      </c>
      <c r="K264">
        <v>1000</v>
      </c>
      <c r="L264">
        <v>1100</v>
      </c>
      <c r="M264" t="s">
        <v>2115</v>
      </c>
      <c r="N264" t="s">
        <v>2116</v>
      </c>
      <c r="O264" t="s">
        <v>1703</v>
      </c>
      <c r="P264" t="s">
        <v>1703</v>
      </c>
    </row>
    <row r="265" spans="1:16" x14ac:dyDescent="0.3">
      <c r="A265">
        <v>1149836</v>
      </c>
      <c r="B265" t="s">
        <v>2276</v>
      </c>
      <c r="C265" t="s">
        <v>2111</v>
      </c>
      <c r="D265" t="s">
        <v>2111</v>
      </c>
      <c r="E265" t="s">
        <v>2112</v>
      </c>
      <c r="F265" t="s">
        <v>2113</v>
      </c>
      <c r="G265" t="s">
        <v>2122</v>
      </c>
      <c r="H265" t="s">
        <v>22</v>
      </c>
      <c r="I265" t="s">
        <v>22</v>
      </c>
      <c r="J265" t="s">
        <v>17</v>
      </c>
      <c r="K265">
        <v>1000</v>
      </c>
      <c r="L265">
        <v>1100</v>
      </c>
      <c r="M265" t="s">
        <v>2115</v>
      </c>
      <c r="N265" t="s">
        <v>2116</v>
      </c>
      <c r="O265" t="s">
        <v>1703</v>
      </c>
      <c r="P265" t="s">
        <v>1703</v>
      </c>
    </row>
    <row r="266" spans="1:16" x14ac:dyDescent="0.3">
      <c r="A266">
        <v>1149836</v>
      </c>
      <c r="B266" t="s">
        <v>2276</v>
      </c>
      <c r="C266" t="s">
        <v>2111</v>
      </c>
      <c r="D266" t="s">
        <v>2111</v>
      </c>
      <c r="E266" t="s">
        <v>2112</v>
      </c>
      <c r="F266" t="s">
        <v>2113</v>
      </c>
      <c r="G266" t="s">
        <v>2123</v>
      </c>
      <c r="H266" t="s">
        <v>22</v>
      </c>
      <c r="I266" t="s">
        <v>22</v>
      </c>
      <c r="J266" t="s">
        <v>17</v>
      </c>
      <c r="K266">
        <v>1000</v>
      </c>
      <c r="L266">
        <v>1100</v>
      </c>
      <c r="M266" t="s">
        <v>2115</v>
      </c>
      <c r="N266" t="s">
        <v>2116</v>
      </c>
      <c r="O266" t="s">
        <v>1703</v>
      </c>
      <c r="P266" t="s">
        <v>1703</v>
      </c>
    </row>
    <row r="267" spans="1:16" x14ac:dyDescent="0.3">
      <c r="A267">
        <v>1149836</v>
      </c>
      <c r="B267" t="s">
        <v>2276</v>
      </c>
      <c r="C267" t="s">
        <v>2111</v>
      </c>
      <c r="D267" t="s">
        <v>2111</v>
      </c>
      <c r="E267" t="s">
        <v>2112</v>
      </c>
      <c r="F267" t="s">
        <v>2113</v>
      </c>
      <c r="G267" t="s">
        <v>2124</v>
      </c>
      <c r="H267" t="s">
        <v>22</v>
      </c>
      <c r="I267" t="s">
        <v>22</v>
      </c>
      <c r="J267" t="s">
        <v>17</v>
      </c>
      <c r="K267">
        <v>1000</v>
      </c>
      <c r="L267">
        <v>1100</v>
      </c>
      <c r="M267" t="s">
        <v>2115</v>
      </c>
      <c r="N267" t="s">
        <v>2116</v>
      </c>
      <c r="O267" t="s">
        <v>1703</v>
      </c>
      <c r="P267" t="s">
        <v>1703</v>
      </c>
    </row>
    <row r="268" spans="1:16" x14ac:dyDescent="0.3">
      <c r="A268">
        <v>1149836</v>
      </c>
      <c r="B268" t="s">
        <v>2276</v>
      </c>
      <c r="C268" t="s">
        <v>2111</v>
      </c>
      <c r="D268" t="s">
        <v>2111</v>
      </c>
      <c r="E268" t="s">
        <v>2112</v>
      </c>
      <c r="F268" t="s">
        <v>2113</v>
      </c>
      <c r="G268" t="s">
        <v>2125</v>
      </c>
      <c r="H268" t="s">
        <v>22</v>
      </c>
      <c r="I268" t="s">
        <v>22</v>
      </c>
      <c r="J268" t="s">
        <v>17</v>
      </c>
      <c r="K268">
        <v>1000</v>
      </c>
      <c r="L268">
        <v>1100</v>
      </c>
      <c r="M268" t="s">
        <v>2115</v>
      </c>
      <c r="N268" t="s">
        <v>2116</v>
      </c>
      <c r="O268" t="s">
        <v>1703</v>
      </c>
      <c r="P268" t="s">
        <v>1703</v>
      </c>
    </row>
    <row r="269" spans="1:16" x14ac:dyDescent="0.3">
      <c r="A269">
        <v>1149836</v>
      </c>
      <c r="B269" t="s">
        <v>2276</v>
      </c>
      <c r="C269" t="s">
        <v>2111</v>
      </c>
      <c r="D269" t="s">
        <v>2111</v>
      </c>
      <c r="E269" t="s">
        <v>2112</v>
      </c>
      <c r="F269" t="s">
        <v>2113</v>
      </c>
      <c r="G269" t="s">
        <v>2126</v>
      </c>
      <c r="H269" t="s">
        <v>22</v>
      </c>
      <c r="I269" t="s">
        <v>22</v>
      </c>
      <c r="J269" t="s">
        <v>17</v>
      </c>
      <c r="K269">
        <v>1000</v>
      </c>
      <c r="L269">
        <v>1100</v>
      </c>
      <c r="M269" t="s">
        <v>2115</v>
      </c>
      <c r="N269" t="s">
        <v>2116</v>
      </c>
      <c r="O269" t="s">
        <v>1703</v>
      </c>
      <c r="P269" t="s">
        <v>1703</v>
      </c>
    </row>
    <row r="270" spans="1:16" x14ac:dyDescent="0.3">
      <c r="A270">
        <v>1149836</v>
      </c>
      <c r="B270" t="s">
        <v>2276</v>
      </c>
      <c r="C270" t="s">
        <v>2243</v>
      </c>
      <c r="D270" t="s">
        <v>2244</v>
      </c>
      <c r="E270" t="s">
        <v>2245</v>
      </c>
      <c r="F270" t="s">
        <v>1822</v>
      </c>
      <c r="G270" t="s">
        <v>2246</v>
      </c>
      <c r="H270" t="s">
        <v>46</v>
      </c>
      <c r="I270" t="s">
        <v>46</v>
      </c>
      <c r="J270" t="s">
        <v>17</v>
      </c>
      <c r="K270">
        <v>1000</v>
      </c>
      <c r="L270">
        <v>500</v>
      </c>
      <c r="M270" t="s">
        <v>1822</v>
      </c>
      <c r="N270" t="s">
        <v>1822</v>
      </c>
      <c r="O270" t="s">
        <v>1703</v>
      </c>
      <c r="P270" t="s">
        <v>1703</v>
      </c>
    </row>
    <row r="271" spans="1:16" x14ac:dyDescent="0.3">
      <c r="A271">
        <v>1149836</v>
      </c>
      <c r="B271" t="s">
        <v>2276</v>
      </c>
      <c r="C271" t="s">
        <v>2243</v>
      </c>
      <c r="D271" t="s">
        <v>2244</v>
      </c>
      <c r="E271" t="s">
        <v>2245</v>
      </c>
      <c r="F271" t="s">
        <v>1822</v>
      </c>
      <c r="G271" t="s">
        <v>2247</v>
      </c>
      <c r="H271" t="s">
        <v>46</v>
      </c>
      <c r="I271" t="s">
        <v>46</v>
      </c>
      <c r="J271" t="s">
        <v>17</v>
      </c>
      <c r="K271">
        <v>1000</v>
      </c>
      <c r="L271">
        <v>500</v>
      </c>
      <c r="M271" t="s">
        <v>1822</v>
      </c>
      <c r="N271" t="s">
        <v>1822</v>
      </c>
      <c r="O271" t="s">
        <v>1703</v>
      </c>
      <c r="P271" t="s">
        <v>1703</v>
      </c>
    </row>
    <row r="272" spans="1:16" x14ac:dyDescent="0.3">
      <c r="A272">
        <v>1149836</v>
      </c>
      <c r="B272" t="s">
        <v>2276</v>
      </c>
      <c r="C272" t="s">
        <v>2243</v>
      </c>
      <c r="D272" t="s">
        <v>2244</v>
      </c>
      <c r="E272" t="s">
        <v>2245</v>
      </c>
      <c r="F272" t="s">
        <v>1822</v>
      </c>
      <c r="G272" t="s">
        <v>2248</v>
      </c>
      <c r="H272" t="s">
        <v>46</v>
      </c>
      <c r="I272" t="s">
        <v>46</v>
      </c>
      <c r="J272" t="s">
        <v>17</v>
      </c>
      <c r="K272">
        <v>1000</v>
      </c>
      <c r="L272">
        <v>500</v>
      </c>
      <c r="M272" t="s">
        <v>1822</v>
      </c>
      <c r="N272" t="s">
        <v>1822</v>
      </c>
      <c r="O272" t="s">
        <v>1703</v>
      </c>
      <c r="P272" t="s">
        <v>1703</v>
      </c>
    </row>
    <row r="273" spans="1:17" x14ac:dyDescent="0.3">
      <c r="A273">
        <v>1149836</v>
      </c>
      <c r="B273" t="s">
        <v>2276</v>
      </c>
      <c r="C273" t="s">
        <v>2243</v>
      </c>
      <c r="D273" t="s">
        <v>2244</v>
      </c>
      <c r="E273" t="s">
        <v>2245</v>
      </c>
      <c r="F273" t="s">
        <v>1822</v>
      </c>
      <c r="G273" t="s">
        <v>2249</v>
      </c>
      <c r="H273" t="s">
        <v>46</v>
      </c>
      <c r="I273" t="s">
        <v>46</v>
      </c>
      <c r="J273" t="s">
        <v>17</v>
      </c>
      <c r="K273">
        <v>1000</v>
      </c>
      <c r="L273">
        <v>500</v>
      </c>
      <c r="M273" t="s">
        <v>1822</v>
      </c>
      <c r="N273" t="s">
        <v>1822</v>
      </c>
      <c r="O273" t="s">
        <v>1703</v>
      </c>
      <c r="P273" t="s">
        <v>1703</v>
      </c>
    </row>
    <row r="274" spans="1:17" x14ac:dyDescent="0.3">
      <c r="A274">
        <v>1149836</v>
      </c>
      <c r="B274" t="s">
        <v>2276</v>
      </c>
      <c r="C274" t="s">
        <v>2243</v>
      </c>
      <c r="D274" t="s">
        <v>2244</v>
      </c>
      <c r="E274" t="s">
        <v>2245</v>
      </c>
      <c r="F274" t="s">
        <v>1822</v>
      </c>
      <c r="G274" t="s">
        <v>2250</v>
      </c>
      <c r="H274" t="s">
        <v>46</v>
      </c>
      <c r="I274" t="s">
        <v>46</v>
      </c>
      <c r="J274" t="s">
        <v>17</v>
      </c>
      <c r="K274">
        <v>1000</v>
      </c>
      <c r="L274">
        <v>500</v>
      </c>
      <c r="M274" t="s">
        <v>1822</v>
      </c>
      <c r="N274" t="s">
        <v>1822</v>
      </c>
      <c r="O274" t="s">
        <v>1703</v>
      </c>
      <c r="P274" t="s">
        <v>1703</v>
      </c>
    </row>
    <row r="275" spans="1:17" x14ac:dyDescent="0.3">
      <c r="A275">
        <v>1149836</v>
      </c>
      <c r="B275" t="s">
        <v>2276</v>
      </c>
      <c r="C275" t="s">
        <v>2243</v>
      </c>
      <c r="D275" t="s">
        <v>2244</v>
      </c>
      <c r="E275" t="s">
        <v>2245</v>
      </c>
      <c r="F275" t="s">
        <v>1822</v>
      </c>
      <c r="G275" t="s">
        <v>2251</v>
      </c>
      <c r="H275" t="s">
        <v>46</v>
      </c>
      <c r="I275" t="s">
        <v>46</v>
      </c>
      <c r="J275" t="s">
        <v>17</v>
      </c>
      <c r="K275">
        <v>1000</v>
      </c>
      <c r="L275">
        <v>500</v>
      </c>
      <c r="M275" t="s">
        <v>1822</v>
      </c>
      <c r="N275" t="s">
        <v>1822</v>
      </c>
      <c r="O275" t="s">
        <v>1703</v>
      </c>
      <c r="P275" t="s">
        <v>1703</v>
      </c>
    </row>
    <row r="276" spans="1:17" x14ac:dyDescent="0.3">
      <c r="A276">
        <v>1149836</v>
      </c>
      <c r="B276" t="s">
        <v>2276</v>
      </c>
      <c r="C276" t="s">
        <v>2243</v>
      </c>
      <c r="D276" t="s">
        <v>2244</v>
      </c>
      <c r="E276" t="s">
        <v>2245</v>
      </c>
      <c r="F276" t="s">
        <v>1822</v>
      </c>
      <c r="G276" t="s">
        <v>2252</v>
      </c>
      <c r="H276" t="s">
        <v>46</v>
      </c>
      <c r="I276" t="s">
        <v>46</v>
      </c>
      <c r="J276" t="s">
        <v>17</v>
      </c>
      <c r="K276">
        <v>1000</v>
      </c>
      <c r="L276">
        <v>500</v>
      </c>
      <c r="M276" t="s">
        <v>1822</v>
      </c>
      <c r="N276" t="s">
        <v>1822</v>
      </c>
      <c r="O276" t="s">
        <v>1703</v>
      </c>
      <c r="P276" t="s">
        <v>1703</v>
      </c>
    </row>
    <row r="277" spans="1:17" x14ac:dyDescent="0.3">
      <c r="A277">
        <v>1149836</v>
      </c>
      <c r="B277" t="s">
        <v>2276</v>
      </c>
      <c r="C277" t="s">
        <v>2243</v>
      </c>
      <c r="D277" t="s">
        <v>2244</v>
      </c>
      <c r="E277" t="s">
        <v>2245</v>
      </c>
      <c r="F277" t="s">
        <v>1822</v>
      </c>
      <c r="G277" t="s">
        <v>2253</v>
      </c>
      <c r="H277" t="s">
        <v>46</v>
      </c>
      <c r="I277" t="s">
        <v>46</v>
      </c>
      <c r="J277" t="s">
        <v>17</v>
      </c>
      <c r="K277">
        <v>1000</v>
      </c>
      <c r="L277">
        <v>500</v>
      </c>
      <c r="M277" t="s">
        <v>1822</v>
      </c>
      <c r="N277" t="s">
        <v>1822</v>
      </c>
      <c r="O277" t="s">
        <v>1703</v>
      </c>
      <c r="P277" t="s">
        <v>1703</v>
      </c>
    </row>
    <row r="278" spans="1:17" x14ac:dyDescent="0.3">
      <c r="A278">
        <v>1149836</v>
      </c>
      <c r="B278" t="s">
        <v>2276</v>
      </c>
      <c r="C278" t="s">
        <v>2243</v>
      </c>
      <c r="D278" t="s">
        <v>2244</v>
      </c>
      <c r="E278" t="s">
        <v>2245</v>
      </c>
      <c r="F278" t="s">
        <v>1822</v>
      </c>
      <c r="G278" t="s">
        <v>2254</v>
      </c>
      <c r="H278" t="s">
        <v>46</v>
      </c>
      <c r="I278" t="s">
        <v>46</v>
      </c>
      <c r="J278" t="s">
        <v>17</v>
      </c>
      <c r="K278">
        <v>1000</v>
      </c>
      <c r="L278">
        <v>500</v>
      </c>
      <c r="M278" t="s">
        <v>1822</v>
      </c>
      <c r="N278" t="s">
        <v>1822</v>
      </c>
      <c r="O278" t="s">
        <v>1703</v>
      </c>
      <c r="P278" t="s">
        <v>1703</v>
      </c>
    </row>
    <row r="279" spans="1:17" x14ac:dyDescent="0.3">
      <c r="A279">
        <v>1149836</v>
      </c>
      <c r="B279" t="s">
        <v>2276</v>
      </c>
      <c r="C279" t="s">
        <v>2243</v>
      </c>
      <c r="D279" t="s">
        <v>2244</v>
      </c>
      <c r="E279" t="s">
        <v>2245</v>
      </c>
      <c r="F279" t="s">
        <v>1822</v>
      </c>
      <c r="G279" t="s">
        <v>2255</v>
      </c>
      <c r="H279" t="s">
        <v>46</v>
      </c>
      <c r="I279" t="s">
        <v>46</v>
      </c>
      <c r="J279" t="s">
        <v>17</v>
      </c>
      <c r="K279">
        <v>1000</v>
      </c>
      <c r="L279">
        <v>500</v>
      </c>
      <c r="M279" t="s">
        <v>1822</v>
      </c>
      <c r="N279" t="s">
        <v>1822</v>
      </c>
      <c r="O279" t="s">
        <v>1703</v>
      </c>
      <c r="P279" t="s">
        <v>1703</v>
      </c>
    </row>
    <row r="280" spans="1:17" x14ac:dyDescent="0.3">
      <c r="A280">
        <v>1149836</v>
      </c>
      <c r="B280" t="s">
        <v>2276</v>
      </c>
      <c r="C280" t="s">
        <v>2243</v>
      </c>
      <c r="D280" t="s">
        <v>2244</v>
      </c>
      <c r="E280" t="s">
        <v>2245</v>
      </c>
      <c r="F280" t="s">
        <v>1822</v>
      </c>
      <c r="G280" t="s">
        <v>2256</v>
      </c>
      <c r="H280" t="s">
        <v>46</v>
      </c>
      <c r="I280" t="s">
        <v>46</v>
      </c>
      <c r="J280" t="s">
        <v>17</v>
      </c>
      <c r="K280">
        <v>1000</v>
      </c>
      <c r="L280">
        <v>500</v>
      </c>
      <c r="M280" t="s">
        <v>1822</v>
      </c>
      <c r="N280" t="s">
        <v>1822</v>
      </c>
      <c r="O280" t="s">
        <v>1703</v>
      </c>
      <c r="P280" t="s">
        <v>1703</v>
      </c>
    </row>
    <row r="281" spans="1:17" x14ac:dyDescent="0.3">
      <c r="A281">
        <v>1149836</v>
      </c>
      <c r="B281" t="s">
        <v>2276</v>
      </c>
      <c r="C281" t="s">
        <v>2243</v>
      </c>
      <c r="D281" t="s">
        <v>2244</v>
      </c>
      <c r="E281" t="s">
        <v>2245</v>
      </c>
      <c r="F281" t="s">
        <v>1822</v>
      </c>
      <c r="G281" t="s">
        <v>2277</v>
      </c>
      <c r="H281" t="s">
        <v>46</v>
      </c>
      <c r="I281" t="s">
        <v>46</v>
      </c>
      <c r="J281" t="s">
        <v>17</v>
      </c>
      <c r="K281">
        <v>1000</v>
      </c>
      <c r="L281">
        <v>500</v>
      </c>
      <c r="M281" t="s">
        <v>1822</v>
      </c>
      <c r="N281" t="s">
        <v>1822</v>
      </c>
      <c r="O281" t="s">
        <v>1703</v>
      </c>
      <c r="P281" t="s">
        <v>1703</v>
      </c>
    </row>
    <row r="282" spans="1:17" x14ac:dyDescent="0.3">
      <c r="A282">
        <v>1149836</v>
      </c>
      <c r="B282" t="s">
        <v>2276</v>
      </c>
      <c r="C282" t="s">
        <v>2243</v>
      </c>
      <c r="D282" t="s">
        <v>2244</v>
      </c>
      <c r="E282" t="s">
        <v>2245</v>
      </c>
      <c r="F282" t="s">
        <v>1822</v>
      </c>
      <c r="G282" t="s">
        <v>2258</v>
      </c>
      <c r="H282" t="s">
        <v>46</v>
      </c>
      <c r="I282" t="s">
        <v>46</v>
      </c>
      <c r="J282" t="s">
        <v>17</v>
      </c>
      <c r="K282">
        <v>1000</v>
      </c>
      <c r="L282">
        <v>500</v>
      </c>
      <c r="M282" t="s">
        <v>1822</v>
      </c>
      <c r="N282" t="s">
        <v>1822</v>
      </c>
      <c r="O282" t="s">
        <v>1703</v>
      </c>
      <c r="P282" t="s">
        <v>1703</v>
      </c>
    </row>
    <row r="283" spans="1:17" x14ac:dyDescent="0.3">
      <c r="A283">
        <v>1149836</v>
      </c>
      <c r="B283" t="s">
        <v>2276</v>
      </c>
      <c r="C283" t="s">
        <v>2243</v>
      </c>
      <c r="D283" t="s">
        <v>2244</v>
      </c>
      <c r="E283" t="s">
        <v>2245</v>
      </c>
      <c r="F283" t="s">
        <v>1822</v>
      </c>
      <c r="G283" t="s">
        <v>2259</v>
      </c>
      <c r="H283" t="s">
        <v>46</v>
      </c>
      <c r="I283" t="s">
        <v>46</v>
      </c>
      <c r="J283" t="s">
        <v>17</v>
      </c>
      <c r="K283">
        <v>1000</v>
      </c>
      <c r="L283">
        <v>500</v>
      </c>
      <c r="M283" t="s">
        <v>1822</v>
      </c>
      <c r="N283" t="s">
        <v>1822</v>
      </c>
      <c r="O283" t="s">
        <v>1703</v>
      </c>
      <c r="P283" t="s">
        <v>1703</v>
      </c>
    </row>
    <row r="284" spans="1:17" x14ac:dyDescent="0.3">
      <c r="A284">
        <v>1149836</v>
      </c>
      <c r="B284" t="s">
        <v>2276</v>
      </c>
      <c r="C284" t="s">
        <v>2243</v>
      </c>
      <c r="D284" t="s">
        <v>2244</v>
      </c>
      <c r="E284" t="s">
        <v>2245</v>
      </c>
      <c r="F284" t="s">
        <v>1822</v>
      </c>
      <c r="G284" t="s">
        <v>2260</v>
      </c>
      <c r="H284" t="s">
        <v>46</v>
      </c>
      <c r="I284" t="s">
        <v>46</v>
      </c>
      <c r="J284" t="s">
        <v>17</v>
      </c>
      <c r="K284">
        <v>1000</v>
      </c>
      <c r="L284">
        <v>500</v>
      </c>
      <c r="M284" t="s">
        <v>1822</v>
      </c>
      <c r="N284" t="s">
        <v>1822</v>
      </c>
      <c r="O284" t="s">
        <v>1703</v>
      </c>
      <c r="P284" t="s">
        <v>1703</v>
      </c>
    </row>
    <row r="285" spans="1:17" x14ac:dyDescent="0.3">
      <c r="A285">
        <v>1155449</v>
      </c>
      <c r="B285" t="s">
        <v>2278</v>
      </c>
      <c r="C285" t="s">
        <v>2279</v>
      </c>
      <c r="D285" t="s">
        <v>2280</v>
      </c>
      <c r="E285" t="s">
        <v>2281</v>
      </c>
      <c r="F285" t="s">
        <v>1822</v>
      </c>
      <c r="G285" t="s">
        <v>1822</v>
      </c>
      <c r="H285" t="s">
        <v>22</v>
      </c>
      <c r="I285" t="s">
        <v>22</v>
      </c>
      <c r="J285" t="s">
        <v>17</v>
      </c>
      <c r="K285">
        <v>923</v>
      </c>
      <c r="L285">
        <v>1084</v>
      </c>
      <c r="M285" t="s">
        <v>254</v>
      </c>
      <c r="N285" t="s">
        <v>255</v>
      </c>
      <c r="O285" t="s">
        <v>1790</v>
      </c>
      <c r="P285" t="s">
        <v>1743</v>
      </c>
      <c r="Q285" t="s">
        <v>2282</v>
      </c>
    </row>
    <row r="286" spans="1:17" x14ac:dyDescent="0.3">
      <c r="A286">
        <v>1155449</v>
      </c>
      <c r="B286" t="s">
        <v>2278</v>
      </c>
      <c r="C286" t="s">
        <v>2283</v>
      </c>
      <c r="D286" t="s">
        <v>1822</v>
      </c>
      <c r="E286" t="s">
        <v>1822</v>
      </c>
      <c r="F286" t="s">
        <v>1822</v>
      </c>
      <c r="G286" t="s">
        <v>1822</v>
      </c>
      <c r="H286" t="s">
        <v>16</v>
      </c>
      <c r="I286" t="s">
        <v>16</v>
      </c>
      <c r="J286" t="s">
        <v>17</v>
      </c>
      <c r="K286">
        <v>0</v>
      </c>
      <c r="L286">
        <v>0</v>
      </c>
      <c r="M286" t="s">
        <v>1822</v>
      </c>
      <c r="N286" t="s">
        <v>1822</v>
      </c>
      <c r="O286" t="s">
        <v>1703</v>
      </c>
      <c r="P286" t="s">
        <v>1743</v>
      </c>
    </row>
    <row r="287" spans="1:17" x14ac:dyDescent="0.3">
      <c r="A287">
        <v>1155449</v>
      </c>
      <c r="B287" t="s">
        <v>2278</v>
      </c>
      <c r="C287" t="s">
        <v>2284</v>
      </c>
      <c r="D287" t="s">
        <v>2285</v>
      </c>
      <c r="E287" t="s">
        <v>2286</v>
      </c>
      <c r="F287" t="s">
        <v>2287</v>
      </c>
      <c r="G287" t="s">
        <v>2131</v>
      </c>
      <c r="H287" t="s">
        <v>22</v>
      </c>
      <c r="I287" t="s">
        <v>22</v>
      </c>
      <c r="J287" t="s">
        <v>17</v>
      </c>
      <c r="K287">
        <v>950</v>
      </c>
      <c r="L287">
        <v>1100</v>
      </c>
      <c r="M287" t="s">
        <v>1822</v>
      </c>
      <c r="N287" t="s">
        <v>1822</v>
      </c>
      <c r="O287" t="s">
        <v>1703</v>
      </c>
      <c r="P287" t="s">
        <v>1703</v>
      </c>
    </row>
    <row r="288" spans="1:17" x14ac:dyDescent="0.3">
      <c r="A288">
        <v>1155449</v>
      </c>
      <c r="B288" t="s">
        <v>2278</v>
      </c>
      <c r="C288" t="s">
        <v>2284</v>
      </c>
      <c r="D288" t="s">
        <v>2285</v>
      </c>
      <c r="E288" t="s">
        <v>2286</v>
      </c>
      <c r="F288" t="s">
        <v>2287</v>
      </c>
      <c r="G288" t="s">
        <v>2132</v>
      </c>
      <c r="H288" t="s">
        <v>22</v>
      </c>
      <c r="I288" t="s">
        <v>22</v>
      </c>
      <c r="J288" t="s">
        <v>17</v>
      </c>
      <c r="K288">
        <v>950</v>
      </c>
      <c r="L288">
        <v>1100</v>
      </c>
      <c r="M288" t="s">
        <v>1822</v>
      </c>
      <c r="N288" t="s">
        <v>1822</v>
      </c>
      <c r="O288" t="s">
        <v>1703</v>
      </c>
      <c r="P288" t="s">
        <v>1703</v>
      </c>
    </row>
    <row r="289" spans="1:17" x14ac:dyDescent="0.3">
      <c r="A289">
        <v>1155449</v>
      </c>
      <c r="B289" t="s">
        <v>2278</v>
      </c>
      <c r="C289" t="s">
        <v>2284</v>
      </c>
      <c r="D289" t="s">
        <v>2285</v>
      </c>
      <c r="E289" t="s">
        <v>2286</v>
      </c>
      <c r="F289" t="s">
        <v>2287</v>
      </c>
      <c r="G289" t="s">
        <v>2133</v>
      </c>
      <c r="H289" t="s">
        <v>22</v>
      </c>
      <c r="I289" t="s">
        <v>22</v>
      </c>
      <c r="J289" t="s">
        <v>17</v>
      </c>
      <c r="K289">
        <v>950</v>
      </c>
      <c r="L289">
        <v>1100</v>
      </c>
      <c r="M289" t="s">
        <v>1822</v>
      </c>
      <c r="N289" t="s">
        <v>1822</v>
      </c>
      <c r="O289" t="s">
        <v>1703</v>
      </c>
      <c r="P289" t="s">
        <v>1703</v>
      </c>
    </row>
    <row r="290" spans="1:17" x14ac:dyDescent="0.3">
      <c r="A290">
        <v>1155449</v>
      </c>
      <c r="B290" t="s">
        <v>2278</v>
      </c>
      <c r="C290" t="s">
        <v>2288</v>
      </c>
      <c r="D290" t="s">
        <v>2288</v>
      </c>
      <c r="E290" t="s">
        <v>2289</v>
      </c>
      <c r="F290" t="s">
        <v>1822</v>
      </c>
      <c r="G290" t="s">
        <v>1822</v>
      </c>
      <c r="H290" t="s">
        <v>22</v>
      </c>
      <c r="I290" t="s">
        <v>22</v>
      </c>
      <c r="J290" t="s">
        <v>17</v>
      </c>
      <c r="K290">
        <v>1000</v>
      </c>
      <c r="L290">
        <v>1130</v>
      </c>
      <c r="M290" t="s">
        <v>1822</v>
      </c>
      <c r="N290" t="s">
        <v>1822</v>
      </c>
      <c r="O290" t="s">
        <v>1790</v>
      </c>
      <c r="P290" t="s">
        <v>1743</v>
      </c>
      <c r="Q290" t="s">
        <v>2290</v>
      </c>
    </row>
    <row r="291" spans="1:17" x14ac:dyDescent="0.3">
      <c r="A291">
        <v>1155467</v>
      </c>
      <c r="B291" t="s">
        <v>2291</v>
      </c>
      <c r="C291" t="s">
        <v>2292</v>
      </c>
      <c r="D291" t="s">
        <v>2293</v>
      </c>
      <c r="E291" t="s">
        <v>2294</v>
      </c>
      <c r="F291" t="s">
        <v>1822</v>
      </c>
      <c r="G291" t="s">
        <v>1822</v>
      </c>
      <c r="H291" t="s">
        <v>22</v>
      </c>
      <c r="I291" t="s">
        <v>22</v>
      </c>
      <c r="J291" t="s">
        <v>17</v>
      </c>
      <c r="K291">
        <v>947</v>
      </c>
      <c r="L291">
        <v>1078</v>
      </c>
      <c r="M291" t="s">
        <v>2295</v>
      </c>
      <c r="N291" t="s">
        <v>2296</v>
      </c>
      <c r="O291" t="s">
        <v>1703</v>
      </c>
      <c r="P291" t="s">
        <v>1743</v>
      </c>
    </row>
    <row r="292" spans="1:17" x14ac:dyDescent="0.3">
      <c r="A292">
        <v>1155467</v>
      </c>
      <c r="B292" t="s">
        <v>2291</v>
      </c>
      <c r="C292" t="s">
        <v>2297</v>
      </c>
      <c r="D292" t="s">
        <v>1822</v>
      </c>
      <c r="E292" t="s">
        <v>1822</v>
      </c>
      <c r="F292" t="s">
        <v>1822</v>
      </c>
      <c r="G292" t="s">
        <v>1822</v>
      </c>
      <c r="H292" t="s">
        <v>16</v>
      </c>
      <c r="I292" t="s">
        <v>16</v>
      </c>
      <c r="J292" t="s">
        <v>17</v>
      </c>
      <c r="K292">
        <v>0</v>
      </c>
      <c r="L292">
        <v>0</v>
      </c>
      <c r="M292" t="s">
        <v>1822</v>
      </c>
      <c r="N292" t="s">
        <v>1822</v>
      </c>
      <c r="O292" t="s">
        <v>1790</v>
      </c>
      <c r="P292" t="s">
        <v>1743</v>
      </c>
    </row>
    <row r="293" spans="1:17" x14ac:dyDescent="0.3">
      <c r="A293">
        <v>1155467</v>
      </c>
      <c r="B293" t="s">
        <v>2291</v>
      </c>
      <c r="C293" t="s">
        <v>2298</v>
      </c>
      <c r="D293" t="s">
        <v>1822</v>
      </c>
      <c r="E293" t="s">
        <v>1822</v>
      </c>
      <c r="F293" t="s">
        <v>1822</v>
      </c>
      <c r="G293" t="s">
        <v>1822</v>
      </c>
      <c r="H293" t="s">
        <v>16</v>
      </c>
      <c r="I293" t="s">
        <v>16</v>
      </c>
      <c r="J293" t="s">
        <v>17</v>
      </c>
      <c r="K293">
        <v>0</v>
      </c>
      <c r="L293">
        <v>0</v>
      </c>
      <c r="M293" t="s">
        <v>1822</v>
      </c>
      <c r="N293" t="s">
        <v>1822</v>
      </c>
      <c r="O293" t="s">
        <v>1703</v>
      </c>
      <c r="P293" t="s">
        <v>1743</v>
      </c>
    </row>
    <row r="294" spans="1:17" x14ac:dyDescent="0.3">
      <c r="A294">
        <v>1155467</v>
      </c>
      <c r="B294" t="s">
        <v>2291</v>
      </c>
      <c r="C294" t="s">
        <v>2299</v>
      </c>
      <c r="D294" t="s">
        <v>2300</v>
      </c>
      <c r="E294" t="s">
        <v>2301</v>
      </c>
      <c r="F294" t="s">
        <v>1822</v>
      </c>
      <c r="G294" t="s">
        <v>2302</v>
      </c>
      <c r="H294" t="s">
        <v>22</v>
      </c>
      <c r="I294" t="s">
        <v>22</v>
      </c>
      <c r="J294" t="s">
        <v>17</v>
      </c>
      <c r="K294">
        <v>900</v>
      </c>
      <c r="L294">
        <v>1060</v>
      </c>
      <c r="M294" t="s">
        <v>1822</v>
      </c>
      <c r="N294" t="s">
        <v>1822</v>
      </c>
      <c r="O294" t="s">
        <v>1790</v>
      </c>
      <c r="P294" t="s">
        <v>1743</v>
      </c>
    </row>
    <row r="295" spans="1:17" x14ac:dyDescent="0.3">
      <c r="A295">
        <v>1155467</v>
      </c>
      <c r="B295" t="s">
        <v>2291</v>
      </c>
      <c r="C295" t="s">
        <v>2299</v>
      </c>
      <c r="D295" t="s">
        <v>2300</v>
      </c>
      <c r="E295" t="s">
        <v>2301</v>
      </c>
      <c r="F295" t="s">
        <v>1822</v>
      </c>
      <c r="G295" t="s">
        <v>2303</v>
      </c>
      <c r="H295" t="s">
        <v>22</v>
      </c>
      <c r="I295" t="s">
        <v>22</v>
      </c>
      <c r="J295" t="s">
        <v>17</v>
      </c>
      <c r="K295">
        <v>900</v>
      </c>
      <c r="L295">
        <v>1060</v>
      </c>
      <c r="M295" t="s">
        <v>1822</v>
      </c>
      <c r="N295" t="s">
        <v>1822</v>
      </c>
      <c r="O295" t="s">
        <v>1790</v>
      </c>
      <c r="P295" t="s">
        <v>1743</v>
      </c>
    </row>
    <row r="296" spans="1:17" x14ac:dyDescent="0.3">
      <c r="A296">
        <v>1155467</v>
      </c>
      <c r="B296" t="s">
        <v>2291</v>
      </c>
      <c r="C296" t="s">
        <v>2299</v>
      </c>
      <c r="D296" t="s">
        <v>2300</v>
      </c>
      <c r="E296" t="s">
        <v>2301</v>
      </c>
      <c r="F296" t="s">
        <v>1822</v>
      </c>
      <c r="G296" t="s">
        <v>2304</v>
      </c>
      <c r="H296" t="s">
        <v>22</v>
      </c>
      <c r="I296" t="s">
        <v>22</v>
      </c>
      <c r="J296" t="s">
        <v>17</v>
      </c>
      <c r="K296">
        <v>900</v>
      </c>
      <c r="L296">
        <v>1060</v>
      </c>
      <c r="M296" t="s">
        <v>1822</v>
      </c>
      <c r="N296" t="s">
        <v>1822</v>
      </c>
      <c r="O296" t="s">
        <v>1790</v>
      </c>
      <c r="P296" t="s">
        <v>1743</v>
      </c>
    </row>
    <row r="297" spans="1:17" x14ac:dyDescent="0.3">
      <c r="A297">
        <v>1155467</v>
      </c>
      <c r="B297" t="s">
        <v>2291</v>
      </c>
      <c r="C297" t="s">
        <v>2299</v>
      </c>
      <c r="D297" t="s">
        <v>2300</v>
      </c>
      <c r="E297" t="s">
        <v>2301</v>
      </c>
      <c r="F297" t="s">
        <v>1822</v>
      </c>
      <c r="G297" t="s">
        <v>2305</v>
      </c>
      <c r="H297" t="s">
        <v>22</v>
      </c>
      <c r="I297" t="s">
        <v>22</v>
      </c>
      <c r="J297" t="s">
        <v>17</v>
      </c>
      <c r="K297">
        <v>900</v>
      </c>
      <c r="L297">
        <v>1060</v>
      </c>
      <c r="M297" t="s">
        <v>1822</v>
      </c>
      <c r="N297" t="s">
        <v>1822</v>
      </c>
      <c r="O297" t="s">
        <v>1790</v>
      </c>
      <c r="P297" t="s">
        <v>1743</v>
      </c>
    </row>
    <row r="298" spans="1:17" x14ac:dyDescent="0.3">
      <c r="A298">
        <v>1155496</v>
      </c>
      <c r="B298" t="s">
        <v>2306</v>
      </c>
      <c r="C298" t="s">
        <v>2279</v>
      </c>
      <c r="D298" t="s">
        <v>2280</v>
      </c>
      <c r="E298" t="s">
        <v>2281</v>
      </c>
      <c r="F298" t="s">
        <v>1822</v>
      </c>
      <c r="G298" t="s">
        <v>1822</v>
      </c>
      <c r="H298" t="s">
        <v>22</v>
      </c>
      <c r="I298" t="s">
        <v>22</v>
      </c>
      <c r="J298" t="s">
        <v>17</v>
      </c>
      <c r="K298">
        <v>923</v>
      </c>
      <c r="L298">
        <v>1074</v>
      </c>
      <c r="M298" t="s">
        <v>254</v>
      </c>
      <c r="N298" t="s">
        <v>255</v>
      </c>
      <c r="O298" t="s">
        <v>1790</v>
      </c>
      <c r="P298" t="s">
        <v>1743</v>
      </c>
      <c r="Q298" t="s">
        <v>2282</v>
      </c>
    </row>
    <row r="299" spans="1:17" x14ac:dyDescent="0.3">
      <c r="A299">
        <v>1155496</v>
      </c>
      <c r="B299" t="s">
        <v>2306</v>
      </c>
      <c r="C299" t="s">
        <v>2292</v>
      </c>
      <c r="D299" t="s">
        <v>2293</v>
      </c>
      <c r="E299" t="s">
        <v>2294</v>
      </c>
      <c r="F299" t="s">
        <v>1822</v>
      </c>
      <c r="G299" t="s">
        <v>1822</v>
      </c>
      <c r="H299" t="s">
        <v>22</v>
      </c>
      <c r="I299" t="s">
        <v>22</v>
      </c>
      <c r="J299" t="s">
        <v>17</v>
      </c>
      <c r="K299">
        <v>947</v>
      </c>
      <c r="L299">
        <v>1068</v>
      </c>
      <c r="M299" t="s">
        <v>2295</v>
      </c>
      <c r="N299" t="s">
        <v>2296</v>
      </c>
      <c r="O299" t="s">
        <v>1790</v>
      </c>
      <c r="P299" t="s">
        <v>1743</v>
      </c>
      <c r="Q299" t="s">
        <v>2290</v>
      </c>
    </row>
    <row r="300" spans="1:17" ht="14.4" customHeight="1" x14ac:dyDescent="0.3">
      <c r="A300">
        <v>1155496</v>
      </c>
      <c r="B300" t="s">
        <v>2306</v>
      </c>
      <c r="C300" t="s">
        <v>2307</v>
      </c>
      <c r="D300" t="s">
        <v>2308</v>
      </c>
      <c r="E300" t="s">
        <v>2309</v>
      </c>
      <c r="F300" t="s">
        <v>1822</v>
      </c>
      <c r="G300" t="s">
        <v>2310</v>
      </c>
      <c r="H300" t="s">
        <v>22</v>
      </c>
      <c r="I300" t="s">
        <v>22</v>
      </c>
      <c r="J300" t="s">
        <v>17</v>
      </c>
      <c r="K300">
        <v>944</v>
      </c>
      <c r="L300">
        <v>1087</v>
      </c>
      <c r="M300" t="s">
        <v>1822</v>
      </c>
      <c r="N300" t="s">
        <v>1822</v>
      </c>
      <c r="O300" t="s">
        <v>1790</v>
      </c>
      <c r="P300" t="s">
        <v>1743</v>
      </c>
      <c r="Q300" s="45" t="s">
        <v>2311</v>
      </c>
    </row>
    <row r="301" spans="1:17" ht="14.4" customHeight="1" x14ac:dyDescent="0.3">
      <c r="A301">
        <v>1155496</v>
      </c>
      <c r="B301" t="s">
        <v>2306</v>
      </c>
      <c r="C301" t="s">
        <v>2307</v>
      </c>
      <c r="D301" t="s">
        <v>2308</v>
      </c>
      <c r="E301" t="s">
        <v>2309</v>
      </c>
      <c r="F301" t="s">
        <v>1822</v>
      </c>
      <c r="G301" t="s">
        <v>2312</v>
      </c>
      <c r="H301" t="s">
        <v>22</v>
      </c>
      <c r="I301" t="s">
        <v>22</v>
      </c>
      <c r="J301" t="s">
        <v>17</v>
      </c>
      <c r="K301">
        <v>944</v>
      </c>
      <c r="L301">
        <v>1087</v>
      </c>
      <c r="M301" t="s">
        <v>1822</v>
      </c>
      <c r="N301" t="s">
        <v>1822</v>
      </c>
      <c r="O301" t="s">
        <v>1790</v>
      </c>
      <c r="P301" t="s">
        <v>1743</v>
      </c>
      <c r="Q301" s="45"/>
    </row>
    <row r="302" spans="1:17" ht="14.4" customHeight="1" x14ac:dyDescent="0.3">
      <c r="A302">
        <v>1155496</v>
      </c>
      <c r="B302" t="s">
        <v>2306</v>
      </c>
      <c r="C302" t="s">
        <v>2307</v>
      </c>
      <c r="D302" t="s">
        <v>2308</v>
      </c>
      <c r="E302" t="s">
        <v>2309</v>
      </c>
      <c r="F302" t="s">
        <v>1822</v>
      </c>
      <c r="G302" t="s">
        <v>2313</v>
      </c>
      <c r="H302" t="s">
        <v>22</v>
      </c>
      <c r="I302" t="s">
        <v>22</v>
      </c>
      <c r="J302" t="s">
        <v>17</v>
      </c>
      <c r="K302">
        <v>944</v>
      </c>
      <c r="L302">
        <v>1087</v>
      </c>
      <c r="M302" t="s">
        <v>1822</v>
      </c>
      <c r="N302" t="s">
        <v>1822</v>
      </c>
      <c r="O302" t="s">
        <v>1790</v>
      </c>
      <c r="P302" t="s">
        <v>1743</v>
      </c>
      <c r="Q302" s="45"/>
    </row>
    <row r="303" spans="1:17" ht="14.4" customHeight="1" x14ac:dyDescent="0.3">
      <c r="A303">
        <v>1155496</v>
      </c>
      <c r="B303" t="s">
        <v>2306</v>
      </c>
      <c r="C303" t="s">
        <v>2307</v>
      </c>
      <c r="D303" t="s">
        <v>2308</v>
      </c>
      <c r="E303" t="s">
        <v>2309</v>
      </c>
      <c r="F303" t="s">
        <v>1822</v>
      </c>
      <c r="G303" t="s">
        <v>2314</v>
      </c>
      <c r="H303" t="s">
        <v>22</v>
      </c>
      <c r="I303" t="s">
        <v>22</v>
      </c>
      <c r="J303" t="s">
        <v>17</v>
      </c>
      <c r="K303">
        <v>944</v>
      </c>
      <c r="L303">
        <v>1087</v>
      </c>
      <c r="M303" t="s">
        <v>1822</v>
      </c>
      <c r="N303" t="s">
        <v>1822</v>
      </c>
      <c r="O303" t="s">
        <v>1790</v>
      </c>
      <c r="P303" t="s">
        <v>1743</v>
      </c>
      <c r="Q303" s="45"/>
    </row>
    <row r="304" spans="1:17" ht="14.4" customHeight="1" x14ac:dyDescent="0.3">
      <c r="A304">
        <v>1155496</v>
      </c>
      <c r="B304" t="s">
        <v>2306</v>
      </c>
      <c r="C304" t="s">
        <v>2307</v>
      </c>
      <c r="D304" t="s">
        <v>2308</v>
      </c>
      <c r="E304" t="s">
        <v>2309</v>
      </c>
      <c r="F304" t="s">
        <v>1822</v>
      </c>
      <c r="G304" t="s">
        <v>2315</v>
      </c>
      <c r="H304" t="s">
        <v>22</v>
      </c>
      <c r="I304" t="s">
        <v>22</v>
      </c>
      <c r="J304" t="s">
        <v>17</v>
      </c>
      <c r="K304">
        <v>944</v>
      </c>
      <c r="L304">
        <v>1087</v>
      </c>
      <c r="M304" t="s">
        <v>1822</v>
      </c>
      <c r="N304" t="s">
        <v>1822</v>
      </c>
      <c r="O304" t="s">
        <v>1790</v>
      </c>
      <c r="P304" t="s">
        <v>1743</v>
      </c>
      <c r="Q304" s="45"/>
    </row>
    <row r="305" spans="1:17" ht="14.4" customHeight="1" x14ac:dyDescent="0.3">
      <c r="A305">
        <v>1155496</v>
      </c>
      <c r="B305" t="s">
        <v>2306</v>
      </c>
      <c r="C305" t="s">
        <v>2307</v>
      </c>
      <c r="D305" t="s">
        <v>2308</v>
      </c>
      <c r="E305" t="s">
        <v>2309</v>
      </c>
      <c r="F305" t="s">
        <v>1822</v>
      </c>
      <c r="G305" t="s">
        <v>2316</v>
      </c>
      <c r="H305" t="s">
        <v>22</v>
      </c>
      <c r="I305" t="s">
        <v>22</v>
      </c>
      <c r="J305" t="s">
        <v>17</v>
      </c>
      <c r="K305">
        <v>944</v>
      </c>
      <c r="L305">
        <v>1087</v>
      </c>
      <c r="M305" t="s">
        <v>1822</v>
      </c>
      <c r="N305" t="s">
        <v>1822</v>
      </c>
      <c r="O305" t="s">
        <v>1790</v>
      </c>
      <c r="P305" t="s">
        <v>1743</v>
      </c>
      <c r="Q305" s="45"/>
    </row>
    <row r="306" spans="1:17" ht="14.4" customHeight="1" x14ac:dyDescent="0.3">
      <c r="A306">
        <v>1155496</v>
      </c>
      <c r="B306" t="s">
        <v>2306</v>
      </c>
      <c r="C306" t="s">
        <v>2307</v>
      </c>
      <c r="D306" t="s">
        <v>2308</v>
      </c>
      <c r="E306" t="s">
        <v>2309</v>
      </c>
      <c r="F306" t="s">
        <v>1822</v>
      </c>
      <c r="G306" t="s">
        <v>2317</v>
      </c>
      <c r="H306" t="s">
        <v>22</v>
      </c>
      <c r="I306" t="s">
        <v>22</v>
      </c>
      <c r="J306" t="s">
        <v>17</v>
      </c>
      <c r="K306">
        <v>944</v>
      </c>
      <c r="L306">
        <v>1087</v>
      </c>
      <c r="M306" t="s">
        <v>1822</v>
      </c>
      <c r="N306" t="s">
        <v>1822</v>
      </c>
      <c r="O306" t="s">
        <v>1790</v>
      </c>
      <c r="P306" t="s">
        <v>1743</v>
      </c>
      <c r="Q306" s="45"/>
    </row>
    <row r="307" spans="1:17" ht="14.4" customHeight="1" x14ac:dyDescent="0.3">
      <c r="A307">
        <v>1155496</v>
      </c>
      <c r="B307" t="s">
        <v>2306</v>
      </c>
      <c r="C307" t="s">
        <v>2307</v>
      </c>
      <c r="D307" t="s">
        <v>2308</v>
      </c>
      <c r="E307" t="s">
        <v>2309</v>
      </c>
      <c r="F307" t="s">
        <v>1822</v>
      </c>
      <c r="G307" t="s">
        <v>2318</v>
      </c>
      <c r="H307" t="s">
        <v>22</v>
      </c>
      <c r="I307" t="s">
        <v>22</v>
      </c>
      <c r="J307" t="s">
        <v>17</v>
      </c>
      <c r="K307">
        <v>944</v>
      </c>
      <c r="L307">
        <v>1087</v>
      </c>
      <c r="M307" t="s">
        <v>1822</v>
      </c>
      <c r="N307" t="s">
        <v>1822</v>
      </c>
      <c r="O307" t="s">
        <v>1790</v>
      </c>
      <c r="P307" t="s">
        <v>1743</v>
      </c>
      <c r="Q307" s="45"/>
    </row>
    <row r="308" spans="1:17" ht="14.4" customHeight="1" x14ac:dyDescent="0.3">
      <c r="A308">
        <v>1155496</v>
      </c>
      <c r="B308" t="s">
        <v>2306</v>
      </c>
      <c r="C308" t="s">
        <v>2307</v>
      </c>
      <c r="D308" t="s">
        <v>2308</v>
      </c>
      <c r="E308" t="s">
        <v>2309</v>
      </c>
      <c r="F308" t="s">
        <v>1822</v>
      </c>
      <c r="G308" t="s">
        <v>2319</v>
      </c>
      <c r="H308" t="s">
        <v>22</v>
      </c>
      <c r="I308" t="s">
        <v>22</v>
      </c>
      <c r="J308" t="s">
        <v>17</v>
      </c>
      <c r="K308">
        <v>944</v>
      </c>
      <c r="L308">
        <v>1087</v>
      </c>
      <c r="M308" t="s">
        <v>1822</v>
      </c>
      <c r="N308" t="s">
        <v>1822</v>
      </c>
      <c r="O308" t="s">
        <v>1790</v>
      </c>
      <c r="P308" t="s">
        <v>1743</v>
      </c>
      <c r="Q308" s="45"/>
    </row>
    <row r="309" spans="1:17" ht="14.4" customHeight="1" x14ac:dyDescent="0.3">
      <c r="A309">
        <v>1155496</v>
      </c>
      <c r="B309" t="s">
        <v>2306</v>
      </c>
      <c r="C309" t="s">
        <v>2307</v>
      </c>
      <c r="D309" t="s">
        <v>2308</v>
      </c>
      <c r="E309" t="s">
        <v>2309</v>
      </c>
      <c r="F309" t="s">
        <v>1822</v>
      </c>
      <c r="G309" t="s">
        <v>2320</v>
      </c>
      <c r="H309" t="s">
        <v>22</v>
      </c>
      <c r="I309" t="s">
        <v>22</v>
      </c>
      <c r="J309" t="s">
        <v>17</v>
      </c>
      <c r="K309">
        <v>944</v>
      </c>
      <c r="L309">
        <v>1087</v>
      </c>
      <c r="M309" t="s">
        <v>1822</v>
      </c>
      <c r="N309" t="s">
        <v>1822</v>
      </c>
      <c r="O309" t="s">
        <v>1790</v>
      </c>
      <c r="P309" t="s">
        <v>1743</v>
      </c>
      <c r="Q309" s="45"/>
    </row>
    <row r="310" spans="1:17" ht="14.4" customHeight="1" x14ac:dyDescent="0.3">
      <c r="A310">
        <v>1155496</v>
      </c>
      <c r="B310" t="s">
        <v>2306</v>
      </c>
      <c r="C310" t="s">
        <v>2307</v>
      </c>
      <c r="D310" t="s">
        <v>2308</v>
      </c>
      <c r="E310" t="s">
        <v>2309</v>
      </c>
      <c r="F310" t="s">
        <v>1822</v>
      </c>
      <c r="G310" t="s">
        <v>2321</v>
      </c>
      <c r="H310" t="s">
        <v>22</v>
      </c>
      <c r="I310" t="s">
        <v>22</v>
      </c>
      <c r="J310" t="s">
        <v>17</v>
      </c>
      <c r="K310">
        <v>944</v>
      </c>
      <c r="L310">
        <v>1087</v>
      </c>
      <c r="M310" t="s">
        <v>1822</v>
      </c>
      <c r="N310" t="s">
        <v>1822</v>
      </c>
      <c r="O310" t="s">
        <v>1790</v>
      </c>
      <c r="P310" t="s">
        <v>1743</v>
      </c>
      <c r="Q310" s="45"/>
    </row>
    <row r="311" spans="1:17" ht="14.4" customHeight="1" x14ac:dyDescent="0.3">
      <c r="A311">
        <v>1155496</v>
      </c>
      <c r="B311" t="s">
        <v>2306</v>
      </c>
      <c r="C311" t="s">
        <v>2307</v>
      </c>
      <c r="D311" t="s">
        <v>2308</v>
      </c>
      <c r="E311" t="s">
        <v>2309</v>
      </c>
      <c r="F311" t="s">
        <v>1822</v>
      </c>
      <c r="G311" t="s">
        <v>2322</v>
      </c>
      <c r="H311" t="s">
        <v>22</v>
      </c>
      <c r="I311" t="s">
        <v>22</v>
      </c>
      <c r="J311" t="s">
        <v>17</v>
      </c>
      <c r="K311">
        <v>944</v>
      </c>
      <c r="L311">
        <v>1087</v>
      </c>
      <c r="M311" t="s">
        <v>1822</v>
      </c>
      <c r="N311" t="s">
        <v>1822</v>
      </c>
      <c r="O311" t="s">
        <v>1790</v>
      </c>
      <c r="P311" t="s">
        <v>1743</v>
      </c>
      <c r="Q311" s="45"/>
    </row>
    <row r="312" spans="1:17" ht="28.8" x14ac:dyDescent="0.3">
      <c r="A312">
        <v>1155496</v>
      </c>
      <c r="B312" t="s">
        <v>2306</v>
      </c>
      <c r="C312" t="s">
        <v>2284</v>
      </c>
      <c r="D312" s="4" t="s">
        <v>2285</v>
      </c>
      <c r="E312" t="s">
        <v>2286</v>
      </c>
      <c r="F312" t="s">
        <v>2287</v>
      </c>
      <c r="G312" t="s">
        <v>2131</v>
      </c>
      <c r="H312" t="s">
        <v>22</v>
      </c>
      <c r="I312" t="s">
        <v>22</v>
      </c>
      <c r="J312" t="s">
        <v>17</v>
      </c>
      <c r="K312">
        <v>950</v>
      </c>
      <c r="L312">
        <v>1090</v>
      </c>
      <c r="M312" t="s">
        <v>1822</v>
      </c>
      <c r="N312" t="s">
        <v>1822</v>
      </c>
      <c r="O312" t="s">
        <v>1703</v>
      </c>
      <c r="P312" t="s">
        <v>1703</v>
      </c>
    </row>
    <row r="313" spans="1:17" x14ac:dyDescent="0.3">
      <c r="A313">
        <v>1155496</v>
      </c>
      <c r="B313" t="s">
        <v>2306</v>
      </c>
      <c r="C313" t="s">
        <v>2284</v>
      </c>
      <c r="D313" t="s">
        <v>2285</v>
      </c>
      <c r="E313" t="s">
        <v>2286</v>
      </c>
      <c r="F313" t="s">
        <v>2287</v>
      </c>
      <c r="G313" t="s">
        <v>2132</v>
      </c>
      <c r="H313" t="s">
        <v>22</v>
      </c>
      <c r="I313" t="s">
        <v>22</v>
      </c>
      <c r="J313" t="s">
        <v>17</v>
      </c>
      <c r="K313">
        <v>950</v>
      </c>
      <c r="L313">
        <v>1090</v>
      </c>
      <c r="M313" t="s">
        <v>1822</v>
      </c>
      <c r="N313" t="s">
        <v>1822</v>
      </c>
      <c r="O313" t="s">
        <v>1703</v>
      </c>
      <c r="P313" t="s">
        <v>1703</v>
      </c>
    </row>
    <row r="314" spans="1:17" x14ac:dyDescent="0.3">
      <c r="A314">
        <v>1155496</v>
      </c>
      <c r="B314" t="s">
        <v>2306</v>
      </c>
      <c r="C314" t="s">
        <v>2284</v>
      </c>
      <c r="D314" t="s">
        <v>2285</v>
      </c>
      <c r="E314" t="s">
        <v>2286</v>
      </c>
      <c r="F314" t="s">
        <v>2287</v>
      </c>
      <c r="G314" t="s">
        <v>2133</v>
      </c>
      <c r="H314" t="s">
        <v>22</v>
      </c>
      <c r="I314" t="s">
        <v>22</v>
      </c>
      <c r="J314" t="s">
        <v>17</v>
      </c>
      <c r="K314">
        <v>950</v>
      </c>
      <c r="L314">
        <v>1090</v>
      </c>
      <c r="M314" t="s">
        <v>1822</v>
      </c>
      <c r="N314" t="s">
        <v>1822</v>
      </c>
      <c r="O314" t="s">
        <v>1703</v>
      </c>
      <c r="P314" t="s">
        <v>1703</v>
      </c>
    </row>
    <row r="315" spans="1:17" x14ac:dyDescent="0.3">
      <c r="A315">
        <v>1155601</v>
      </c>
      <c r="B315" t="s">
        <v>2323</v>
      </c>
      <c r="C315" t="s">
        <v>2292</v>
      </c>
      <c r="D315" t="s">
        <v>2293</v>
      </c>
      <c r="E315" t="s">
        <v>2294</v>
      </c>
      <c r="F315" t="s">
        <v>1822</v>
      </c>
      <c r="G315" t="s">
        <v>1822</v>
      </c>
      <c r="H315" t="s">
        <v>22</v>
      </c>
      <c r="I315" t="s">
        <v>22</v>
      </c>
      <c r="J315" t="s">
        <v>17</v>
      </c>
      <c r="K315">
        <v>947</v>
      </c>
      <c r="L315">
        <v>1088</v>
      </c>
      <c r="M315" t="s">
        <v>2295</v>
      </c>
      <c r="N315" t="s">
        <v>2296</v>
      </c>
      <c r="O315" t="s">
        <v>1703</v>
      </c>
      <c r="P315" t="s">
        <v>1743</v>
      </c>
    </row>
    <row r="316" spans="1:17" x14ac:dyDescent="0.3">
      <c r="A316">
        <v>1155601</v>
      </c>
      <c r="B316" t="s">
        <v>2323</v>
      </c>
      <c r="C316" t="s">
        <v>2284</v>
      </c>
      <c r="D316" t="s">
        <v>2285</v>
      </c>
      <c r="E316" t="s">
        <v>2286</v>
      </c>
      <c r="F316" t="s">
        <v>2287</v>
      </c>
      <c r="G316" t="s">
        <v>2131</v>
      </c>
      <c r="H316" t="s">
        <v>22</v>
      </c>
      <c r="I316" t="s">
        <v>22</v>
      </c>
      <c r="J316" t="s">
        <v>17</v>
      </c>
      <c r="K316">
        <v>950</v>
      </c>
      <c r="L316">
        <v>1110</v>
      </c>
      <c r="M316" t="s">
        <v>1822</v>
      </c>
      <c r="N316" t="s">
        <v>1822</v>
      </c>
      <c r="O316" t="s">
        <v>1703</v>
      </c>
      <c r="P316" t="s">
        <v>1703</v>
      </c>
    </row>
    <row r="317" spans="1:17" x14ac:dyDescent="0.3">
      <c r="A317">
        <v>1155601</v>
      </c>
      <c r="B317" t="s">
        <v>2323</v>
      </c>
      <c r="C317" t="s">
        <v>2284</v>
      </c>
      <c r="D317" t="s">
        <v>2285</v>
      </c>
      <c r="E317" t="s">
        <v>2286</v>
      </c>
      <c r="F317" t="s">
        <v>2287</v>
      </c>
      <c r="G317" t="s">
        <v>2132</v>
      </c>
      <c r="H317" t="s">
        <v>22</v>
      </c>
      <c r="I317" t="s">
        <v>22</v>
      </c>
      <c r="J317" t="s">
        <v>17</v>
      </c>
      <c r="K317">
        <v>950</v>
      </c>
      <c r="L317">
        <v>1110</v>
      </c>
      <c r="M317" t="s">
        <v>1822</v>
      </c>
      <c r="N317" t="s">
        <v>1822</v>
      </c>
      <c r="O317" t="s">
        <v>1703</v>
      </c>
      <c r="P317" t="s">
        <v>1703</v>
      </c>
    </row>
    <row r="318" spans="1:17" x14ac:dyDescent="0.3">
      <c r="A318">
        <v>1155601</v>
      </c>
      <c r="B318" t="s">
        <v>2323</v>
      </c>
      <c r="C318" t="s">
        <v>2284</v>
      </c>
      <c r="D318" t="s">
        <v>2285</v>
      </c>
      <c r="E318" t="s">
        <v>2286</v>
      </c>
      <c r="F318" t="s">
        <v>2287</v>
      </c>
      <c r="G318" t="s">
        <v>2133</v>
      </c>
      <c r="H318" t="s">
        <v>22</v>
      </c>
      <c r="I318" t="s">
        <v>22</v>
      </c>
      <c r="J318" t="s">
        <v>17</v>
      </c>
      <c r="K318">
        <v>950</v>
      </c>
      <c r="L318">
        <v>1110</v>
      </c>
      <c r="M318" t="s">
        <v>1822</v>
      </c>
      <c r="N318" t="s">
        <v>1822</v>
      </c>
      <c r="O318" t="s">
        <v>1703</v>
      </c>
      <c r="P318" t="s">
        <v>1703</v>
      </c>
    </row>
    <row r="319" spans="1:17" x14ac:dyDescent="0.3">
      <c r="A319">
        <v>1155602</v>
      </c>
      <c r="B319" t="s">
        <v>2324</v>
      </c>
      <c r="C319" t="s">
        <v>2292</v>
      </c>
      <c r="D319" t="s">
        <v>2293</v>
      </c>
      <c r="E319" t="s">
        <v>2294</v>
      </c>
      <c r="F319" t="s">
        <v>1822</v>
      </c>
      <c r="G319" t="s">
        <v>1822</v>
      </c>
      <c r="H319" t="s">
        <v>22</v>
      </c>
      <c r="I319" t="s">
        <v>22</v>
      </c>
      <c r="J319" t="s">
        <v>17</v>
      </c>
      <c r="K319">
        <v>947</v>
      </c>
      <c r="L319">
        <v>1088</v>
      </c>
      <c r="M319" t="s">
        <v>2295</v>
      </c>
      <c r="N319" t="s">
        <v>2296</v>
      </c>
      <c r="O319" t="s">
        <v>1703</v>
      </c>
      <c r="P319" t="s">
        <v>1743</v>
      </c>
    </row>
    <row r="320" spans="1:17" x14ac:dyDescent="0.3">
      <c r="A320">
        <v>1155602</v>
      </c>
      <c r="B320" t="s">
        <v>2324</v>
      </c>
      <c r="C320" t="s">
        <v>2284</v>
      </c>
      <c r="D320" t="s">
        <v>2285</v>
      </c>
      <c r="E320" t="s">
        <v>2286</v>
      </c>
      <c r="F320" t="s">
        <v>2287</v>
      </c>
      <c r="G320" t="s">
        <v>2131</v>
      </c>
      <c r="H320" t="s">
        <v>22</v>
      </c>
      <c r="I320" t="s">
        <v>22</v>
      </c>
      <c r="J320" t="s">
        <v>17</v>
      </c>
      <c r="K320">
        <v>950</v>
      </c>
      <c r="L320">
        <v>1100</v>
      </c>
      <c r="M320" t="s">
        <v>1822</v>
      </c>
      <c r="N320" t="s">
        <v>1822</v>
      </c>
      <c r="O320" t="s">
        <v>1703</v>
      </c>
      <c r="P320" t="s">
        <v>1703</v>
      </c>
    </row>
    <row r="321" spans="1:16" x14ac:dyDescent="0.3">
      <c r="A321">
        <v>1155602</v>
      </c>
      <c r="B321" t="s">
        <v>2324</v>
      </c>
      <c r="C321" t="s">
        <v>2284</v>
      </c>
      <c r="D321" t="s">
        <v>2285</v>
      </c>
      <c r="E321" t="s">
        <v>2286</v>
      </c>
      <c r="F321" t="s">
        <v>2287</v>
      </c>
      <c r="G321" t="s">
        <v>2132</v>
      </c>
      <c r="H321" t="s">
        <v>22</v>
      </c>
      <c r="I321" t="s">
        <v>22</v>
      </c>
      <c r="J321" t="s">
        <v>17</v>
      </c>
      <c r="K321">
        <v>950</v>
      </c>
      <c r="L321">
        <v>1100</v>
      </c>
      <c r="M321" t="s">
        <v>1822</v>
      </c>
      <c r="N321" t="s">
        <v>1822</v>
      </c>
      <c r="O321" t="s">
        <v>1703</v>
      </c>
      <c r="P321" t="s">
        <v>1703</v>
      </c>
    </row>
    <row r="322" spans="1:16" x14ac:dyDescent="0.3">
      <c r="A322">
        <v>1155602</v>
      </c>
      <c r="B322" t="s">
        <v>2324</v>
      </c>
      <c r="C322" t="s">
        <v>2284</v>
      </c>
      <c r="D322" t="s">
        <v>2285</v>
      </c>
      <c r="E322" t="s">
        <v>2286</v>
      </c>
      <c r="F322" t="s">
        <v>2287</v>
      </c>
      <c r="G322" t="s">
        <v>2133</v>
      </c>
      <c r="H322" t="s">
        <v>22</v>
      </c>
      <c r="I322" t="s">
        <v>22</v>
      </c>
      <c r="J322" t="s">
        <v>17</v>
      </c>
      <c r="K322">
        <v>950</v>
      </c>
      <c r="L322">
        <v>1100</v>
      </c>
      <c r="M322" t="s">
        <v>1822</v>
      </c>
      <c r="N322" t="s">
        <v>1822</v>
      </c>
      <c r="O322" t="s">
        <v>1703</v>
      </c>
      <c r="P322" t="s">
        <v>1703</v>
      </c>
    </row>
    <row r="323" spans="1:16" x14ac:dyDescent="0.3">
      <c r="A323">
        <v>1155602</v>
      </c>
      <c r="B323" t="s">
        <v>2324</v>
      </c>
      <c r="C323" t="s">
        <v>2325</v>
      </c>
      <c r="D323" t="s">
        <v>1822</v>
      </c>
      <c r="E323" t="s">
        <v>1822</v>
      </c>
      <c r="F323" t="s">
        <v>1822</v>
      </c>
      <c r="G323" t="s">
        <v>1822</v>
      </c>
      <c r="H323" t="s">
        <v>16</v>
      </c>
      <c r="I323" t="s">
        <v>16</v>
      </c>
      <c r="J323" t="s">
        <v>17</v>
      </c>
      <c r="K323">
        <v>0</v>
      </c>
      <c r="L323">
        <v>0</v>
      </c>
      <c r="M323" t="s">
        <v>1822</v>
      </c>
      <c r="N323" t="s">
        <v>1822</v>
      </c>
      <c r="O323" t="s">
        <v>1790</v>
      </c>
      <c r="P323" t="s">
        <v>1743</v>
      </c>
    </row>
    <row r="324" spans="1:16" x14ac:dyDescent="0.3">
      <c r="A324">
        <v>1155604</v>
      </c>
      <c r="B324" t="s">
        <v>2326</v>
      </c>
      <c r="C324" t="s">
        <v>2284</v>
      </c>
      <c r="D324" t="s">
        <v>2285</v>
      </c>
      <c r="E324" t="s">
        <v>2286</v>
      </c>
      <c r="F324" t="s">
        <v>2287</v>
      </c>
      <c r="G324" t="s">
        <v>2131</v>
      </c>
      <c r="H324" t="s">
        <v>22</v>
      </c>
      <c r="I324" t="s">
        <v>22</v>
      </c>
      <c r="J324" t="s">
        <v>17</v>
      </c>
      <c r="K324">
        <v>950</v>
      </c>
      <c r="L324">
        <v>1130</v>
      </c>
      <c r="M324" t="s">
        <v>1822</v>
      </c>
      <c r="N324" t="s">
        <v>1822</v>
      </c>
      <c r="O324" t="s">
        <v>1703</v>
      </c>
      <c r="P324" t="s">
        <v>1703</v>
      </c>
    </row>
    <row r="325" spans="1:16" x14ac:dyDescent="0.3">
      <c r="A325">
        <v>1155604</v>
      </c>
      <c r="B325" t="s">
        <v>2326</v>
      </c>
      <c r="C325" t="s">
        <v>2284</v>
      </c>
      <c r="D325" t="s">
        <v>2285</v>
      </c>
      <c r="E325" t="s">
        <v>2286</v>
      </c>
      <c r="F325" t="s">
        <v>2287</v>
      </c>
      <c r="G325" t="s">
        <v>2132</v>
      </c>
      <c r="H325" t="s">
        <v>22</v>
      </c>
      <c r="I325" t="s">
        <v>22</v>
      </c>
      <c r="J325" t="s">
        <v>17</v>
      </c>
      <c r="K325">
        <v>950</v>
      </c>
      <c r="L325">
        <v>1130</v>
      </c>
      <c r="M325" t="s">
        <v>1822</v>
      </c>
      <c r="N325" t="s">
        <v>1822</v>
      </c>
      <c r="O325" t="s">
        <v>1703</v>
      </c>
      <c r="P325" t="s">
        <v>1703</v>
      </c>
    </row>
    <row r="326" spans="1:16" x14ac:dyDescent="0.3">
      <c r="A326">
        <v>1155604</v>
      </c>
      <c r="B326" t="s">
        <v>2326</v>
      </c>
      <c r="C326" t="s">
        <v>2284</v>
      </c>
      <c r="D326" t="s">
        <v>2285</v>
      </c>
      <c r="E326" t="s">
        <v>2286</v>
      </c>
      <c r="F326" t="s">
        <v>2287</v>
      </c>
      <c r="G326" t="s">
        <v>2133</v>
      </c>
      <c r="H326" t="s">
        <v>22</v>
      </c>
      <c r="I326" t="s">
        <v>22</v>
      </c>
      <c r="J326" t="s">
        <v>17</v>
      </c>
      <c r="K326">
        <v>950</v>
      </c>
      <c r="L326">
        <v>1130</v>
      </c>
      <c r="M326" t="s">
        <v>1822</v>
      </c>
      <c r="N326" t="s">
        <v>1822</v>
      </c>
      <c r="O326" t="s">
        <v>1703</v>
      </c>
      <c r="P326" t="s">
        <v>1703</v>
      </c>
    </row>
    <row r="327" spans="1:16" x14ac:dyDescent="0.3">
      <c r="A327">
        <v>1155604</v>
      </c>
      <c r="B327" t="s">
        <v>2326</v>
      </c>
      <c r="C327" t="s">
        <v>2327</v>
      </c>
      <c r="D327" t="s">
        <v>2288</v>
      </c>
      <c r="E327" t="s">
        <v>2289</v>
      </c>
      <c r="F327" t="s">
        <v>1822</v>
      </c>
      <c r="G327" t="s">
        <v>1822</v>
      </c>
      <c r="H327" t="s">
        <v>22</v>
      </c>
      <c r="I327" t="s">
        <v>22</v>
      </c>
      <c r="J327" t="s">
        <v>17</v>
      </c>
      <c r="K327">
        <v>943</v>
      </c>
      <c r="L327">
        <v>596</v>
      </c>
      <c r="M327" t="s">
        <v>1822</v>
      </c>
      <c r="N327" t="s">
        <v>1822</v>
      </c>
      <c r="O327" t="s">
        <v>1703</v>
      </c>
      <c r="P327" t="s">
        <v>1743</v>
      </c>
    </row>
    <row r="328" spans="1:16" x14ac:dyDescent="0.3">
      <c r="A328">
        <v>1155604</v>
      </c>
      <c r="B328" t="s">
        <v>2326</v>
      </c>
      <c r="C328" t="s">
        <v>2328</v>
      </c>
      <c r="D328" t="s">
        <v>2328</v>
      </c>
      <c r="E328" t="s">
        <v>2329</v>
      </c>
      <c r="F328" t="s">
        <v>1822</v>
      </c>
      <c r="G328" t="s">
        <v>1822</v>
      </c>
      <c r="H328" t="s">
        <v>22</v>
      </c>
      <c r="I328" t="s">
        <v>22</v>
      </c>
      <c r="J328" t="s">
        <v>17</v>
      </c>
      <c r="K328">
        <v>1000</v>
      </c>
      <c r="L328">
        <v>1130</v>
      </c>
      <c r="M328" t="s">
        <v>2330</v>
      </c>
      <c r="N328" t="s">
        <v>2331</v>
      </c>
      <c r="O328" t="s">
        <v>1703</v>
      </c>
      <c r="P328" t="s">
        <v>1743</v>
      </c>
    </row>
    <row r="329" spans="1:16" x14ac:dyDescent="0.3">
      <c r="A329">
        <v>1155604</v>
      </c>
      <c r="B329" t="s">
        <v>2326</v>
      </c>
      <c r="C329" t="s">
        <v>2332</v>
      </c>
      <c r="D329" t="s">
        <v>1822</v>
      </c>
      <c r="E329" t="s">
        <v>1822</v>
      </c>
      <c r="F329" t="s">
        <v>1822</v>
      </c>
      <c r="G329" t="s">
        <v>1822</v>
      </c>
      <c r="H329" t="s">
        <v>16</v>
      </c>
      <c r="I329" t="s">
        <v>16</v>
      </c>
      <c r="J329" t="s">
        <v>17</v>
      </c>
      <c r="K329">
        <v>0</v>
      </c>
      <c r="L329">
        <v>0</v>
      </c>
      <c r="M329" t="s">
        <v>1822</v>
      </c>
      <c r="N329" t="s">
        <v>1822</v>
      </c>
      <c r="O329" t="s">
        <v>1790</v>
      </c>
      <c r="P329" t="s">
        <v>1743</v>
      </c>
    </row>
  </sheetData>
  <mergeCells count="10">
    <mergeCell ref="S2:S71"/>
    <mergeCell ref="Q5:Q20"/>
    <mergeCell ref="Q32:Q46"/>
    <mergeCell ref="Q49:Q80"/>
    <mergeCell ref="Q87:Q88"/>
    <mergeCell ref="Q90:Q95"/>
    <mergeCell ref="Q114:Q116"/>
    <mergeCell ref="Q122:Q131"/>
    <mergeCell ref="Q300:Q311"/>
    <mergeCell ref="R2:R71"/>
  </mergeCells>
  <pageMargins left="0.7" right="0.7" top="0.75" bottom="0.75" header="0.3" footer="0.3"/>
  <tableParts count="1">
    <tablePart r:id="rId1"/>
  </tableParts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08CBA9E-C6EE-4B2A-9289-4E2D49D5D673}">
  <sheetPr filterMode="1">
    <outlinePr summaryBelow="0" summaryRight="0"/>
  </sheetPr>
  <dimension ref="A1:V1000"/>
  <sheetViews>
    <sheetView workbookViewId="0">
      <pane ySplit="1" topLeftCell="A2" activePane="bottomLeft" state="frozen"/>
      <selection pane="bottomLeft" activeCell="B3" sqref="B3"/>
    </sheetView>
  </sheetViews>
  <sheetFormatPr defaultColWidth="12.6640625" defaultRowHeight="15.75" customHeight="1" x14ac:dyDescent="0.3"/>
  <cols>
    <col min="1" max="1" width="12.6640625" style="29"/>
    <col min="2" max="2" width="70.21875" style="29" customWidth="1"/>
    <col min="3" max="3" width="40.44140625" style="29" customWidth="1"/>
    <col min="4" max="4" width="28.21875" style="29" customWidth="1"/>
    <col min="5" max="6" width="12.6640625" style="29"/>
    <col min="7" max="7" width="102.77734375" style="29" customWidth="1"/>
    <col min="8" max="13" width="12.6640625" style="29"/>
    <col min="14" max="14" width="52.77734375" style="29" hidden="1" customWidth="1"/>
    <col min="15" max="15" width="55" style="29" customWidth="1"/>
    <col min="16" max="16384" width="12.6640625" style="29"/>
  </cols>
  <sheetData>
    <row r="1" spans="1:15" ht="13.8" x14ac:dyDescent="0.3">
      <c r="A1" s="27" t="s">
        <v>0</v>
      </c>
      <c r="B1" s="28" t="s">
        <v>1</v>
      </c>
      <c r="C1" s="28" t="s">
        <v>2</v>
      </c>
      <c r="D1" s="27" t="s">
        <v>3</v>
      </c>
      <c r="E1" s="27" t="s">
        <v>4</v>
      </c>
      <c r="F1" s="27" t="s">
        <v>5</v>
      </c>
      <c r="G1" s="27" t="s">
        <v>6</v>
      </c>
      <c r="H1" s="27" t="s">
        <v>7</v>
      </c>
      <c r="I1" s="27" t="s">
        <v>8</v>
      </c>
      <c r="J1" s="27" t="s">
        <v>9</v>
      </c>
      <c r="K1" s="27" t="s">
        <v>10</v>
      </c>
      <c r="L1" s="27" t="s">
        <v>11</v>
      </c>
      <c r="M1" s="27" t="s">
        <v>12</v>
      </c>
      <c r="N1" s="27" t="s">
        <v>13</v>
      </c>
      <c r="O1" s="27" t="s">
        <v>2903</v>
      </c>
    </row>
    <row r="2" spans="1:15" ht="13.8" x14ac:dyDescent="0.3">
      <c r="A2" s="27">
        <v>1015505</v>
      </c>
      <c r="B2" s="30" t="s">
        <v>2904</v>
      </c>
      <c r="C2" s="28" t="s">
        <v>1949</v>
      </c>
      <c r="D2" s="27" t="s">
        <v>1949</v>
      </c>
      <c r="E2" s="31" t="s">
        <v>2905</v>
      </c>
      <c r="F2" s="31">
        <v>152383070</v>
      </c>
      <c r="G2" s="31"/>
      <c r="H2" s="27" t="s">
        <v>22</v>
      </c>
      <c r="I2" s="27" t="s">
        <v>22</v>
      </c>
      <c r="J2" s="27" t="s">
        <v>17</v>
      </c>
      <c r="K2" s="27">
        <v>100</v>
      </c>
      <c r="L2" s="27">
        <v>113</v>
      </c>
      <c r="M2" s="27" t="s">
        <v>2906</v>
      </c>
      <c r="N2" s="27" t="s">
        <v>2907</v>
      </c>
      <c r="O2" s="27" t="s">
        <v>2908</v>
      </c>
    </row>
    <row r="3" spans="1:15" ht="13.8" x14ac:dyDescent="0.3">
      <c r="A3" s="27">
        <v>1015505</v>
      </c>
      <c r="B3" s="30" t="s">
        <v>2904</v>
      </c>
      <c r="C3" s="28" t="s">
        <v>2909</v>
      </c>
      <c r="D3" s="27" t="s">
        <v>2910</v>
      </c>
      <c r="E3" s="31" t="s">
        <v>2911</v>
      </c>
      <c r="F3" s="31" t="s">
        <v>2912</v>
      </c>
      <c r="G3" s="31" t="s">
        <v>2913</v>
      </c>
      <c r="H3" s="27" t="s">
        <v>22</v>
      </c>
      <c r="I3" s="27" t="s">
        <v>22</v>
      </c>
      <c r="J3" s="27" t="s">
        <v>17</v>
      </c>
      <c r="K3" s="27">
        <v>90</v>
      </c>
      <c r="L3" s="27">
        <v>108</v>
      </c>
      <c r="M3" s="27" t="s">
        <v>2914</v>
      </c>
      <c r="N3" s="27" t="s">
        <v>2915</v>
      </c>
    </row>
    <row r="4" spans="1:15" ht="13.8" x14ac:dyDescent="0.3">
      <c r="A4" s="27">
        <v>1015505</v>
      </c>
      <c r="B4" s="30" t="s">
        <v>2904</v>
      </c>
      <c r="C4" s="28" t="s">
        <v>2909</v>
      </c>
      <c r="D4" s="27" t="s">
        <v>2910</v>
      </c>
      <c r="E4" s="31" t="s">
        <v>2911</v>
      </c>
      <c r="F4" s="31" t="s">
        <v>2912</v>
      </c>
      <c r="G4" s="31" t="s">
        <v>2916</v>
      </c>
      <c r="H4" s="27" t="s">
        <v>22</v>
      </c>
      <c r="I4" s="27" t="s">
        <v>22</v>
      </c>
      <c r="J4" s="27" t="s">
        <v>17</v>
      </c>
      <c r="K4" s="27">
        <v>90</v>
      </c>
      <c r="L4" s="27">
        <v>108</v>
      </c>
      <c r="M4" s="27" t="s">
        <v>2914</v>
      </c>
      <c r="N4" s="27" t="s">
        <v>2915</v>
      </c>
    </row>
    <row r="5" spans="1:15" ht="13.8" x14ac:dyDescent="0.3">
      <c r="A5" s="27">
        <v>1015505</v>
      </c>
      <c r="B5" s="30" t="s">
        <v>2904</v>
      </c>
      <c r="C5" s="28" t="s">
        <v>2909</v>
      </c>
      <c r="D5" s="27" t="s">
        <v>2910</v>
      </c>
      <c r="E5" s="31" t="s">
        <v>2911</v>
      </c>
      <c r="F5" s="31" t="s">
        <v>2912</v>
      </c>
      <c r="G5" s="31" t="s">
        <v>2917</v>
      </c>
      <c r="H5" s="27" t="s">
        <v>22</v>
      </c>
      <c r="I5" s="27" t="s">
        <v>22</v>
      </c>
      <c r="J5" s="27" t="s">
        <v>17</v>
      </c>
      <c r="K5" s="27">
        <v>90</v>
      </c>
      <c r="L5" s="27">
        <v>108</v>
      </c>
      <c r="M5" s="27" t="s">
        <v>2914</v>
      </c>
      <c r="N5" s="27" t="s">
        <v>2915</v>
      </c>
    </row>
    <row r="6" spans="1:15" ht="13.8" x14ac:dyDescent="0.3">
      <c r="A6" s="27">
        <v>1015505</v>
      </c>
      <c r="B6" s="30" t="s">
        <v>2904</v>
      </c>
      <c r="C6" s="28" t="s">
        <v>2909</v>
      </c>
      <c r="D6" s="27" t="s">
        <v>2910</v>
      </c>
      <c r="E6" s="31" t="s">
        <v>2911</v>
      </c>
      <c r="F6" s="31" t="s">
        <v>2912</v>
      </c>
      <c r="G6" s="31" t="s">
        <v>2918</v>
      </c>
      <c r="H6" s="27" t="s">
        <v>22</v>
      </c>
      <c r="I6" s="27" t="s">
        <v>22</v>
      </c>
      <c r="J6" s="27" t="s">
        <v>17</v>
      </c>
      <c r="K6" s="27">
        <v>90</v>
      </c>
      <c r="L6" s="27">
        <v>108</v>
      </c>
      <c r="M6" s="27" t="s">
        <v>2914</v>
      </c>
      <c r="N6" s="27" t="s">
        <v>2915</v>
      </c>
    </row>
    <row r="7" spans="1:15" ht="13.8" x14ac:dyDescent="0.3">
      <c r="A7" s="27">
        <v>1015505</v>
      </c>
      <c r="B7" s="30" t="s">
        <v>2904</v>
      </c>
      <c r="C7" s="28" t="s">
        <v>2909</v>
      </c>
      <c r="D7" s="27" t="s">
        <v>2910</v>
      </c>
      <c r="E7" s="31" t="s">
        <v>2911</v>
      </c>
      <c r="F7" s="31" t="s">
        <v>2912</v>
      </c>
      <c r="G7" s="31" t="s">
        <v>2919</v>
      </c>
      <c r="H7" s="27" t="s">
        <v>22</v>
      </c>
      <c r="I7" s="27" t="s">
        <v>22</v>
      </c>
      <c r="J7" s="27" t="s">
        <v>17</v>
      </c>
      <c r="K7" s="27">
        <v>90</v>
      </c>
      <c r="L7" s="27">
        <v>108</v>
      </c>
      <c r="M7" s="27" t="s">
        <v>2914</v>
      </c>
      <c r="N7" s="27" t="s">
        <v>2915</v>
      </c>
    </row>
    <row r="8" spans="1:15" ht="13.8" x14ac:dyDescent="0.3">
      <c r="A8" s="27">
        <v>1015505</v>
      </c>
      <c r="B8" s="30" t="s">
        <v>2904</v>
      </c>
      <c r="C8" s="28" t="s">
        <v>2909</v>
      </c>
      <c r="D8" s="27" t="s">
        <v>2910</v>
      </c>
      <c r="E8" s="31" t="s">
        <v>2911</v>
      </c>
      <c r="F8" s="31" t="s">
        <v>2912</v>
      </c>
      <c r="G8" s="31" t="s">
        <v>2920</v>
      </c>
      <c r="H8" s="27" t="s">
        <v>22</v>
      </c>
      <c r="I8" s="27" t="s">
        <v>22</v>
      </c>
      <c r="J8" s="27" t="s">
        <v>17</v>
      </c>
      <c r="K8" s="27">
        <v>90</v>
      </c>
      <c r="L8" s="27">
        <v>108</v>
      </c>
      <c r="M8" s="27" t="s">
        <v>2914</v>
      </c>
      <c r="N8" s="27" t="s">
        <v>2915</v>
      </c>
    </row>
    <row r="9" spans="1:15" ht="13.8" x14ac:dyDescent="0.3">
      <c r="A9" s="27">
        <v>1015505</v>
      </c>
      <c r="B9" s="30" t="s">
        <v>2904</v>
      </c>
      <c r="C9" s="28" t="s">
        <v>2909</v>
      </c>
      <c r="D9" s="27" t="s">
        <v>2910</v>
      </c>
      <c r="E9" s="31" t="s">
        <v>2911</v>
      </c>
      <c r="F9" s="31" t="s">
        <v>2912</v>
      </c>
      <c r="G9" s="31" t="s">
        <v>2921</v>
      </c>
      <c r="H9" s="27" t="s">
        <v>22</v>
      </c>
      <c r="I9" s="27" t="s">
        <v>22</v>
      </c>
      <c r="J9" s="27" t="s">
        <v>17</v>
      </c>
      <c r="K9" s="27">
        <v>90</v>
      </c>
      <c r="L9" s="27">
        <v>108</v>
      </c>
      <c r="M9" s="27" t="s">
        <v>2914</v>
      </c>
      <c r="N9" s="27" t="s">
        <v>2915</v>
      </c>
    </row>
    <row r="10" spans="1:15" ht="13.8" x14ac:dyDescent="0.3">
      <c r="A10" s="27">
        <v>1015505</v>
      </c>
      <c r="B10" s="30" t="s">
        <v>2904</v>
      </c>
      <c r="C10" s="28" t="s">
        <v>2909</v>
      </c>
      <c r="D10" s="27" t="s">
        <v>2910</v>
      </c>
      <c r="E10" s="31" t="s">
        <v>2911</v>
      </c>
      <c r="F10" s="31" t="s">
        <v>2912</v>
      </c>
      <c r="G10" s="31" t="s">
        <v>2922</v>
      </c>
      <c r="H10" s="27" t="s">
        <v>22</v>
      </c>
      <c r="I10" s="27" t="s">
        <v>22</v>
      </c>
      <c r="J10" s="27" t="s">
        <v>17</v>
      </c>
      <c r="K10" s="27">
        <v>90</v>
      </c>
      <c r="L10" s="27">
        <v>108</v>
      </c>
      <c r="M10" s="27" t="s">
        <v>2914</v>
      </c>
      <c r="N10" s="27" t="s">
        <v>2915</v>
      </c>
    </row>
    <row r="11" spans="1:15" ht="13.8" x14ac:dyDescent="0.3">
      <c r="A11" s="27">
        <v>1015505</v>
      </c>
      <c r="B11" s="30" t="s">
        <v>2904</v>
      </c>
      <c r="C11" s="28" t="s">
        <v>2909</v>
      </c>
      <c r="D11" s="27" t="s">
        <v>2910</v>
      </c>
      <c r="E11" s="31" t="s">
        <v>2911</v>
      </c>
      <c r="F11" s="31" t="s">
        <v>2912</v>
      </c>
      <c r="G11" s="31" t="s">
        <v>2923</v>
      </c>
      <c r="H11" s="27" t="s">
        <v>22</v>
      </c>
      <c r="I11" s="27" t="s">
        <v>22</v>
      </c>
      <c r="J11" s="27" t="s">
        <v>17</v>
      </c>
      <c r="K11" s="27">
        <v>90</v>
      </c>
      <c r="L11" s="27">
        <v>108</v>
      </c>
      <c r="M11" s="27" t="s">
        <v>2914</v>
      </c>
      <c r="N11" s="27" t="s">
        <v>2915</v>
      </c>
    </row>
    <row r="12" spans="1:15" ht="13.8" x14ac:dyDescent="0.3">
      <c r="A12" s="27">
        <v>1015505</v>
      </c>
      <c r="B12" s="30" t="s">
        <v>2904</v>
      </c>
      <c r="C12" s="28" t="s">
        <v>2909</v>
      </c>
      <c r="D12" s="27" t="s">
        <v>2910</v>
      </c>
      <c r="E12" s="31" t="s">
        <v>2911</v>
      </c>
      <c r="F12" s="31" t="s">
        <v>2912</v>
      </c>
      <c r="G12" s="31" t="s">
        <v>2924</v>
      </c>
      <c r="H12" s="27" t="s">
        <v>22</v>
      </c>
      <c r="I12" s="27" t="s">
        <v>22</v>
      </c>
      <c r="J12" s="27" t="s">
        <v>17</v>
      </c>
      <c r="K12" s="27">
        <v>90</v>
      </c>
      <c r="L12" s="27">
        <v>108</v>
      </c>
      <c r="M12" s="27" t="s">
        <v>2914</v>
      </c>
      <c r="N12" s="27" t="s">
        <v>2915</v>
      </c>
    </row>
    <row r="13" spans="1:15" ht="13.8" x14ac:dyDescent="0.3">
      <c r="A13" s="27">
        <v>1015505</v>
      </c>
      <c r="B13" s="30" t="s">
        <v>2904</v>
      </c>
      <c r="C13" s="28" t="s">
        <v>2909</v>
      </c>
      <c r="D13" s="27" t="s">
        <v>2910</v>
      </c>
      <c r="E13" s="31" t="s">
        <v>2911</v>
      </c>
      <c r="F13" s="31" t="s">
        <v>2912</v>
      </c>
      <c r="G13" s="31" t="s">
        <v>2925</v>
      </c>
      <c r="H13" s="27" t="s">
        <v>22</v>
      </c>
      <c r="I13" s="27" t="s">
        <v>22</v>
      </c>
      <c r="J13" s="27" t="s">
        <v>17</v>
      </c>
      <c r="K13" s="27">
        <v>90</v>
      </c>
      <c r="L13" s="27">
        <v>108</v>
      </c>
      <c r="M13" s="27" t="s">
        <v>2914</v>
      </c>
      <c r="N13" s="27" t="s">
        <v>2915</v>
      </c>
    </row>
    <row r="14" spans="1:15" ht="13.8" x14ac:dyDescent="0.3">
      <c r="A14" s="27">
        <v>1015505</v>
      </c>
      <c r="B14" s="30" t="s">
        <v>2904</v>
      </c>
      <c r="C14" s="28" t="s">
        <v>2909</v>
      </c>
      <c r="D14" s="27" t="s">
        <v>2910</v>
      </c>
      <c r="E14" s="31" t="s">
        <v>2911</v>
      </c>
      <c r="F14" s="31" t="s">
        <v>2912</v>
      </c>
      <c r="G14" s="31" t="s">
        <v>2926</v>
      </c>
      <c r="H14" s="27" t="s">
        <v>22</v>
      </c>
      <c r="I14" s="27" t="s">
        <v>22</v>
      </c>
      <c r="J14" s="27" t="s">
        <v>17</v>
      </c>
      <c r="K14" s="27">
        <v>90</v>
      </c>
      <c r="L14" s="27">
        <v>108</v>
      </c>
      <c r="M14" s="27" t="s">
        <v>2914</v>
      </c>
      <c r="N14" s="27" t="s">
        <v>2915</v>
      </c>
    </row>
    <row r="15" spans="1:15" ht="13.8" x14ac:dyDescent="0.3">
      <c r="A15" s="27">
        <v>1015505</v>
      </c>
      <c r="B15" s="30" t="s">
        <v>2904</v>
      </c>
      <c r="C15" s="28" t="s">
        <v>2909</v>
      </c>
      <c r="D15" s="27" t="s">
        <v>2910</v>
      </c>
      <c r="E15" s="31" t="s">
        <v>2911</v>
      </c>
      <c r="F15" s="31" t="s">
        <v>2912</v>
      </c>
      <c r="G15" s="31" t="s">
        <v>2927</v>
      </c>
      <c r="H15" s="27" t="s">
        <v>22</v>
      </c>
      <c r="I15" s="27" t="s">
        <v>22</v>
      </c>
      <c r="J15" s="27" t="s">
        <v>17</v>
      </c>
      <c r="K15" s="27">
        <v>90</v>
      </c>
      <c r="L15" s="27">
        <v>108</v>
      </c>
      <c r="M15" s="27" t="s">
        <v>2914</v>
      </c>
      <c r="N15" s="27" t="s">
        <v>2915</v>
      </c>
    </row>
    <row r="16" spans="1:15" ht="13.8" x14ac:dyDescent="0.3">
      <c r="A16" s="27">
        <v>1015505</v>
      </c>
      <c r="B16" s="30" t="s">
        <v>2904</v>
      </c>
      <c r="C16" s="28" t="s">
        <v>2909</v>
      </c>
      <c r="D16" s="27" t="s">
        <v>2910</v>
      </c>
      <c r="E16" s="31" t="s">
        <v>2911</v>
      </c>
      <c r="F16" s="31" t="s">
        <v>2912</v>
      </c>
      <c r="G16" s="32" t="s">
        <v>2928</v>
      </c>
      <c r="H16" s="27" t="s">
        <v>22</v>
      </c>
      <c r="I16" s="27" t="s">
        <v>22</v>
      </c>
      <c r="J16" s="27" t="s">
        <v>17</v>
      </c>
      <c r="K16" s="27">
        <v>90</v>
      </c>
      <c r="L16" s="27">
        <v>108</v>
      </c>
      <c r="M16" s="27" t="s">
        <v>2914</v>
      </c>
      <c r="N16" s="27" t="s">
        <v>2915</v>
      </c>
    </row>
    <row r="17" spans="1:14" ht="13.8" x14ac:dyDescent="0.3">
      <c r="A17" s="27">
        <v>1015505</v>
      </c>
      <c r="B17" s="30" t="s">
        <v>2904</v>
      </c>
      <c r="C17" s="28" t="s">
        <v>2909</v>
      </c>
      <c r="D17" s="27" t="s">
        <v>2910</v>
      </c>
      <c r="E17" s="31" t="s">
        <v>2911</v>
      </c>
      <c r="F17" s="31" t="s">
        <v>2912</v>
      </c>
      <c r="G17" s="32" t="s">
        <v>2929</v>
      </c>
      <c r="H17" s="27" t="s">
        <v>22</v>
      </c>
      <c r="I17" s="27" t="s">
        <v>22</v>
      </c>
      <c r="J17" s="27" t="s">
        <v>17</v>
      </c>
      <c r="K17" s="27">
        <v>90</v>
      </c>
      <c r="L17" s="27">
        <v>108</v>
      </c>
      <c r="M17" s="27" t="s">
        <v>2914</v>
      </c>
      <c r="N17" s="27" t="s">
        <v>2915</v>
      </c>
    </row>
    <row r="18" spans="1:14" ht="13.8" x14ac:dyDescent="0.3">
      <c r="A18" s="27">
        <v>1015505</v>
      </c>
      <c r="B18" s="30" t="s">
        <v>2904</v>
      </c>
      <c r="C18" s="28" t="s">
        <v>2909</v>
      </c>
      <c r="D18" s="27" t="s">
        <v>2910</v>
      </c>
      <c r="E18" s="31" t="s">
        <v>2911</v>
      </c>
      <c r="F18" s="31" t="s">
        <v>2912</v>
      </c>
      <c r="G18" s="32" t="s">
        <v>2930</v>
      </c>
      <c r="H18" s="27" t="s">
        <v>22</v>
      </c>
      <c r="I18" s="27" t="s">
        <v>22</v>
      </c>
      <c r="J18" s="27" t="s">
        <v>17</v>
      </c>
      <c r="K18" s="27">
        <v>90</v>
      </c>
      <c r="L18" s="27">
        <v>108</v>
      </c>
      <c r="M18" s="27" t="s">
        <v>2914</v>
      </c>
      <c r="N18" s="27" t="s">
        <v>2915</v>
      </c>
    </row>
    <row r="19" spans="1:14" ht="13.8" x14ac:dyDescent="0.3">
      <c r="A19" s="27">
        <v>1015505</v>
      </c>
      <c r="B19" s="30" t="s">
        <v>2904</v>
      </c>
      <c r="C19" s="28" t="s">
        <v>2909</v>
      </c>
      <c r="D19" s="27" t="s">
        <v>2910</v>
      </c>
      <c r="E19" s="31" t="s">
        <v>2911</v>
      </c>
      <c r="F19" s="31" t="s">
        <v>2912</v>
      </c>
      <c r="G19" s="32" t="s">
        <v>2931</v>
      </c>
      <c r="H19" s="27" t="s">
        <v>22</v>
      </c>
      <c r="I19" s="27" t="s">
        <v>22</v>
      </c>
      <c r="J19" s="27" t="s">
        <v>17</v>
      </c>
      <c r="K19" s="27">
        <v>90</v>
      </c>
      <c r="L19" s="27">
        <v>108</v>
      </c>
      <c r="M19" s="27" t="s">
        <v>2914</v>
      </c>
      <c r="N19" s="27" t="s">
        <v>2915</v>
      </c>
    </row>
    <row r="20" spans="1:14" ht="13.8" x14ac:dyDescent="0.3">
      <c r="A20" s="27">
        <v>1015505</v>
      </c>
      <c r="B20" s="30" t="s">
        <v>2904</v>
      </c>
      <c r="C20" s="28" t="s">
        <v>2909</v>
      </c>
      <c r="D20" s="27" t="s">
        <v>2910</v>
      </c>
      <c r="E20" s="31" t="s">
        <v>2911</v>
      </c>
      <c r="F20" s="31" t="s">
        <v>2912</v>
      </c>
      <c r="G20" s="32" t="s">
        <v>2932</v>
      </c>
      <c r="H20" s="27" t="s">
        <v>22</v>
      </c>
      <c r="I20" s="27" t="s">
        <v>22</v>
      </c>
      <c r="J20" s="27" t="s">
        <v>17</v>
      </c>
      <c r="K20" s="27">
        <v>90</v>
      </c>
      <c r="L20" s="27">
        <v>108</v>
      </c>
      <c r="M20" s="27" t="s">
        <v>2914</v>
      </c>
      <c r="N20" s="27" t="s">
        <v>2915</v>
      </c>
    </row>
    <row r="21" spans="1:14" ht="13.8" x14ac:dyDescent="0.3">
      <c r="A21" s="27">
        <v>1015505</v>
      </c>
      <c r="B21" s="30" t="s">
        <v>2904</v>
      </c>
      <c r="C21" s="28" t="s">
        <v>2909</v>
      </c>
      <c r="D21" s="27" t="s">
        <v>2910</v>
      </c>
      <c r="E21" s="31" t="s">
        <v>2911</v>
      </c>
      <c r="F21" s="31" t="s">
        <v>2912</v>
      </c>
      <c r="G21" s="32" t="s">
        <v>2933</v>
      </c>
      <c r="H21" s="27" t="s">
        <v>22</v>
      </c>
      <c r="I21" s="27" t="s">
        <v>22</v>
      </c>
      <c r="J21" s="27" t="s">
        <v>17</v>
      </c>
      <c r="K21" s="27">
        <v>90</v>
      </c>
      <c r="L21" s="27">
        <v>108</v>
      </c>
      <c r="M21" s="27" t="s">
        <v>2914</v>
      </c>
      <c r="N21" s="27" t="s">
        <v>2915</v>
      </c>
    </row>
    <row r="22" spans="1:14" ht="13.8" x14ac:dyDescent="0.3">
      <c r="A22" s="27">
        <v>1015505</v>
      </c>
      <c r="B22" s="30" t="s">
        <v>2904</v>
      </c>
      <c r="C22" s="28" t="s">
        <v>2909</v>
      </c>
      <c r="D22" s="27" t="s">
        <v>2910</v>
      </c>
      <c r="E22" s="31" t="s">
        <v>2911</v>
      </c>
      <c r="F22" s="31" t="s">
        <v>2912</v>
      </c>
      <c r="G22" s="32" t="s">
        <v>2934</v>
      </c>
      <c r="H22" s="27" t="s">
        <v>22</v>
      </c>
      <c r="I22" s="27" t="s">
        <v>22</v>
      </c>
      <c r="J22" s="27" t="s">
        <v>17</v>
      </c>
      <c r="K22" s="27">
        <v>90</v>
      </c>
      <c r="L22" s="27">
        <v>108</v>
      </c>
      <c r="M22" s="27" t="s">
        <v>2914</v>
      </c>
      <c r="N22" s="27" t="s">
        <v>2915</v>
      </c>
    </row>
    <row r="23" spans="1:14" ht="13.8" x14ac:dyDescent="0.3">
      <c r="A23" s="27">
        <v>1015505</v>
      </c>
      <c r="B23" s="30" t="s">
        <v>2904</v>
      </c>
      <c r="C23" s="28" t="s">
        <v>2909</v>
      </c>
      <c r="D23" s="27" t="s">
        <v>2910</v>
      </c>
      <c r="E23" s="31" t="s">
        <v>2911</v>
      </c>
      <c r="F23" s="31" t="s">
        <v>2912</v>
      </c>
      <c r="G23" s="32" t="s">
        <v>2935</v>
      </c>
      <c r="H23" s="27" t="s">
        <v>22</v>
      </c>
      <c r="I23" s="27" t="s">
        <v>22</v>
      </c>
      <c r="J23" s="27" t="s">
        <v>17</v>
      </c>
      <c r="K23" s="27">
        <v>90</v>
      </c>
      <c r="L23" s="27">
        <v>108</v>
      </c>
      <c r="M23" s="27" t="s">
        <v>2914</v>
      </c>
      <c r="N23" s="27" t="s">
        <v>2915</v>
      </c>
    </row>
    <row r="24" spans="1:14" ht="13.8" x14ac:dyDescent="0.3">
      <c r="A24" s="27">
        <v>1015505</v>
      </c>
      <c r="B24" s="30" t="s">
        <v>2904</v>
      </c>
      <c r="C24" s="28" t="s">
        <v>2909</v>
      </c>
      <c r="D24" s="27" t="s">
        <v>2910</v>
      </c>
      <c r="E24" s="31" t="s">
        <v>2911</v>
      </c>
      <c r="F24" s="31" t="s">
        <v>2912</v>
      </c>
      <c r="G24" s="32" t="s">
        <v>2936</v>
      </c>
      <c r="H24" s="27" t="s">
        <v>22</v>
      </c>
      <c r="I24" s="27" t="s">
        <v>22</v>
      </c>
      <c r="J24" s="27" t="s">
        <v>17</v>
      </c>
      <c r="K24" s="27">
        <v>90</v>
      </c>
      <c r="L24" s="27">
        <v>108</v>
      </c>
      <c r="M24" s="27" t="s">
        <v>2914</v>
      </c>
      <c r="N24" s="27" t="s">
        <v>2915</v>
      </c>
    </row>
    <row r="25" spans="1:14" ht="13.8" x14ac:dyDescent="0.3">
      <c r="A25" s="27">
        <v>1015505</v>
      </c>
      <c r="B25" s="30" t="s">
        <v>2904</v>
      </c>
      <c r="C25" s="28" t="s">
        <v>2909</v>
      </c>
      <c r="D25" s="27" t="s">
        <v>2910</v>
      </c>
      <c r="E25" s="31" t="s">
        <v>2911</v>
      </c>
      <c r="F25" s="31" t="s">
        <v>2912</v>
      </c>
      <c r="G25" s="32" t="s">
        <v>2937</v>
      </c>
      <c r="H25" s="27" t="s">
        <v>22</v>
      </c>
      <c r="I25" s="27" t="s">
        <v>22</v>
      </c>
      <c r="J25" s="27" t="s">
        <v>17</v>
      </c>
      <c r="K25" s="27">
        <v>90</v>
      </c>
      <c r="L25" s="27">
        <v>108</v>
      </c>
      <c r="M25" s="27" t="s">
        <v>2914</v>
      </c>
      <c r="N25" s="27" t="s">
        <v>2915</v>
      </c>
    </row>
    <row r="26" spans="1:14" ht="13.8" x14ac:dyDescent="0.3">
      <c r="A26" s="27">
        <v>1015505</v>
      </c>
      <c r="B26" s="30" t="s">
        <v>2904</v>
      </c>
      <c r="C26" s="28" t="s">
        <v>2909</v>
      </c>
      <c r="D26" s="27" t="s">
        <v>2910</v>
      </c>
      <c r="E26" s="31" t="s">
        <v>2911</v>
      </c>
      <c r="F26" s="31" t="s">
        <v>2912</v>
      </c>
      <c r="G26" s="32" t="s">
        <v>2938</v>
      </c>
      <c r="H26" s="27" t="s">
        <v>22</v>
      </c>
      <c r="I26" s="27" t="s">
        <v>22</v>
      </c>
      <c r="J26" s="27" t="s">
        <v>17</v>
      </c>
      <c r="K26" s="27">
        <v>90</v>
      </c>
      <c r="L26" s="27">
        <v>108</v>
      </c>
      <c r="M26" s="27" t="s">
        <v>2914</v>
      </c>
      <c r="N26" s="27" t="s">
        <v>2915</v>
      </c>
    </row>
    <row r="27" spans="1:14" ht="13.8" x14ac:dyDescent="0.3">
      <c r="A27" s="27">
        <v>1015505</v>
      </c>
      <c r="B27" s="30" t="s">
        <v>2904</v>
      </c>
      <c r="C27" s="28" t="s">
        <v>2909</v>
      </c>
      <c r="D27" s="27" t="s">
        <v>2910</v>
      </c>
      <c r="E27" s="31" t="s">
        <v>2911</v>
      </c>
      <c r="F27" s="31" t="s">
        <v>2912</v>
      </c>
      <c r="G27" s="32" t="s">
        <v>2939</v>
      </c>
      <c r="H27" s="27" t="s">
        <v>22</v>
      </c>
      <c r="I27" s="27" t="s">
        <v>22</v>
      </c>
      <c r="J27" s="27" t="s">
        <v>17</v>
      </c>
      <c r="K27" s="27">
        <v>90</v>
      </c>
      <c r="L27" s="27">
        <v>108</v>
      </c>
      <c r="M27" s="27" t="s">
        <v>2914</v>
      </c>
      <c r="N27" s="27" t="s">
        <v>2915</v>
      </c>
    </row>
    <row r="28" spans="1:14" ht="13.8" x14ac:dyDescent="0.3">
      <c r="A28" s="27">
        <v>1015505</v>
      </c>
      <c r="B28" s="30" t="s">
        <v>2904</v>
      </c>
      <c r="C28" s="28" t="s">
        <v>2909</v>
      </c>
      <c r="D28" s="27" t="s">
        <v>2910</v>
      </c>
      <c r="E28" s="31" t="s">
        <v>2911</v>
      </c>
      <c r="F28" s="31" t="s">
        <v>2912</v>
      </c>
      <c r="G28" s="32" t="s">
        <v>2940</v>
      </c>
      <c r="H28" s="27" t="s">
        <v>22</v>
      </c>
      <c r="I28" s="27" t="s">
        <v>22</v>
      </c>
      <c r="J28" s="27" t="s">
        <v>17</v>
      </c>
      <c r="K28" s="27">
        <v>90</v>
      </c>
      <c r="L28" s="27">
        <v>108</v>
      </c>
      <c r="M28" s="27" t="s">
        <v>2914</v>
      </c>
      <c r="N28" s="27" t="s">
        <v>2915</v>
      </c>
    </row>
    <row r="29" spans="1:14" ht="13.8" x14ac:dyDescent="0.3">
      <c r="A29" s="27">
        <v>1015505</v>
      </c>
      <c r="B29" s="30" t="s">
        <v>2904</v>
      </c>
      <c r="C29" s="28" t="s">
        <v>2909</v>
      </c>
      <c r="D29" s="27" t="s">
        <v>2910</v>
      </c>
      <c r="E29" s="31" t="s">
        <v>2911</v>
      </c>
      <c r="F29" s="31" t="s">
        <v>2912</v>
      </c>
      <c r="G29" s="32" t="s">
        <v>2941</v>
      </c>
      <c r="H29" s="27" t="s">
        <v>22</v>
      </c>
      <c r="I29" s="27" t="s">
        <v>22</v>
      </c>
      <c r="J29" s="27" t="s">
        <v>17</v>
      </c>
      <c r="K29" s="27">
        <v>90</v>
      </c>
      <c r="L29" s="27">
        <v>108</v>
      </c>
      <c r="M29" s="27" t="s">
        <v>2914</v>
      </c>
      <c r="N29" s="27" t="s">
        <v>2915</v>
      </c>
    </row>
    <row r="30" spans="1:14" ht="13.8" x14ac:dyDescent="0.3">
      <c r="A30" s="27">
        <v>1015505</v>
      </c>
      <c r="B30" s="30" t="s">
        <v>2904</v>
      </c>
      <c r="C30" s="28" t="s">
        <v>2909</v>
      </c>
      <c r="D30" s="27" t="s">
        <v>2910</v>
      </c>
      <c r="E30" s="31" t="s">
        <v>2911</v>
      </c>
      <c r="F30" s="31" t="s">
        <v>2912</v>
      </c>
      <c r="G30" s="32" t="s">
        <v>2942</v>
      </c>
      <c r="H30" s="27" t="s">
        <v>22</v>
      </c>
      <c r="I30" s="27" t="s">
        <v>22</v>
      </c>
      <c r="J30" s="27" t="s">
        <v>17</v>
      </c>
      <c r="K30" s="27">
        <v>90</v>
      </c>
      <c r="L30" s="27">
        <v>108</v>
      </c>
      <c r="M30" s="27" t="s">
        <v>2914</v>
      </c>
      <c r="N30" s="27" t="s">
        <v>2915</v>
      </c>
    </row>
    <row r="31" spans="1:14" ht="13.8" x14ac:dyDescent="0.3">
      <c r="A31" s="27">
        <v>1015505</v>
      </c>
      <c r="B31" s="30" t="s">
        <v>2904</v>
      </c>
      <c r="C31" s="28" t="s">
        <v>2909</v>
      </c>
      <c r="D31" s="27" t="s">
        <v>2910</v>
      </c>
      <c r="E31" s="31" t="s">
        <v>2911</v>
      </c>
      <c r="F31" s="31" t="s">
        <v>2912</v>
      </c>
      <c r="G31" s="32" t="s">
        <v>2943</v>
      </c>
      <c r="H31" s="27" t="s">
        <v>22</v>
      </c>
      <c r="I31" s="27" t="s">
        <v>22</v>
      </c>
      <c r="J31" s="27" t="s">
        <v>17</v>
      </c>
      <c r="K31" s="27">
        <v>90</v>
      </c>
      <c r="L31" s="27">
        <v>108</v>
      </c>
      <c r="M31" s="27" t="s">
        <v>2914</v>
      </c>
      <c r="N31" s="27" t="s">
        <v>2915</v>
      </c>
    </row>
    <row r="32" spans="1:14" ht="13.8" x14ac:dyDescent="0.3">
      <c r="A32" s="27">
        <v>1015505</v>
      </c>
      <c r="B32" s="30" t="s">
        <v>2904</v>
      </c>
      <c r="C32" s="28" t="s">
        <v>2909</v>
      </c>
      <c r="D32" s="27" t="s">
        <v>2910</v>
      </c>
      <c r="E32" s="31" t="s">
        <v>2911</v>
      </c>
      <c r="F32" s="31" t="s">
        <v>2912</v>
      </c>
      <c r="G32" s="32" t="s">
        <v>2944</v>
      </c>
      <c r="H32" s="27" t="s">
        <v>22</v>
      </c>
      <c r="I32" s="27" t="s">
        <v>22</v>
      </c>
      <c r="J32" s="27" t="s">
        <v>17</v>
      </c>
      <c r="K32" s="27">
        <v>90</v>
      </c>
      <c r="L32" s="27">
        <v>108</v>
      </c>
      <c r="M32" s="27" t="s">
        <v>2914</v>
      </c>
      <c r="N32" s="27" t="s">
        <v>2915</v>
      </c>
    </row>
    <row r="33" spans="1:14" ht="13.8" x14ac:dyDescent="0.3">
      <c r="A33" s="27">
        <v>1015505</v>
      </c>
      <c r="B33" s="30" t="s">
        <v>2904</v>
      </c>
      <c r="C33" s="28" t="s">
        <v>2909</v>
      </c>
      <c r="D33" s="27" t="s">
        <v>2910</v>
      </c>
      <c r="E33" s="31" t="s">
        <v>2911</v>
      </c>
      <c r="F33" s="31" t="s">
        <v>2912</v>
      </c>
      <c r="G33" s="32" t="s">
        <v>2945</v>
      </c>
      <c r="H33" s="27" t="s">
        <v>22</v>
      </c>
      <c r="I33" s="27" t="s">
        <v>22</v>
      </c>
      <c r="J33" s="27" t="s">
        <v>17</v>
      </c>
      <c r="K33" s="27">
        <v>90</v>
      </c>
      <c r="L33" s="27">
        <v>108</v>
      </c>
      <c r="M33" s="27" t="s">
        <v>2914</v>
      </c>
      <c r="N33" s="27" t="s">
        <v>2915</v>
      </c>
    </row>
    <row r="34" spans="1:14" ht="13.8" x14ac:dyDescent="0.3">
      <c r="A34" s="27">
        <v>1015505</v>
      </c>
      <c r="B34" s="30" t="s">
        <v>2904</v>
      </c>
      <c r="C34" s="28" t="s">
        <v>2909</v>
      </c>
      <c r="D34" s="27" t="s">
        <v>2910</v>
      </c>
      <c r="E34" s="31" t="s">
        <v>2911</v>
      </c>
      <c r="F34" s="31" t="s">
        <v>2912</v>
      </c>
      <c r="G34" s="31" t="s">
        <v>2946</v>
      </c>
      <c r="H34" s="27" t="s">
        <v>22</v>
      </c>
      <c r="I34" s="27" t="s">
        <v>22</v>
      </c>
      <c r="J34" s="27" t="s">
        <v>17</v>
      </c>
      <c r="K34" s="27">
        <v>90</v>
      </c>
      <c r="L34" s="27">
        <v>108</v>
      </c>
      <c r="M34" s="27" t="s">
        <v>2914</v>
      </c>
      <c r="N34" s="27" t="s">
        <v>2915</v>
      </c>
    </row>
    <row r="35" spans="1:14" ht="13.8" x14ac:dyDescent="0.3">
      <c r="A35" s="27">
        <v>1015505</v>
      </c>
      <c r="B35" s="30" t="s">
        <v>2904</v>
      </c>
      <c r="C35" s="28" t="s">
        <v>2909</v>
      </c>
      <c r="D35" s="27" t="s">
        <v>2910</v>
      </c>
      <c r="E35" s="31" t="s">
        <v>2911</v>
      </c>
      <c r="F35" s="31" t="s">
        <v>2912</v>
      </c>
      <c r="G35" s="31" t="s">
        <v>2947</v>
      </c>
      <c r="H35" s="27" t="s">
        <v>22</v>
      </c>
      <c r="I35" s="27" t="s">
        <v>22</v>
      </c>
      <c r="J35" s="27" t="s">
        <v>17</v>
      </c>
      <c r="K35" s="27">
        <v>90</v>
      </c>
      <c r="L35" s="27">
        <v>108</v>
      </c>
      <c r="M35" s="27" t="s">
        <v>2914</v>
      </c>
      <c r="N35" s="27" t="s">
        <v>2915</v>
      </c>
    </row>
    <row r="36" spans="1:14" ht="13.8" x14ac:dyDescent="0.3">
      <c r="A36" s="27">
        <v>1015505</v>
      </c>
      <c r="B36" s="30" t="s">
        <v>2904</v>
      </c>
      <c r="C36" s="28" t="s">
        <v>2909</v>
      </c>
      <c r="D36" s="27" t="s">
        <v>2910</v>
      </c>
      <c r="E36" s="31" t="s">
        <v>2911</v>
      </c>
      <c r="F36" s="31" t="s">
        <v>2912</v>
      </c>
      <c r="G36" s="31" t="s">
        <v>2948</v>
      </c>
      <c r="H36" s="27" t="s">
        <v>22</v>
      </c>
      <c r="I36" s="27" t="s">
        <v>22</v>
      </c>
      <c r="J36" s="27" t="s">
        <v>17</v>
      </c>
      <c r="K36" s="27">
        <v>90</v>
      </c>
      <c r="L36" s="27">
        <v>108</v>
      </c>
      <c r="M36" s="27" t="s">
        <v>2914</v>
      </c>
      <c r="N36" s="27" t="s">
        <v>2915</v>
      </c>
    </row>
    <row r="37" spans="1:14" ht="13.8" x14ac:dyDescent="0.3">
      <c r="A37" s="27">
        <v>1015505</v>
      </c>
      <c r="B37" s="30" t="s">
        <v>2904</v>
      </c>
      <c r="C37" s="28" t="s">
        <v>2909</v>
      </c>
      <c r="D37" s="27" t="s">
        <v>2910</v>
      </c>
      <c r="E37" s="31" t="s">
        <v>2911</v>
      </c>
      <c r="F37" s="31" t="s">
        <v>2912</v>
      </c>
      <c r="G37" s="31" t="s">
        <v>2949</v>
      </c>
      <c r="H37" s="27" t="s">
        <v>22</v>
      </c>
      <c r="I37" s="27" t="s">
        <v>22</v>
      </c>
      <c r="J37" s="27" t="s">
        <v>17</v>
      </c>
      <c r="K37" s="27">
        <v>90</v>
      </c>
      <c r="L37" s="27">
        <v>108</v>
      </c>
      <c r="M37" s="27" t="s">
        <v>2914</v>
      </c>
      <c r="N37" s="27" t="s">
        <v>2915</v>
      </c>
    </row>
    <row r="38" spans="1:14" ht="13.8" x14ac:dyDescent="0.3">
      <c r="A38" s="27">
        <v>1015505</v>
      </c>
      <c r="B38" s="30" t="s">
        <v>2904</v>
      </c>
      <c r="C38" s="28" t="s">
        <v>2909</v>
      </c>
      <c r="D38" s="27" t="s">
        <v>2910</v>
      </c>
      <c r="E38" s="31" t="s">
        <v>2911</v>
      </c>
      <c r="F38" s="31" t="s">
        <v>2912</v>
      </c>
      <c r="G38" s="31" t="s">
        <v>2950</v>
      </c>
      <c r="H38" s="27" t="s">
        <v>22</v>
      </c>
      <c r="I38" s="27" t="s">
        <v>22</v>
      </c>
      <c r="J38" s="27" t="s">
        <v>17</v>
      </c>
      <c r="K38" s="27">
        <v>90</v>
      </c>
      <c r="L38" s="27">
        <v>108</v>
      </c>
      <c r="M38" s="27" t="s">
        <v>2914</v>
      </c>
      <c r="N38" s="27" t="s">
        <v>2915</v>
      </c>
    </row>
    <row r="39" spans="1:14" ht="13.8" x14ac:dyDescent="0.3">
      <c r="A39" s="27">
        <v>1015505</v>
      </c>
      <c r="B39" s="30" t="s">
        <v>2904</v>
      </c>
      <c r="C39" s="28" t="s">
        <v>2909</v>
      </c>
      <c r="D39" s="27" t="s">
        <v>2910</v>
      </c>
      <c r="E39" s="31" t="s">
        <v>2911</v>
      </c>
      <c r="F39" s="31" t="s">
        <v>2912</v>
      </c>
      <c r="G39" s="31" t="s">
        <v>2951</v>
      </c>
      <c r="H39" s="27" t="s">
        <v>22</v>
      </c>
      <c r="I39" s="27" t="s">
        <v>22</v>
      </c>
      <c r="J39" s="27" t="s">
        <v>17</v>
      </c>
      <c r="K39" s="27">
        <v>90</v>
      </c>
      <c r="L39" s="27">
        <v>108</v>
      </c>
      <c r="M39" s="27" t="s">
        <v>2914</v>
      </c>
      <c r="N39" s="27" t="s">
        <v>2915</v>
      </c>
    </row>
    <row r="40" spans="1:14" ht="13.8" x14ac:dyDescent="0.3">
      <c r="A40" s="27">
        <v>1015505</v>
      </c>
      <c r="B40" s="30" t="s">
        <v>2904</v>
      </c>
      <c r="C40" s="28" t="s">
        <v>2909</v>
      </c>
      <c r="D40" s="27" t="s">
        <v>2910</v>
      </c>
      <c r="E40" s="31" t="s">
        <v>2911</v>
      </c>
      <c r="F40" s="31" t="s">
        <v>2912</v>
      </c>
      <c r="G40" s="31" t="s">
        <v>2952</v>
      </c>
      <c r="H40" s="27" t="s">
        <v>22</v>
      </c>
      <c r="I40" s="27" t="s">
        <v>22</v>
      </c>
      <c r="J40" s="27" t="s">
        <v>17</v>
      </c>
      <c r="K40" s="27">
        <v>90</v>
      </c>
      <c r="L40" s="27">
        <v>108</v>
      </c>
      <c r="M40" s="27" t="s">
        <v>2914</v>
      </c>
      <c r="N40" s="27" t="s">
        <v>2915</v>
      </c>
    </row>
    <row r="41" spans="1:14" ht="13.8" x14ac:dyDescent="0.3">
      <c r="A41" s="27">
        <v>1015505</v>
      </c>
      <c r="B41" s="30" t="s">
        <v>2904</v>
      </c>
      <c r="C41" s="28" t="s">
        <v>2909</v>
      </c>
      <c r="D41" s="27" t="s">
        <v>2910</v>
      </c>
      <c r="E41" s="31" t="s">
        <v>2911</v>
      </c>
      <c r="F41" s="31" t="s">
        <v>2912</v>
      </c>
      <c r="G41" s="31" t="s">
        <v>2953</v>
      </c>
      <c r="H41" s="27" t="s">
        <v>22</v>
      </c>
      <c r="I41" s="27" t="s">
        <v>22</v>
      </c>
      <c r="J41" s="27" t="s">
        <v>17</v>
      </c>
      <c r="K41" s="27">
        <v>90</v>
      </c>
      <c r="L41" s="27">
        <v>108</v>
      </c>
      <c r="M41" s="27" t="s">
        <v>2914</v>
      </c>
      <c r="N41" s="27" t="s">
        <v>2915</v>
      </c>
    </row>
    <row r="42" spans="1:14" ht="13.8" x14ac:dyDescent="0.3">
      <c r="A42" s="27">
        <v>1015505</v>
      </c>
      <c r="B42" s="30" t="s">
        <v>2904</v>
      </c>
      <c r="C42" s="28" t="s">
        <v>2909</v>
      </c>
      <c r="D42" s="27" t="s">
        <v>2910</v>
      </c>
      <c r="E42" s="31" t="s">
        <v>2911</v>
      </c>
      <c r="F42" s="31" t="s">
        <v>2912</v>
      </c>
      <c r="G42" s="31" t="s">
        <v>2954</v>
      </c>
      <c r="H42" s="27" t="s">
        <v>22</v>
      </c>
      <c r="I42" s="27" t="s">
        <v>22</v>
      </c>
      <c r="J42" s="27" t="s">
        <v>17</v>
      </c>
      <c r="K42" s="27">
        <v>90</v>
      </c>
      <c r="L42" s="27">
        <v>108</v>
      </c>
      <c r="M42" s="27" t="s">
        <v>2914</v>
      </c>
      <c r="N42" s="27" t="s">
        <v>2915</v>
      </c>
    </row>
    <row r="43" spans="1:14" ht="13.8" x14ac:dyDescent="0.3">
      <c r="A43" s="27">
        <v>1015505</v>
      </c>
      <c r="B43" s="30" t="s">
        <v>2904</v>
      </c>
      <c r="C43" s="28" t="s">
        <v>2909</v>
      </c>
      <c r="D43" s="27" t="s">
        <v>2910</v>
      </c>
      <c r="E43" s="31" t="s">
        <v>2911</v>
      </c>
      <c r="F43" s="31" t="s">
        <v>2912</v>
      </c>
      <c r="G43" s="31" t="s">
        <v>2955</v>
      </c>
      <c r="H43" s="27" t="s">
        <v>22</v>
      </c>
      <c r="I43" s="27" t="s">
        <v>22</v>
      </c>
      <c r="J43" s="27" t="s">
        <v>17</v>
      </c>
      <c r="K43" s="27">
        <v>90</v>
      </c>
      <c r="L43" s="27">
        <v>108</v>
      </c>
      <c r="M43" s="27" t="s">
        <v>2914</v>
      </c>
      <c r="N43" s="27" t="s">
        <v>2915</v>
      </c>
    </row>
    <row r="44" spans="1:14" ht="13.8" x14ac:dyDescent="0.3">
      <c r="A44" s="27">
        <v>1015505</v>
      </c>
      <c r="B44" s="30" t="s">
        <v>2904</v>
      </c>
      <c r="C44" s="28" t="s">
        <v>2909</v>
      </c>
      <c r="D44" s="27" t="s">
        <v>2910</v>
      </c>
      <c r="E44" s="31" t="s">
        <v>2911</v>
      </c>
      <c r="F44" s="31" t="s">
        <v>2912</v>
      </c>
      <c r="G44" s="31" t="s">
        <v>2956</v>
      </c>
      <c r="H44" s="27" t="s">
        <v>22</v>
      </c>
      <c r="I44" s="27" t="s">
        <v>22</v>
      </c>
      <c r="J44" s="27" t="s">
        <v>17</v>
      </c>
      <c r="K44" s="27">
        <v>90</v>
      </c>
      <c r="L44" s="27">
        <v>108</v>
      </c>
      <c r="M44" s="27" t="s">
        <v>2914</v>
      </c>
      <c r="N44" s="27" t="s">
        <v>2915</v>
      </c>
    </row>
    <row r="45" spans="1:14" ht="13.8" x14ac:dyDescent="0.3">
      <c r="A45" s="27">
        <v>1015505</v>
      </c>
      <c r="B45" s="30" t="s">
        <v>2904</v>
      </c>
      <c r="C45" s="28" t="s">
        <v>2909</v>
      </c>
      <c r="D45" s="27" t="s">
        <v>2910</v>
      </c>
      <c r="E45" s="31" t="s">
        <v>2911</v>
      </c>
      <c r="F45" s="31" t="s">
        <v>2912</v>
      </c>
      <c r="G45" s="31" t="s">
        <v>2957</v>
      </c>
      <c r="H45" s="27" t="s">
        <v>22</v>
      </c>
      <c r="I45" s="27" t="s">
        <v>22</v>
      </c>
      <c r="J45" s="27" t="s">
        <v>17</v>
      </c>
      <c r="K45" s="27">
        <v>90</v>
      </c>
      <c r="L45" s="27">
        <v>108</v>
      </c>
      <c r="M45" s="27" t="s">
        <v>2914</v>
      </c>
      <c r="N45" s="27" t="s">
        <v>2915</v>
      </c>
    </row>
    <row r="46" spans="1:14" ht="13.8" x14ac:dyDescent="0.3">
      <c r="A46" s="27">
        <v>1015505</v>
      </c>
      <c r="B46" s="30" t="s">
        <v>2904</v>
      </c>
      <c r="C46" s="28" t="s">
        <v>2909</v>
      </c>
      <c r="D46" s="27" t="s">
        <v>2910</v>
      </c>
      <c r="E46" s="31" t="s">
        <v>2911</v>
      </c>
      <c r="F46" s="31" t="s">
        <v>2912</v>
      </c>
      <c r="G46" s="31" t="s">
        <v>2958</v>
      </c>
      <c r="H46" s="27" t="s">
        <v>22</v>
      </c>
      <c r="I46" s="27" t="s">
        <v>22</v>
      </c>
      <c r="J46" s="27" t="s">
        <v>17</v>
      </c>
      <c r="K46" s="27">
        <v>90</v>
      </c>
      <c r="L46" s="27">
        <v>108</v>
      </c>
      <c r="M46" s="27" t="s">
        <v>2914</v>
      </c>
      <c r="N46" s="27" t="s">
        <v>2915</v>
      </c>
    </row>
    <row r="47" spans="1:14" ht="13.8" x14ac:dyDescent="0.3">
      <c r="A47" s="27">
        <v>1015505</v>
      </c>
      <c r="B47" s="30" t="s">
        <v>2904</v>
      </c>
      <c r="C47" s="28" t="s">
        <v>2909</v>
      </c>
      <c r="D47" s="27" t="s">
        <v>2910</v>
      </c>
      <c r="E47" s="31" t="s">
        <v>2911</v>
      </c>
      <c r="F47" s="31" t="s">
        <v>2912</v>
      </c>
      <c r="G47" s="31" t="s">
        <v>2959</v>
      </c>
      <c r="H47" s="27" t="s">
        <v>22</v>
      </c>
      <c r="I47" s="27" t="s">
        <v>22</v>
      </c>
      <c r="J47" s="27" t="s">
        <v>17</v>
      </c>
      <c r="K47" s="27">
        <v>90</v>
      </c>
      <c r="L47" s="27">
        <v>108</v>
      </c>
      <c r="M47" s="27" t="s">
        <v>2914</v>
      </c>
      <c r="N47" s="27" t="s">
        <v>2915</v>
      </c>
    </row>
    <row r="48" spans="1:14" ht="13.8" x14ac:dyDescent="0.3">
      <c r="A48" s="27">
        <v>1015505</v>
      </c>
      <c r="B48" s="30" t="s">
        <v>2904</v>
      </c>
      <c r="C48" s="28" t="s">
        <v>2909</v>
      </c>
      <c r="D48" s="27" t="s">
        <v>2910</v>
      </c>
      <c r="E48" s="31" t="s">
        <v>2911</v>
      </c>
      <c r="F48" s="31" t="s">
        <v>2912</v>
      </c>
      <c r="G48" s="31" t="s">
        <v>2960</v>
      </c>
      <c r="H48" s="27" t="s">
        <v>22</v>
      </c>
      <c r="I48" s="27" t="s">
        <v>22</v>
      </c>
      <c r="J48" s="27" t="s">
        <v>17</v>
      </c>
      <c r="K48" s="27">
        <v>90</v>
      </c>
      <c r="L48" s="27">
        <v>108</v>
      </c>
      <c r="M48" s="27" t="s">
        <v>2914</v>
      </c>
      <c r="N48" s="27" t="s">
        <v>2915</v>
      </c>
    </row>
    <row r="49" spans="1:14" ht="13.8" x14ac:dyDescent="0.3">
      <c r="A49" s="27">
        <v>1015505</v>
      </c>
      <c r="B49" s="30" t="s">
        <v>2904</v>
      </c>
      <c r="C49" s="28" t="s">
        <v>2961</v>
      </c>
      <c r="D49" s="27" t="s">
        <v>2962</v>
      </c>
      <c r="E49" s="31" t="s">
        <v>2963</v>
      </c>
      <c r="F49" s="31"/>
      <c r="G49" s="31" t="s">
        <v>2964</v>
      </c>
      <c r="H49" s="27" t="s">
        <v>22</v>
      </c>
      <c r="I49" s="27" t="s">
        <v>22</v>
      </c>
      <c r="J49" s="27" t="s">
        <v>17</v>
      </c>
      <c r="K49" s="27">
        <v>90</v>
      </c>
      <c r="L49" s="27">
        <v>142</v>
      </c>
      <c r="M49" s="27" t="s">
        <v>2965</v>
      </c>
      <c r="N49" s="27" t="s">
        <v>2966</v>
      </c>
    </row>
    <row r="50" spans="1:14" ht="13.8" x14ac:dyDescent="0.3">
      <c r="A50" s="27">
        <v>1015505</v>
      </c>
      <c r="B50" s="30" t="s">
        <v>2904</v>
      </c>
      <c r="C50" s="28" t="s">
        <v>2961</v>
      </c>
      <c r="D50" s="27" t="s">
        <v>2962</v>
      </c>
      <c r="E50" s="31" t="s">
        <v>2963</v>
      </c>
      <c r="F50" s="31"/>
      <c r="G50" s="31" t="s">
        <v>2967</v>
      </c>
      <c r="H50" s="27" t="s">
        <v>22</v>
      </c>
      <c r="I50" s="27" t="s">
        <v>22</v>
      </c>
      <c r="J50" s="27" t="s">
        <v>17</v>
      </c>
      <c r="K50" s="27">
        <v>90</v>
      </c>
      <c r="L50" s="27">
        <v>142</v>
      </c>
      <c r="M50" s="27" t="s">
        <v>2965</v>
      </c>
      <c r="N50" s="27" t="s">
        <v>2966</v>
      </c>
    </row>
    <row r="51" spans="1:14" ht="13.8" x14ac:dyDescent="0.3">
      <c r="A51" s="27">
        <v>1015505</v>
      </c>
      <c r="B51" s="30" t="s">
        <v>2904</v>
      </c>
      <c r="C51" s="28" t="s">
        <v>2961</v>
      </c>
      <c r="D51" s="27" t="s">
        <v>2962</v>
      </c>
      <c r="E51" s="31" t="s">
        <v>2963</v>
      </c>
      <c r="F51" s="31"/>
      <c r="G51" s="31" t="s">
        <v>2968</v>
      </c>
      <c r="H51" s="27" t="s">
        <v>22</v>
      </c>
      <c r="I51" s="27" t="s">
        <v>22</v>
      </c>
      <c r="J51" s="27" t="s">
        <v>17</v>
      </c>
      <c r="K51" s="27">
        <v>90</v>
      </c>
      <c r="L51" s="27">
        <v>142</v>
      </c>
      <c r="M51" s="27" t="s">
        <v>2965</v>
      </c>
      <c r="N51" s="27" t="s">
        <v>2966</v>
      </c>
    </row>
    <row r="52" spans="1:14" ht="13.8" x14ac:dyDescent="0.3">
      <c r="A52" s="27">
        <v>1015505</v>
      </c>
      <c r="B52" s="30" t="s">
        <v>2904</v>
      </c>
      <c r="C52" s="28" t="s">
        <v>2961</v>
      </c>
      <c r="D52" s="27" t="s">
        <v>2962</v>
      </c>
      <c r="E52" s="31" t="s">
        <v>2963</v>
      </c>
      <c r="F52" s="31"/>
      <c r="G52" s="31" t="s">
        <v>2969</v>
      </c>
      <c r="H52" s="27" t="s">
        <v>22</v>
      </c>
      <c r="I52" s="27" t="s">
        <v>22</v>
      </c>
      <c r="J52" s="27" t="s">
        <v>17</v>
      </c>
      <c r="K52" s="27">
        <v>90</v>
      </c>
      <c r="L52" s="27">
        <v>142</v>
      </c>
      <c r="M52" s="27" t="s">
        <v>2965</v>
      </c>
      <c r="N52" s="27" t="s">
        <v>2966</v>
      </c>
    </row>
    <row r="53" spans="1:14" ht="13.8" x14ac:dyDescent="0.3">
      <c r="A53" s="27">
        <v>1015505</v>
      </c>
      <c r="B53" s="30" t="s">
        <v>2904</v>
      </c>
      <c r="C53" s="28" t="s">
        <v>2961</v>
      </c>
      <c r="D53" s="27" t="s">
        <v>2962</v>
      </c>
      <c r="E53" s="31" t="s">
        <v>2963</v>
      </c>
      <c r="F53" s="31"/>
      <c r="G53" s="31" t="s">
        <v>2970</v>
      </c>
      <c r="H53" s="27" t="s">
        <v>22</v>
      </c>
      <c r="I53" s="27" t="s">
        <v>22</v>
      </c>
      <c r="J53" s="27" t="s">
        <v>17</v>
      </c>
      <c r="K53" s="27">
        <v>90</v>
      </c>
      <c r="L53" s="27">
        <v>142</v>
      </c>
      <c r="M53" s="27" t="s">
        <v>2965</v>
      </c>
      <c r="N53" s="27" t="s">
        <v>2966</v>
      </c>
    </row>
    <row r="54" spans="1:14" ht="13.8" x14ac:dyDescent="0.3">
      <c r="A54" s="27">
        <v>1015505</v>
      </c>
      <c r="B54" s="30" t="s">
        <v>2904</v>
      </c>
      <c r="C54" s="28" t="s">
        <v>2961</v>
      </c>
      <c r="D54" s="27" t="s">
        <v>2962</v>
      </c>
      <c r="E54" s="31" t="s">
        <v>2963</v>
      </c>
      <c r="F54" s="31"/>
      <c r="G54" s="31" t="s">
        <v>2971</v>
      </c>
      <c r="H54" s="27" t="s">
        <v>22</v>
      </c>
      <c r="I54" s="27" t="s">
        <v>22</v>
      </c>
      <c r="J54" s="27" t="s">
        <v>17</v>
      </c>
      <c r="K54" s="27">
        <v>90</v>
      </c>
      <c r="L54" s="27">
        <v>142</v>
      </c>
      <c r="M54" s="27" t="s">
        <v>2965</v>
      </c>
      <c r="N54" s="27" t="s">
        <v>2966</v>
      </c>
    </row>
    <row r="55" spans="1:14" ht="13.8" x14ac:dyDescent="0.3">
      <c r="A55" s="27">
        <v>1026130</v>
      </c>
      <c r="B55" s="33" t="s">
        <v>2972</v>
      </c>
      <c r="C55" s="28" t="s">
        <v>2973</v>
      </c>
      <c r="D55" s="27" t="s">
        <v>2973</v>
      </c>
      <c r="E55" s="31" t="s">
        <v>2974</v>
      </c>
      <c r="F55" s="31"/>
      <c r="G55" s="31"/>
      <c r="H55" s="27" t="s">
        <v>22</v>
      </c>
      <c r="I55" s="27" t="s">
        <v>22</v>
      </c>
      <c r="J55" s="27" t="s">
        <v>17</v>
      </c>
      <c r="K55" s="27">
        <v>100</v>
      </c>
      <c r="L55" s="27">
        <v>111</v>
      </c>
      <c r="M55" s="27" t="s">
        <v>346</v>
      </c>
      <c r="N55" s="27" t="s">
        <v>347</v>
      </c>
    </row>
    <row r="56" spans="1:14" ht="13.8" hidden="1" x14ac:dyDescent="0.3">
      <c r="A56" s="27">
        <v>1026130</v>
      </c>
      <c r="B56" s="33" t="s">
        <v>2972</v>
      </c>
      <c r="C56" s="28" t="s">
        <v>2975</v>
      </c>
      <c r="D56" s="31"/>
      <c r="E56" s="31"/>
      <c r="F56" s="31"/>
      <c r="G56" s="31"/>
      <c r="H56" s="27" t="s">
        <v>16</v>
      </c>
      <c r="I56" s="27" t="s">
        <v>16</v>
      </c>
      <c r="J56" s="27" t="s">
        <v>17</v>
      </c>
      <c r="K56" s="27">
        <v>0</v>
      </c>
      <c r="L56" s="27">
        <v>0</v>
      </c>
    </row>
    <row r="57" spans="1:14" ht="13.8" x14ac:dyDescent="0.3">
      <c r="A57" s="27">
        <v>1026130</v>
      </c>
      <c r="B57" s="33" t="s">
        <v>2972</v>
      </c>
      <c r="C57" s="28" t="s">
        <v>2976</v>
      </c>
      <c r="D57" s="31" t="s">
        <v>2976</v>
      </c>
      <c r="E57" s="31" t="s">
        <v>2977</v>
      </c>
      <c r="F57" s="31"/>
      <c r="G57" s="31"/>
      <c r="H57" s="27" t="s">
        <v>22</v>
      </c>
      <c r="I57" s="27" t="s">
        <v>22</v>
      </c>
      <c r="J57" s="27" t="s">
        <v>17</v>
      </c>
      <c r="K57" s="27">
        <v>100</v>
      </c>
      <c r="L57" s="27">
        <v>141</v>
      </c>
      <c r="M57" s="27" t="s">
        <v>2978</v>
      </c>
      <c r="N57" s="27" t="s">
        <v>2979</v>
      </c>
    </row>
    <row r="58" spans="1:14" ht="13.8" x14ac:dyDescent="0.3">
      <c r="A58" s="27">
        <v>1026130</v>
      </c>
      <c r="B58" s="33" t="s">
        <v>2972</v>
      </c>
      <c r="C58" s="28" t="s">
        <v>2980</v>
      </c>
      <c r="D58" s="31" t="s">
        <v>2980</v>
      </c>
      <c r="E58" s="31" t="s">
        <v>2981</v>
      </c>
      <c r="F58" s="31"/>
      <c r="G58" s="31"/>
      <c r="H58" s="27" t="s">
        <v>22</v>
      </c>
      <c r="I58" s="27" t="s">
        <v>22</v>
      </c>
      <c r="J58" s="27" t="s">
        <v>17</v>
      </c>
      <c r="K58" s="27">
        <v>100</v>
      </c>
      <c r="L58" s="27">
        <v>114</v>
      </c>
      <c r="M58" s="27" t="s">
        <v>2982</v>
      </c>
      <c r="N58" s="27" t="s">
        <v>2983</v>
      </c>
    </row>
    <row r="59" spans="1:14" ht="13.8" x14ac:dyDescent="0.3">
      <c r="A59" s="27">
        <v>1026130</v>
      </c>
      <c r="B59" s="33" t="s">
        <v>2972</v>
      </c>
      <c r="C59" s="28" t="s">
        <v>2984</v>
      </c>
      <c r="D59" s="31" t="s">
        <v>2985</v>
      </c>
      <c r="E59" s="31" t="s">
        <v>2986</v>
      </c>
      <c r="F59" s="31"/>
      <c r="G59" s="31" t="s">
        <v>2987</v>
      </c>
      <c r="H59" s="27" t="s">
        <v>22</v>
      </c>
      <c r="I59" s="27" t="s">
        <v>22</v>
      </c>
      <c r="J59" s="27" t="s">
        <v>17</v>
      </c>
      <c r="K59" s="27">
        <v>94.1</v>
      </c>
      <c r="L59" s="27">
        <v>113.5</v>
      </c>
    </row>
    <row r="60" spans="1:14" ht="13.8" x14ac:dyDescent="0.3">
      <c r="A60" s="27">
        <v>1026130</v>
      </c>
      <c r="B60" s="33" t="s">
        <v>2972</v>
      </c>
      <c r="C60" s="28" t="s">
        <v>2984</v>
      </c>
      <c r="D60" s="31" t="s">
        <v>2985</v>
      </c>
      <c r="E60" s="31" t="s">
        <v>2986</v>
      </c>
      <c r="F60" s="31"/>
      <c r="G60" s="31" t="s">
        <v>2988</v>
      </c>
      <c r="H60" s="27" t="s">
        <v>22</v>
      </c>
      <c r="I60" s="27" t="s">
        <v>22</v>
      </c>
      <c r="J60" s="27" t="s">
        <v>17</v>
      </c>
      <c r="K60" s="27">
        <v>94.1</v>
      </c>
      <c r="L60" s="27">
        <v>113.5</v>
      </c>
    </row>
    <row r="61" spans="1:14" ht="13.8" x14ac:dyDescent="0.3">
      <c r="A61" s="27">
        <v>1026130</v>
      </c>
      <c r="B61" s="33" t="s">
        <v>2972</v>
      </c>
      <c r="C61" s="28" t="s">
        <v>2984</v>
      </c>
      <c r="D61" s="31" t="s">
        <v>2985</v>
      </c>
      <c r="E61" s="31" t="s">
        <v>2986</v>
      </c>
      <c r="F61" s="31"/>
      <c r="G61" s="31" t="s">
        <v>2989</v>
      </c>
      <c r="H61" s="27" t="s">
        <v>22</v>
      </c>
      <c r="I61" s="27" t="s">
        <v>22</v>
      </c>
      <c r="J61" s="27" t="s">
        <v>17</v>
      </c>
      <c r="K61" s="27">
        <v>94.1</v>
      </c>
      <c r="L61" s="27">
        <v>113.5</v>
      </c>
    </row>
    <row r="62" spans="1:14" ht="13.8" x14ac:dyDescent="0.3">
      <c r="A62" s="27">
        <v>1026130</v>
      </c>
      <c r="B62" s="33" t="s">
        <v>2972</v>
      </c>
      <c r="C62" s="28" t="s">
        <v>2984</v>
      </c>
      <c r="D62" s="31" t="s">
        <v>2985</v>
      </c>
      <c r="E62" s="31" t="s">
        <v>2986</v>
      </c>
      <c r="F62" s="31"/>
      <c r="G62" s="31" t="s">
        <v>2990</v>
      </c>
      <c r="H62" s="27" t="s">
        <v>22</v>
      </c>
      <c r="I62" s="27" t="s">
        <v>22</v>
      </c>
      <c r="J62" s="27" t="s">
        <v>17</v>
      </c>
      <c r="K62" s="27">
        <v>94.1</v>
      </c>
      <c r="L62" s="27">
        <v>113.5</v>
      </c>
    </row>
    <row r="63" spans="1:14" ht="13.8" x14ac:dyDescent="0.3">
      <c r="A63" s="27">
        <v>1026130</v>
      </c>
      <c r="B63" s="33" t="s">
        <v>2972</v>
      </c>
      <c r="C63" s="28" t="s">
        <v>2984</v>
      </c>
      <c r="D63" s="31" t="s">
        <v>2985</v>
      </c>
      <c r="E63" s="31" t="s">
        <v>2986</v>
      </c>
      <c r="F63" s="31"/>
      <c r="G63" s="31" t="s">
        <v>2991</v>
      </c>
      <c r="H63" s="27" t="s">
        <v>22</v>
      </c>
      <c r="I63" s="27" t="s">
        <v>22</v>
      </c>
      <c r="J63" s="27" t="s">
        <v>17</v>
      </c>
      <c r="K63" s="27">
        <v>94.1</v>
      </c>
      <c r="L63" s="27">
        <v>113.5</v>
      </c>
    </row>
    <row r="64" spans="1:14" ht="13.8" x14ac:dyDescent="0.3">
      <c r="A64" s="27">
        <v>1026130</v>
      </c>
      <c r="B64" s="33" t="s">
        <v>2972</v>
      </c>
      <c r="C64" s="28" t="s">
        <v>2984</v>
      </c>
      <c r="D64" s="31" t="s">
        <v>2985</v>
      </c>
      <c r="E64" s="31" t="s">
        <v>2986</v>
      </c>
      <c r="F64" s="31"/>
      <c r="G64" s="31" t="s">
        <v>2992</v>
      </c>
      <c r="H64" s="27" t="s">
        <v>22</v>
      </c>
      <c r="I64" s="27" t="s">
        <v>22</v>
      </c>
      <c r="J64" s="27" t="s">
        <v>17</v>
      </c>
      <c r="K64" s="27">
        <v>94.1</v>
      </c>
      <c r="L64" s="27">
        <v>113.5</v>
      </c>
    </row>
    <row r="65" spans="1:15" ht="13.8" x14ac:dyDescent="0.3">
      <c r="A65" s="27">
        <v>1026130</v>
      </c>
      <c r="B65" s="33" t="s">
        <v>2972</v>
      </c>
      <c r="C65" s="28" t="s">
        <v>2984</v>
      </c>
      <c r="D65" s="31" t="s">
        <v>2985</v>
      </c>
      <c r="E65" s="31" t="s">
        <v>2986</v>
      </c>
      <c r="F65" s="31"/>
      <c r="G65" s="31" t="s">
        <v>2993</v>
      </c>
      <c r="H65" s="27" t="s">
        <v>22</v>
      </c>
      <c r="I65" s="27" t="s">
        <v>22</v>
      </c>
      <c r="J65" s="27" t="s">
        <v>17</v>
      </c>
      <c r="K65" s="27">
        <v>94.1</v>
      </c>
      <c r="L65" s="27">
        <v>113.5</v>
      </c>
    </row>
    <row r="66" spans="1:15" ht="13.8" x14ac:dyDescent="0.3">
      <c r="A66" s="27">
        <v>1026130</v>
      </c>
      <c r="B66" s="33" t="s">
        <v>2972</v>
      </c>
      <c r="C66" s="28" t="s">
        <v>2984</v>
      </c>
      <c r="D66" s="31" t="s">
        <v>2985</v>
      </c>
      <c r="E66" s="31" t="s">
        <v>2986</v>
      </c>
      <c r="F66" s="31"/>
      <c r="G66" s="31" t="s">
        <v>2994</v>
      </c>
      <c r="H66" s="27" t="s">
        <v>22</v>
      </c>
      <c r="I66" s="27" t="s">
        <v>22</v>
      </c>
      <c r="J66" s="27" t="s">
        <v>17</v>
      </c>
      <c r="K66" s="27">
        <v>94.1</v>
      </c>
      <c r="L66" s="27">
        <v>113.5</v>
      </c>
    </row>
    <row r="67" spans="1:15" ht="13.8" x14ac:dyDescent="0.3">
      <c r="A67" s="27">
        <v>1026130</v>
      </c>
      <c r="B67" s="33" t="s">
        <v>2972</v>
      </c>
      <c r="C67" s="28" t="s">
        <v>2984</v>
      </c>
      <c r="D67" s="31" t="s">
        <v>2985</v>
      </c>
      <c r="E67" s="31" t="s">
        <v>2986</v>
      </c>
      <c r="F67" s="31"/>
      <c r="G67" s="31" t="s">
        <v>2995</v>
      </c>
      <c r="H67" s="27" t="s">
        <v>22</v>
      </c>
      <c r="I67" s="27" t="s">
        <v>22</v>
      </c>
      <c r="J67" s="27" t="s">
        <v>17</v>
      </c>
      <c r="K67" s="27">
        <v>94.1</v>
      </c>
      <c r="L67" s="27">
        <v>113.5</v>
      </c>
    </row>
    <row r="68" spans="1:15" ht="13.8" x14ac:dyDescent="0.3">
      <c r="A68" s="27">
        <v>1026130</v>
      </c>
      <c r="B68" s="33" t="s">
        <v>2972</v>
      </c>
      <c r="C68" s="28" t="s">
        <v>2984</v>
      </c>
      <c r="D68" s="31" t="s">
        <v>2985</v>
      </c>
      <c r="E68" s="31" t="s">
        <v>2986</v>
      </c>
      <c r="F68" s="31"/>
      <c r="G68" s="31" t="s">
        <v>2996</v>
      </c>
      <c r="H68" s="27" t="s">
        <v>22</v>
      </c>
      <c r="I68" s="27" t="s">
        <v>22</v>
      </c>
      <c r="J68" s="27" t="s">
        <v>17</v>
      </c>
      <c r="K68" s="27">
        <v>94.1</v>
      </c>
      <c r="L68" s="27">
        <v>113.5</v>
      </c>
    </row>
    <row r="69" spans="1:15" ht="13.8" x14ac:dyDescent="0.3">
      <c r="A69" s="27">
        <v>1026130</v>
      </c>
      <c r="B69" s="33" t="s">
        <v>2972</v>
      </c>
      <c r="C69" s="28" t="s">
        <v>2984</v>
      </c>
      <c r="D69" s="31" t="s">
        <v>2985</v>
      </c>
      <c r="E69" s="31" t="s">
        <v>2986</v>
      </c>
      <c r="F69" s="31"/>
      <c r="G69" s="31" t="s">
        <v>2997</v>
      </c>
      <c r="H69" s="27" t="s">
        <v>22</v>
      </c>
      <c r="I69" s="27" t="s">
        <v>22</v>
      </c>
      <c r="J69" s="27" t="s">
        <v>17</v>
      </c>
      <c r="K69" s="27">
        <v>94.1</v>
      </c>
      <c r="L69" s="27">
        <v>113.5</v>
      </c>
    </row>
    <row r="70" spans="1:15" ht="13.8" x14ac:dyDescent="0.3">
      <c r="A70" s="27">
        <v>1026130</v>
      </c>
      <c r="B70" s="33" t="s">
        <v>2972</v>
      </c>
      <c r="C70" s="28" t="s">
        <v>2984</v>
      </c>
      <c r="D70" s="31" t="s">
        <v>2985</v>
      </c>
      <c r="E70" s="31" t="s">
        <v>2986</v>
      </c>
      <c r="F70" s="31"/>
      <c r="G70" s="31" t="s">
        <v>2998</v>
      </c>
      <c r="H70" s="27" t="s">
        <v>22</v>
      </c>
      <c r="I70" s="27" t="s">
        <v>22</v>
      </c>
      <c r="J70" s="27" t="s">
        <v>17</v>
      </c>
      <c r="K70" s="27">
        <v>94.1</v>
      </c>
      <c r="L70" s="27">
        <v>113.5</v>
      </c>
    </row>
    <row r="71" spans="1:15" ht="13.8" x14ac:dyDescent="0.3">
      <c r="A71" s="27">
        <v>1026130</v>
      </c>
      <c r="B71" s="33" t="s">
        <v>2972</v>
      </c>
      <c r="C71" s="28" t="s">
        <v>2999</v>
      </c>
      <c r="D71" s="31" t="s">
        <v>2999</v>
      </c>
      <c r="E71" s="31" t="s">
        <v>3000</v>
      </c>
      <c r="F71" s="31" t="s">
        <v>3001</v>
      </c>
      <c r="G71" s="31"/>
      <c r="H71" s="27" t="s">
        <v>22</v>
      </c>
      <c r="I71" s="27" t="s">
        <v>22</v>
      </c>
      <c r="J71" s="27" t="s">
        <v>17</v>
      </c>
      <c r="K71" s="27">
        <v>100</v>
      </c>
      <c r="L71" s="27">
        <v>112</v>
      </c>
      <c r="M71" s="27" t="s">
        <v>3002</v>
      </c>
      <c r="N71" s="27" t="s">
        <v>3003</v>
      </c>
    </row>
    <row r="72" spans="1:15" ht="13.8" x14ac:dyDescent="0.3">
      <c r="A72" s="27">
        <v>1026130</v>
      </c>
      <c r="B72" s="33" t="s">
        <v>2972</v>
      </c>
      <c r="C72" s="28" t="s">
        <v>3004</v>
      </c>
      <c r="D72" s="31" t="s">
        <v>3004</v>
      </c>
      <c r="E72" s="31" t="s">
        <v>3005</v>
      </c>
      <c r="F72" s="31"/>
      <c r="G72" s="31"/>
      <c r="H72" s="27" t="s">
        <v>22</v>
      </c>
      <c r="I72" s="27" t="s">
        <v>22</v>
      </c>
      <c r="J72" s="27" t="s">
        <v>17</v>
      </c>
      <c r="K72" s="27">
        <v>100</v>
      </c>
      <c r="L72" s="27">
        <v>112</v>
      </c>
      <c r="M72" s="27" t="s">
        <v>133</v>
      </c>
      <c r="N72" s="27" t="s">
        <v>134</v>
      </c>
    </row>
    <row r="73" spans="1:15" ht="13.8" x14ac:dyDescent="0.3">
      <c r="A73" s="27">
        <v>1076408</v>
      </c>
      <c r="B73" s="34" t="s">
        <v>3006</v>
      </c>
      <c r="C73" s="28" t="s">
        <v>3007</v>
      </c>
      <c r="D73" s="31" t="s">
        <v>3007</v>
      </c>
      <c r="E73" s="31" t="s">
        <v>3008</v>
      </c>
      <c r="F73" s="31"/>
      <c r="G73" s="31"/>
      <c r="H73" s="27" t="s">
        <v>22</v>
      </c>
      <c r="I73" s="27" t="s">
        <v>22</v>
      </c>
      <c r="J73" s="27" t="s">
        <v>17</v>
      </c>
      <c r="K73" s="27">
        <v>100</v>
      </c>
      <c r="L73" s="27">
        <v>113</v>
      </c>
    </row>
    <row r="74" spans="1:15" ht="13.8" x14ac:dyDescent="0.3">
      <c r="A74" s="27">
        <v>1076408</v>
      </c>
      <c r="B74" s="34" t="s">
        <v>3006</v>
      </c>
      <c r="C74" s="28" t="s">
        <v>3009</v>
      </c>
      <c r="D74" s="31" t="s">
        <v>3009</v>
      </c>
      <c r="E74" s="31" t="s">
        <v>3010</v>
      </c>
      <c r="F74" s="31"/>
      <c r="G74" s="31"/>
      <c r="H74" s="27" t="s">
        <v>22</v>
      </c>
      <c r="I74" s="27" t="s">
        <v>22</v>
      </c>
      <c r="J74" s="27" t="s">
        <v>17</v>
      </c>
      <c r="K74" s="27">
        <v>100</v>
      </c>
      <c r="L74" s="27">
        <v>113</v>
      </c>
      <c r="M74" s="27" t="s">
        <v>3011</v>
      </c>
      <c r="N74" s="27" t="s">
        <v>3012</v>
      </c>
    </row>
    <row r="75" spans="1:15" ht="13.8" x14ac:dyDescent="0.3">
      <c r="A75" s="27">
        <v>1076408</v>
      </c>
      <c r="B75" s="34" t="s">
        <v>3006</v>
      </c>
      <c r="C75" s="28" t="s">
        <v>3013</v>
      </c>
      <c r="D75" s="31"/>
      <c r="E75" s="31" t="s">
        <v>3014</v>
      </c>
      <c r="F75" s="31"/>
      <c r="G75" s="31"/>
      <c r="H75" s="27" t="s">
        <v>22</v>
      </c>
      <c r="I75" s="27" t="s">
        <v>22</v>
      </c>
      <c r="J75" s="27" t="s">
        <v>17</v>
      </c>
      <c r="K75" s="27">
        <v>100</v>
      </c>
      <c r="L75" s="27">
        <v>112</v>
      </c>
      <c r="O75" s="27" t="s">
        <v>3015</v>
      </c>
    </row>
    <row r="76" spans="1:15" ht="13.8" x14ac:dyDescent="0.3">
      <c r="A76" s="27">
        <v>1076408</v>
      </c>
      <c r="B76" s="34" t="s">
        <v>3006</v>
      </c>
      <c r="C76" s="28" t="s">
        <v>3016</v>
      </c>
      <c r="D76" s="31" t="s">
        <v>3017</v>
      </c>
      <c r="E76" s="31" t="s">
        <v>3018</v>
      </c>
      <c r="F76" s="31"/>
      <c r="G76" s="31"/>
      <c r="H76" s="27" t="s">
        <v>46</v>
      </c>
      <c r="I76" s="27" t="s">
        <v>46</v>
      </c>
      <c r="J76" s="27" t="s">
        <v>17</v>
      </c>
      <c r="K76" s="27">
        <v>100</v>
      </c>
      <c r="L76" s="27">
        <v>50</v>
      </c>
      <c r="O76" s="27"/>
    </row>
    <row r="77" spans="1:15" ht="13.8" hidden="1" x14ac:dyDescent="0.3">
      <c r="A77" s="27">
        <v>1076408</v>
      </c>
      <c r="B77" s="34" t="s">
        <v>3006</v>
      </c>
      <c r="C77" s="28" t="s">
        <v>3019</v>
      </c>
      <c r="D77" s="35"/>
      <c r="E77" s="35"/>
      <c r="F77" s="35"/>
      <c r="G77" s="35"/>
      <c r="H77" s="27" t="s">
        <v>16</v>
      </c>
      <c r="I77" s="27" t="s">
        <v>16</v>
      </c>
      <c r="J77" s="27" t="s">
        <v>17</v>
      </c>
      <c r="K77" s="27">
        <v>0</v>
      </c>
      <c r="L77" s="27">
        <v>0</v>
      </c>
    </row>
    <row r="78" spans="1:15" ht="13.8" x14ac:dyDescent="0.3">
      <c r="A78" s="27">
        <v>1096583</v>
      </c>
      <c r="B78" s="30" t="s">
        <v>3020</v>
      </c>
      <c r="C78" s="28" t="s">
        <v>2909</v>
      </c>
      <c r="D78" s="31" t="s">
        <v>2910</v>
      </c>
      <c r="E78" s="31" t="s">
        <v>2911</v>
      </c>
      <c r="F78" s="31" t="s">
        <v>2912</v>
      </c>
      <c r="G78" s="31" t="s">
        <v>2913</v>
      </c>
      <c r="H78" s="27" t="s">
        <v>22</v>
      </c>
      <c r="I78" s="27" t="s">
        <v>22</v>
      </c>
      <c r="J78" s="27" t="s">
        <v>17</v>
      </c>
      <c r="K78" s="27">
        <v>90</v>
      </c>
      <c r="L78" s="27">
        <v>106</v>
      </c>
      <c r="M78" s="27" t="s">
        <v>2914</v>
      </c>
      <c r="N78" s="27" t="s">
        <v>2915</v>
      </c>
    </row>
    <row r="79" spans="1:15" ht="13.8" x14ac:dyDescent="0.3">
      <c r="A79" s="27">
        <v>1096583</v>
      </c>
      <c r="B79" s="30" t="s">
        <v>3020</v>
      </c>
      <c r="C79" s="28" t="s">
        <v>2909</v>
      </c>
      <c r="D79" s="31" t="s">
        <v>2910</v>
      </c>
      <c r="E79" s="31" t="s">
        <v>2911</v>
      </c>
      <c r="F79" s="31" t="s">
        <v>2912</v>
      </c>
      <c r="G79" s="31" t="s">
        <v>2916</v>
      </c>
      <c r="H79" s="27" t="s">
        <v>22</v>
      </c>
      <c r="I79" s="27" t="s">
        <v>22</v>
      </c>
      <c r="J79" s="27" t="s">
        <v>17</v>
      </c>
      <c r="K79" s="27">
        <v>90</v>
      </c>
      <c r="L79" s="27">
        <v>106</v>
      </c>
      <c r="M79" s="27" t="s">
        <v>2914</v>
      </c>
      <c r="N79" s="27" t="s">
        <v>2915</v>
      </c>
    </row>
    <row r="80" spans="1:15" ht="13.8" x14ac:dyDescent="0.3">
      <c r="A80" s="27">
        <v>1096583</v>
      </c>
      <c r="B80" s="30" t="s">
        <v>3020</v>
      </c>
      <c r="C80" s="28" t="s">
        <v>2909</v>
      </c>
      <c r="D80" s="31" t="s">
        <v>2910</v>
      </c>
      <c r="E80" s="31" t="s">
        <v>2911</v>
      </c>
      <c r="F80" s="31" t="s">
        <v>2912</v>
      </c>
      <c r="G80" s="31" t="s">
        <v>2917</v>
      </c>
      <c r="H80" s="27" t="s">
        <v>22</v>
      </c>
      <c r="I80" s="27" t="s">
        <v>22</v>
      </c>
      <c r="J80" s="27" t="s">
        <v>17</v>
      </c>
      <c r="K80" s="27">
        <v>90</v>
      </c>
      <c r="L80" s="27">
        <v>106</v>
      </c>
      <c r="M80" s="27" t="s">
        <v>2914</v>
      </c>
      <c r="N80" s="27" t="s">
        <v>2915</v>
      </c>
    </row>
    <row r="81" spans="1:14" ht="13.8" x14ac:dyDescent="0.3">
      <c r="A81" s="27">
        <v>1096583</v>
      </c>
      <c r="B81" s="30" t="s">
        <v>3020</v>
      </c>
      <c r="C81" s="28" t="s">
        <v>2909</v>
      </c>
      <c r="D81" s="31" t="s">
        <v>2910</v>
      </c>
      <c r="E81" s="31" t="s">
        <v>2911</v>
      </c>
      <c r="F81" s="31" t="s">
        <v>2912</v>
      </c>
      <c r="G81" s="31" t="s">
        <v>2918</v>
      </c>
      <c r="H81" s="27" t="s">
        <v>22</v>
      </c>
      <c r="I81" s="27" t="s">
        <v>22</v>
      </c>
      <c r="J81" s="27" t="s">
        <v>17</v>
      </c>
      <c r="K81" s="27">
        <v>90</v>
      </c>
      <c r="L81" s="27">
        <v>106</v>
      </c>
      <c r="M81" s="27" t="s">
        <v>2914</v>
      </c>
      <c r="N81" s="27" t="s">
        <v>2915</v>
      </c>
    </row>
    <row r="82" spans="1:14" ht="13.8" x14ac:dyDescent="0.3">
      <c r="A82" s="27">
        <v>1096583</v>
      </c>
      <c r="B82" s="30" t="s">
        <v>3020</v>
      </c>
      <c r="C82" s="28" t="s">
        <v>2909</v>
      </c>
      <c r="D82" s="31" t="s">
        <v>2910</v>
      </c>
      <c r="E82" s="31" t="s">
        <v>2911</v>
      </c>
      <c r="F82" s="31" t="s">
        <v>2912</v>
      </c>
      <c r="G82" s="31" t="s">
        <v>2919</v>
      </c>
      <c r="H82" s="27" t="s">
        <v>22</v>
      </c>
      <c r="I82" s="27" t="s">
        <v>22</v>
      </c>
      <c r="J82" s="27" t="s">
        <v>17</v>
      </c>
      <c r="K82" s="27">
        <v>90</v>
      </c>
      <c r="L82" s="27">
        <v>106</v>
      </c>
      <c r="M82" s="27" t="s">
        <v>2914</v>
      </c>
      <c r="N82" s="27" t="s">
        <v>2915</v>
      </c>
    </row>
    <row r="83" spans="1:14" ht="13.8" x14ac:dyDescent="0.3">
      <c r="A83" s="27">
        <v>1096583</v>
      </c>
      <c r="B83" s="30" t="s">
        <v>3020</v>
      </c>
      <c r="C83" s="28" t="s">
        <v>2909</v>
      </c>
      <c r="D83" s="31" t="s">
        <v>2910</v>
      </c>
      <c r="E83" s="31" t="s">
        <v>2911</v>
      </c>
      <c r="F83" s="31" t="s">
        <v>2912</v>
      </c>
      <c r="G83" s="31" t="s">
        <v>2920</v>
      </c>
      <c r="H83" s="27" t="s">
        <v>22</v>
      </c>
      <c r="I83" s="27" t="s">
        <v>22</v>
      </c>
      <c r="J83" s="27" t="s">
        <v>17</v>
      </c>
      <c r="K83" s="27">
        <v>90</v>
      </c>
      <c r="L83" s="27">
        <v>106</v>
      </c>
      <c r="M83" s="27" t="s">
        <v>2914</v>
      </c>
      <c r="N83" s="27" t="s">
        <v>2915</v>
      </c>
    </row>
    <row r="84" spans="1:14" ht="13.8" x14ac:dyDescent="0.3">
      <c r="A84" s="27">
        <v>1096583</v>
      </c>
      <c r="B84" s="30" t="s">
        <v>3020</v>
      </c>
      <c r="C84" s="28" t="s">
        <v>2909</v>
      </c>
      <c r="D84" s="31" t="s">
        <v>2910</v>
      </c>
      <c r="E84" s="31" t="s">
        <v>2911</v>
      </c>
      <c r="F84" s="31" t="s">
        <v>2912</v>
      </c>
      <c r="G84" s="31" t="s">
        <v>2921</v>
      </c>
      <c r="H84" s="27" t="s">
        <v>22</v>
      </c>
      <c r="I84" s="27" t="s">
        <v>22</v>
      </c>
      <c r="J84" s="27" t="s">
        <v>17</v>
      </c>
      <c r="K84" s="27">
        <v>90</v>
      </c>
      <c r="L84" s="27">
        <v>106</v>
      </c>
      <c r="M84" s="27" t="s">
        <v>2914</v>
      </c>
      <c r="N84" s="27" t="s">
        <v>2915</v>
      </c>
    </row>
    <row r="85" spans="1:14" ht="13.8" x14ac:dyDescent="0.3">
      <c r="A85" s="27">
        <v>1096583</v>
      </c>
      <c r="B85" s="30" t="s">
        <v>3020</v>
      </c>
      <c r="C85" s="28" t="s">
        <v>2909</v>
      </c>
      <c r="D85" s="31" t="s">
        <v>2910</v>
      </c>
      <c r="E85" s="31" t="s">
        <v>2911</v>
      </c>
      <c r="F85" s="31" t="s">
        <v>2912</v>
      </c>
      <c r="G85" s="31" t="s">
        <v>2922</v>
      </c>
      <c r="H85" s="27" t="s">
        <v>22</v>
      </c>
      <c r="I85" s="27" t="s">
        <v>22</v>
      </c>
      <c r="J85" s="27" t="s">
        <v>17</v>
      </c>
      <c r="K85" s="27">
        <v>90</v>
      </c>
      <c r="L85" s="27">
        <v>106</v>
      </c>
      <c r="M85" s="27" t="s">
        <v>2914</v>
      </c>
      <c r="N85" s="27" t="s">
        <v>2915</v>
      </c>
    </row>
    <row r="86" spans="1:14" ht="13.8" x14ac:dyDescent="0.3">
      <c r="A86" s="27">
        <v>1096583</v>
      </c>
      <c r="B86" s="30" t="s">
        <v>3020</v>
      </c>
      <c r="C86" s="28" t="s">
        <v>2909</v>
      </c>
      <c r="D86" s="31" t="s">
        <v>2910</v>
      </c>
      <c r="E86" s="31" t="s">
        <v>2911</v>
      </c>
      <c r="F86" s="31" t="s">
        <v>2912</v>
      </c>
      <c r="G86" s="31" t="s">
        <v>2923</v>
      </c>
      <c r="H86" s="27" t="s">
        <v>22</v>
      </c>
      <c r="I86" s="27" t="s">
        <v>22</v>
      </c>
      <c r="J86" s="27" t="s">
        <v>17</v>
      </c>
      <c r="K86" s="27">
        <v>90</v>
      </c>
      <c r="L86" s="27">
        <v>106</v>
      </c>
      <c r="M86" s="27" t="s">
        <v>2914</v>
      </c>
      <c r="N86" s="27" t="s">
        <v>2915</v>
      </c>
    </row>
    <row r="87" spans="1:14" ht="13.8" x14ac:dyDescent="0.3">
      <c r="A87" s="27">
        <v>1096583</v>
      </c>
      <c r="B87" s="30" t="s">
        <v>3020</v>
      </c>
      <c r="C87" s="28" t="s">
        <v>2909</v>
      </c>
      <c r="D87" s="31" t="s">
        <v>2910</v>
      </c>
      <c r="E87" s="31" t="s">
        <v>2911</v>
      </c>
      <c r="F87" s="31" t="s">
        <v>2912</v>
      </c>
      <c r="G87" s="31" t="s">
        <v>2924</v>
      </c>
      <c r="H87" s="27" t="s">
        <v>22</v>
      </c>
      <c r="I87" s="27" t="s">
        <v>22</v>
      </c>
      <c r="J87" s="27" t="s">
        <v>17</v>
      </c>
      <c r="K87" s="27">
        <v>90</v>
      </c>
      <c r="L87" s="27">
        <v>106</v>
      </c>
      <c r="M87" s="27" t="s">
        <v>2914</v>
      </c>
      <c r="N87" s="27" t="s">
        <v>2915</v>
      </c>
    </row>
    <row r="88" spans="1:14" ht="13.8" x14ac:dyDescent="0.3">
      <c r="A88" s="27">
        <v>1096583</v>
      </c>
      <c r="B88" s="30" t="s">
        <v>3020</v>
      </c>
      <c r="C88" s="28" t="s">
        <v>2909</v>
      </c>
      <c r="D88" s="31" t="s">
        <v>2910</v>
      </c>
      <c r="E88" s="31" t="s">
        <v>2911</v>
      </c>
      <c r="F88" s="31" t="s">
        <v>2912</v>
      </c>
      <c r="G88" s="31" t="s">
        <v>2925</v>
      </c>
      <c r="H88" s="27" t="s">
        <v>22</v>
      </c>
      <c r="I88" s="27" t="s">
        <v>22</v>
      </c>
      <c r="J88" s="27" t="s">
        <v>17</v>
      </c>
      <c r="K88" s="27">
        <v>90</v>
      </c>
      <c r="L88" s="27">
        <v>106</v>
      </c>
      <c r="M88" s="27" t="s">
        <v>2914</v>
      </c>
      <c r="N88" s="27" t="s">
        <v>2915</v>
      </c>
    </row>
    <row r="89" spans="1:14" ht="13.8" x14ac:dyDescent="0.3">
      <c r="A89" s="27">
        <v>1096583</v>
      </c>
      <c r="B89" s="30" t="s">
        <v>3020</v>
      </c>
      <c r="C89" s="28" t="s">
        <v>2909</v>
      </c>
      <c r="D89" s="31" t="s">
        <v>2910</v>
      </c>
      <c r="E89" s="31" t="s">
        <v>2911</v>
      </c>
      <c r="F89" s="31" t="s">
        <v>2912</v>
      </c>
      <c r="G89" s="31" t="s">
        <v>2926</v>
      </c>
      <c r="H89" s="27" t="s">
        <v>22</v>
      </c>
      <c r="I89" s="27" t="s">
        <v>22</v>
      </c>
      <c r="J89" s="27" t="s">
        <v>17</v>
      </c>
      <c r="K89" s="27">
        <v>90</v>
      </c>
      <c r="L89" s="27">
        <v>106</v>
      </c>
      <c r="M89" s="27" t="s">
        <v>2914</v>
      </c>
      <c r="N89" s="27" t="s">
        <v>2915</v>
      </c>
    </row>
    <row r="90" spans="1:14" ht="13.8" x14ac:dyDescent="0.3">
      <c r="A90" s="27">
        <v>1096583</v>
      </c>
      <c r="B90" s="30" t="s">
        <v>3020</v>
      </c>
      <c r="C90" s="28" t="s">
        <v>2909</v>
      </c>
      <c r="D90" s="31" t="s">
        <v>2910</v>
      </c>
      <c r="E90" s="31" t="s">
        <v>2911</v>
      </c>
      <c r="F90" s="31" t="s">
        <v>2912</v>
      </c>
      <c r="G90" s="31" t="s">
        <v>2927</v>
      </c>
      <c r="H90" s="27" t="s">
        <v>22</v>
      </c>
      <c r="I90" s="27" t="s">
        <v>22</v>
      </c>
      <c r="J90" s="27" t="s">
        <v>17</v>
      </c>
      <c r="K90" s="27">
        <v>90</v>
      </c>
      <c r="L90" s="27">
        <v>106</v>
      </c>
      <c r="M90" s="27" t="s">
        <v>2914</v>
      </c>
      <c r="N90" s="27" t="s">
        <v>2915</v>
      </c>
    </row>
    <row r="91" spans="1:14" ht="13.8" x14ac:dyDescent="0.3">
      <c r="A91" s="27">
        <v>1096583</v>
      </c>
      <c r="B91" s="30" t="s">
        <v>3020</v>
      </c>
      <c r="C91" s="28" t="s">
        <v>2909</v>
      </c>
      <c r="D91" s="31" t="s">
        <v>2910</v>
      </c>
      <c r="E91" s="31" t="s">
        <v>2911</v>
      </c>
      <c r="F91" s="31" t="s">
        <v>2912</v>
      </c>
      <c r="G91" s="31" t="s">
        <v>3021</v>
      </c>
      <c r="H91" s="27" t="s">
        <v>22</v>
      </c>
      <c r="I91" s="27" t="s">
        <v>22</v>
      </c>
      <c r="J91" s="27" t="s">
        <v>17</v>
      </c>
      <c r="K91" s="27">
        <v>90</v>
      </c>
      <c r="L91" s="27">
        <v>106</v>
      </c>
      <c r="M91" s="27" t="s">
        <v>2914</v>
      </c>
      <c r="N91" s="27" t="s">
        <v>2915</v>
      </c>
    </row>
    <row r="92" spans="1:14" ht="13.8" x14ac:dyDescent="0.3">
      <c r="A92" s="27">
        <v>1096583</v>
      </c>
      <c r="B92" s="30" t="s">
        <v>3020</v>
      </c>
      <c r="C92" s="28" t="s">
        <v>2909</v>
      </c>
      <c r="D92" s="31" t="s">
        <v>2910</v>
      </c>
      <c r="E92" s="31" t="s">
        <v>2911</v>
      </c>
      <c r="F92" s="31" t="s">
        <v>2912</v>
      </c>
      <c r="G92" s="31" t="s">
        <v>3022</v>
      </c>
      <c r="H92" s="27" t="s">
        <v>22</v>
      </c>
      <c r="I92" s="27" t="s">
        <v>22</v>
      </c>
      <c r="J92" s="27" t="s">
        <v>17</v>
      </c>
      <c r="K92" s="27">
        <v>90</v>
      </c>
      <c r="L92" s="27">
        <v>106</v>
      </c>
      <c r="M92" s="27" t="s">
        <v>2914</v>
      </c>
      <c r="N92" s="27" t="s">
        <v>2915</v>
      </c>
    </row>
    <row r="93" spans="1:14" ht="13.8" x14ac:dyDescent="0.3">
      <c r="A93" s="27">
        <v>1096583</v>
      </c>
      <c r="B93" s="30" t="s">
        <v>3020</v>
      </c>
      <c r="C93" s="28" t="s">
        <v>2909</v>
      </c>
      <c r="D93" s="31" t="s">
        <v>2910</v>
      </c>
      <c r="E93" s="31" t="s">
        <v>2911</v>
      </c>
      <c r="F93" s="31" t="s">
        <v>2912</v>
      </c>
      <c r="G93" s="31" t="s">
        <v>3023</v>
      </c>
      <c r="H93" s="27" t="s">
        <v>22</v>
      </c>
      <c r="I93" s="27" t="s">
        <v>22</v>
      </c>
      <c r="J93" s="27" t="s">
        <v>17</v>
      </c>
      <c r="K93" s="27">
        <v>90</v>
      </c>
      <c r="L93" s="27">
        <v>106</v>
      </c>
      <c r="M93" s="27" t="s">
        <v>2914</v>
      </c>
      <c r="N93" s="27" t="s">
        <v>2915</v>
      </c>
    </row>
    <row r="94" spans="1:14" ht="13.8" x14ac:dyDescent="0.3">
      <c r="A94" s="27">
        <v>1096583</v>
      </c>
      <c r="B94" s="30" t="s">
        <v>3020</v>
      </c>
      <c r="C94" s="28" t="s">
        <v>2909</v>
      </c>
      <c r="D94" s="31" t="s">
        <v>2910</v>
      </c>
      <c r="E94" s="31" t="s">
        <v>2911</v>
      </c>
      <c r="F94" s="31" t="s">
        <v>2912</v>
      </c>
      <c r="G94" s="31" t="s">
        <v>2931</v>
      </c>
      <c r="H94" s="27" t="s">
        <v>22</v>
      </c>
      <c r="I94" s="27" t="s">
        <v>22</v>
      </c>
      <c r="J94" s="27" t="s">
        <v>17</v>
      </c>
      <c r="K94" s="27">
        <v>90</v>
      </c>
      <c r="L94" s="27">
        <v>106</v>
      </c>
      <c r="M94" s="27" t="s">
        <v>2914</v>
      </c>
      <c r="N94" s="27" t="s">
        <v>2915</v>
      </c>
    </row>
    <row r="95" spans="1:14" ht="13.8" x14ac:dyDescent="0.3">
      <c r="A95" s="27">
        <v>1096583</v>
      </c>
      <c r="B95" s="30" t="s">
        <v>3020</v>
      </c>
      <c r="C95" s="28" t="s">
        <v>2909</v>
      </c>
      <c r="D95" s="31" t="s">
        <v>2910</v>
      </c>
      <c r="E95" s="31" t="s">
        <v>2911</v>
      </c>
      <c r="F95" s="31" t="s">
        <v>2912</v>
      </c>
      <c r="G95" s="31" t="s">
        <v>2932</v>
      </c>
      <c r="H95" s="27" t="s">
        <v>22</v>
      </c>
      <c r="I95" s="27" t="s">
        <v>22</v>
      </c>
      <c r="J95" s="27" t="s">
        <v>17</v>
      </c>
      <c r="K95" s="27">
        <v>90</v>
      </c>
      <c r="L95" s="27">
        <v>106</v>
      </c>
      <c r="M95" s="27" t="s">
        <v>2914</v>
      </c>
      <c r="N95" s="27" t="s">
        <v>2915</v>
      </c>
    </row>
    <row r="96" spans="1:14" ht="13.8" x14ac:dyDescent="0.3">
      <c r="A96" s="27">
        <v>1096583</v>
      </c>
      <c r="B96" s="30" t="s">
        <v>3020</v>
      </c>
      <c r="C96" s="28" t="s">
        <v>2909</v>
      </c>
      <c r="D96" s="31" t="s">
        <v>2910</v>
      </c>
      <c r="E96" s="31" t="s">
        <v>2911</v>
      </c>
      <c r="F96" s="31" t="s">
        <v>2912</v>
      </c>
      <c r="G96" s="31" t="s">
        <v>2933</v>
      </c>
      <c r="H96" s="27" t="s">
        <v>22</v>
      </c>
      <c r="I96" s="27" t="s">
        <v>22</v>
      </c>
      <c r="J96" s="27" t="s">
        <v>17</v>
      </c>
      <c r="K96" s="27">
        <v>90</v>
      </c>
      <c r="L96" s="27">
        <v>106</v>
      </c>
      <c r="M96" s="27" t="s">
        <v>2914</v>
      </c>
      <c r="N96" s="27" t="s">
        <v>2915</v>
      </c>
    </row>
    <row r="97" spans="1:14" ht="13.8" x14ac:dyDescent="0.3">
      <c r="A97" s="27">
        <v>1096583</v>
      </c>
      <c r="B97" s="30" t="s">
        <v>3020</v>
      </c>
      <c r="C97" s="28" t="s">
        <v>2909</v>
      </c>
      <c r="D97" s="31" t="s">
        <v>2910</v>
      </c>
      <c r="E97" s="31" t="s">
        <v>2911</v>
      </c>
      <c r="F97" s="31" t="s">
        <v>2912</v>
      </c>
      <c r="G97" s="31" t="s">
        <v>2934</v>
      </c>
      <c r="H97" s="27" t="s">
        <v>22</v>
      </c>
      <c r="I97" s="27" t="s">
        <v>22</v>
      </c>
      <c r="J97" s="27" t="s">
        <v>17</v>
      </c>
      <c r="K97" s="27">
        <v>90</v>
      </c>
      <c r="L97" s="27">
        <v>106</v>
      </c>
      <c r="M97" s="27" t="s">
        <v>2914</v>
      </c>
      <c r="N97" s="27" t="s">
        <v>2915</v>
      </c>
    </row>
    <row r="98" spans="1:14" ht="13.8" x14ac:dyDescent="0.3">
      <c r="A98" s="27">
        <v>1096583</v>
      </c>
      <c r="B98" s="30" t="s">
        <v>3020</v>
      </c>
      <c r="C98" s="28" t="s">
        <v>2909</v>
      </c>
      <c r="D98" s="31" t="s">
        <v>2910</v>
      </c>
      <c r="E98" s="31" t="s">
        <v>2911</v>
      </c>
      <c r="F98" s="31" t="s">
        <v>2912</v>
      </c>
      <c r="G98" s="31" t="s">
        <v>2935</v>
      </c>
      <c r="H98" s="27" t="s">
        <v>22</v>
      </c>
      <c r="I98" s="27" t="s">
        <v>22</v>
      </c>
      <c r="J98" s="27" t="s">
        <v>17</v>
      </c>
      <c r="K98" s="27">
        <v>90</v>
      </c>
      <c r="L98" s="27">
        <v>106</v>
      </c>
      <c r="M98" s="27" t="s">
        <v>2914</v>
      </c>
      <c r="N98" s="27" t="s">
        <v>2915</v>
      </c>
    </row>
    <row r="99" spans="1:14" ht="13.8" x14ac:dyDescent="0.3">
      <c r="A99" s="27">
        <v>1096583</v>
      </c>
      <c r="B99" s="30" t="s">
        <v>3020</v>
      </c>
      <c r="C99" s="28" t="s">
        <v>2909</v>
      </c>
      <c r="D99" s="31" t="s">
        <v>2910</v>
      </c>
      <c r="E99" s="31" t="s">
        <v>2911</v>
      </c>
      <c r="F99" s="31" t="s">
        <v>2912</v>
      </c>
      <c r="G99" s="31" t="s">
        <v>2936</v>
      </c>
      <c r="H99" s="27" t="s">
        <v>22</v>
      </c>
      <c r="I99" s="27" t="s">
        <v>22</v>
      </c>
      <c r="J99" s="27" t="s">
        <v>17</v>
      </c>
      <c r="K99" s="27">
        <v>90</v>
      </c>
      <c r="L99" s="27">
        <v>106</v>
      </c>
      <c r="M99" s="27" t="s">
        <v>2914</v>
      </c>
      <c r="N99" s="27" t="s">
        <v>2915</v>
      </c>
    </row>
    <row r="100" spans="1:14" ht="13.8" x14ac:dyDescent="0.3">
      <c r="A100" s="27">
        <v>1096583</v>
      </c>
      <c r="B100" s="30" t="s">
        <v>3020</v>
      </c>
      <c r="C100" s="28" t="s">
        <v>2909</v>
      </c>
      <c r="D100" s="31" t="s">
        <v>2910</v>
      </c>
      <c r="E100" s="31" t="s">
        <v>2911</v>
      </c>
      <c r="F100" s="31" t="s">
        <v>2912</v>
      </c>
      <c r="G100" s="31" t="s">
        <v>2937</v>
      </c>
      <c r="H100" s="27" t="s">
        <v>22</v>
      </c>
      <c r="I100" s="27" t="s">
        <v>22</v>
      </c>
      <c r="J100" s="27" t="s">
        <v>17</v>
      </c>
      <c r="K100" s="27">
        <v>90</v>
      </c>
      <c r="L100" s="27">
        <v>106</v>
      </c>
      <c r="M100" s="27" t="s">
        <v>2914</v>
      </c>
      <c r="N100" s="27" t="s">
        <v>2915</v>
      </c>
    </row>
    <row r="101" spans="1:14" ht="13.8" x14ac:dyDescent="0.3">
      <c r="A101" s="27">
        <v>1096583</v>
      </c>
      <c r="B101" s="30" t="s">
        <v>3020</v>
      </c>
      <c r="C101" s="28" t="s">
        <v>2909</v>
      </c>
      <c r="D101" s="31" t="s">
        <v>2910</v>
      </c>
      <c r="E101" s="31" t="s">
        <v>2911</v>
      </c>
      <c r="F101" s="31" t="s">
        <v>2912</v>
      </c>
      <c r="G101" s="31" t="s">
        <v>2938</v>
      </c>
      <c r="H101" s="27" t="s">
        <v>22</v>
      </c>
      <c r="I101" s="27" t="s">
        <v>22</v>
      </c>
      <c r="J101" s="27" t="s">
        <v>17</v>
      </c>
      <c r="K101" s="27">
        <v>90</v>
      </c>
      <c r="L101" s="27">
        <v>106</v>
      </c>
      <c r="M101" s="27" t="s">
        <v>2914</v>
      </c>
      <c r="N101" s="27" t="s">
        <v>2915</v>
      </c>
    </row>
    <row r="102" spans="1:14" ht="13.8" x14ac:dyDescent="0.3">
      <c r="A102" s="27">
        <v>1096583</v>
      </c>
      <c r="B102" s="30" t="s">
        <v>3020</v>
      </c>
      <c r="C102" s="28" t="s">
        <v>2909</v>
      </c>
      <c r="D102" s="31" t="s">
        <v>2910</v>
      </c>
      <c r="E102" s="31" t="s">
        <v>2911</v>
      </c>
      <c r="F102" s="31" t="s">
        <v>2912</v>
      </c>
      <c r="G102" s="31" t="s">
        <v>2939</v>
      </c>
      <c r="H102" s="27" t="s">
        <v>22</v>
      </c>
      <c r="I102" s="27" t="s">
        <v>22</v>
      </c>
      <c r="J102" s="27" t="s">
        <v>17</v>
      </c>
      <c r="K102" s="27">
        <v>90</v>
      </c>
      <c r="L102" s="27">
        <v>106</v>
      </c>
      <c r="M102" s="27" t="s">
        <v>2914</v>
      </c>
      <c r="N102" s="27" t="s">
        <v>2915</v>
      </c>
    </row>
    <row r="103" spans="1:14" ht="13.8" x14ac:dyDescent="0.3">
      <c r="A103" s="27">
        <v>1096583</v>
      </c>
      <c r="B103" s="30" t="s">
        <v>3020</v>
      </c>
      <c r="C103" s="28" t="s">
        <v>2909</v>
      </c>
      <c r="D103" s="31" t="s">
        <v>2910</v>
      </c>
      <c r="E103" s="31" t="s">
        <v>2911</v>
      </c>
      <c r="F103" s="31" t="s">
        <v>2912</v>
      </c>
      <c r="G103" s="31" t="s">
        <v>2940</v>
      </c>
      <c r="H103" s="27" t="s">
        <v>22</v>
      </c>
      <c r="I103" s="27" t="s">
        <v>22</v>
      </c>
      <c r="J103" s="27" t="s">
        <v>17</v>
      </c>
      <c r="K103" s="27">
        <v>90</v>
      </c>
      <c r="L103" s="27">
        <v>106</v>
      </c>
      <c r="M103" s="27" t="s">
        <v>2914</v>
      </c>
      <c r="N103" s="27" t="s">
        <v>2915</v>
      </c>
    </row>
    <row r="104" spans="1:14" ht="13.8" x14ac:dyDescent="0.3">
      <c r="A104" s="27">
        <v>1096583</v>
      </c>
      <c r="B104" s="30" t="s">
        <v>3020</v>
      </c>
      <c r="C104" s="28" t="s">
        <v>2909</v>
      </c>
      <c r="D104" s="31" t="s">
        <v>2910</v>
      </c>
      <c r="E104" s="31" t="s">
        <v>2911</v>
      </c>
      <c r="F104" s="31" t="s">
        <v>2912</v>
      </c>
      <c r="G104" s="31" t="s">
        <v>2941</v>
      </c>
      <c r="H104" s="27" t="s">
        <v>22</v>
      </c>
      <c r="I104" s="27" t="s">
        <v>22</v>
      </c>
      <c r="J104" s="27" t="s">
        <v>17</v>
      </c>
      <c r="K104" s="27">
        <v>90</v>
      </c>
      <c r="L104" s="27">
        <v>106</v>
      </c>
      <c r="M104" s="27" t="s">
        <v>2914</v>
      </c>
      <c r="N104" s="27" t="s">
        <v>2915</v>
      </c>
    </row>
    <row r="105" spans="1:14" ht="13.8" x14ac:dyDescent="0.3">
      <c r="A105" s="27">
        <v>1096583</v>
      </c>
      <c r="B105" s="30" t="s">
        <v>3020</v>
      </c>
      <c r="C105" s="28" t="s">
        <v>2909</v>
      </c>
      <c r="D105" s="31" t="s">
        <v>2910</v>
      </c>
      <c r="E105" s="31" t="s">
        <v>2911</v>
      </c>
      <c r="F105" s="31" t="s">
        <v>2912</v>
      </c>
      <c r="G105" s="31" t="s">
        <v>3024</v>
      </c>
      <c r="H105" s="27" t="s">
        <v>22</v>
      </c>
      <c r="I105" s="27" t="s">
        <v>22</v>
      </c>
      <c r="J105" s="27" t="s">
        <v>17</v>
      </c>
      <c r="K105" s="27">
        <v>90</v>
      </c>
      <c r="L105" s="27">
        <v>106</v>
      </c>
      <c r="M105" s="27" t="s">
        <v>2914</v>
      </c>
      <c r="N105" s="27" t="s">
        <v>2915</v>
      </c>
    </row>
    <row r="106" spans="1:14" ht="13.8" x14ac:dyDescent="0.3">
      <c r="A106" s="27">
        <v>1096583</v>
      </c>
      <c r="B106" s="30" t="s">
        <v>3020</v>
      </c>
      <c r="C106" s="28" t="s">
        <v>2909</v>
      </c>
      <c r="D106" s="31" t="s">
        <v>2910</v>
      </c>
      <c r="E106" s="31" t="s">
        <v>2911</v>
      </c>
      <c r="F106" s="31" t="s">
        <v>2912</v>
      </c>
      <c r="G106" s="31" t="s">
        <v>3025</v>
      </c>
      <c r="H106" s="27" t="s">
        <v>22</v>
      </c>
      <c r="I106" s="27" t="s">
        <v>22</v>
      </c>
      <c r="J106" s="27" t="s">
        <v>17</v>
      </c>
      <c r="K106" s="27">
        <v>90</v>
      </c>
      <c r="L106" s="27">
        <v>106</v>
      </c>
      <c r="M106" s="27" t="s">
        <v>2914</v>
      </c>
      <c r="N106" s="27" t="s">
        <v>2915</v>
      </c>
    </row>
    <row r="107" spans="1:14" ht="13.8" x14ac:dyDescent="0.3">
      <c r="A107" s="27">
        <v>1096583</v>
      </c>
      <c r="B107" s="30" t="s">
        <v>3020</v>
      </c>
      <c r="C107" s="28" t="s">
        <v>2909</v>
      </c>
      <c r="D107" s="31" t="s">
        <v>2910</v>
      </c>
      <c r="E107" s="31" t="s">
        <v>2911</v>
      </c>
      <c r="F107" s="31" t="s">
        <v>2912</v>
      </c>
      <c r="G107" s="31" t="s">
        <v>3026</v>
      </c>
      <c r="H107" s="27" t="s">
        <v>22</v>
      </c>
      <c r="I107" s="27" t="s">
        <v>22</v>
      </c>
      <c r="J107" s="27" t="s">
        <v>17</v>
      </c>
      <c r="K107" s="27">
        <v>90</v>
      </c>
      <c r="L107" s="27">
        <v>106</v>
      </c>
      <c r="M107" s="27" t="s">
        <v>2914</v>
      </c>
      <c r="N107" s="27" t="s">
        <v>2915</v>
      </c>
    </row>
    <row r="108" spans="1:14" ht="13.8" x14ac:dyDescent="0.3">
      <c r="A108" s="27">
        <v>1096583</v>
      </c>
      <c r="B108" s="30" t="s">
        <v>3020</v>
      </c>
      <c r="C108" s="28" t="s">
        <v>2909</v>
      </c>
      <c r="D108" s="31" t="s">
        <v>2910</v>
      </c>
      <c r="E108" s="31" t="s">
        <v>2911</v>
      </c>
      <c r="F108" s="31" t="s">
        <v>2912</v>
      </c>
      <c r="G108" s="31" t="s">
        <v>2945</v>
      </c>
      <c r="H108" s="27" t="s">
        <v>22</v>
      </c>
      <c r="I108" s="27" t="s">
        <v>22</v>
      </c>
      <c r="J108" s="27" t="s">
        <v>17</v>
      </c>
      <c r="K108" s="27">
        <v>90</v>
      </c>
      <c r="L108" s="27">
        <v>106</v>
      </c>
      <c r="M108" s="27" t="s">
        <v>2914</v>
      </c>
      <c r="N108" s="27" t="s">
        <v>2915</v>
      </c>
    </row>
    <row r="109" spans="1:14" ht="13.8" x14ac:dyDescent="0.3">
      <c r="A109" s="27">
        <v>1096583</v>
      </c>
      <c r="B109" s="30" t="s">
        <v>3020</v>
      </c>
      <c r="C109" s="28" t="s">
        <v>2909</v>
      </c>
      <c r="D109" s="31" t="s">
        <v>2910</v>
      </c>
      <c r="E109" s="31" t="s">
        <v>2911</v>
      </c>
      <c r="F109" s="31" t="s">
        <v>2912</v>
      </c>
      <c r="G109" s="31" t="s">
        <v>2946</v>
      </c>
      <c r="H109" s="27" t="s">
        <v>22</v>
      </c>
      <c r="I109" s="27" t="s">
        <v>22</v>
      </c>
      <c r="J109" s="27" t="s">
        <v>17</v>
      </c>
      <c r="K109" s="27">
        <v>90</v>
      </c>
      <c r="L109" s="27">
        <v>106</v>
      </c>
      <c r="M109" s="27" t="s">
        <v>2914</v>
      </c>
      <c r="N109" s="27" t="s">
        <v>2915</v>
      </c>
    </row>
    <row r="110" spans="1:14" ht="13.8" x14ac:dyDescent="0.3">
      <c r="A110" s="27">
        <v>1096583</v>
      </c>
      <c r="B110" s="30" t="s">
        <v>3020</v>
      </c>
      <c r="C110" s="28" t="s">
        <v>2909</v>
      </c>
      <c r="D110" s="31" t="s">
        <v>2910</v>
      </c>
      <c r="E110" s="31" t="s">
        <v>2911</v>
      </c>
      <c r="F110" s="31" t="s">
        <v>2912</v>
      </c>
      <c r="G110" s="31" t="s">
        <v>2947</v>
      </c>
      <c r="H110" s="27" t="s">
        <v>22</v>
      </c>
      <c r="I110" s="27" t="s">
        <v>22</v>
      </c>
      <c r="J110" s="27" t="s">
        <v>17</v>
      </c>
      <c r="K110" s="27">
        <v>90</v>
      </c>
      <c r="L110" s="27">
        <v>106</v>
      </c>
      <c r="M110" s="27" t="s">
        <v>2914</v>
      </c>
      <c r="N110" s="27" t="s">
        <v>2915</v>
      </c>
    </row>
    <row r="111" spans="1:14" ht="13.8" x14ac:dyDescent="0.3">
      <c r="A111" s="27">
        <v>1096583</v>
      </c>
      <c r="B111" s="30" t="s">
        <v>3020</v>
      </c>
      <c r="C111" s="28" t="s">
        <v>2909</v>
      </c>
      <c r="D111" s="31" t="s">
        <v>2910</v>
      </c>
      <c r="E111" s="31" t="s">
        <v>2911</v>
      </c>
      <c r="F111" s="31" t="s">
        <v>2912</v>
      </c>
      <c r="G111" s="31" t="s">
        <v>2948</v>
      </c>
      <c r="H111" s="27" t="s">
        <v>22</v>
      </c>
      <c r="I111" s="27" t="s">
        <v>22</v>
      </c>
      <c r="J111" s="27" t="s">
        <v>17</v>
      </c>
      <c r="K111" s="27">
        <v>90</v>
      </c>
      <c r="L111" s="27">
        <v>106</v>
      </c>
      <c r="M111" s="27" t="s">
        <v>2914</v>
      </c>
      <c r="N111" s="27" t="s">
        <v>2915</v>
      </c>
    </row>
    <row r="112" spans="1:14" ht="13.8" x14ac:dyDescent="0.3">
      <c r="A112" s="27">
        <v>1096583</v>
      </c>
      <c r="B112" s="30" t="s">
        <v>3020</v>
      </c>
      <c r="C112" s="28" t="s">
        <v>2909</v>
      </c>
      <c r="D112" s="31" t="s">
        <v>2910</v>
      </c>
      <c r="E112" s="31" t="s">
        <v>2911</v>
      </c>
      <c r="F112" s="31" t="s">
        <v>2912</v>
      </c>
      <c r="G112" s="31" t="s">
        <v>2949</v>
      </c>
      <c r="H112" s="27" t="s">
        <v>22</v>
      </c>
      <c r="I112" s="27" t="s">
        <v>22</v>
      </c>
      <c r="J112" s="27" t="s">
        <v>17</v>
      </c>
      <c r="K112" s="27">
        <v>90</v>
      </c>
      <c r="L112" s="27">
        <v>106</v>
      </c>
      <c r="M112" s="27" t="s">
        <v>2914</v>
      </c>
      <c r="N112" s="27" t="s">
        <v>2915</v>
      </c>
    </row>
    <row r="113" spans="1:14" ht="13.8" x14ac:dyDescent="0.3">
      <c r="A113" s="27">
        <v>1096583</v>
      </c>
      <c r="B113" s="30" t="s">
        <v>3020</v>
      </c>
      <c r="C113" s="28" t="s">
        <v>2909</v>
      </c>
      <c r="D113" s="31" t="s">
        <v>2910</v>
      </c>
      <c r="E113" s="31" t="s">
        <v>2911</v>
      </c>
      <c r="F113" s="31" t="s">
        <v>2912</v>
      </c>
      <c r="G113" s="31" t="s">
        <v>2950</v>
      </c>
      <c r="H113" s="27" t="s">
        <v>22</v>
      </c>
      <c r="I113" s="27" t="s">
        <v>22</v>
      </c>
      <c r="J113" s="27" t="s">
        <v>17</v>
      </c>
      <c r="K113" s="27">
        <v>90</v>
      </c>
      <c r="L113" s="27">
        <v>106</v>
      </c>
      <c r="M113" s="27" t="s">
        <v>2914</v>
      </c>
      <c r="N113" s="27" t="s">
        <v>2915</v>
      </c>
    </row>
    <row r="114" spans="1:14" ht="13.8" x14ac:dyDescent="0.3">
      <c r="A114" s="27">
        <v>1096583</v>
      </c>
      <c r="B114" s="30" t="s">
        <v>3020</v>
      </c>
      <c r="C114" s="28" t="s">
        <v>2909</v>
      </c>
      <c r="D114" s="31" t="s">
        <v>2910</v>
      </c>
      <c r="E114" s="31" t="s">
        <v>2911</v>
      </c>
      <c r="F114" s="31" t="s">
        <v>2912</v>
      </c>
      <c r="G114" s="31" t="s">
        <v>2951</v>
      </c>
      <c r="H114" s="27" t="s">
        <v>22</v>
      </c>
      <c r="I114" s="27" t="s">
        <v>22</v>
      </c>
      <c r="J114" s="27" t="s">
        <v>17</v>
      </c>
      <c r="K114" s="27">
        <v>90</v>
      </c>
      <c r="L114" s="27">
        <v>106</v>
      </c>
      <c r="M114" s="27" t="s">
        <v>2914</v>
      </c>
      <c r="N114" s="27" t="s">
        <v>2915</v>
      </c>
    </row>
    <row r="115" spans="1:14" ht="13.8" x14ac:dyDescent="0.3">
      <c r="A115" s="27">
        <v>1096583</v>
      </c>
      <c r="B115" s="30" t="s">
        <v>3020</v>
      </c>
      <c r="C115" s="28" t="s">
        <v>2909</v>
      </c>
      <c r="D115" s="31" t="s">
        <v>2910</v>
      </c>
      <c r="E115" s="31" t="s">
        <v>2911</v>
      </c>
      <c r="F115" s="31" t="s">
        <v>2912</v>
      </c>
      <c r="G115" s="31" t="s">
        <v>2952</v>
      </c>
      <c r="H115" s="27" t="s">
        <v>22</v>
      </c>
      <c r="I115" s="27" t="s">
        <v>22</v>
      </c>
      <c r="J115" s="27" t="s">
        <v>17</v>
      </c>
      <c r="K115" s="27">
        <v>90</v>
      </c>
      <c r="L115" s="27">
        <v>106</v>
      </c>
      <c r="M115" s="27" t="s">
        <v>2914</v>
      </c>
      <c r="N115" s="27" t="s">
        <v>2915</v>
      </c>
    </row>
    <row r="116" spans="1:14" ht="13.8" x14ac:dyDescent="0.3">
      <c r="A116" s="27">
        <v>1096583</v>
      </c>
      <c r="B116" s="30" t="s">
        <v>3020</v>
      </c>
      <c r="C116" s="28" t="s">
        <v>2909</v>
      </c>
      <c r="D116" s="31" t="s">
        <v>2910</v>
      </c>
      <c r="E116" s="31" t="s">
        <v>2911</v>
      </c>
      <c r="F116" s="31" t="s">
        <v>2912</v>
      </c>
      <c r="G116" s="31" t="s">
        <v>2953</v>
      </c>
      <c r="H116" s="27" t="s">
        <v>22</v>
      </c>
      <c r="I116" s="27" t="s">
        <v>22</v>
      </c>
      <c r="J116" s="27" t="s">
        <v>17</v>
      </c>
      <c r="K116" s="27">
        <v>90</v>
      </c>
      <c r="L116" s="27">
        <v>106</v>
      </c>
      <c r="M116" s="27" t="s">
        <v>2914</v>
      </c>
      <c r="N116" s="27" t="s">
        <v>2915</v>
      </c>
    </row>
    <row r="117" spans="1:14" ht="13.8" x14ac:dyDescent="0.3">
      <c r="A117" s="27">
        <v>1096583</v>
      </c>
      <c r="B117" s="30" t="s">
        <v>3020</v>
      </c>
      <c r="C117" s="28" t="s">
        <v>2909</v>
      </c>
      <c r="D117" s="31" t="s">
        <v>2910</v>
      </c>
      <c r="E117" s="31" t="s">
        <v>2911</v>
      </c>
      <c r="F117" s="31" t="s">
        <v>2912</v>
      </c>
      <c r="G117" s="31" t="s">
        <v>2954</v>
      </c>
      <c r="H117" s="27" t="s">
        <v>22</v>
      </c>
      <c r="I117" s="27" t="s">
        <v>22</v>
      </c>
      <c r="J117" s="27" t="s">
        <v>17</v>
      </c>
      <c r="K117" s="27">
        <v>90</v>
      </c>
      <c r="L117" s="27">
        <v>106</v>
      </c>
      <c r="M117" s="27" t="s">
        <v>2914</v>
      </c>
      <c r="N117" s="27" t="s">
        <v>2915</v>
      </c>
    </row>
    <row r="118" spans="1:14" ht="13.8" x14ac:dyDescent="0.3">
      <c r="A118" s="27">
        <v>1096583</v>
      </c>
      <c r="B118" s="30" t="s">
        <v>3020</v>
      </c>
      <c r="C118" s="28" t="s">
        <v>2909</v>
      </c>
      <c r="D118" s="31" t="s">
        <v>2910</v>
      </c>
      <c r="E118" s="31" t="s">
        <v>2911</v>
      </c>
      <c r="F118" s="31" t="s">
        <v>2912</v>
      </c>
      <c r="G118" s="31" t="s">
        <v>2955</v>
      </c>
      <c r="H118" s="27" t="s">
        <v>22</v>
      </c>
      <c r="I118" s="27" t="s">
        <v>22</v>
      </c>
      <c r="J118" s="27" t="s">
        <v>17</v>
      </c>
      <c r="K118" s="27">
        <v>90</v>
      </c>
      <c r="L118" s="27">
        <v>106</v>
      </c>
      <c r="M118" s="27" t="s">
        <v>2914</v>
      </c>
      <c r="N118" s="27" t="s">
        <v>2915</v>
      </c>
    </row>
    <row r="119" spans="1:14" ht="13.8" x14ac:dyDescent="0.3">
      <c r="A119" s="27">
        <v>1096583</v>
      </c>
      <c r="B119" s="30" t="s">
        <v>3020</v>
      </c>
      <c r="C119" s="28" t="s">
        <v>2909</v>
      </c>
      <c r="D119" s="31" t="s">
        <v>2910</v>
      </c>
      <c r="E119" s="31" t="s">
        <v>2911</v>
      </c>
      <c r="F119" s="31" t="s">
        <v>2912</v>
      </c>
      <c r="G119" s="31" t="s">
        <v>2956</v>
      </c>
      <c r="H119" s="27" t="s">
        <v>22</v>
      </c>
      <c r="I119" s="27" t="s">
        <v>22</v>
      </c>
      <c r="J119" s="27" t="s">
        <v>17</v>
      </c>
      <c r="K119" s="27">
        <v>90</v>
      </c>
      <c r="L119" s="27">
        <v>106</v>
      </c>
      <c r="M119" s="27" t="s">
        <v>2914</v>
      </c>
      <c r="N119" s="27" t="s">
        <v>2915</v>
      </c>
    </row>
    <row r="120" spans="1:14" ht="13.8" x14ac:dyDescent="0.3">
      <c r="A120" s="27">
        <v>1096583</v>
      </c>
      <c r="B120" s="30" t="s">
        <v>3020</v>
      </c>
      <c r="C120" s="28" t="s">
        <v>2909</v>
      </c>
      <c r="D120" s="31" t="s">
        <v>2910</v>
      </c>
      <c r="E120" s="31" t="s">
        <v>2911</v>
      </c>
      <c r="F120" s="31" t="s">
        <v>2912</v>
      </c>
      <c r="G120" s="31" t="s">
        <v>2957</v>
      </c>
      <c r="H120" s="27" t="s">
        <v>22</v>
      </c>
      <c r="I120" s="27" t="s">
        <v>22</v>
      </c>
      <c r="J120" s="27" t="s">
        <v>17</v>
      </c>
      <c r="K120" s="27">
        <v>90</v>
      </c>
      <c r="L120" s="27">
        <v>106</v>
      </c>
      <c r="M120" s="27" t="s">
        <v>2914</v>
      </c>
      <c r="N120" s="27" t="s">
        <v>2915</v>
      </c>
    </row>
    <row r="121" spans="1:14" ht="13.8" x14ac:dyDescent="0.3">
      <c r="A121" s="27">
        <v>1096583</v>
      </c>
      <c r="B121" s="30" t="s">
        <v>3020</v>
      </c>
      <c r="C121" s="28" t="s">
        <v>2909</v>
      </c>
      <c r="D121" s="31" t="s">
        <v>2910</v>
      </c>
      <c r="E121" s="31" t="s">
        <v>2911</v>
      </c>
      <c r="F121" s="31" t="s">
        <v>2912</v>
      </c>
      <c r="G121" s="31" t="s">
        <v>2958</v>
      </c>
      <c r="H121" s="27" t="s">
        <v>22</v>
      </c>
      <c r="I121" s="27" t="s">
        <v>22</v>
      </c>
      <c r="J121" s="27" t="s">
        <v>17</v>
      </c>
      <c r="K121" s="27">
        <v>90</v>
      </c>
      <c r="L121" s="27">
        <v>106</v>
      </c>
      <c r="M121" s="27" t="s">
        <v>2914</v>
      </c>
      <c r="N121" s="27" t="s">
        <v>2915</v>
      </c>
    </row>
    <row r="122" spans="1:14" ht="13.8" x14ac:dyDescent="0.3">
      <c r="A122" s="27">
        <v>1096583</v>
      </c>
      <c r="B122" s="30" t="s">
        <v>3020</v>
      </c>
      <c r="C122" s="28" t="s">
        <v>2909</v>
      </c>
      <c r="D122" s="31" t="s">
        <v>2910</v>
      </c>
      <c r="E122" s="31" t="s">
        <v>2911</v>
      </c>
      <c r="F122" s="31" t="s">
        <v>2912</v>
      </c>
      <c r="G122" s="31" t="s">
        <v>2959</v>
      </c>
      <c r="H122" s="27" t="s">
        <v>22</v>
      </c>
      <c r="I122" s="27" t="s">
        <v>22</v>
      </c>
      <c r="J122" s="27" t="s">
        <v>17</v>
      </c>
      <c r="K122" s="27">
        <v>90</v>
      </c>
      <c r="L122" s="27">
        <v>106</v>
      </c>
      <c r="M122" s="27" t="s">
        <v>2914</v>
      </c>
      <c r="N122" s="27" t="s">
        <v>2915</v>
      </c>
    </row>
    <row r="123" spans="1:14" ht="13.8" x14ac:dyDescent="0.3">
      <c r="A123" s="27">
        <v>1096583</v>
      </c>
      <c r="B123" s="30" t="s">
        <v>3020</v>
      </c>
      <c r="C123" s="28" t="s">
        <v>2909</v>
      </c>
      <c r="D123" s="31" t="s">
        <v>2910</v>
      </c>
      <c r="E123" s="31" t="s">
        <v>2911</v>
      </c>
      <c r="F123" s="31" t="s">
        <v>2912</v>
      </c>
      <c r="G123" s="31" t="s">
        <v>2960</v>
      </c>
      <c r="H123" s="27" t="s">
        <v>22</v>
      </c>
      <c r="I123" s="27" t="s">
        <v>22</v>
      </c>
      <c r="J123" s="27" t="s">
        <v>17</v>
      </c>
      <c r="K123" s="27">
        <v>90</v>
      </c>
      <c r="L123" s="27">
        <v>106</v>
      </c>
      <c r="M123" s="27" t="s">
        <v>2914</v>
      </c>
      <c r="N123" s="27" t="s">
        <v>2915</v>
      </c>
    </row>
    <row r="124" spans="1:14" ht="13.8" hidden="1" x14ac:dyDescent="0.3">
      <c r="A124" s="27">
        <v>1096583</v>
      </c>
      <c r="B124" s="30" t="s">
        <v>3020</v>
      </c>
      <c r="C124" s="28" t="s">
        <v>3027</v>
      </c>
      <c r="D124" s="31"/>
      <c r="E124" s="31"/>
      <c r="F124" s="31"/>
      <c r="G124" s="31"/>
      <c r="H124" s="27" t="s">
        <v>16</v>
      </c>
      <c r="I124" s="27" t="s">
        <v>16</v>
      </c>
      <c r="J124" s="27" t="s">
        <v>17</v>
      </c>
      <c r="K124" s="27">
        <v>0</v>
      </c>
      <c r="L124" s="27">
        <v>0</v>
      </c>
    </row>
    <row r="125" spans="1:14" ht="13.8" x14ac:dyDescent="0.3">
      <c r="A125" s="27">
        <v>1096583</v>
      </c>
      <c r="B125" s="30" t="s">
        <v>3020</v>
      </c>
      <c r="C125" s="28" t="s">
        <v>3028</v>
      </c>
      <c r="D125" s="31" t="s">
        <v>3028</v>
      </c>
      <c r="E125" s="31" t="s">
        <v>3029</v>
      </c>
      <c r="F125" s="31"/>
      <c r="G125" s="31"/>
      <c r="H125" s="27" t="s">
        <v>22</v>
      </c>
      <c r="I125" s="27" t="s">
        <v>22</v>
      </c>
      <c r="J125" s="27" t="s">
        <v>17</v>
      </c>
      <c r="K125" s="27">
        <v>100</v>
      </c>
      <c r="L125" s="27">
        <v>114</v>
      </c>
      <c r="M125" s="27" t="s">
        <v>254</v>
      </c>
      <c r="N125" s="27" t="s">
        <v>255</v>
      </c>
    </row>
    <row r="126" spans="1:14" ht="13.8" hidden="1" x14ac:dyDescent="0.3">
      <c r="A126" s="27">
        <v>1096583</v>
      </c>
      <c r="B126" s="30" t="s">
        <v>3020</v>
      </c>
      <c r="C126" s="28" t="s">
        <v>3030</v>
      </c>
      <c r="D126" s="31"/>
      <c r="E126" s="31"/>
      <c r="F126" s="31"/>
      <c r="G126" s="31"/>
      <c r="H126" s="27" t="s">
        <v>16</v>
      </c>
      <c r="I126" s="27" t="s">
        <v>16</v>
      </c>
      <c r="J126" s="27" t="s">
        <v>17</v>
      </c>
      <c r="K126" s="27">
        <v>0</v>
      </c>
      <c r="L126" s="27">
        <v>0</v>
      </c>
    </row>
    <row r="127" spans="1:14" ht="13.8" x14ac:dyDescent="0.3">
      <c r="A127" s="27">
        <v>1096583</v>
      </c>
      <c r="B127" s="30" t="s">
        <v>3020</v>
      </c>
      <c r="C127" s="28" t="s">
        <v>3031</v>
      </c>
      <c r="D127" s="31" t="s">
        <v>3032</v>
      </c>
      <c r="E127" s="31" t="s">
        <v>3033</v>
      </c>
      <c r="F127" s="31"/>
      <c r="G127" s="31" t="s">
        <v>3034</v>
      </c>
      <c r="H127" s="27" t="s">
        <v>46</v>
      </c>
      <c r="I127" s="27" t="s">
        <v>46</v>
      </c>
      <c r="J127" s="27" t="s">
        <v>17</v>
      </c>
      <c r="K127" s="27">
        <v>100</v>
      </c>
      <c r="L127" s="27">
        <v>50</v>
      </c>
      <c r="M127" s="27" t="s">
        <v>3035</v>
      </c>
      <c r="N127" s="27" t="s">
        <v>3036</v>
      </c>
    </row>
    <row r="128" spans="1:14" ht="13.8" x14ac:dyDescent="0.3">
      <c r="A128" s="27">
        <v>1096583</v>
      </c>
      <c r="B128" s="30" t="s">
        <v>3020</v>
      </c>
      <c r="C128" s="28" t="s">
        <v>3031</v>
      </c>
      <c r="D128" s="31" t="s">
        <v>3032</v>
      </c>
      <c r="E128" s="31" t="s">
        <v>3033</v>
      </c>
      <c r="F128" s="31"/>
      <c r="G128" s="31" t="s">
        <v>3037</v>
      </c>
      <c r="H128" s="27" t="s">
        <v>46</v>
      </c>
      <c r="I128" s="27" t="s">
        <v>46</v>
      </c>
      <c r="J128" s="27" t="s">
        <v>17</v>
      </c>
      <c r="K128" s="27">
        <v>100</v>
      </c>
      <c r="L128" s="27">
        <v>50</v>
      </c>
      <c r="M128" s="27" t="s">
        <v>3035</v>
      </c>
      <c r="N128" s="27" t="s">
        <v>3036</v>
      </c>
    </row>
    <row r="129" spans="1:14" ht="13.8" x14ac:dyDescent="0.3">
      <c r="A129" s="27">
        <v>1096583</v>
      </c>
      <c r="B129" s="30" t="s">
        <v>3020</v>
      </c>
      <c r="C129" s="28" t="s">
        <v>3031</v>
      </c>
      <c r="D129" s="31" t="s">
        <v>3032</v>
      </c>
      <c r="E129" s="31" t="s">
        <v>3033</v>
      </c>
      <c r="F129" s="31"/>
      <c r="G129" s="31" t="s">
        <v>3038</v>
      </c>
      <c r="H129" s="27" t="s">
        <v>46</v>
      </c>
      <c r="I129" s="27" t="s">
        <v>46</v>
      </c>
      <c r="J129" s="27" t="s">
        <v>17</v>
      </c>
      <c r="K129" s="27">
        <v>100</v>
      </c>
      <c r="L129" s="27">
        <v>50</v>
      </c>
      <c r="M129" s="27" t="s">
        <v>3035</v>
      </c>
      <c r="N129" s="27" t="s">
        <v>3036</v>
      </c>
    </row>
    <row r="130" spans="1:14" ht="13.8" x14ac:dyDescent="0.3">
      <c r="A130" s="27">
        <v>1096583</v>
      </c>
      <c r="B130" s="30" t="s">
        <v>3020</v>
      </c>
      <c r="C130" s="28" t="s">
        <v>3031</v>
      </c>
      <c r="D130" s="31" t="s">
        <v>3032</v>
      </c>
      <c r="E130" s="31" t="s">
        <v>3033</v>
      </c>
      <c r="F130" s="31"/>
      <c r="G130" s="31" t="s">
        <v>3039</v>
      </c>
      <c r="H130" s="27" t="s">
        <v>46</v>
      </c>
      <c r="I130" s="27" t="s">
        <v>46</v>
      </c>
      <c r="J130" s="27" t="s">
        <v>17</v>
      </c>
      <c r="K130" s="27">
        <v>100</v>
      </c>
      <c r="L130" s="27">
        <v>50</v>
      </c>
      <c r="M130" s="27" t="s">
        <v>3035</v>
      </c>
      <c r="N130" s="27" t="s">
        <v>3036</v>
      </c>
    </row>
    <row r="131" spans="1:14" ht="13.8" x14ac:dyDescent="0.3">
      <c r="A131" s="27">
        <v>1096583</v>
      </c>
      <c r="B131" s="30" t="s">
        <v>3020</v>
      </c>
      <c r="C131" s="28" t="s">
        <v>3031</v>
      </c>
      <c r="D131" s="31" t="s">
        <v>3032</v>
      </c>
      <c r="E131" s="31" t="s">
        <v>3033</v>
      </c>
      <c r="F131" s="31"/>
      <c r="G131" s="31" t="s">
        <v>3040</v>
      </c>
      <c r="H131" s="27" t="s">
        <v>46</v>
      </c>
      <c r="I131" s="27" t="s">
        <v>46</v>
      </c>
      <c r="J131" s="27" t="s">
        <v>17</v>
      </c>
      <c r="K131" s="27">
        <v>100</v>
      </c>
      <c r="L131" s="27">
        <v>50</v>
      </c>
      <c r="M131" s="27" t="s">
        <v>3035</v>
      </c>
      <c r="N131" s="27" t="s">
        <v>3036</v>
      </c>
    </row>
    <row r="132" spans="1:14" ht="13.8" x14ac:dyDescent="0.3">
      <c r="A132" s="27">
        <v>1096583</v>
      </c>
      <c r="B132" s="30" t="s">
        <v>3020</v>
      </c>
      <c r="C132" s="28" t="s">
        <v>3031</v>
      </c>
      <c r="D132" s="31" t="s">
        <v>3032</v>
      </c>
      <c r="E132" s="31" t="s">
        <v>3033</v>
      </c>
      <c r="F132" s="31"/>
      <c r="G132" s="31" t="s">
        <v>3041</v>
      </c>
      <c r="H132" s="27" t="s">
        <v>46</v>
      </c>
      <c r="I132" s="27" t="s">
        <v>46</v>
      </c>
      <c r="J132" s="27" t="s">
        <v>17</v>
      </c>
      <c r="K132" s="27">
        <v>100</v>
      </c>
      <c r="L132" s="27">
        <v>50</v>
      </c>
      <c r="M132" s="27" t="s">
        <v>3035</v>
      </c>
      <c r="N132" s="27" t="s">
        <v>3036</v>
      </c>
    </row>
    <row r="133" spans="1:14" ht="13.8" x14ac:dyDescent="0.3">
      <c r="A133" s="27">
        <v>1096583</v>
      </c>
      <c r="B133" s="30" t="s">
        <v>3020</v>
      </c>
      <c r="C133" s="28" t="s">
        <v>3031</v>
      </c>
      <c r="D133" s="31" t="s">
        <v>3032</v>
      </c>
      <c r="E133" s="31" t="s">
        <v>3033</v>
      </c>
      <c r="F133" s="31"/>
      <c r="G133" s="31" t="s">
        <v>3042</v>
      </c>
      <c r="H133" s="27" t="s">
        <v>46</v>
      </c>
      <c r="I133" s="27" t="s">
        <v>46</v>
      </c>
      <c r="J133" s="27" t="s">
        <v>17</v>
      </c>
      <c r="K133" s="27">
        <v>100</v>
      </c>
      <c r="L133" s="27">
        <v>50</v>
      </c>
      <c r="M133" s="27" t="s">
        <v>3035</v>
      </c>
      <c r="N133" s="27" t="s">
        <v>3036</v>
      </c>
    </row>
    <row r="134" spans="1:14" ht="13.8" x14ac:dyDescent="0.3">
      <c r="A134" s="27">
        <v>1096583</v>
      </c>
      <c r="B134" s="30" t="s">
        <v>3020</v>
      </c>
      <c r="C134" s="28" t="s">
        <v>3031</v>
      </c>
      <c r="D134" s="31" t="s">
        <v>3032</v>
      </c>
      <c r="E134" s="31" t="s">
        <v>3033</v>
      </c>
      <c r="F134" s="31"/>
      <c r="G134" s="31" t="s">
        <v>3043</v>
      </c>
      <c r="H134" s="27" t="s">
        <v>46</v>
      </c>
      <c r="I134" s="27" t="s">
        <v>46</v>
      </c>
      <c r="J134" s="27" t="s">
        <v>17</v>
      </c>
      <c r="K134" s="27">
        <v>100</v>
      </c>
      <c r="L134" s="27">
        <v>50</v>
      </c>
      <c r="M134" s="27" t="s">
        <v>3035</v>
      </c>
      <c r="N134" s="27" t="s">
        <v>3036</v>
      </c>
    </row>
    <row r="135" spans="1:14" ht="13.8" x14ac:dyDescent="0.3">
      <c r="A135" s="27">
        <v>1096583</v>
      </c>
      <c r="B135" s="30" t="s">
        <v>3020</v>
      </c>
      <c r="C135" s="28" t="s">
        <v>3031</v>
      </c>
      <c r="D135" s="31" t="s">
        <v>3032</v>
      </c>
      <c r="E135" s="31" t="s">
        <v>3033</v>
      </c>
      <c r="F135" s="31"/>
      <c r="G135" s="31" t="s">
        <v>3044</v>
      </c>
      <c r="H135" s="27" t="s">
        <v>46</v>
      </c>
      <c r="I135" s="27" t="s">
        <v>46</v>
      </c>
      <c r="J135" s="27" t="s">
        <v>17</v>
      </c>
      <c r="K135" s="27">
        <v>100</v>
      </c>
      <c r="L135" s="27">
        <v>50</v>
      </c>
      <c r="M135" s="27" t="s">
        <v>3035</v>
      </c>
      <c r="N135" s="27" t="s">
        <v>3036</v>
      </c>
    </row>
    <row r="136" spans="1:14" ht="13.8" x14ac:dyDescent="0.3">
      <c r="A136" s="27">
        <v>1096583</v>
      </c>
      <c r="B136" s="30" t="s">
        <v>3020</v>
      </c>
      <c r="C136" s="28" t="s">
        <v>3031</v>
      </c>
      <c r="D136" s="31" t="s">
        <v>3032</v>
      </c>
      <c r="E136" s="31" t="s">
        <v>3033</v>
      </c>
      <c r="F136" s="31"/>
      <c r="G136" s="31" t="s">
        <v>3045</v>
      </c>
      <c r="H136" s="27" t="s">
        <v>46</v>
      </c>
      <c r="I136" s="27" t="s">
        <v>46</v>
      </c>
      <c r="J136" s="27" t="s">
        <v>17</v>
      </c>
      <c r="K136" s="27">
        <v>100</v>
      </c>
      <c r="L136" s="27">
        <v>50</v>
      </c>
      <c r="M136" s="27" t="s">
        <v>3035</v>
      </c>
      <c r="N136" s="27" t="s">
        <v>3036</v>
      </c>
    </row>
    <row r="137" spans="1:14" ht="13.8" x14ac:dyDescent="0.3">
      <c r="A137" s="27">
        <v>1096583</v>
      </c>
      <c r="B137" s="30" t="s">
        <v>3020</v>
      </c>
      <c r="C137" s="28" t="s">
        <v>3031</v>
      </c>
      <c r="D137" s="31" t="s">
        <v>3032</v>
      </c>
      <c r="E137" s="31" t="s">
        <v>3033</v>
      </c>
      <c r="F137" s="31"/>
      <c r="G137" s="31" t="s">
        <v>3046</v>
      </c>
      <c r="H137" s="27" t="s">
        <v>46</v>
      </c>
      <c r="I137" s="27" t="s">
        <v>46</v>
      </c>
      <c r="J137" s="27" t="s">
        <v>17</v>
      </c>
      <c r="K137" s="27">
        <v>100</v>
      </c>
      <c r="L137" s="27">
        <v>50</v>
      </c>
      <c r="M137" s="27" t="s">
        <v>3035</v>
      </c>
      <c r="N137" s="27" t="s">
        <v>3036</v>
      </c>
    </row>
    <row r="138" spans="1:14" ht="13.8" x14ac:dyDescent="0.3">
      <c r="A138" s="27">
        <v>1096583</v>
      </c>
      <c r="B138" s="30" t="s">
        <v>3020</v>
      </c>
      <c r="C138" s="28" t="s">
        <v>3031</v>
      </c>
      <c r="D138" s="31" t="s">
        <v>3032</v>
      </c>
      <c r="E138" s="31" t="s">
        <v>3033</v>
      </c>
      <c r="F138" s="31"/>
      <c r="G138" s="31" t="s">
        <v>3047</v>
      </c>
      <c r="H138" s="27" t="s">
        <v>46</v>
      </c>
      <c r="I138" s="27" t="s">
        <v>46</v>
      </c>
      <c r="J138" s="27" t="s">
        <v>17</v>
      </c>
      <c r="K138" s="27">
        <v>100</v>
      </c>
      <c r="L138" s="27">
        <v>50</v>
      </c>
      <c r="M138" s="27" t="s">
        <v>3035</v>
      </c>
      <c r="N138" s="27" t="s">
        <v>3036</v>
      </c>
    </row>
    <row r="139" spans="1:14" ht="13.8" x14ac:dyDescent="0.3">
      <c r="A139" s="27">
        <v>1096583</v>
      </c>
      <c r="B139" s="30" t="s">
        <v>3020</v>
      </c>
      <c r="C139" s="28" t="s">
        <v>3031</v>
      </c>
      <c r="D139" s="31" t="s">
        <v>3032</v>
      </c>
      <c r="E139" s="31" t="s">
        <v>3033</v>
      </c>
      <c r="F139" s="31"/>
      <c r="G139" s="31" t="s">
        <v>3048</v>
      </c>
      <c r="H139" s="27" t="s">
        <v>46</v>
      </c>
      <c r="I139" s="27" t="s">
        <v>46</v>
      </c>
      <c r="J139" s="27" t="s">
        <v>17</v>
      </c>
      <c r="K139" s="27">
        <v>100</v>
      </c>
      <c r="L139" s="27">
        <v>50</v>
      </c>
      <c r="M139" s="27" t="s">
        <v>3035</v>
      </c>
      <c r="N139" s="27" t="s">
        <v>3036</v>
      </c>
    </row>
    <row r="140" spans="1:14" ht="13.8" x14ac:dyDescent="0.3">
      <c r="A140" s="27">
        <v>1096583</v>
      </c>
      <c r="B140" s="30" t="s">
        <v>3020</v>
      </c>
      <c r="C140" s="28" t="s">
        <v>3031</v>
      </c>
      <c r="D140" s="31" t="s">
        <v>3032</v>
      </c>
      <c r="E140" s="31" t="s">
        <v>3033</v>
      </c>
      <c r="F140" s="31"/>
      <c r="G140" s="31" t="s">
        <v>3049</v>
      </c>
      <c r="H140" s="27" t="s">
        <v>46</v>
      </c>
      <c r="I140" s="27" t="s">
        <v>46</v>
      </c>
      <c r="J140" s="27" t="s">
        <v>17</v>
      </c>
      <c r="K140" s="27">
        <v>100</v>
      </c>
      <c r="L140" s="27">
        <v>50</v>
      </c>
      <c r="M140" s="27" t="s">
        <v>3035</v>
      </c>
      <c r="N140" s="27" t="s">
        <v>3036</v>
      </c>
    </row>
    <row r="141" spans="1:14" ht="13.8" x14ac:dyDescent="0.3">
      <c r="A141" s="27">
        <v>1096583</v>
      </c>
      <c r="B141" s="30" t="s">
        <v>3020</v>
      </c>
      <c r="C141" s="28" t="s">
        <v>3031</v>
      </c>
      <c r="D141" s="31" t="s">
        <v>3032</v>
      </c>
      <c r="E141" s="31" t="s">
        <v>3033</v>
      </c>
      <c r="F141" s="31"/>
      <c r="G141" s="31" t="s">
        <v>3050</v>
      </c>
      <c r="H141" s="27" t="s">
        <v>46</v>
      </c>
      <c r="I141" s="27" t="s">
        <v>46</v>
      </c>
      <c r="J141" s="27" t="s">
        <v>17</v>
      </c>
      <c r="K141" s="27">
        <v>100</v>
      </c>
      <c r="L141" s="27">
        <v>50</v>
      </c>
      <c r="M141" s="27" t="s">
        <v>3035</v>
      </c>
      <c r="N141" s="27" t="s">
        <v>3036</v>
      </c>
    </row>
    <row r="142" spans="1:14" ht="13.8" x14ac:dyDescent="0.3">
      <c r="A142" s="27">
        <v>1096583</v>
      </c>
      <c r="B142" s="30" t="s">
        <v>3020</v>
      </c>
      <c r="C142" s="28" t="s">
        <v>3031</v>
      </c>
      <c r="D142" s="31" t="s">
        <v>3032</v>
      </c>
      <c r="E142" s="31" t="s">
        <v>3033</v>
      </c>
      <c r="F142" s="31"/>
      <c r="G142" s="31" t="s">
        <v>3051</v>
      </c>
      <c r="H142" s="27" t="s">
        <v>46</v>
      </c>
      <c r="I142" s="27" t="s">
        <v>46</v>
      </c>
      <c r="J142" s="27" t="s">
        <v>17</v>
      </c>
      <c r="K142" s="27">
        <v>100</v>
      </c>
      <c r="L142" s="27">
        <v>50</v>
      </c>
      <c r="M142" s="27" t="s">
        <v>3035</v>
      </c>
      <c r="N142" s="27" t="s">
        <v>3036</v>
      </c>
    </row>
    <row r="143" spans="1:14" ht="13.8" hidden="1" x14ac:dyDescent="0.3">
      <c r="A143" s="27">
        <v>1118014</v>
      </c>
      <c r="B143" s="36" t="s">
        <v>3052</v>
      </c>
      <c r="C143" s="28" t="s">
        <v>3053</v>
      </c>
      <c r="D143" s="31"/>
      <c r="E143" s="31"/>
      <c r="F143" s="31"/>
      <c r="G143" s="31"/>
      <c r="H143" s="27" t="s">
        <v>16</v>
      </c>
      <c r="I143" s="27" t="s">
        <v>16</v>
      </c>
      <c r="J143" s="27" t="s">
        <v>17</v>
      </c>
      <c r="K143" s="27">
        <v>0</v>
      </c>
      <c r="L143" s="27">
        <v>0</v>
      </c>
    </row>
    <row r="144" spans="1:14" ht="13.8" x14ac:dyDescent="0.3">
      <c r="A144" s="27">
        <v>1118014</v>
      </c>
      <c r="B144" s="36" t="s">
        <v>3052</v>
      </c>
      <c r="C144" s="28" t="s">
        <v>3054</v>
      </c>
      <c r="D144" s="31" t="s">
        <v>3055</v>
      </c>
      <c r="E144" s="31" t="s">
        <v>3056</v>
      </c>
      <c r="F144" s="31"/>
      <c r="G144" s="31"/>
      <c r="H144" s="27" t="s">
        <v>46</v>
      </c>
      <c r="I144" s="27" t="s">
        <v>46</v>
      </c>
      <c r="J144" s="27" t="s">
        <v>17</v>
      </c>
      <c r="K144" s="27">
        <v>100</v>
      </c>
      <c r="L144" s="27">
        <v>50</v>
      </c>
    </row>
    <row r="145" spans="1:17" ht="13.8" x14ac:dyDescent="0.3">
      <c r="A145" s="27">
        <v>1118014</v>
      </c>
      <c r="B145" s="36" t="s">
        <v>3052</v>
      </c>
      <c r="C145" s="28" t="s">
        <v>3057</v>
      </c>
      <c r="D145" s="31" t="s">
        <v>3058</v>
      </c>
      <c r="E145" s="31" t="s">
        <v>3059</v>
      </c>
      <c r="F145" s="31"/>
      <c r="G145" s="31"/>
      <c r="H145" s="27" t="s">
        <v>46</v>
      </c>
      <c r="I145" s="27" t="s">
        <v>46</v>
      </c>
      <c r="J145" s="27" t="s">
        <v>17</v>
      </c>
      <c r="K145" s="27">
        <v>100</v>
      </c>
      <c r="L145" s="27">
        <v>50</v>
      </c>
    </row>
    <row r="146" spans="1:17" ht="13.8" hidden="1" x14ac:dyDescent="0.3">
      <c r="A146" s="27">
        <v>1118014</v>
      </c>
      <c r="B146" s="36" t="s">
        <v>3052</v>
      </c>
      <c r="C146" s="28" t="s">
        <v>3060</v>
      </c>
      <c r="D146" s="31"/>
      <c r="E146" s="31"/>
      <c r="F146" s="31"/>
      <c r="G146" s="31"/>
      <c r="H146" s="27" t="s">
        <v>16</v>
      </c>
      <c r="I146" s="27" t="s">
        <v>16</v>
      </c>
      <c r="J146" s="27" t="s">
        <v>17</v>
      </c>
      <c r="K146" s="27">
        <v>0</v>
      </c>
      <c r="L146" s="27">
        <v>0</v>
      </c>
    </row>
    <row r="147" spans="1:17" ht="13.8" x14ac:dyDescent="0.3">
      <c r="A147" s="27">
        <v>1118026</v>
      </c>
      <c r="B147" s="37" t="s">
        <v>3061</v>
      </c>
      <c r="C147" s="28" t="s">
        <v>3062</v>
      </c>
      <c r="D147" s="31" t="s">
        <v>3063</v>
      </c>
      <c r="E147" s="31" t="s">
        <v>3064</v>
      </c>
      <c r="F147" s="31"/>
      <c r="G147" s="31" t="s">
        <v>3065</v>
      </c>
      <c r="H147" s="27" t="s">
        <v>22</v>
      </c>
      <c r="I147" s="27" t="s">
        <v>22</v>
      </c>
      <c r="J147" s="27" t="s">
        <v>17</v>
      </c>
      <c r="K147" s="27">
        <v>94.7</v>
      </c>
      <c r="L147" s="27">
        <v>109.8</v>
      </c>
      <c r="M147" s="27" t="s">
        <v>3066</v>
      </c>
      <c r="N147" s="27" t="s">
        <v>3067</v>
      </c>
    </row>
    <row r="148" spans="1:17" ht="13.8" x14ac:dyDescent="0.3">
      <c r="A148" s="27">
        <v>1118026</v>
      </c>
      <c r="B148" s="37" t="s">
        <v>3061</v>
      </c>
      <c r="C148" s="28" t="s">
        <v>3062</v>
      </c>
      <c r="D148" s="31" t="s">
        <v>3063</v>
      </c>
      <c r="E148" s="31" t="s">
        <v>3064</v>
      </c>
      <c r="F148" s="31"/>
      <c r="G148" s="31" t="s">
        <v>3068</v>
      </c>
      <c r="H148" s="27" t="s">
        <v>22</v>
      </c>
      <c r="I148" s="27" t="s">
        <v>22</v>
      </c>
      <c r="J148" s="27" t="s">
        <v>17</v>
      </c>
      <c r="K148" s="27">
        <v>94.7</v>
      </c>
      <c r="L148" s="27">
        <v>109.8</v>
      </c>
      <c r="M148" s="27" t="s">
        <v>3066</v>
      </c>
      <c r="N148" s="27" t="s">
        <v>3067</v>
      </c>
    </row>
    <row r="149" spans="1:17" ht="13.8" x14ac:dyDescent="0.3">
      <c r="A149" s="27">
        <v>1118026</v>
      </c>
      <c r="B149" s="37" t="s">
        <v>3061</v>
      </c>
      <c r="C149" s="28" t="s">
        <v>3062</v>
      </c>
      <c r="D149" s="31" t="s">
        <v>3063</v>
      </c>
      <c r="E149" s="31" t="s">
        <v>3064</v>
      </c>
      <c r="F149" s="31"/>
      <c r="G149" s="31" t="s">
        <v>3069</v>
      </c>
      <c r="H149" s="27" t="s">
        <v>22</v>
      </c>
      <c r="I149" s="27" t="s">
        <v>22</v>
      </c>
      <c r="J149" s="27" t="s">
        <v>17</v>
      </c>
      <c r="K149" s="27">
        <v>94.7</v>
      </c>
      <c r="L149" s="27">
        <v>109.8</v>
      </c>
      <c r="M149" s="27" t="s">
        <v>3066</v>
      </c>
      <c r="N149" s="27" t="s">
        <v>3067</v>
      </c>
    </row>
    <row r="150" spans="1:17" ht="13.8" x14ac:dyDescent="0.3">
      <c r="A150" s="27">
        <v>1118026</v>
      </c>
      <c r="B150" s="37" t="s">
        <v>3061</v>
      </c>
      <c r="C150" s="28" t="s">
        <v>3062</v>
      </c>
      <c r="D150" s="31" t="s">
        <v>3063</v>
      </c>
      <c r="E150" s="31" t="s">
        <v>3064</v>
      </c>
      <c r="F150" s="31"/>
      <c r="G150" s="31" t="s">
        <v>3070</v>
      </c>
      <c r="H150" s="27" t="s">
        <v>22</v>
      </c>
      <c r="I150" s="27" t="s">
        <v>22</v>
      </c>
      <c r="J150" s="27" t="s">
        <v>17</v>
      </c>
      <c r="K150" s="27">
        <v>94.7</v>
      </c>
      <c r="L150" s="27">
        <v>109.8</v>
      </c>
      <c r="M150" s="27" t="s">
        <v>3066</v>
      </c>
      <c r="N150" s="27" t="s">
        <v>3067</v>
      </c>
    </row>
    <row r="151" spans="1:17" ht="13.8" x14ac:dyDescent="0.3">
      <c r="A151" s="27">
        <v>1118026</v>
      </c>
      <c r="B151" s="37" t="s">
        <v>3061</v>
      </c>
      <c r="C151" s="28" t="s">
        <v>3062</v>
      </c>
      <c r="D151" s="31" t="s">
        <v>3063</v>
      </c>
      <c r="E151" s="31" t="s">
        <v>3064</v>
      </c>
      <c r="F151" s="31"/>
      <c r="G151" s="31" t="s">
        <v>3071</v>
      </c>
      <c r="H151" s="27" t="s">
        <v>22</v>
      </c>
      <c r="I151" s="27" t="s">
        <v>22</v>
      </c>
      <c r="J151" s="27" t="s">
        <v>17</v>
      </c>
      <c r="K151" s="27">
        <v>94.7</v>
      </c>
      <c r="L151" s="27">
        <v>109.8</v>
      </c>
      <c r="M151" s="27" t="s">
        <v>3066</v>
      </c>
      <c r="N151" s="27" t="s">
        <v>3067</v>
      </c>
    </row>
    <row r="152" spans="1:17" ht="13.8" x14ac:dyDescent="0.3">
      <c r="A152" s="27">
        <v>1118026</v>
      </c>
      <c r="B152" s="37" t="s">
        <v>3061</v>
      </c>
      <c r="C152" s="28" t="s">
        <v>3062</v>
      </c>
      <c r="D152" s="31" t="s">
        <v>3063</v>
      </c>
      <c r="E152" s="31" t="s">
        <v>3064</v>
      </c>
      <c r="F152" s="31"/>
      <c r="G152" s="31" t="s">
        <v>3072</v>
      </c>
      <c r="H152" s="27" t="s">
        <v>22</v>
      </c>
      <c r="I152" s="27" t="s">
        <v>22</v>
      </c>
      <c r="J152" s="27" t="s">
        <v>17</v>
      </c>
      <c r="K152" s="27">
        <v>94.7</v>
      </c>
      <c r="L152" s="27">
        <v>109.8</v>
      </c>
      <c r="M152" s="27" t="s">
        <v>3066</v>
      </c>
      <c r="N152" s="27" t="s">
        <v>3067</v>
      </c>
    </row>
    <row r="153" spans="1:17" ht="13.8" x14ac:dyDescent="0.3">
      <c r="A153" s="27">
        <v>1118026</v>
      </c>
      <c r="B153" s="37" t="s">
        <v>3061</v>
      </c>
      <c r="C153" s="28" t="s">
        <v>3062</v>
      </c>
      <c r="D153" s="31" t="s">
        <v>3063</v>
      </c>
      <c r="E153" s="31" t="s">
        <v>3064</v>
      </c>
      <c r="F153" s="31"/>
      <c r="G153" s="31" t="s">
        <v>3073</v>
      </c>
      <c r="H153" s="27" t="s">
        <v>22</v>
      </c>
      <c r="I153" s="27" t="s">
        <v>22</v>
      </c>
      <c r="J153" s="27" t="s">
        <v>17</v>
      </c>
      <c r="K153" s="27">
        <v>94.7</v>
      </c>
      <c r="L153" s="27">
        <v>109.8</v>
      </c>
      <c r="M153" s="27" t="s">
        <v>3066</v>
      </c>
      <c r="N153" s="27" t="s">
        <v>3067</v>
      </c>
    </row>
    <row r="154" spans="1:17" ht="13.8" x14ac:dyDescent="0.3">
      <c r="A154" s="27">
        <v>1118026</v>
      </c>
      <c r="B154" s="37" t="s">
        <v>3061</v>
      </c>
      <c r="C154" s="28" t="s">
        <v>3062</v>
      </c>
      <c r="D154" s="31" t="s">
        <v>3063</v>
      </c>
      <c r="E154" s="31" t="s">
        <v>3064</v>
      </c>
      <c r="F154" s="31"/>
      <c r="G154" s="31" t="s">
        <v>3074</v>
      </c>
      <c r="H154" s="27" t="s">
        <v>22</v>
      </c>
      <c r="I154" s="27" t="s">
        <v>22</v>
      </c>
      <c r="J154" s="27" t="s">
        <v>17</v>
      </c>
      <c r="K154" s="27">
        <v>94.7</v>
      </c>
      <c r="L154" s="27">
        <v>109.8</v>
      </c>
      <c r="M154" s="27" t="s">
        <v>3066</v>
      </c>
      <c r="N154" s="27" t="s">
        <v>3067</v>
      </c>
    </row>
    <row r="155" spans="1:17" ht="13.8" x14ac:dyDescent="0.3">
      <c r="A155" s="27">
        <v>1118026</v>
      </c>
      <c r="B155" s="37" t="s">
        <v>3061</v>
      </c>
      <c r="C155" s="28" t="s">
        <v>3062</v>
      </c>
      <c r="D155" s="31" t="s">
        <v>3063</v>
      </c>
      <c r="E155" s="31" t="s">
        <v>3064</v>
      </c>
      <c r="F155" s="31"/>
      <c r="G155" s="31" t="s">
        <v>3075</v>
      </c>
      <c r="H155" s="27" t="s">
        <v>22</v>
      </c>
      <c r="I155" s="27" t="s">
        <v>22</v>
      </c>
      <c r="J155" s="27" t="s">
        <v>17</v>
      </c>
      <c r="K155" s="27">
        <v>94.7</v>
      </c>
      <c r="L155" s="27">
        <v>109.8</v>
      </c>
      <c r="M155" s="27" t="s">
        <v>3066</v>
      </c>
      <c r="N155" s="27" t="s">
        <v>3067</v>
      </c>
    </row>
    <row r="156" spans="1:17" ht="13.8" x14ac:dyDescent="0.3">
      <c r="A156" s="27">
        <v>1118026</v>
      </c>
      <c r="B156" s="37" t="s">
        <v>3061</v>
      </c>
      <c r="C156" s="28" t="s">
        <v>3062</v>
      </c>
      <c r="D156" s="31" t="s">
        <v>3063</v>
      </c>
      <c r="E156" s="31" t="s">
        <v>3064</v>
      </c>
      <c r="F156" s="31"/>
      <c r="G156" s="31" t="s">
        <v>3076</v>
      </c>
      <c r="H156" s="27" t="s">
        <v>22</v>
      </c>
      <c r="I156" s="27" t="s">
        <v>22</v>
      </c>
      <c r="J156" s="27" t="s">
        <v>17</v>
      </c>
      <c r="K156" s="27">
        <v>94.7</v>
      </c>
      <c r="L156" s="27">
        <v>109.8</v>
      </c>
      <c r="M156" s="27" t="s">
        <v>3066</v>
      </c>
      <c r="N156" s="27" t="s">
        <v>3067</v>
      </c>
    </row>
    <row r="157" spans="1:17" ht="13.8" x14ac:dyDescent="0.3">
      <c r="A157" s="27">
        <v>1118026</v>
      </c>
      <c r="B157" s="37" t="s">
        <v>3061</v>
      </c>
      <c r="C157" s="28" t="s">
        <v>3057</v>
      </c>
      <c r="D157" s="31" t="s">
        <v>3058</v>
      </c>
      <c r="E157" s="31" t="s">
        <v>3059</v>
      </c>
      <c r="F157" s="31"/>
      <c r="G157" s="31"/>
      <c r="H157" s="27" t="s">
        <v>46</v>
      </c>
      <c r="I157" s="27" t="s">
        <v>46</v>
      </c>
      <c r="J157" s="27" t="s">
        <v>17</v>
      </c>
      <c r="K157" s="27">
        <v>100</v>
      </c>
      <c r="L157" s="27">
        <v>50</v>
      </c>
    </row>
    <row r="158" spans="1:17" ht="13.8" hidden="1" x14ac:dyDescent="0.3">
      <c r="A158" s="27">
        <v>1118026</v>
      </c>
      <c r="B158" s="37" t="s">
        <v>3061</v>
      </c>
      <c r="C158" s="28" t="s">
        <v>3077</v>
      </c>
      <c r="D158" s="38"/>
      <c r="E158" s="38"/>
      <c r="F158" s="38"/>
      <c r="G158" s="38"/>
      <c r="H158" s="38" t="s">
        <v>16</v>
      </c>
      <c r="I158" s="38" t="s">
        <v>16</v>
      </c>
      <c r="J158" s="38" t="s">
        <v>17</v>
      </c>
      <c r="K158" s="38">
        <v>0</v>
      </c>
      <c r="L158" s="38">
        <v>0</v>
      </c>
      <c r="M158" s="38"/>
      <c r="N158" s="38"/>
      <c r="O158" s="38" t="s">
        <v>3078</v>
      </c>
      <c r="P158" s="38"/>
      <c r="Q158" s="38"/>
    </row>
    <row r="159" spans="1:17" ht="13.8" hidden="1" x14ac:dyDescent="0.3">
      <c r="A159" s="27">
        <v>1118026</v>
      </c>
      <c r="B159" s="37" t="s">
        <v>3061</v>
      </c>
      <c r="C159" s="28" t="s">
        <v>3079</v>
      </c>
      <c r="D159" s="31"/>
      <c r="E159" s="31"/>
      <c r="F159" s="31"/>
      <c r="G159" s="31"/>
      <c r="H159" s="27" t="s">
        <v>16</v>
      </c>
      <c r="I159" s="27" t="s">
        <v>16</v>
      </c>
      <c r="J159" s="27" t="s">
        <v>17</v>
      </c>
      <c r="K159" s="27">
        <v>0</v>
      </c>
      <c r="L159" s="27">
        <v>0</v>
      </c>
    </row>
    <row r="160" spans="1:17" ht="13.8" x14ac:dyDescent="0.3">
      <c r="A160" s="27">
        <v>1118026</v>
      </c>
      <c r="B160" s="37" t="s">
        <v>3061</v>
      </c>
      <c r="C160" s="28" t="s">
        <v>3080</v>
      </c>
      <c r="D160" s="31" t="s">
        <v>3080</v>
      </c>
      <c r="E160" s="31" t="s">
        <v>3081</v>
      </c>
      <c r="F160" s="31"/>
      <c r="G160" s="31"/>
      <c r="H160" s="27" t="s">
        <v>22</v>
      </c>
      <c r="I160" s="27" t="s">
        <v>22</v>
      </c>
      <c r="J160" s="27" t="s">
        <v>17</v>
      </c>
      <c r="K160" s="27">
        <v>100</v>
      </c>
      <c r="L160" s="27">
        <v>111</v>
      </c>
      <c r="M160" s="27" t="s">
        <v>883</v>
      </c>
      <c r="N160" s="27" t="s">
        <v>884</v>
      </c>
    </row>
    <row r="161" spans="1:14" ht="13.8" x14ac:dyDescent="0.3">
      <c r="A161" s="27">
        <v>1118039</v>
      </c>
      <c r="B161" s="30" t="s">
        <v>3082</v>
      </c>
      <c r="C161" s="28" t="s">
        <v>3083</v>
      </c>
      <c r="D161" s="31" t="s">
        <v>3083</v>
      </c>
      <c r="E161" s="31" t="s">
        <v>3084</v>
      </c>
      <c r="F161" s="31">
        <v>344172242</v>
      </c>
      <c r="G161" s="31"/>
      <c r="H161" s="27" t="s">
        <v>22</v>
      </c>
      <c r="I161" s="27" t="s">
        <v>22</v>
      </c>
      <c r="J161" s="27" t="s">
        <v>17</v>
      </c>
      <c r="K161" s="27">
        <v>100</v>
      </c>
      <c r="L161" s="27">
        <v>110</v>
      </c>
      <c r="M161" s="27" t="s">
        <v>2441</v>
      </c>
      <c r="N161" s="27" t="s">
        <v>2442</v>
      </c>
    </row>
    <row r="162" spans="1:14" ht="13.8" x14ac:dyDescent="0.3">
      <c r="A162" s="27">
        <v>1118039</v>
      </c>
      <c r="B162" s="30" t="s">
        <v>3082</v>
      </c>
      <c r="C162" s="28" t="s">
        <v>3085</v>
      </c>
      <c r="D162" s="31" t="s">
        <v>3086</v>
      </c>
      <c r="E162" s="31" t="s">
        <v>3087</v>
      </c>
      <c r="F162" s="31"/>
      <c r="G162" s="31"/>
      <c r="H162" s="27" t="s">
        <v>22</v>
      </c>
      <c r="I162" s="27" t="s">
        <v>22</v>
      </c>
      <c r="J162" s="27" t="s">
        <v>17</v>
      </c>
      <c r="K162" s="27">
        <v>90.9</v>
      </c>
      <c r="L162" s="27">
        <v>104.5</v>
      </c>
      <c r="M162" s="27" t="s">
        <v>3088</v>
      </c>
      <c r="N162" s="27" t="s">
        <v>3089</v>
      </c>
    </row>
    <row r="163" spans="1:14" ht="13.8" x14ac:dyDescent="0.3">
      <c r="A163" s="27">
        <v>1118039</v>
      </c>
      <c r="B163" s="30" t="s">
        <v>3082</v>
      </c>
      <c r="C163" s="28" t="s">
        <v>3090</v>
      </c>
      <c r="D163" s="31" t="s">
        <v>3090</v>
      </c>
      <c r="E163" s="31" t="s">
        <v>3091</v>
      </c>
      <c r="F163" s="31"/>
      <c r="G163" s="31"/>
      <c r="H163" s="27" t="s">
        <v>22</v>
      </c>
      <c r="I163" s="27" t="s">
        <v>22</v>
      </c>
      <c r="J163" s="27" t="s">
        <v>17</v>
      </c>
      <c r="K163" s="27">
        <v>100</v>
      </c>
      <c r="L163" s="27">
        <v>110</v>
      </c>
      <c r="M163" s="27" t="s">
        <v>3092</v>
      </c>
      <c r="N163" s="27" t="s">
        <v>3093</v>
      </c>
    </row>
    <row r="164" spans="1:14" ht="13.8" x14ac:dyDescent="0.3">
      <c r="A164" s="27">
        <v>1118039</v>
      </c>
      <c r="B164" s="30" t="s">
        <v>3082</v>
      </c>
      <c r="C164" s="28" t="s">
        <v>3094</v>
      </c>
      <c r="D164" s="31" t="s">
        <v>3095</v>
      </c>
      <c r="E164" s="31" t="s">
        <v>3096</v>
      </c>
      <c r="F164" s="31"/>
      <c r="G164" s="31" t="s">
        <v>3097</v>
      </c>
      <c r="H164" s="27" t="s">
        <v>22</v>
      </c>
      <c r="I164" s="27" t="s">
        <v>22</v>
      </c>
      <c r="J164" s="27" t="s">
        <v>17</v>
      </c>
      <c r="K164" s="27">
        <v>90.9</v>
      </c>
      <c r="L164" s="27">
        <v>104.5</v>
      </c>
    </row>
    <row r="165" spans="1:14" ht="13.8" x14ac:dyDescent="0.3">
      <c r="A165" s="27">
        <v>1118039</v>
      </c>
      <c r="B165" s="30" t="s">
        <v>3082</v>
      </c>
      <c r="C165" s="28" t="s">
        <v>3094</v>
      </c>
      <c r="D165" s="31" t="s">
        <v>3095</v>
      </c>
      <c r="E165" s="31" t="s">
        <v>3096</v>
      </c>
      <c r="F165" s="31"/>
      <c r="G165" s="31" t="s">
        <v>3098</v>
      </c>
      <c r="H165" s="27" t="s">
        <v>22</v>
      </c>
      <c r="I165" s="27" t="s">
        <v>22</v>
      </c>
      <c r="J165" s="27" t="s">
        <v>17</v>
      </c>
      <c r="K165" s="27">
        <v>90.9</v>
      </c>
      <c r="L165" s="27">
        <v>104.5</v>
      </c>
    </row>
    <row r="166" spans="1:14" ht="13.8" x14ac:dyDescent="0.3">
      <c r="A166" s="27">
        <v>1118039</v>
      </c>
      <c r="B166" s="30" t="s">
        <v>3082</v>
      </c>
      <c r="C166" s="28" t="s">
        <v>3094</v>
      </c>
      <c r="D166" s="31" t="s">
        <v>3095</v>
      </c>
      <c r="E166" s="31" t="s">
        <v>3096</v>
      </c>
      <c r="F166" s="31"/>
      <c r="G166" s="31" t="s">
        <v>3099</v>
      </c>
      <c r="H166" s="27" t="s">
        <v>22</v>
      </c>
      <c r="I166" s="27" t="s">
        <v>22</v>
      </c>
      <c r="J166" s="27" t="s">
        <v>17</v>
      </c>
      <c r="K166" s="27">
        <v>90.9</v>
      </c>
      <c r="L166" s="27">
        <v>104.5</v>
      </c>
    </row>
    <row r="167" spans="1:14" ht="13.8" x14ac:dyDescent="0.3">
      <c r="A167" s="27">
        <v>1118039</v>
      </c>
      <c r="B167" s="30" t="s">
        <v>3082</v>
      </c>
      <c r="C167" s="28" t="s">
        <v>3094</v>
      </c>
      <c r="D167" s="31" t="s">
        <v>3095</v>
      </c>
      <c r="E167" s="31" t="s">
        <v>3096</v>
      </c>
      <c r="F167" s="31"/>
      <c r="G167" s="31" t="s">
        <v>3100</v>
      </c>
      <c r="H167" s="27" t="s">
        <v>22</v>
      </c>
      <c r="I167" s="27" t="s">
        <v>22</v>
      </c>
      <c r="J167" s="27" t="s">
        <v>17</v>
      </c>
      <c r="K167" s="27">
        <v>90.9</v>
      </c>
      <c r="L167" s="27">
        <v>104.5</v>
      </c>
    </row>
    <row r="168" spans="1:14" ht="13.8" x14ac:dyDescent="0.3">
      <c r="A168" s="27">
        <v>1118039</v>
      </c>
      <c r="B168" s="30" t="s">
        <v>3082</v>
      </c>
      <c r="C168" s="28" t="s">
        <v>3094</v>
      </c>
      <c r="D168" s="31" t="s">
        <v>3095</v>
      </c>
      <c r="E168" s="31" t="s">
        <v>3096</v>
      </c>
      <c r="F168" s="31"/>
      <c r="G168" s="31" t="s">
        <v>3101</v>
      </c>
      <c r="H168" s="27" t="s">
        <v>22</v>
      </c>
      <c r="I168" s="27" t="s">
        <v>22</v>
      </c>
      <c r="J168" s="27" t="s">
        <v>17</v>
      </c>
      <c r="K168" s="27">
        <v>90.9</v>
      </c>
      <c r="L168" s="27">
        <v>104.5</v>
      </c>
    </row>
    <row r="169" spans="1:14" ht="13.8" x14ac:dyDescent="0.3">
      <c r="A169" s="27">
        <v>1118039</v>
      </c>
      <c r="B169" s="30" t="s">
        <v>3082</v>
      </c>
      <c r="C169" s="28" t="s">
        <v>3094</v>
      </c>
      <c r="D169" s="31" t="s">
        <v>3095</v>
      </c>
      <c r="E169" s="31" t="s">
        <v>3096</v>
      </c>
      <c r="F169" s="31"/>
      <c r="G169" s="31" t="s">
        <v>3102</v>
      </c>
      <c r="H169" s="27" t="s">
        <v>22</v>
      </c>
      <c r="I169" s="27" t="s">
        <v>22</v>
      </c>
      <c r="J169" s="27" t="s">
        <v>17</v>
      </c>
      <c r="K169" s="27">
        <v>90.9</v>
      </c>
      <c r="L169" s="27">
        <v>104.5</v>
      </c>
    </row>
    <row r="170" spans="1:14" ht="13.8" x14ac:dyDescent="0.3">
      <c r="A170" s="27">
        <v>1118039</v>
      </c>
      <c r="B170" s="30" t="s">
        <v>3082</v>
      </c>
      <c r="C170" s="28" t="s">
        <v>3094</v>
      </c>
      <c r="D170" s="31" t="s">
        <v>3095</v>
      </c>
      <c r="E170" s="31" t="s">
        <v>3096</v>
      </c>
      <c r="F170" s="31"/>
      <c r="G170" s="31" t="s">
        <v>3103</v>
      </c>
      <c r="H170" s="27" t="s">
        <v>22</v>
      </c>
      <c r="I170" s="27" t="s">
        <v>22</v>
      </c>
      <c r="J170" s="27" t="s">
        <v>17</v>
      </c>
      <c r="K170" s="27">
        <v>90.9</v>
      </c>
      <c r="L170" s="27">
        <v>104.5</v>
      </c>
    </row>
    <row r="171" spans="1:14" ht="13.8" x14ac:dyDescent="0.3">
      <c r="A171" s="27">
        <v>1118039</v>
      </c>
      <c r="B171" s="30" t="s">
        <v>3082</v>
      </c>
      <c r="C171" s="28" t="s">
        <v>3094</v>
      </c>
      <c r="D171" s="31" t="s">
        <v>3095</v>
      </c>
      <c r="E171" s="31" t="s">
        <v>3096</v>
      </c>
      <c r="F171" s="31"/>
      <c r="G171" s="31" t="s">
        <v>3104</v>
      </c>
      <c r="H171" s="27" t="s">
        <v>22</v>
      </c>
      <c r="I171" s="27" t="s">
        <v>22</v>
      </c>
      <c r="J171" s="27" t="s">
        <v>17</v>
      </c>
      <c r="K171" s="27">
        <v>90.9</v>
      </c>
      <c r="L171" s="27">
        <v>104.5</v>
      </c>
    </row>
    <row r="172" spans="1:14" ht="13.8" x14ac:dyDescent="0.3">
      <c r="A172" s="27">
        <v>1118039</v>
      </c>
      <c r="B172" s="30" t="s">
        <v>3082</v>
      </c>
      <c r="C172" s="28" t="s">
        <v>3094</v>
      </c>
      <c r="D172" s="31" t="s">
        <v>3095</v>
      </c>
      <c r="E172" s="31" t="s">
        <v>3096</v>
      </c>
      <c r="F172" s="31"/>
      <c r="G172" s="31" t="s">
        <v>3105</v>
      </c>
      <c r="H172" s="27" t="s">
        <v>22</v>
      </c>
      <c r="I172" s="27" t="s">
        <v>22</v>
      </c>
      <c r="J172" s="27" t="s">
        <v>17</v>
      </c>
      <c r="K172" s="27">
        <v>90.9</v>
      </c>
      <c r="L172" s="27">
        <v>104.5</v>
      </c>
    </row>
    <row r="173" spans="1:14" ht="13.8" x14ac:dyDescent="0.3">
      <c r="A173" s="27">
        <v>1118039</v>
      </c>
      <c r="B173" s="30" t="s">
        <v>3082</v>
      </c>
      <c r="C173" s="28" t="s">
        <v>3094</v>
      </c>
      <c r="D173" s="31" t="s">
        <v>3095</v>
      </c>
      <c r="E173" s="31" t="s">
        <v>3096</v>
      </c>
      <c r="F173" s="31"/>
      <c r="G173" s="31" t="s">
        <v>3106</v>
      </c>
      <c r="H173" s="27" t="s">
        <v>22</v>
      </c>
      <c r="I173" s="27" t="s">
        <v>22</v>
      </c>
      <c r="J173" s="27" t="s">
        <v>17</v>
      </c>
      <c r="K173" s="27">
        <v>90.9</v>
      </c>
      <c r="L173" s="27">
        <v>104.5</v>
      </c>
    </row>
    <row r="174" spans="1:14" ht="13.8" x14ac:dyDescent="0.3">
      <c r="A174" s="27">
        <v>1118039</v>
      </c>
      <c r="B174" s="30" t="s">
        <v>3082</v>
      </c>
      <c r="C174" s="28" t="s">
        <v>3094</v>
      </c>
      <c r="D174" s="31" t="s">
        <v>3095</v>
      </c>
      <c r="E174" s="31" t="s">
        <v>3096</v>
      </c>
      <c r="F174" s="31"/>
      <c r="G174" s="31" t="s">
        <v>3107</v>
      </c>
      <c r="H174" s="27" t="s">
        <v>22</v>
      </c>
      <c r="I174" s="27" t="s">
        <v>22</v>
      </c>
      <c r="J174" s="27" t="s">
        <v>17</v>
      </c>
      <c r="K174" s="27">
        <v>90.9</v>
      </c>
      <c r="L174" s="27">
        <v>104.5</v>
      </c>
    </row>
    <row r="175" spans="1:14" ht="13.8" x14ac:dyDescent="0.3">
      <c r="A175" s="27">
        <v>1118039</v>
      </c>
      <c r="B175" s="30" t="s">
        <v>3082</v>
      </c>
      <c r="C175" s="28" t="s">
        <v>3094</v>
      </c>
      <c r="D175" s="31" t="s">
        <v>3095</v>
      </c>
      <c r="E175" s="31" t="s">
        <v>3096</v>
      </c>
      <c r="F175" s="31"/>
      <c r="G175" s="31" t="s">
        <v>3108</v>
      </c>
      <c r="H175" s="27" t="s">
        <v>22</v>
      </c>
      <c r="I175" s="27" t="s">
        <v>22</v>
      </c>
      <c r="J175" s="27" t="s">
        <v>17</v>
      </c>
      <c r="K175" s="27">
        <v>90.9</v>
      </c>
      <c r="L175" s="27">
        <v>104.5</v>
      </c>
    </row>
    <row r="176" spans="1:14" ht="13.8" x14ac:dyDescent="0.3">
      <c r="A176" s="27">
        <v>1118039</v>
      </c>
      <c r="B176" s="30" t="s">
        <v>3082</v>
      </c>
      <c r="C176" s="28" t="s">
        <v>3094</v>
      </c>
      <c r="D176" s="31" t="s">
        <v>3095</v>
      </c>
      <c r="E176" s="31" t="s">
        <v>3096</v>
      </c>
      <c r="F176" s="31"/>
      <c r="G176" s="31" t="s">
        <v>3109</v>
      </c>
      <c r="H176" s="27" t="s">
        <v>22</v>
      </c>
      <c r="I176" s="27" t="s">
        <v>22</v>
      </c>
      <c r="J176" s="27" t="s">
        <v>17</v>
      </c>
      <c r="K176" s="27">
        <v>90.9</v>
      </c>
      <c r="L176" s="27">
        <v>104.5</v>
      </c>
    </row>
    <row r="177" spans="1:22" ht="13.8" x14ac:dyDescent="0.3">
      <c r="A177" s="27">
        <v>1118039</v>
      </c>
      <c r="B177" s="30" t="s">
        <v>3082</v>
      </c>
      <c r="C177" s="28" t="s">
        <v>3094</v>
      </c>
      <c r="D177" s="31" t="s">
        <v>3095</v>
      </c>
      <c r="E177" s="31" t="s">
        <v>3096</v>
      </c>
      <c r="F177" s="31"/>
      <c r="G177" s="31" t="s">
        <v>3110</v>
      </c>
      <c r="H177" s="27" t="s">
        <v>22</v>
      </c>
      <c r="I177" s="27" t="s">
        <v>22</v>
      </c>
      <c r="J177" s="27" t="s">
        <v>17</v>
      </c>
      <c r="K177" s="27">
        <v>90.9</v>
      </c>
      <c r="L177" s="27">
        <v>104.5</v>
      </c>
    </row>
    <row r="178" spans="1:22" ht="13.8" x14ac:dyDescent="0.3">
      <c r="A178" s="27">
        <v>1118039</v>
      </c>
      <c r="B178" s="30" t="s">
        <v>3082</v>
      </c>
      <c r="C178" s="28" t="s">
        <v>3094</v>
      </c>
      <c r="D178" s="31" t="s">
        <v>3095</v>
      </c>
      <c r="E178" s="31" t="s">
        <v>3096</v>
      </c>
      <c r="F178" s="31"/>
      <c r="G178" s="31" t="s">
        <v>3111</v>
      </c>
      <c r="H178" s="27" t="s">
        <v>22</v>
      </c>
      <c r="I178" s="27" t="s">
        <v>22</v>
      </c>
      <c r="J178" s="27" t="s">
        <v>17</v>
      </c>
      <c r="K178" s="27">
        <v>90.9</v>
      </c>
      <c r="L178" s="27">
        <v>104.5</v>
      </c>
    </row>
    <row r="179" spans="1:22" ht="13.8" x14ac:dyDescent="0.3">
      <c r="A179" s="27">
        <v>1118039</v>
      </c>
      <c r="B179" s="30" t="s">
        <v>3082</v>
      </c>
      <c r="C179" s="28" t="s">
        <v>3094</v>
      </c>
      <c r="D179" s="31" t="s">
        <v>3095</v>
      </c>
      <c r="E179" s="31" t="s">
        <v>3096</v>
      </c>
      <c r="F179" s="31"/>
      <c r="G179" s="31" t="s">
        <v>3112</v>
      </c>
      <c r="H179" s="27" t="s">
        <v>22</v>
      </c>
      <c r="I179" s="27" t="s">
        <v>22</v>
      </c>
      <c r="J179" s="27" t="s">
        <v>17</v>
      </c>
      <c r="K179" s="27">
        <v>90.9</v>
      </c>
      <c r="L179" s="27">
        <v>104.5</v>
      </c>
    </row>
    <row r="180" spans="1:22" ht="13.8" x14ac:dyDescent="0.3">
      <c r="A180" s="27">
        <v>1118039</v>
      </c>
      <c r="B180" s="30" t="s">
        <v>3082</v>
      </c>
      <c r="C180" s="28" t="s">
        <v>3094</v>
      </c>
      <c r="D180" s="31" t="s">
        <v>3095</v>
      </c>
      <c r="E180" s="31" t="s">
        <v>3096</v>
      </c>
      <c r="F180" s="31"/>
      <c r="G180" s="31" t="s">
        <v>3113</v>
      </c>
      <c r="H180" s="27" t="s">
        <v>22</v>
      </c>
      <c r="I180" s="27" t="s">
        <v>22</v>
      </c>
      <c r="J180" s="27" t="s">
        <v>17</v>
      </c>
      <c r="K180" s="27">
        <v>90.9</v>
      </c>
      <c r="L180" s="27">
        <v>104.5</v>
      </c>
    </row>
    <row r="181" spans="1:22" ht="13.8" x14ac:dyDescent="0.3">
      <c r="A181" s="27">
        <v>1118039</v>
      </c>
      <c r="B181" s="30" t="s">
        <v>3082</v>
      </c>
      <c r="C181" s="28" t="s">
        <v>3094</v>
      </c>
      <c r="D181" s="31" t="s">
        <v>3095</v>
      </c>
      <c r="E181" s="31" t="s">
        <v>3096</v>
      </c>
      <c r="F181" s="31"/>
      <c r="G181" s="31" t="s">
        <v>3114</v>
      </c>
      <c r="H181" s="27" t="s">
        <v>22</v>
      </c>
      <c r="I181" s="27" t="s">
        <v>22</v>
      </c>
      <c r="J181" s="27" t="s">
        <v>17</v>
      </c>
      <c r="K181" s="27">
        <v>90.9</v>
      </c>
      <c r="L181" s="27">
        <v>104.5</v>
      </c>
    </row>
    <row r="182" spans="1:22" ht="13.8" x14ac:dyDescent="0.3">
      <c r="A182" s="27">
        <v>1118039</v>
      </c>
      <c r="B182" s="30" t="s">
        <v>3082</v>
      </c>
      <c r="C182" s="28" t="s">
        <v>3094</v>
      </c>
      <c r="D182" s="31" t="s">
        <v>3095</v>
      </c>
      <c r="E182" s="31" t="s">
        <v>3096</v>
      </c>
      <c r="F182" s="31"/>
      <c r="G182" s="31" t="s">
        <v>3115</v>
      </c>
      <c r="H182" s="27" t="s">
        <v>22</v>
      </c>
      <c r="I182" s="27" t="s">
        <v>22</v>
      </c>
      <c r="J182" s="27" t="s">
        <v>17</v>
      </c>
      <c r="K182" s="27">
        <v>90.9</v>
      </c>
      <c r="L182" s="27">
        <v>104.5</v>
      </c>
    </row>
    <row r="183" spans="1:22" ht="13.8" x14ac:dyDescent="0.3">
      <c r="A183" s="27">
        <v>1118039</v>
      </c>
      <c r="B183" s="30" t="s">
        <v>3082</v>
      </c>
      <c r="C183" s="28" t="s">
        <v>3094</v>
      </c>
      <c r="D183" s="31" t="s">
        <v>3095</v>
      </c>
      <c r="E183" s="31" t="s">
        <v>3096</v>
      </c>
      <c r="F183" s="31"/>
      <c r="G183" s="31" t="s">
        <v>3116</v>
      </c>
      <c r="H183" s="27" t="s">
        <v>22</v>
      </c>
      <c r="I183" s="27" t="s">
        <v>22</v>
      </c>
      <c r="J183" s="27" t="s">
        <v>17</v>
      </c>
      <c r="K183" s="27">
        <v>90.9</v>
      </c>
      <c r="L183" s="27">
        <v>104.5</v>
      </c>
    </row>
    <row r="184" spans="1:22" ht="13.8" x14ac:dyDescent="0.3">
      <c r="A184" s="27">
        <v>1118039</v>
      </c>
      <c r="B184" s="30" t="s">
        <v>3082</v>
      </c>
      <c r="C184" s="28" t="s">
        <v>3094</v>
      </c>
      <c r="D184" s="31" t="s">
        <v>3095</v>
      </c>
      <c r="E184" s="31" t="s">
        <v>3096</v>
      </c>
      <c r="F184" s="31"/>
      <c r="G184" s="31" t="s">
        <v>3117</v>
      </c>
      <c r="H184" s="27" t="s">
        <v>22</v>
      </c>
      <c r="I184" s="27" t="s">
        <v>22</v>
      </c>
      <c r="J184" s="27" t="s">
        <v>17</v>
      </c>
      <c r="K184" s="27">
        <v>90.9</v>
      </c>
      <c r="L184" s="27">
        <v>104.5</v>
      </c>
    </row>
    <row r="185" spans="1:22" ht="13.8" x14ac:dyDescent="0.3">
      <c r="A185" s="27">
        <v>1118039</v>
      </c>
      <c r="B185" s="30" t="s">
        <v>3082</v>
      </c>
      <c r="C185" s="28" t="s">
        <v>3094</v>
      </c>
      <c r="D185" s="31" t="s">
        <v>3095</v>
      </c>
      <c r="E185" s="31" t="s">
        <v>3096</v>
      </c>
      <c r="F185" s="31"/>
      <c r="G185" s="31" t="s">
        <v>3118</v>
      </c>
      <c r="H185" s="27" t="s">
        <v>22</v>
      </c>
      <c r="I185" s="27" t="s">
        <v>22</v>
      </c>
      <c r="J185" s="27" t="s">
        <v>17</v>
      </c>
      <c r="K185" s="27">
        <v>90.9</v>
      </c>
      <c r="L185" s="27">
        <v>104.5</v>
      </c>
    </row>
    <row r="186" spans="1:22" ht="13.8" x14ac:dyDescent="0.3">
      <c r="A186" s="27">
        <v>1118039</v>
      </c>
      <c r="B186" s="30" t="s">
        <v>3082</v>
      </c>
      <c r="C186" s="28" t="s">
        <v>3094</v>
      </c>
      <c r="D186" s="31" t="s">
        <v>3095</v>
      </c>
      <c r="E186" s="31" t="s">
        <v>3096</v>
      </c>
      <c r="F186" s="31"/>
      <c r="G186" s="31" t="s">
        <v>3119</v>
      </c>
      <c r="H186" s="27" t="s">
        <v>22</v>
      </c>
      <c r="I186" s="27" t="s">
        <v>22</v>
      </c>
      <c r="J186" s="27" t="s">
        <v>17</v>
      </c>
      <c r="K186" s="27">
        <v>90.9</v>
      </c>
      <c r="L186" s="27">
        <v>104.5</v>
      </c>
    </row>
    <row r="187" spans="1:22" ht="13.8" x14ac:dyDescent="0.3">
      <c r="A187" s="27">
        <v>1118039</v>
      </c>
      <c r="B187" s="30" t="s">
        <v>3082</v>
      </c>
      <c r="C187" s="28" t="s">
        <v>3094</v>
      </c>
      <c r="D187" s="31" t="s">
        <v>3095</v>
      </c>
      <c r="E187" s="31" t="s">
        <v>3096</v>
      </c>
      <c r="F187" s="31"/>
      <c r="G187" s="31" t="s">
        <v>3120</v>
      </c>
      <c r="H187" s="27" t="s">
        <v>22</v>
      </c>
      <c r="I187" s="27" t="s">
        <v>22</v>
      </c>
      <c r="J187" s="27" t="s">
        <v>17</v>
      </c>
      <c r="K187" s="27">
        <v>90.9</v>
      </c>
      <c r="L187" s="27">
        <v>104.5</v>
      </c>
    </row>
    <row r="188" spans="1:22" ht="13.8" hidden="1" x14ac:dyDescent="0.3">
      <c r="A188" s="27">
        <v>1118039</v>
      </c>
      <c r="B188" s="30" t="s">
        <v>3082</v>
      </c>
      <c r="C188" s="28" t="s">
        <v>3121</v>
      </c>
      <c r="D188" s="31"/>
      <c r="E188" s="31"/>
      <c r="F188" s="31"/>
      <c r="G188" s="31"/>
      <c r="H188" s="27" t="s">
        <v>16</v>
      </c>
      <c r="I188" s="27" t="s">
        <v>16</v>
      </c>
      <c r="J188" s="27" t="s">
        <v>17</v>
      </c>
      <c r="K188" s="27">
        <v>0</v>
      </c>
      <c r="L188" s="27">
        <v>0</v>
      </c>
    </row>
    <row r="189" spans="1:22" ht="13.8" hidden="1" x14ac:dyDescent="0.3">
      <c r="A189" s="35">
        <v>1118039</v>
      </c>
      <c r="B189" s="30" t="s">
        <v>3082</v>
      </c>
      <c r="C189" s="28" t="s">
        <v>3122</v>
      </c>
      <c r="D189" s="35"/>
      <c r="E189" s="35"/>
      <c r="F189" s="35"/>
      <c r="G189" s="35"/>
      <c r="H189" s="35" t="s">
        <v>16</v>
      </c>
      <c r="I189" s="35" t="s">
        <v>16</v>
      </c>
      <c r="J189" s="35" t="s">
        <v>17</v>
      </c>
      <c r="K189" s="35">
        <v>0</v>
      </c>
      <c r="L189" s="35">
        <v>0</v>
      </c>
      <c r="M189" s="35"/>
      <c r="N189" s="35"/>
      <c r="O189" s="39" t="s">
        <v>3123</v>
      </c>
      <c r="P189" s="35"/>
      <c r="Q189" s="35"/>
      <c r="R189" s="35"/>
      <c r="S189" s="35"/>
      <c r="T189" s="35"/>
      <c r="U189" s="35"/>
      <c r="V189" s="35"/>
    </row>
    <row r="190" spans="1:22" ht="13.8" x14ac:dyDescent="0.3">
      <c r="A190" s="27">
        <v>1119244</v>
      </c>
      <c r="B190" s="34" t="s">
        <v>3124</v>
      </c>
      <c r="C190" s="28" t="s">
        <v>3125</v>
      </c>
      <c r="D190" s="31" t="s">
        <v>3125</v>
      </c>
      <c r="E190" s="31" t="s">
        <v>3126</v>
      </c>
      <c r="F190" s="31"/>
      <c r="G190" s="31"/>
      <c r="H190" s="27" t="s">
        <v>22</v>
      </c>
      <c r="I190" s="27" t="s">
        <v>22</v>
      </c>
      <c r="J190" s="27" t="s">
        <v>17</v>
      </c>
      <c r="K190" s="27">
        <v>100</v>
      </c>
      <c r="L190" s="27">
        <v>115</v>
      </c>
      <c r="M190" s="27" t="s">
        <v>254</v>
      </c>
      <c r="N190" s="27" t="s">
        <v>255</v>
      </c>
    </row>
    <row r="191" spans="1:22" ht="13.8" x14ac:dyDescent="0.3">
      <c r="A191" s="27">
        <v>1119244</v>
      </c>
      <c r="B191" s="34" t="s">
        <v>3124</v>
      </c>
      <c r="C191" s="28" t="s">
        <v>3127</v>
      </c>
      <c r="D191" s="31" t="s">
        <v>3128</v>
      </c>
      <c r="E191" s="31" t="s">
        <v>3129</v>
      </c>
      <c r="F191" s="31"/>
      <c r="G191" s="31" t="s">
        <v>3130</v>
      </c>
      <c r="H191" s="27" t="s">
        <v>22</v>
      </c>
      <c r="I191" s="27" t="s">
        <v>22</v>
      </c>
      <c r="J191" s="27" t="s">
        <v>17</v>
      </c>
      <c r="K191" s="27">
        <v>88.9</v>
      </c>
      <c r="L191" s="27">
        <v>107.3</v>
      </c>
      <c r="M191" s="27" t="s">
        <v>3131</v>
      </c>
      <c r="N191" s="27" t="s">
        <v>3132</v>
      </c>
    </row>
    <row r="192" spans="1:22" ht="13.8" x14ac:dyDescent="0.3">
      <c r="A192" s="27">
        <v>1119244</v>
      </c>
      <c r="B192" s="34" t="s">
        <v>3124</v>
      </c>
      <c r="C192" s="28" t="s">
        <v>3127</v>
      </c>
      <c r="D192" s="31" t="s">
        <v>3128</v>
      </c>
      <c r="E192" s="31" t="s">
        <v>3129</v>
      </c>
      <c r="F192" s="31"/>
      <c r="G192" s="31" t="s">
        <v>3133</v>
      </c>
      <c r="H192" s="27" t="s">
        <v>22</v>
      </c>
      <c r="I192" s="27" t="s">
        <v>22</v>
      </c>
      <c r="J192" s="27" t="s">
        <v>17</v>
      </c>
      <c r="K192" s="27">
        <v>88.9</v>
      </c>
      <c r="L192" s="27">
        <v>107.3</v>
      </c>
      <c r="M192" s="27" t="s">
        <v>3131</v>
      </c>
      <c r="N192" s="27" t="s">
        <v>3132</v>
      </c>
    </row>
    <row r="193" spans="1:22" ht="13.8" x14ac:dyDescent="0.3">
      <c r="A193" s="27">
        <v>1119244</v>
      </c>
      <c r="B193" s="34" t="s">
        <v>3124</v>
      </c>
      <c r="C193" s="28" t="s">
        <v>3127</v>
      </c>
      <c r="D193" s="31" t="s">
        <v>3128</v>
      </c>
      <c r="E193" s="31" t="s">
        <v>3129</v>
      </c>
      <c r="F193" s="31"/>
      <c r="G193" s="31" t="s">
        <v>3134</v>
      </c>
      <c r="H193" s="27" t="s">
        <v>22</v>
      </c>
      <c r="I193" s="27" t="s">
        <v>22</v>
      </c>
      <c r="J193" s="27" t="s">
        <v>17</v>
      </c>
      <c r="K193" s="27">
        <v>88.9</v>
      </c>
      <c r="L193" s="27">
        <v>107.3</v>
      </c>
      <c r="M193" s="27" t="s">
        <v>3131</v>
      </c>
      <c r="N193" s="27" t="s">
        <v>3132</v>
      </c>
    </row>
    <row r="194" spans="1:22" ht="13.8" x14ac:dyDescent="0.3">
      <c r="A194" s="27">
        <v>1119244</v>
      </c>
      <c r="B194" s="34" t="s">
        <v>3124</v>
      </c>
      <c r="C194" s="28" t="s">
        <v>3127</v>
      </c>
      <c r="D194" s="31" t="s">
        <v>3128</v>
      </c>
      <c r="E194" s="31" t="s">
        <v>3129</v>
      </c>
      <c r="F194" s="31"/>
      <c r="G194" s="31" t="s">
        <v>3135</v>
      </c>
      <c r="H194" s="27" t="s">
        <v>22</v>
      </c>
      <c r="I194" s="27" t="s">
        <v>22</v>
      </c>
      <c r="J194" s="27" t="s">
        <v>17</v>
      </c>
      <c r="K194" s="27">
        <v>88.9</v>
      </c>
      <c r="L194" s="27">
        <v>107.3</v>
      </c>
      <c r="M194" s="27" t="s">
        <v>3131</v>
      </c>
      <c r="N194" s="27" t="s">
        <v>3132</v>
      </c>
    </row>
    <row r="195" spans="1:22" ht="13.8" x14ac:dyDescent="0.3">
      <c r="A195" s="27">
        <v>1119244</v>
      </c>
      <c r="B195" s="34" t="s">
        <v>3124</v>
      </c>
      <c r="C195" s="28" t="s">
        <v>3127</v>
      </c>
      <c r="D195" s="31" t="s">
        <v>3128</v>
      </c>
      <c r="E195" s="31" t="s">
        <v>3129</v>
      </c>
      <c r="F195" s="31"/>
      <c r="G195" s="31" t="s">
        <v>3136</v>
      </c>
      <c r="H195" s="27" t="s">
        <v>22</v>
      </c>
      <c r="I195" s="27" t="s">
        <v>22</v>
      </c>
      <c r="J195" s="27" t="s">
        <v>17</v>
      </c>
      <c r="K195" s="27">
        <v>88.9</v>
      </c>
      <c r="L195" s="27">
        <v>107.3</v>
      </c>
      <c r="M195" s="27" t="s">
        <v>3131</v>
      </c>
      <c r="N195" s="27" t="s">
        <v>3132</v>
      </c>
    </row>
    <row r="196" spans="1:22" ht="13.8" x14ac:dyDescent="0.3">
      <c r="A196" s="27">
        <v>1119244</v>
      </c>
      <c r="B196" s="34" t="s">
        <v>3124</v>
      </c>
      <c r="C196" s="28" t="s">
        <v>3127</v>
      </c>
      <c r="D196" s="31" t="s">
        <v>3128</v>
      </c>
      <c r="E196" s="31" t="s">
        <v>3129</v>
      </c>
      <c r="F196" s="31"/>
      <c r="G196" s="31" t="s">
        <v>3137</v>
      </c>
      <c r="H196" s="27" t="s">
        <v>22</v>
      </c>
      <c r="I196" s="27" t="s">
        <v>22</v>
      </c>
      <c r="J196" s="27" t="s">
        <v>17</v>
      </c>
      <c r="K196" s="27">
        <v>88.9</v>
      </c>
      <c r="L196" s="27">
        <v>107.3</v>
      </c>
      <c r="M196" s="27" t="s">
        <v>3131</v>
      </c>
      <c r="N196" s="27" t="s">
        <v>3132</v>
      </c>
    </row>
    <row r="197" spans="1:22" ht="13.8" x14ac:dyDescent="0.3">
      <c r="A197" s="38">
        <v>1119244</v>
      </c>
      <c r="B197" s="34" t="s">
        <v>3124</v>
      </c>
      <c r="C197" s="28" t="s">
        <v>3138</v>
      </c>
      <c r="D197" s="38" t="s">
        <v>3138</v>
      </c>
      <c r="E197" s="38" t="s">
        <v>3139</v>
      </c>
      <c r="F197" s="38"/>
      <c r="G197" s="38"/>
      <c r="H197" s="38" t="s">
        <v>22</v>
      </c>
      <c r="I197" s="38" t="s">
        <v>22</v>
      </c>
      <c r="J197" s="38" t="s">
        <v>17</v>
      </c>
      <c r="K197" s="38">
        <v>100</v>
      </c>
      <c r="L197" s="38">
        <v>112</v>
      </c>
      <c r="M197" s="38" t="s">
        <v>3140</v>
      </c>
      <c r="N197" s="38" t="s">
        <v>3141</v>
      </c>
      <c r="O197" s="40" t="s">
        <v>3142</v>
      </c>
      <c r="P197" s="38"/>
      <c r="Q197" s="38"/>
      <c r="R197" s="38"/>
      <c r="S197" s="38"/>
      <c r="T197" s="38"/>
      <c r="U197" s="38"/>
      <c r="V197" s="38"/>
    </row>
    <row r="198" spans="1:22" ht="13.8" x14ac:dyDescent="0.3">
      <c r="A198" s="27">
        <v>1119244</v>
      </c>
      <c r="B198" s="34" t="s">
        <v>3124</v>
      </c>
      <c r="C198" s="28" t="s">
        <v>3143</v>
      </c>
      <c r="D198" s="31" t="s">
        <v>3143</v>
      </c>
      <c r="E198" s="31" t="s">
        <v>3144</v>
      </c>
      <c r="F198" s="31"/>
      <c r="G198" s="31"/>
      <c r="H198" s="27" t="s">
        <v>22</v>
      </c>
      <c r="I198" s="27" t="s">
        <v>22</v>
      </c>
      <c r="J198" s="27" t="s">
        <v>17</v>
      </c>
      <c r="K198" s="27">
        <v>100</v>
      </c>
      <c r="L198" s="27">
        <v>111</v>
      </c>
      <c r="M198" s="27" t="s">
        <v>346</v>
      </c>
      <c r="N198" s="27" t="s">
        <v>347</v>
      </c>
    </row>
    <row r="199" spans="1:22" ht="13.8" x14ac:dyDescent="0.3">
      <c r="A199" s="27">
        <v>1119263</v>
      </c>
      <c r="B199" s="36" t="s">
        <v>3145</v>
      </c>
      <c r="C199" s="28" t="s">
        <v>3146</v>
      </c>
      <c r="D199" s="31" t="s">
        <v>3146</v>
      </c>
      <c r="E199" s="31" t="s">
        <v>3147</v>
      </c>
      <c r="F199" s="31"/>
      <c r="G199" s="31"/>
      <c r="H199" s="27" t="s">
        <v>22</v>
      </c>
      <c r="I199" s="27" t="s">
        <v>22</v>
      </c>
      <c r="J199" s="27" t="s">
        <v>17</v>
      </c>
      <c r="K199" s="27">
        <v>100</v>
      </c>
      <c r="L199" s="27">
        <v>110</v>
      </c>
      <c r="M199" s="27" t="s">
        <v>338</v>
      </c>
      <c r="N199" s="27" t="s">
        <v>339</v>
      </c>
    </row>
    <row r="200" spans="1:22" ht="13.8" x14ac:dyDescent="0.3">
      <c r="A200" s="27">
        <v>1119263</v>
      </c>
      <c r="B200" s="36" t="s">
        <v>3145</v>
      </c>
      <c r="C200" s="28" t="s">
        <v>3148</v>
      </c>
      <c r="D200" s="31" t="s">
        <v>3149</v>
      </c>
      <c r="E200" s="31" t="s">
        <v>3150</v>
      </c>
      <c r="F200" s="31"/>
      <c r="G200" s="31" t="s">
        <v>3151</v>
      </c>
      <c r="H200" s="27" t="s">
        <v>46</v>
      </c>
      <c r="I200" s="27" t="s">
        <v>46</v>
      </c>
      <c r="J200" s="27" t="s">
        <v>17</v>
      </c>
      <c r="K200" s="27">
        <v>100</v>
      </c>
      <c r="L200" s="27">
        <v>50</v>
      </c>
      <c r="M200" s="27" t="s">
        <v>3152</v>
      </c>
      <c r="N200" s="27" t="s">
        <v>3153</v>
      </c>
    </row>
    <row r="201" spans="1:22" ht="13.8" x14ac:dyDescent="0.3">
      <c r="A201" s="38">
        <v>1119263</v>
      </c>
      <c r="B201" s="36" t="s">
        <v>3145</v>
      </c>
      <c r="C201" s="28" t="s">
        <v>3154</v>
      </c>
      <c r="D201" s="38" t="s">
        <v>3155</v>
      </c>
      <c r="E201" s="38" t="s">
        <v>3156</v>
      </c>
      <c r="F201" s="38"/>
      <c r="G201" s="38" t="s">
        <v>3157</v>
      </c>
      <c r="H201" s="38" t="s">
        <v>22</v>
      </c>
      <c r="I201" s="38" t="s">
        <v>22</v>
      </c>
      <c r="J201" s="38" t="s">
        <v>17</v>
      </c>
      <c r="K201" s="38">
        <v>80.8</v>
      </c>
      <c r="L201" s="38">
        <v>51.5</v>
      </c>
      <c r="M201" s="38"/>
      <c r="N201" s="38"/>
      <c r="O201" s="38" t="s">
        <v>3015</v>
      </c>
      <c r="P201" s="38"/>
      <c r="Q201" s="38"/>
      <c r="R201" s="38"/>
      <c r="S201" s="38"/>
      <c r="T201" s="38"/>
      <c r="U201" s="38"/>
      <c r="V201" s="38"/>
    </row>
    <row r="202" spans="1:22" ht="13.8" x14ac:dyDescent="0.3">
      <c r="A202" s="27">
        <v>1119263</v>
      </c>
      <c r="B202" s="36" t="s">
        <v>3145</v>
      </c>
      <c r="C202" s="28" t="s">
        <v>3154</v>
      </c>
      <c r="D202" s="31" t="s">
        <v>3155</v>
      </c>
      <c r="E202" s="31" t="s">
        <v>3156</v>
      </c>
      <c r="F202" s="31"/>
      <c r="G202" s="31" t="s">
        <v>3158</v>
      </c>
      <c r="H202" s="27" t="s">
        <v>22</v>
      </c>
      <c r="I202" s="27" t="s">
        <v>22</v>
      </c>
      <c r="J202" s="27" t="s">
        <v>17</v>
      </c>
      <c r="K202" s="27">
        <v>80.8</v>
      </c>
      <c r="L202" s="27">
        <v>51.5</v>
      </c>
    </row>
    <row r="203" spans="1:22" ht="13.8" x14ac:dyDescent="0.3">
      <c r="A203" s="27">
        <v>1119263</v>
      </c>
      <c r="B203" s="36" t="s">
        <v>3145</v>
      </c>
      <c r="C203" s="28" t="s">
        <v>3154</v>
      </c>
      <c r="D203" s="31" t="s">
        <v>3155</v>
      </c>
      <c r="E203" s="31" t="s">
        <v>3156</v>
      </c>
      <c r="F203" s="31"/>
      <c r="G203" s="31" t="s">
        <v>3159</v>
      </c>
      <c r="H203" s="27" t="s">
        <v>22</v>
      </c>
      <c r="I203" s="27" t="s">
        <v>22</v>
      </c>
      <c r="J203" s="27" t="s">
        <v>17</v>
      </c>
      <c r="K203" s="27">
        <v>80.8</v>
      </c>
      <c r="L203" s="27">
        <v>51.5</v>
      </c>
    </row>
    <row r="204" spans="1:22" ht="13.8" x14ac:dyDescent="0.3">
      <c r="A204" s="27">
        <v>1119263</v>
      </c>
      <c r="B204" s="36" t="s">
        <v>3145</v>
      </c>
      <c r="C204" s="28" t="s">
        <v>3154</v>
      </c>
      <c r="D204" s="31" t="s">
        <v>3155</v>
      </c>
      <c r="E204" s="31" t="s">
        <v>3156</v>
      </c>
      <c r="F204" s="31"/>
      <c r="G204" s="31" t="s">
        <v>3160</v>
      </c>
      <c r="H204" s="27" t="s">
        <v>22</v>
      </c>
      <c r="I204" s="27" t="s">
        <v>22</v>
      </c>
      <c r="J204" s="27" t="s">
        <v>17</v>
      </c>
      <c r="K204" s="27">
        <v>80.8</v>
      </c>
      <c r="L204" s="27">
        <v>51.5</v>
      </c>
    </row>
    <row r="205" spans="1:22" ht="13.8" x14ac:dyDescent="0.3">
      <c r="A205" s="27">
        <v>1119263</v>
      </c>
      <c r="B205" s="36" t="s">
        <v>3145</v>
      </c>
      <c r="C205" s="28" t="s">
        <v>3154</v>
      </c>
      <c r="D205" s="31" t="s">
        <v>3155</v>
      </c>
      <c r="E205" s="31" t="s">
        <v>3156</v>
      </c>
      <c r="F205" s="31"/>
      <c r="G205" s="31" t="s">
        <v>3161</v>
      </c>
      <c r="H205" s="27" t="s">
        <v>22</v>
      </c>
      <c r="I205" s="27" t="s">
        <v>22</v>
      </c>
      <c r="J205" s="27" t="s">
        <v>17</v>
      </c>
      <c r="K205" s="27">
        <v>80.8</v>
      </c>
      <c r="L205" s="27">
        <v>51.5</v>
      </c>
    </row>
    <row r="206" spans="1:22" ht="13.8" x14ac:dyDescent="0.3">
      <c r="A206" s="27">
        <v>1119263</v>
      </c>
      <c r="B206" s="36" t="s">
        <v>3145</v>
      </c>
      <c r="C206" s="28" t="s">
        <v>3154</v>
      </c>
      <c r="D206" s="31" t="s">
        <v>3155</v>
      </c>
      <c r="E206" s="31" t="s">
        <v>3156</v>
      </c>
      <c r="F206" s="31"/>
      <c r="G206" s="31" t="s">
        <v>3162</v>
      </c>
      <c r="H206" s="27" t="s">
        <v>22</v>
      </c>
      <c r="I206" s="27" t="s">
        <v>22</v>
      </c>
      <c r="J206" s="27" t="s">
        <v>17</v>
      </c>
      <c r="K206" s="27">
        <v>80.8</v>
      </c>
      <c r="L206" s="27">
        <v>51.5</v>
      </c>
    </row>
    <row r="207" spans="1:22" ht="13.8" x14ac:dyDescent="0.3">
      <c r="A207" s="27">
        <v>1119263</v>
      </c>
      <c r="B207" s="36" t="s">
        <v>3145</v>
      </c>
      <c r="C207" s="28" t="s">
        <v>3154</v>
      </c>
      <c r="D207" s="31" t="s">
        <v>3155</v>
      </c>
      <c r="E207" s="31" t="s">
        <v>3156</v>
      </c>
      <c r="F207" s="31"/>
      <c r="G207" s="31" t="s">
        <v>3163</v>
      </c>
      <c r="H207" s="27" t="s">
        <v>22</v>
      </c>
      <c r="I207" s="27" t="s">
        <v>22</v>
      </c>
      <c r="J207" s="27" t="s">
        <v>17</v>
      </c>
      <c r="K207" s="27">
        <v>80.8</v>
      </c>
      <c r="L207" s="27">
        <v>51.5</v>
      </c>
    </row>
    <row r="208" spans="1:22" ht="13.8" x14ac:dyDescent="0.3">
      <c r="A208" s="27">
        <v>1119263</v>
      </c>
      <c r="B208" s="36" t="s">
        <v>3145</v>
      </c>
      <c r="C208" s="28" t="s">
        <v>3154</v>
      </c>
      <c r="D208" s="31" t="s">
        <v>3155</v>
      </c>
      <c r="E208" s="31" t="s">
        <v>3156</v>
      </c>
      <c r="F208" s="31"/>
      <c r="G208" s="31" t="s">
        <v>3164</v>
      </c>
      <c r="H208" s="27" t="s">
        <v>22</v>
      </c>
      <c r="I208" s="27" t="s">
        <v>22</v>
      </c>
      <c r="J208" s="27" t="s">
        <v>17</v>
      </c>
      <c r="K208" s="27">
        <v>80.8</v>
      </c>
      <c r="L208" s="27">
        <v>51.5</v>
      </c>
    </row>
    <row r="209" spans="1:14" ht="13.8" x14ac:dyDescent="0.3">
      <c r="A209" s="27">
        <v>1119263</v>
      </c>
      <c r="B209" s="36" t="s">
        <v>3145</v>
      </c>
      <c r="C209" s="28" t="s">
        <v>3154</v>
      </c>
      <c r="D209" s="31" t="s">
        <v>3155</v>
      </c>
      <c r="E209" s="31" t="s">
        <v>3156</v>
      </c>
      <c r="F209" s="31"/>
      <c r="G209" s="31" t="s">
        <v>3165</v>
      </c>
      <c r="H209" s="27" t="s">
        <v>22</v>
      </c>
      <c r="I209" s="27" t="s">
        <v>22</v>
      </c>
      <c r="J209" s="27" t="s">
        <v>17</v>
      </c>
      <c r="K209" s="27">
        <v>80.8</v>
      </c>
      <c r="L209" s="27">
        <v>51.5</v>
      </c>
    </row>
    <row r="210" spans="1:14" ht="13.8" x14ac:dyDescent="0.3">
      <c r="A210" s="27">
        <v>1119263</v>
      </c>
      <c r="B210" s="36" t="s">
        <v>3145</v>
      </c>
      <c r="C210" s="28" t="s">
        <v>3154</v>
      </c>
      <c r="D210" s="31" t="s">
        <v>3155</v>
      </c>
      <c r="E210" s="31" t="s">
        <v>3156</v>
      </c>
      <c r="F210" s="31"/>
      <c r="G210" s="31" t="s">
        <v>3166</v>
      </c>
      <c r="H210" s="27" t="s">
        <v>22</v>
      </c>
      <c r="I210" s="27" t="s">
        <v>22</v>
      </c>
      <c r="J210" s="27" t="s">
        <v>17</v>
      </c>
      <c r="K210" s="27">
        <v>80.8</v>
      </c>
      <c r="L210" s="27">
        <v>51.5</v>
      </c>
    </row>
    <row r="211" spans="1:14" ht="13.8" x14ac:dyDescent="0.3">
      <c r="A211" s="27">
        <v>1119263</v>
      </c>
      <c r="B211" s="36" t="s">
        <v>3145</v>
      </c>
      <c r="C211" s="28" t="s">
        <v>3154</v>
      </c>
      <c r="D211" s="31" t="s">
        <v>3155</v>
      </c>
      <c r="E211" s="31" t="s">
        <v>3156</v>
      </c>
      <c r="F211" s="31"/>
      <c r="G211" s="31" t="s">
        <v>3167</v>
      </c>
      <c r="H211" s="27" t="s">
        <v>22</v>
      </c>
      <c r="I211" s="27" t="s">
        <v>22</v>
      </c>
      <c r="J211" s="27" t="s">
        <v>17</v>
      </c>
      <c r="K211" s="27">
        <v>80.8</v>
      </c>
      <c r="L211" s="27">
        <v>51.5</v>
      </c>
    </row>
    <row r="212" spans="1:14" ht="13.8" x14ac:dyDescent="0.3">
      <c r="A212" s="27">
        <v>1119263</v>
      </c>
      <c r="B212" s="36" t="s">
        <v>3145</v>
      </c>
      <c r="C212" s="28" t="s">
        <v>3154</v>
      </c>
      <c r="D212" s="31" t="s">
        <v>3155</v>
      </c>
      <c r="E212" s="31" t="s">
        <v>3156</v>
      </c>
      <c r="F212" s="31"/>
      <c r="G212" s="31" t="s">
        <v>3168</v>
      </c>
      <c r="H212" s="27" t="s">
        <v>22</v>
      </c>
      <c r="I212" s="27" t="s">
        <v>22</v>
      </c>
      <c r="J212" s="27" t="s">
        <v>17</v>
      </c>
      <c r="K212" s="27">
        <v>80.8</v>
      </c>
      <c r="L212" s="27">
        <v>51.5</v>
      </c>
    </row>
    <row r="213" spans="1:14" ht="13.8" x14ac:dyDescent="0.3">
      <c r="A213" s="27">
        <v>1119263</v>
      </c>
      <c r="B213" s="36" t="s">
        <v>3145</v>
      </c>
      <c r="C213" s="28" t="s">
        <v>3154</v>
      </c>
      <c r="D213" s="31" t="s">
        <v>3155</v>
      </c>
      <c r="E213" s="31" t="s">
        <v>3156</v>
      </c>
      <c r="F213" s="31"/>
      <c r="G213" s="31" t="s">
        <v>3169</v>
      </c>
      <c r="H213" s="27" t="s">
        <v>22</v>
      </c>
      <c r="I213" s="27" t="s">
        <v>22</v>
      </c>
      <c r="J213" s="27" t="s">
        <v>17</v>
      </c>
      <c r="K213" s="27">
        <v>80.8</v>
      </c>
      <c r="L213" s="27">
        <v>51.5</v>
      </c>
    </row>
    <row r="214" spans="1:14" ht="13.8" x14ac:dyDescent="0.3">
      <c r="A214" s="27">
        <v>1119263</v>
      </c>
      <c r="B214" s="36" t="s">
        <v>3145</v>
      </c>
      <c r="C214" s="28" t="s">
        <v>3154</v>
      </c>
      <c r="D214" s="31" t="s">
        <v>3155</v>
      </c>
      <c r="E214" s="31" t="s">
        <v>3156</v>
      </c>
      <c r="F214" s="31"/>
      <c r="G214" s="31" t="s">
        <v>3170</v>
      </c>
      <c r="H214" s="27" t="s">
        <v>22</v>
      </c>
      <c r="I214" s="27" t="s">
        <v>22</v>
      </c>
      <c r="J214" s="27" t="s">
        <v>17</v>
      </c>
      <c r="K214" s="27">
        <v>80.8</v>
      </c>
      <c r="L214" s="27">
        <v>51.5</v>
      </c>
    </row>
    <row r="215" spans="1:14" ht="13.8" x14ac:dyDescent="0.3">
      <c r="A215" s="27">
        <v>1119263</v>
      </c>
      <c r="B215" s="36" t="s">
        <v>3145</v>
      </c>
      <c r="C215" s="28" t="s">
        <v>3154</v>
      </c>
      <c r="D215" s="31" t="s">
        <v>3155</v>
      </c>
      <c r="E215" s="31" t="s">
        <v>3156</v>
      </c>
      <c r="F215" s="31"/>
      <c r="G215" s="31" t="s">
        <v>3171</v>
      </c>
      <c r="H215" s="27" t="s">
        <v>22</v>
      </c>
      <c r="I215" s="27" t="s">
        <v>22</v>
      </c>
      <c r="J215" s="27" t="s">
        <v>17</v>
      </c>
      <c r="K215" s="27">
        <v>80.8</v>
      </c>
      <c r="L215" s="27">
        <v>51.5</v>
      </c>
    </row>
    <row r="216" spans="1:14" ht="13.8" x14ac:dyDescent="0.3">
      <c r="A216" s="27">
        <v>1119263</v>
      </c>
      <c r="B216" s="36" t="s">
        <v>3145</v>
      </c>
      <c r="C216" s="28" t="s">
        <v>3154</v>
      </c>
      <c r="D216" s="31" t="s">
        <v>3155</v>
      </c>
      <c r="E216" s="31" t="s">
        <v>3156</v>
      </c>
      <c r="F216" s="31"/>
      <c r="G216" s="31" t="s">
        <v>3172</v>
      </c>
      <c r="H216" s="27" t="s">
        <v>22</v>
      </c>
      <c r="I216" s="27" t="s">
        <v>22</v>
      </c>
      <c r="J216" s="27" t="s">
        <v>17</v>
      </c>
      <c r="K216" s="27">
        <v>80.8</v>
      </c>
      <c r="L216" s="27">
        <v>51.5</v>
      </c>
    </row>
    <row r="217" spans="1:14" ht="13.8" x14ac:dyDescent="0.3">
      <c r="A217" s="27">
        <v>1119263</v>
      </c>
      <c r="B217" s="36" t="s">
        <v>3145</v>
      </c>
      <c r="C217" s="28" t="s">
        <v>3154</v>
      </c>
      <c r="D217" s="31" t="s">
        <v>3155</v>
      </c>
      <c r="E217" s="31" t="s">
        <v>3156</v>
      </c>
      <c r="F217" s="31"/>
      <c r="G217" s="31" t="s">
        <v>3173</v>
      </c>
      <c r="H217" s="27" t="s">
        <v>22</v>
      </c>
      <c r="I217" s="27" t="s">
        <v>22</v>
      </c>
      <c r="J217" s="27" t="s">
        <v>17</v>
      </c>
      <c r="K217" s="27">
        <v>80.8</v>
      </c>
      <c r="L217" s="27">
        <v>51.5</v>
      </c>
    </row>
    <row r="218" spans="1:14" ht="13.8" x14ac:dyDescent="0.3">
      <c r="A218" s="27">
        <v>1119263</v>
      </c>
      <c r="B218" s="36" t="s">
        <v>3145</v>
      </c>
      <c r="C218" s="28" t="s">
        <v>3154</v>
      </c>
      <c r="D218" s="31" t="s">
        <v>3155</v>
      </c>
      <c r="E218" s="31" t="s">
        <v>3156</v>
      </c>
      <c r="F218" s="31"/>
      <c r="G218" s="31" t="s">
        <v>3174</v>
      </c>
      <c r="H218" s="27" t="s">
        <v>22</v>
      </c>
      <c r="I218" s="27" t="s">
        <v>22</v>
      </c>
      <c r="J218" s="27" t="s">
        <v>17</v>
      </c>
      <c r="K218" s="27">
        <v>80.8</v>
      </c>
      <c r="L218" s="27">
        <v>51.5</v>
      </c>
    </row>
    <row r="219" spans="1:14" ht="13.8" x14ac:dyDescent="0.3">
      <c r="A219" s="27">
        <v>1119263</v>
      </c>
      <c r="B219" s="36" t="s">
        <v>3145</v>
      </c>
      <c r="C219" s="28" t="s">
        <v>3154</v>
      </c>
      <c r="D219" s="31" t="s">
        <v>3155</v>
      </c>
      <c r="E219" s="31" t="s">
        <v>3156</v>
      </c>
      <c r="F219" s="31"/>
      <c r="G219" s="31" t="s">
        <v>3175</v>
      </c>
      <c r="H219" s="27" t="s">
        <v>22</v>
      </c>
      <c r="I219" s="27" t="s">
        <v>22</v>
      </c>
      <c r="J219" s="27" t="s">
        <v>17</v>
      </c>
      <c r="K219" s="27">
        <v>80.8</v>
      </c>
      <c r="L219" s="27">
        <v>51.5</v>
      </c>
    </row>
    <row r="220" spans="1:14" ht="13.8" x14ac:dyDescent="0.3">
      <c r="A220" s="27">
        <v>1119263</v>
      </c>
      <c r="B220" s="36" t="s">
        <v>3145</v>
      </c>
      <c r="C220" s="28" t="s">
        <v>3154</v>
      </c>
      <c r="D220" s="31" t="s">
        <v>3155</v>
      </c>
      <c r="E220" s="31" t="s">
        <v>3156</v>
      </c>
      <c r="F220" s="31"/>
      <c r="G220" s="31" t="s">
        <v>3176</v>
      </c>
      <c r="H220" s="27" t="s">
        <v>22</v>
      </c>
      <c r="I220" s="27" t="s">
        <v>22</v>
      </c>
      <c r="J220" s="27" t="s">
        <v>17</v>
      </c>
      <c r="K220" s="27">
        <v>80.8</v>
      </c>
      <c r="L220" s="27">
        <v>51.5</v>
      </c>
    </row>
    <row r="221" spans="1:14" ht="13.8" x14ac:dyDescent="0.3">
      <c r="A221" s="27">
        <v>1119263</v>
      </c>
      <c r="B221" s="36" t="s">
        <v>3145</v>
      </c>
      <c r="C221" s="28" t="s">
        <v>3154</v>
      </c>
      <c r="D221" s="31" t="s">
        <v>3155</v>
      </c>
      <c r="E221" s="31" t="s">
        <v>3156</v>
      </c>
      <c r="F221" s="31"/>
      <c r="G221" s="31" t="s">
        <v>3177</v>
      </c>
      <c r="H221" s="27" t="s">
        <v>22</v>
      </c>
      <c r="I221" s="27" t="s">
        <v>22</v>
      </c>
      <c r="J221" s="27" t="s">
        <v>17</v>
      </c>
      <c r="K221" s="27">
        <v>80.8</v>
      </c>
      <c r="L221" s="27">
        <v>51.5</v>
      </c>
    </row>
    <row r="222" spans="1:14" ht="13.8" x14ac:dyDescent="0.3">
      <c r="A222" s="27">
        <v>1119263</v>
      </c>
      <c r="B222" s="36" t="s">
        <v>3145</v>
      </c>
      <c r="C222" s="28" t="s">
        <v>3154</v>
      </c>
      <c r="D222" s="31" t="s">
        <v>3155</v>
      </c>
      <c r="E222" s="31" t="s">
        <v>3156</v>
      </c>
      <c r="F222" s="31"/>
      <c r="G222" s="31" t="s">
        <v>3178</v>
      </c>
      <c r="H222" s="27" t="s">
        <v>22</v>
      </c>
      <c r="I222" s="27" t="s">
        <v>22</v>
      </c>
      <c r="J222" s="27" t="s">
        <v>17</v>
      </c>
      <c r="K222" s="27">
        <v>80.8</v>
      </c>
      <c r="L222" s="27">
        <v>51.5</v>
      </c>
    </row>
    <row r="223" spans="1:14" ht="13.8" x14ac:dyDescent="0.3">
      <c r="A223" s="27">
        <v>1119263</v>
      </c>
      <c r="B223" s="36" t="s">
        <v>3145</v>
      </c>
      <c r="C223" s="28" t="s">
        <v>3154</v>
      </c>
      <c r="D223" s="31" t="s">
        <v>3155</v>
      </c>
      <c r="E223" s="31" t="s">
        <v>3156</v>
      </c>
      <c r="F223" s="31"/>
      <c r="G223" s="31" t="s">
        <v>3179</v>
      </c>
      <c r="H223" s="27" t="s">
        <v>22</v>
      </c>
      <c r="I223" s="27" t="s">
        <v>22</v>
      </c>
      <c r="J223" s="27" t="s">
        <v>17</v>
      </c>
      <c r="K223" s="27">
        <v>80.8</v>
      </c>
      <c r="L223" s="27">
        <v>51.5</v>
      </c>
    </row>
    <row r="224" spans="1:14" ht="13.8" x14ac:dyDescent="0.3">
      <c r="A224" s="27">
        <v>1119263</v>
      </c>
      <c r="B224" s="36" t="s">
        <v>3145</v>
      </c>
      <c r="C224" s="28" t="s">
        <v>3180</v>
      </c>
      <c r="D224" s="31" t="s">
        <v>3180</v>
      </c>
      <c r="E224" s="31" t="s">
        <v>3181</v>
      </c>
      <c r="F224" s="31"/>
      <c r="G224" s="31"/>
      <c r="H224" s="27" t="s">
        <v>22</v>
      </c>
      <c r="I224" s="27" t="s">
        <v>22</v>
      </c>
      <c r="J224" s="27" t="s">
        <v>17</v>
      </c>
      <c r="K224" s="27">
        <v>100</v>
      </c>
      <c r="L224" s="27">
        <v>112</v>
      </c>
      <c r="M224" s="27" t="s">
        <v>3002</v>
      </c>
      <c r="N224" s="27" t="s">
        <v>3003</v>
      </c>
    </row>
    <row r="225" spans="1:15" ht="13.8" x14ac:dyDescent="0.3">
      <c r="A225" s="27">
        <v>1119266</v>
      </c>
      <c r="B225" s="37" t="s">
        <v>3182</v>
      </c>
      <c r="C225" s="28" t="s">
        <v>3183</v>
      </c>
      <c r="D225" s="31" t="s">
        <v>3184</v>
      </c>
      <c r="E225" s="31" t="s">
        <v>3185</v>
      </c>
      <c r="F225" s="38" t="s">
        <v>3186</v>
      </c>
      <c r="G225" s="31" t="s">
        <v>3187</v>
      </c>
      <c r="H225" s="27" t="s">
        <v>22</v>
      </c>
      <c r="I225" s="27" t="s">
        <v>22</v>
      </c>
      <c r="J225" s="27" t="s">
        <v>17</v>
      </c>
      <c r="K225" s="27">
        <v>93.8</v>
      </c>
      <c r="L225" s="27">
        <v>136.19999999999999</v>
      </c>
      <c r="M225" s="27" t="s">
        <v>3188</v>
      </c>
      <c r="N225" s="27" t="s">
        <v>3189</v>
      </c>
      <c r="O225" s="48" t="s">
        <v>3190</v>
      </c>
    </row>
    <row r="226" spans="1:15" ht="13.8" x14ac:dyDescent="0.3">
      <c r="A226" s="27">
        <v>1119266</v>
      </c>
      <c r="B226" s="37" t="s">
        <v>3182</v>
      </c>
      <c r="C226" s="28" t="s">
        <v>3183</v>
      </c>
      <c r="D226" s="31" t="s">
        <v>3184</v>
      </c>
      <c r="E226" s="31" t="s">
        <v>3185</v>
      </c>
      <c r="F226" s="38" t="s">
        <v>3186</v>
      </c>
      <c r="G226" s="31" t="s">
        <v>3191</v>
      </c>
      <c r="H226" s="27" t="s">
        <v>22</v>
      </c>
      <c r="I226" s="27" t="s">
        <v>22</v>
      </c>
      <c r="J226" s="27" t="s">
        <v>17</v>
      </c>
      <c r="K226" s="27">
        <v>93.8</v>
      </c>
      <c r="L226" s="27">
        <v>136.19999999999999</v>
      </c>
      <c r="M226" s="27" t="s">
        <v>3188</v>
      </c>
      <c r="N226" s="27" t="s">
        <v>3189</v>
      </c>
      <c r="O226" s="49"/>
    </row>
    <row r="227" spans="1:15" ht="13.8" x14ac:dyDescent="0.3">
      <c r="A227" s="27">
        <v>1119266</v>
      </c>
      <c r="B227" s="37" t="s">
        <v>3182</v>
      </c>
      <c r="C227" s="28" t="s">
        <v>3183</v>
      </c>
      <c r="D227" s="31" t="s">
        <v>3184</v>
      </c>
      <c r="E227" s="31" t="s">
        <v>3185</v>
      </c>
      <c r="F227" s="38" t="s">
        <v>3186</v>
      </c>
      <c r="G227" s="31" t="s">
        <v>3192</v>
      </c>
      <c r="H227" s="27" t="s">
        <v>22</v>
      </c>
      <c r="I227" s="27" t="s">
        <v>22</v>
      </c>
      <c r="J227" s="27" t="s">
        <v>17</v>
      </c>
      <c r="K227" s="27">
        <v>93.8</v>
      </c>
      <c r="L227" s="27">
        <v>136.19999999999999</v>
      </c>
      <c r="M227" s="27" t="s">
        <v>3188</v>
      </c>
      <c r="N227" s="27" t="s">
        <v>3189</v>
      </c>
      <c r="O227" s="49"/>
    </row>
    <row r="228" spans="1:15" ht="13.8" x14ac:dyDescent="0.3">
      <c r="A228" s="27">
        <v>1119266</v>
      </c>
      <c r="B228" s="37" t="s">
        <v>3182</v>
      </c>
      <c r="C228" s="28" t="s">
        <v>3183</v>
      </c>
      <c r="D228" s="31" t="s">
        <v>3184</v>
      </c>
      <c r="E228" s="31" t="s">
        <v>3185</v>
      </c>
      <c r="F228" s="38" t="s">
        <v>3186</v>
      </c>
      <c r="G228" s="31" t="s">
        <v>3193</v>
      </c>
      <c r="H228" s="27" t="s">
        <v>22</v>
      </c>
      <c r="I228" s="27" t="s">
        <v>22</v>
      </c>
      <c r="J228" s="27" t="s">
        <v>17</v>
      </c>
      <c r="K228" s="27">
        <v>93.8</v>
      </c>
      <c r="L228" s="27">
        <v>136.19999999999999</v>
      </c>
      <c r="M228" s="27" t="s">
        <v>3188</v>
      </c>
      <c r="N228" s="27" t="s">
        <v>3189</v>
      </c>
      <c r="O228" s="49"/>
    </row>
    <row r="229" spans="1:15" ht="13.8" x14ac:dyDescent="0.3">
      <c r="A229" s="27">
        <v>1119266</v>
      </c>
      <c r="B229" s="37" t="s">
        <v>3182</v>
      </c>
      <c r="C229" s="28" t="s">
        <v>3183</v>
      </c>
      <c r="D229" s="31" t="s">
        <v>3184</v>
      </c>
      <c r="E229" s="31" t="s">
        <v>3185</v>
      </c>
      <c r="F229" s="38" t="s">
        <v>3186</v>
      </c>
      <c r="G229" s="31" t="s">
        <v>3194</v>
      </c>
      <c r="H229" s="27" t="s">
        <v>22</v>
      </c>
      <c r="I229" s="27" t="s">
        <v>22</v>
      </c>
      <c r="J229" s="27" t="s">
        <v>17</v>
      </c>
      <c r="K229" s="27">
        <v>93.8</v>
      </c>
      <c r="L229" s="27">
        <v>136.19999999999999</v>
      </c>
      <c r="M229" s="27" t="s">
        <v>3188</v>
      </c>
      <c r="N229" s="27" t="s">
        <v>3189</v>
      </c>
      <c r="O229" s="49"/>
    </row>
    <row r="230" spans="1:15" ht="13.8" x14ac:dyDescent="0.3">
      <c r="A230" s="27">
        <v>1119266</v>
      </c>
      <c r="B230" s="37" t="s">
        <v>3182</v>
      </c>
      <c r="C230" s="28" t="s">
        <v>3183</v>
      </c>
      <c r="D230" s="31" t="s">
        <v>3184</v>
      </c>
      <c r="E230" s="31" t="s">
        <v>3185</v>
      </c>
      <c r="F230" s="38" t="s">
        <v>3186</v>
      </c>
      <c r="G230" s="31" t="s">
        <v>3195</v>
      </c>
      <c r="H230" s="27" t="s">
        <v>22</v>
      </c>
      <c r="I230" s="27" t="s">
        <v>22</v>
      </c>
      <c r="J230" s="27" t="s">
        <v>17</v>
      </c>
      <c r="K230" s="27">
        <v>93.8</v>
      </c>
      <c r="L230" s="27">
        <v>136.19999999999999</v>
      </c>
      <c r="M230" s="27" t="s">
        <v>3188</v>
      </c>
      <c r="N230" s="27" t="s">
        <v>3189</v>
      </c>
      <c r="O230" s="49"/>
    </row>
    <row r="231" spans="1:15" ht="13.8" x14ac:dyDescent="0.3">
      <c r="A231" s="27">
        <v>1119266</v>
      </c>
      <c r="B231" s="37" t="s">
        <v>3182</v>
      </c>
      <c r="C231" s="28" t="s">
        <v>3183</v>
      </c>
      <c r="D231" s="31" t="s">
        <v>3184</v>
      </c>
      <c r="E231" s="31" t="s">
        <v>3185</v>
      </c>
      <c r="F231" s="38" t="s">
        <v>3186</v>
      </c>
      <c r="G231" s="31" t="s">
        <v>3196</v>
      </c>
      <c r="H231" s="27" t="s">
        <v>22</v>
      </c>
      <c r="I231" s="27" t="s">
        <v>22</v>
      </c>
      <c r="J231" s="27" t="s">
        <v>17</v>
      </c>
      <c r="K231" s="27">
        <v>93.8</v>
      </c>
      <c r="L231" s="27">
        <v>136.19999999999999</v>
      </c>
      <c r="M231" s="27" t="s">
        <v>3188</v>
      </c>
      <c r="N231" s="27" t="s">
        <v>3189</v>
      </c>
      <c r="O231" s="49"/>
    </row>
    <row r="232" spans="1:15" ht="13.8" x14ac:dyDescent="0.3">
      <c r="A232" s="27">
        <v>1119266</v>
      </c>
      <c r="B232" s="37" t="s">
        <v>3182</v>
      </c>
      <c r="C232" s="28" t="s">
        <v>3183</v>
      </c>
      <c r="D232" s="31" t="s">
        <v>3184</v>
      </c>
      <c r="E232" s="31" t="s">
        <v>3185</v>
      </c>
      <c r="F232" s="38" t="s">
        <v>3186</v>
      </c>
      <c r="G232" s="31" t="s">
        <v>3197</v>
      </c>
      <c r="H232" s="27" t="s">
        <v>22</v>
      </c>
      <c r="I232" s="27" t="s">
        <v>22</v>
      </c>
      <c r="J232" s="27" t="s">
        <v>17</v>
      </c>
      <c r="K232" s="27">
        <v>93.8</v>
      </c>
      <c r="L232" s="27">
        <v>136.19999999999999</v>
      </c>
      <c r="M232" s="27" t="s">
        <v>3188</v>
      </c>
      <c r="N232" s="27" t="s">
        <v>3189</v>
      </c>
      <c r="O232" s="49"/>
    </row>
    <row r="233" spans="1:15" ht="13.8" x14ac:dyDescent="0.3">
      <c r="A233" s="27">
        <v>1119266</v>
      </c>
      <c r="B233" s="37" t="s">
        <v>3182</v>
      </c>
      <c r="C233" s="28" t="s">
        <v>3183</v>
      </c>
      <c r="D233" s="31" t="s">
        <v>3184</v>
      </c>
      <c r="E233" s="31" t="s">
        <v>3185</v>
      </c>
      <c r="F233" s="38" t="s">
        <v>3186</v>
      </c>
      <c r="G233" s="31" t="s">
        <v>3198</v>
      </c>
      <c r="H233" s="27" t="s">
        <v>22</v>
      </c>
      <c r="I233" s="27" t="s">
        <v>22</v>
      </c>
      <c r="J233" s="27" t="s">
        <v>17</v>
      </c>
      <c r="K233" s="27">
        <v>93.8</v>
      </c>
      <c r="L233" s="27">
        <v>136.19999999999999</v>
      </c>
      <c r="M233" s="27" t="s">
        <v>3188</v>
      </c>
      <c r="N233" s="27" t="s">
        <v>3189</v>
      </c>
      <c r="O233" s="49"/>
    </row>
    <row r="234" spans="1:15" ht="13.8" x14ac:dyDescent="0.3">
      <c r="A234" s="27">
        <v>1119266</v>
      </c>
      <c r="B234" s="37" t="s">
        <v>3182</v>
      </c>
      <c r="C234" s="28" t="s">
        <v>3183</v>
      </c>
      <c r="D234" s="31" t="s">
        <v>3184</v>
      </c>
      <c r="E234" s="31" t="s">
        <v>3185</v>
      </c>
      <c r="F234" s="38" t="s">
        <v>3186</v>
      </c>
      <c r="G234" s="31" t="s">
        <v>3199</v>
      </c>
      <c r="H234" s="27" t="s">
        <v>22</v>
      </c>
      <c r="I234" s="27" t="s">
        <v>22</v>
      </c>
      <c r="J234" s="27" t="s">
        <v>17</v>
      </c>
      <c r="K234" s="27">
        <v>93.8</v>
      </c>
      <c r="L234" s="27">
        <v>136.19999999999999</v>
      </c>
      <c r="M234" s="27" t="s">
        <v>3188</v>
      </c>
      <c r="N234" s="27" t="s">
        <v>3189</v>
      </c>
      <c r="O234" s="49"/>
    </row>
    <row r="235" spans="1:15" ht="13.8" x14ac:dyDescent="0.3">
      <c r="A235" s="27">
        <v>1119266</v>
      </c>
      <c r="B235" s="37" t="s">
        <v>3182</v>
      </c>
      <c r="C235" s="28" t="s">
        <v>3183</v>
      </c>
      <c r="D235" s="31" t="s">
        <v>3184</v>
      </c>
      <c r="E235" s="31" t="s">
        <v>3185</v>
      </c>
      <c r="F235" s="38" t="s">
        <v>3186</v>
      </c>
      <c r="G235" s="31" t="s">
        <v>3200</v>
      </c>
      <c r="H235" s="27" t="s">
        <v>22</v>
      </c>
      <c r="I235" s="27" t="s">
        <v>22</v>
      </c>
      <c r="J235" s="27" t="s">
        <v>17</v>
      </c>
      <c r="K235" s="27">
        <v>93.8</v>
      </c>
      <c r="L235" s="27">
        <v>136.19999999999999</v>
      </c>
      <c r="M235" s="27" t="s">
        <v>3188</v>
      </c>
      <c r="N235" s="27" t="s">
        <v>3189</v>
      </c>
      <c r="O235" s="49"/>
    </row>
    <row r="236" spans="1:15" ht="13.8" x14ac:dyDescent="0.3">
      <c r="A236" s="27">
        <v>1119266</v>
      </c>
      <c r="B236" s="37" t="s">
        <v>3182</v>
      </c>
      <c r="C236" s="28" t="s">
        <v>3183</v>
      </c>
      <c r="D236" s="31" t="s">
        <v>3184</v>
      </c>
      <c r="E236" s="31" t="s">
        <v>3185</v>
      </c>
      <c r="F236" s="38" t="s">
        <v>3186</v>
      </c>
      <c r="G236" s="31" t="s">
        <v>3201</v>
      </c>
      <c r="H236" s="27" t="s">
        <v>22</v>
      </c>
      <c r="I236" s="27" t="s">
        <v>22</v>
      </c>
      <c r="J236" s="27" t="s">
        <v>17</v>
      </c>
      <c r="K236" s="27">
        <v>93.8</v>
      </c>
      <c r="L236" s="27">
        <v>136.19999999999999</v>
      </c>
      <c r="M236" s="27" t="s">
        <v>3188</v>
      </c>
      <c r="N236" s="27" t="s">
        <v>3189</v>
      </c>
      <c r="O236" s="49"/>
    </row>
    <row r="237" spans="1:15" ht="13.8" x14ac:dyDescent="0.3">
      <c r="A237" s="27">
        <v>1119266</v>
      </c>
      <c r="B237" s="37" t="s">
        <v>3182</v>
      </c>
      <c r="C237" s="28" t="s">
        <v>3183</v>
      </c>
      <c r="D237" s="31" t="s">
        <v>3184</v>
      </c>
      <c r="E237" s="31" t="s">
        <v>3185</v>
      </c>
      <c r="F237" s="38" t="s">
        <v>3186</v>
      </c>
      <c r="G237" s="31" t="s">
        <v>3202</v>
      </c>
      <c r="H237" s="27" t="s">
        <v>22</v>
      </c>
      <c r="I237" s="27" t="s">
        <v>22</v>
      </c>
      <c r="J237" s="27" t="s">
        <v>17</v>
      </c>
      <c r="K237" s="27">
        <v>93.8</v>
      </c>
      <c r="L237" s="27">
        <v>136.19999999999999</v>
      </c>
      <c r="M237" s="27" t="s">
        <v>3188</v>
      </c>
      <c r="N237" s="27" t="s">
        <v>3189</v>
      </c>
      <c r="O237" s="49"/>
    </row>
    <row r="238" spans="1:15" ht="13.8" x14ac:dyDescent="0.3">
      <c r="A238" s="27">
        <v>1119266</v>
      </c>
      <c r="B238" s="37" t="s">
        <v>3182</v>
      </c>
      <c r="C238" s="28" t="s">
        <v>3183</v>
      </c>
      <c r="D238" s="31" t="s">
        <v>3184</v>
      </c>
      <c r="E238" s="31" t="s">
        <v>3185</v>
      </c>
      <c r="F238" s="38" t="s">
        <v>3186</v>
      </c>
      <c r="G238" s="31" t="s">
        <v>3203</v>
      </c>
      <c r="H238" s="27" t="s">
        <v>22</v>
      </c>
      <c r="I238" s="27" t="s">
        <v>22</v>
      </c>
      <c r="J238" s="27" t="s">
        <v>17</v>
      </c>
      <c r="K238" s="27">
        <v>93.8</v>
      </c>
      <c r="L238" s="27">
        <v>136.19999999999999</v>
      </c>
      <c r="M238" s="27" t="s">
        <v>3188</v>
      </c>
      <c r="N238" s="27" t="s">
        <v>3189</v>
      </c>
      <c r="O238" s="49"/>
    </row>
    <row r="239" spans="1:15" ht="13.8" x14ac:dyDescent="0.3">
      <c r="A239" s="27">
        <v>1119266</v>
      </c>
      <c r="B239" s="37" t="s">
        <v>3182</v>
      </c>
      <c r="C239" s="28" t="s">
        <v>3183</v>
      </c>
      <c r="D239" s="31" t="s">
        <v>3184</v>
      </c>
      <c r="E239" s="31" t="s">
        <v>3185</v>
      </c>
      <c r="F239" s="38" t="s">
        <v>3186</v>
      </c>
      <c r="G239" s="31" t="s">
        <v>3204</v>
      </c>
      <c r="H239" s="27" t="s">
        <v>22</v>
      </c>
      <c r="I239" s="27" t="s">
        <v>22</v>
      </c>
      <c r="J239" s="27" t="s">
        <v>17</v>
      </c>
      <c r="K239" s="27">
        <v>93.8</v>
      </c>
      <c r="L239" s="27">
        <v>136.19999999999999</v>
      </c>
      <c r="M239" s="27" t="s">
        <v>3188</v>
      </c>
      <c r="N239" s="27" t="s">
        <v>3189</v>
      </c>
      <c r="O239" s="49"/>
    </row>
    <row r="240" spans="1:15" ht="13.8" x14ac:dyDescent="0.3">
      <c r="A240" s="27">
        <v>1119266</v>
      </c>
      <c r="B240" s="37" t="s">
        <v>3182</v>
      </c>
      <c r="C240" s="28" t="s">
        <v>3183</v>
      </c>
      <c r="D240" s="31" t="s">
        <v>3184</v>
      </c>
      <c r="E240" s="31" t="s">
        <v>3185</v>
      </c>
      <c r="F240" s="38" t="s">
        <v>3186</v>
      </c>
      <c r="G240" s="31" t="s">
        <v>3205</v>
      </c>
      <c r="H240" s="27" t="s">
        <v>22</v>
      </c>
      <c r="I240" s="27" t="s">
        <v>22</v>
      </c>
      <c r="J240" s="27" t="s">
        <v>17</v>
      </c>
      <c r="K240" s="27">
        <v>93.8</v>
      </c>
      <c r="L240" s="27">
        <v>136.19999999999999</v>
      </c>
      <c r="M240" s="27" t="s">
        <v>3188</v>
      </c>
      <c r="N240" s="27" t="s">
        <v>3189</v>
      </c>
      <c r="O240" s="49"/>
    </row>
    <row r="241" spans="1:15" ht="13.8" x14ac:dyDescent="0.3">
      <c r="A241" s="27">
        <v>1119266</v>
      </c>
      <c r="B241" s="37" t="s">
        <v>3182</v>
      </c>
      <c r="C241" s="28" t="s">
        <v>3183</v>
      </c>
      <c r="D241" s="31" t="s">
        <v>3184</v>
      </c>
      <c r="E241" s="31" t="s">
        <v>3185</v>
      </c>
      <c r="F241" s="38" t="s">
        <v>3186</v>
      </c>
      <c r="G241" s="31" t="s">
        <v>3206</v>
      </c>
      <c r="H241" s="27" t="s">
        <v>22</v>
      </c>
      <c r="I241" s="27" t="s">
        <v>22</v>
      </c>
      <c r="J241" s="27" t="s">
        <v>17</v>
      </c>
      <c r="K241" s="27">
        <v>93.8</v>
      </c>
      <c r="L241" s="27">
        <v>136.19999999999999</v>
      </c>
      <c r="M241" s="27" t="s">
        <v>3188</v>
      </c>
      <c r="N241" s="27" t="s">
        <v>3189</v>
      </c>
      <c r="O241" s="49"/>
    </row>
    <row r="242" spans="1:15" ht="13.8" x14ac:dyDescent="0.3">
      <c r="A242" s="27">
        <v>1119266</v>
      </c>
      <c r="B242" s="37" t="s">
        <v>3182</v>
      </c>
      <c r="C242" s="28" t="s">
        <v>3183</v>
      </c>
      <c r="D242" s="31" t="s">
        <v>3184</v>
      </c>
      <c r="E242" s="31" t="s">
        <v>3185</v>
      </c>
      <c r="F242" s="38" t="s">
        <v>3186</v>
      </c>
      <c r="G242" s="31" t="s">
        <v>3207</v>
      </c>
      <c r="H242" s="27" t="s">
        <v>22</v>
      </c>
      <c r="I242" s="27" t="s">
        <v>22</v>
      </c>
      <c r="J242" s="27" t="s">
        <v>17</v>
      </c>
      <c r="K242" s="27">
        <v>93.8</v>
      </c>
      <c r="L242" s="27">
        <v>136.19999999999999</v>
      </c>
      <c r="M242" s="27" t="s">
        <v>3188</v>
      </c>
      <c r="N242" s="27" t="s">
        <v>3189</v>
      </c>
      <c r="O242" s="49"/>
    </row>
    <row r="243" spans="1:15" ht="13.8" x14ac:dyDescent="0.3">
      <c r="A243" s="27">
        <v>1119266</v>
      </c>
      <c r="B243" s="37" t="s">
        <v>3182</v>
      </c>
      <c r="C243" s="28" t="s">
        <v>3183</v>
      </c>
      <c r="D243" s="31" t="s">
        <v>3184</v>
      </c>
      <c r="E243" s="31" t="s">
        <v>3185</v>
      </c>
      <c r="F243" s="38" t="s">
        <v>3186</v>
      </c>
      <c r="G243" s="31" t="s">
        <v>3208</v>
      </c>
      <c r="H243" s="27" t="s">
        <v>22</v>
      </c>
      <c r="I243" s="27" t="s">
        <v>22</v>
      </c>
      <c r="J243" s="27" t="s">
        <v>17</v>
      </c>
      <c r="K243" s="27">
        <v>93.8</v>
      </c>
      <c r="L243" s="27">
        <v>136.19999999999999</v>
      </c>
      <c r="M243" s="27" t="s">
        <v>3188</v>
      </c>
      <c r="N243" s="27" t="s">
        <v>3189</v>
      </c>
      <c r="O243" s="49"/>
    </row>
    <row r="244" spans="1:15" ht="13.8" x14ac:dyDescent="0.3">
      <c r="A244" s="27">
        <v>1119266</v>
      </c>
      <c r="B244" s="37" t="s">
        <v>3182</v>
      </c>
      <c r="C244" s="28" t="s">
        <v>3183</v>
      </c>
      <c r="D244" s="31" t="s">
        <v>3184</v>
      </c>
      <c r="E244" s="31" t="s">
        <v>3185</v>
      </c>
      <c r="F244" s="38" t="s">
        <v>3186</v>
      </c>
      <c r="G244" s="31" t="s">
        <v>3209</v>
      </c>
      <c r="H244" s="27" t="s">
        <v>22</v>
      </c>
      <c r="I244" s="27" t="s">
        <v>22</v>
      </c>
      <c r="J244" s="27" t="s">
        <v>17</v>
      </c>
      <c r="K244" s="27">
        <v>93.8</v>
      </c>
      <c r="L244" s="27">
        <v>136.19999999999999</v>
      </c>
      <c r="M244" s="27" t="s">
        <v>3188</v>
      </c>
      <c r="N244" s="27" t="s">
        <v>3189</v>
      </c>
      <c r="O244" s="49"/>
    </row>
    <row r="245" spans="1:15" ht="13.8" x14ac:dyDescent="0.3">
      <c r="A245" s="27">
        <v>1119266</v>
      </c>
      <c r="B245" s="37" t="s">
        <v>3182</v>
      </c>
      <c r="C245" s="28" t="s">
        <v>3183</v>
      </c>
      <c r="D245" s="31" t="s">
        <v>3184</v>
      </c>
      <c r="E245" s="31" t="s">
        <v>3185</v>
      </c>
      <c r="F245" s="38" t="s">
        <v>3186</v>
      </c>
      <c r="G245" s="31" t="s">
        <v>3210</v>
      </c>
      <c r="H245" s="27" t="s">
        <v>22</v>
      </c>
      <c r="I245" s="27" t="s">
        <v>22</v>
      </c>
      <c r="J245" s="27" t="s">
        <v>17</v>
      </c>
      <c r="K245" s="27">
        <v>93.8</v>
      </c>
      <c r="L245" s="27">
        <v>136.19999999999999</v>
      </c>
      <c r="M245" s="27" t="s">
        <v>3188</v>
      </c>
      <c r="N245" s="27" t="s">
        <v>3189</v>
      </c>
      <c r="O245" s="49"/>
    </row>
    <row r="246" spans="1:15" ht="13.8" x14ac:dyDescent="0.3">
      <c r="A246" s="27">
        <v>1119266</v>
      </c>
      <c r="B246" s="37" t="s">
        <v>3182</v>
      </c>
      <c r="C246" s="28" t="s">
        <v>3183</v>
      </c>
      <c r="D246" s="31" t="s">
        <v>3184</v>
      </c>
      <c r="E246" s="31" t="s">
        <v>3185</v>
      </c>
      <c r="F246" s="38" t="s">
        <v>3186</v>
      </c>
      <c r="G246" s="31" t="s">
        <v>3211</v>
      </c>
      <c r="H246" s="27" t="s">
        <v>22</v>
      </c>
      <c r="I246" s="27" t="s">
        <v>22</v>
      </c>
      <c r="J246" s="27" t="s">
        <v>17</v>
      </c>
      <c r="K246" s="27">
        <v>93.8</v>
      </c>
      <c r="L246" s="27">
        <v>136.19999999999999</v>
      </c>
      <c r="M246" s="27" t="s">
        <v>3188</v>
      </c>
      <c r="N246" s="27" t="s">
        <v>3189</v>
      </c>
      <c r="O246" s="49"/>
    </row>
    <row r="247" spans="1:15" ht="13.8" x14ac:dyDescent="0.3">
      <c r="A247" s="27">
        <v>1119266</v>
      </c>
      <c r="B247" s="37" t="s">
        <v>3182</v>
      </c>
      <c r="C247" s="28" t="s">
        <v>3183</v>
      </c>
      <c r="D247" s="31" t="s">
        <v>3184</v>
      </c>
      <c r="E247" s="31" t="s">
        <v>3185</v>
      </c>
      <c r="F247" s="38" t="s">
        <v>3186</v>
      </c>
      <c r="G247" s="31" t="s">
        <v>3212</v>
      </c>
      <c r="H247" s="27" t="s">
        <v>22</v>
      </c>
      <c r="I247" s="27" t="s">
        <v>22</v>
      </c>
      <c r="J247" s="27" t="s">
        <v>17</v>
      </c>
      <c r="K247" s="27">
        <v>93.8</v>
      </c>
      <c r="L247" s="27">
        <v>136.19999999999999</v>
      </c>
      <c r="M247" s="27" t="s">
        <v>3188</v>
      </c>
      <c r="N247" s="27" t="s">
        <v>3189</v>
      </c>
      <c r="O247" s="49"/>
    </row>
    <row r="248" spans="1:15" ht="13.8" x14ac:dyDescent="0.3">
      <c r="A248" s="27">
        <v>1119266</v>
      </c>
      <c r="B248" s="37" t="s">
        <v>3182</v>
      </c>
      <c r="C248" s="28" t="s">
        <v>3183</v>
      </c>
      <c r="D248" s="31" t="s">
        <v>3184</v>
      </c>
      <c r="E248" s="31" t="s">
        <v>3185</v>
      </c>
      <c r="F248" s="38" t="s">
        <v>3186</v>
      </c>
      <c r="G248" s="31" t="s">
        <v>3213</v>
      </c>
      <c r="H248" s="27" t="s">
        <v>22</v>
      </c>
      <c r="I248" s="27" t="s">
        <v>22</v>
      </c>
      <c r="J248" s="27" t="s">
        <v>17</v>
      </c>
      <c r="K248" s="27">
        <v>93.8</v>
      </c>
      <c r="L248" s="27">
        <v>136.19999999999999</v>
      </c>
      <c r="M248" s="27" t="s">
        <v>3188</v>
      </c>
      <c r="N248" s="27" t="s">
        <v>3189</v>
      </c>
      <c r="O248" s="49"/>
    </row>
    <row r="249" spans="1:15" ht="13.8" x14ac:dyDescent="0.3">
      <c r="A249" s="27">
        <v>1119266</v>
      </c>
      <c r="B249" s="37" t="s">
        <v>3182</v>
      </c>
      <c r="C249" s="28" t="s">
        <v>3183</v>
      </c>
      <c r="D249" s="31" t="s">
        <v>3184</v>
      </c>
      <c r="E249" s="31" t="s">
        <v>3185</v>
      </c>
      <c r="F249" s="38" t="s">
        <v>3186</v>
      </c>
      <c r="G249" s="31" t="s">
        <v>3214</v>
      </c>
      <c r="H249" s="27" t="s">
        <v>22</v>
      </c>
      <c r="I249" s="27" t="s">
        <v>22</v>
      </c>
      <c r="J249" s="27" t="s">
        <v>17</v>
      </c>
      <c r="K249" s="27">
        <v>93.8</v>
      </c>
      <c r="L249" s="27">
        <v>136.19999999999999</v>
      </c>
      <c r="M249" s="27" t="s">
        <v>3188</v>
      </c>
      <c r="N249" s="27" t="s">
        <v>3189</v>
      </c>
      <c r="O249" s="49"/>
    </row>
    <row r="250" spans="1:15" ht="13.8" x14ac:dyDescent="0.3">
      <c r="A250" s="27">
        <v>1119266</v>
      </c>
      <c r="B250" s="37" t="s">
        <v>3182</v>
      </c>
      <c r="C250" s="28" t="s">
        <v>3183</v>
      </c>
      <c r="D250" s="31" t="s">
        <v>3184</v>
      </c>
      <c r="E250" s="31" t="s">
        <v>3185</v>
      </c>
      <c r="F250" s="38" t="s">
        <v>3186</v>
      </c>
      <c r="G250" s="31" t="s">
        <v>3215</v>
      </c>
      <c r="H250" s="27" t="s">
        <v>22</v>
      </c>
      <c r="I250" s="27" t="s">
        <v>22</v>
      </c>
      <c r="J250" s="27" t="s">
        <v>17</v>
      </c>
      <c r="K250" s="27">
        <v>93.8</v>
      </c>
      <c r="L250" s="27">
        <v>136.19999999999999</v>
      </c>
      <c r="M250" s="27" t="s">
        <v>3188</v>
      </c>
      <c r="N250" s="27" t="s">
        <v>3189</v>
      </c>
      <c r="O250" s="49"/>
    </row>
    <row r="251" spans="1:15" ht="13.8" x14ac:dyDescent="0.3">
      <c r="A251" s="27">
        <v>1119266</v>
      </c>
      <c r="B251" s="37" t="s">
        <v>3182</v>
      </c>
      <c r="C251" s="28" t="s">
        <v>3183</v>
      </c>
      <c r="D251" s="31" t="s">
        <v>3184</v>
      </c>
      <c r="E251" s="31" t="s">
        <v>3185</v>
      </c>
      <c r="F251" s="38" t="s">
        <v>3186</v>
      </c>
      <c r="G251" s="31" t="s">
        <v>3216</v>
      </c>
      <c r="H251" s="27" t="s">
        <v>22</v>
      </c>
      <c r="I251" s="27" t="s">
        <v>22</v>
      </c>
      <c r="J251" s="27" t="s">
        <v>17</v>
      </c>
      <c r="K251" s="27">
        <v>93.8</v>
      </c>
      <c r="L251" s="27">
        <v>136.19999999999999</v>
      </c>
      <c r="M251" s="27" t="s">
        <v>3188</v>
      </c>
      <c r="N251" s="27" t="s">
        <v>3189</v>
      </c>
      <c r="O251" s="49"/>
    </row>
    <row r="252" spans="1:15" ht="13.8" x14ac:dyDescent="0.3">
      <c r="A252" s="27">
        <v>1119266</v>
      </c>
      <c r="B252" s="37" t="s">
        <v>3182</v>
      </c>
      <c r="C252" s="28" t="s">
        <v>3183</v>
      </c>
      <c r="D252" s="31" t="s">
        <v>3184</v>
      </c>
      <c r="E252" s="31" t="s">
        <v>3185</v>
      </c>
      <c r="F252" s="38" t="s">
        <v>3186</v>
      </c>
      <c r="G252" s="31" t="s">
        <v>3217</v>
      </c>
      <c r="H252" s="27" t="s">
        <v>22</v>
      </c>
      <c r="I252" s="27" t="s">
        <v>22</v>
      </c>
      <c r="J252" s="27" t="s">
        <v>17</v>
      </c>
      <c r="K252" s="27">
        <v>93.8</v>
      </c>
      <c r="L252" s="27">
        <v>136.19999999999999</v>
      </c>
      <c r="M252" s="27" t="s">
        <v>3188</v>
      </c>
      <c r="N252" s="27" t="s">
        <v>3189</v>
      </c>
      <c r="O252" s="49"/>
    </row>
    <row r="253" spans="1:15" ht="13.8" x14ac:dyDescent="0.3">
      <c r="A253" s="27">
        <v>1119266</v>
      </c>
      <c r="B253" s="37" t="s">
        <v>3182</v>
      </c>
      <c r="C253" s="28" t="s">
        <v>3183</v>
      </c>
      <c r="D253" s="31" t="s">
        <v>3184</v>
      </c>
      <c r="E253" s="31" t="s">
        <v>3185</v>
      </c>
      <c r="F253" s="38" t="s">
        <v>3186</v>
      </c>
      <c r="G253" s="31" t="s">
        <v>3218</v>
      </c>
      <c r="H253" s="27" t="s">
        <v>22</v>
      </c>
      <c r="I253" s="27" t="s">
        <v>22</v>
      </c>
      <c r="J253" s="27" t="s">
        <v>17</v>
      </c>
      <c r="K253" s="27">
        <v>93.8</v>
      </c>
      <c r="L253" s="27">
        <v>136.19999999999999</v>
      </c>
      <c r="M253" s="27" t="s">
        <v>3188</v>
      </c>
      <c r="N253" s="27" t="s">
        <v>3189</v>
      </c>
      <c r="O253" s="49"/>
    </row>
    <row r="254" spans="1:15" ht="13.8" x14ac:dyDescent="0.3">
      <c r="A254" s="27">
        <v>1119266</v>
      </c>
      <c r="B254" s="37" t="s">
        <v>3182</v>
      </c>
      <c r="C254" s="28" t="s">
        <v>3219</v>
      </c>
      <c r="D254" s="31" t="s">
        <v>3219</v>
      </c>
      <c r="E254" s="31" t="s">
        <v>3220</v>
      </c>
      <c r="F254" s="31"/>
      <c r="G254" s="31"/>
      <c r="H254" s="27" t="s">
        <v>22</v>
      </c>
      <c r="I254" s="27" t="s">
        <v>22</v>
      </c>
      <c r="J254" s="27" t="s">
        <v>17</v>
      </c>
      <c r="K254" s="27">
        <v>100</v>
      </c>
      <c r="L254" s="27">
        <v>110</v>
      </c>
      <c r="M254" s="27" t="s">
        <v>254</v>
      </c>
      <c r="N254" s="27" t="s">
        <v>255</v>
      </c>
    </row>
    <row r="255" spans="1:15" ht="13.8" x14ac:dyDescent="0.3">
      <c r="A255" s="27">
        <v>1119266</v>
      </c>
      <c r="B255" s="37" t="s">
        <v>3182</v>
      </c>
      <c r="C255" s="28" t="s">
        <v>3221</v>
      </c>
      <c r="D255" s="31" t="s">
        <v>3222</v>
      </c>
      <c r="E255" s="31" t="s">
        <v>3223</v>
      </c>
      <c r="F255" s="31"/>
      <c r="G255" s="31" t="s">
        <v>3224</v>
      </c>
      <c r="H255" s="27" t="s">
        <v>22</v>
      </c>
      <c r="I255" s="27" t="s">
        <v>22</v>
      </c>
      <c r="J255" s="27" t="s">
        <v>17</v>
      </c>
      <c r="K255" s="27">
        <v>75</v>
      </c>
      <c r="L255" s="27">
        <v>98</v>
      </c>
      <c r="M255" s="27" t="s">
        <v>3225</v>
      </c>
      <c r="N255" s="27" t="s">
        <v>3226</v>
      </c>
    </row>
    <row r="256" spans="1:15" ht="13.8" x14ac:dyDescent="0.3">
      <c r="A256" s="27">
        <v>1119266</v>
      </c>
      <c r="B256" s="37" t="s">
        <v>3182</v>
      </c>
      <c r="C256" s="28" t="s">
        <v>3221</v>
      </c>
      <c r="D256" s="31" t="s">
        <v>3222</v>
      </c>
      <c r="E256" s="31" t="s">
        <v>3223</v>
      </c>
      <c r="F256" s="31"/>
      <c r="G256" s="31" t="s">
        <v>3227</v>
      </c>
      <c r="H256" s="27" t="s">
        <v>22</v>
      </c>
      <c r="I256" s="27" t="s">
        <v>22</v>
      </c>
      <c r="J256" s="27" t="s">
        <v>17</v>
      </c>
      <c r="K256" s="27">
        <v>75</v>
      </c>
      <c r="L256" s="27">
        <v>98</v>
      </c>
      <c r="M256" s="27" t="s">
        <v>3225</v>
      </c>
      <c r="N256" s="27" t="s">
        <v>3226</v>
      </c>
    </row>
    <row r="257" spans="1:15" ht="13.8" x14ac:dyDescent="0.3">
      <c r="A257" s="27">
        <v>1119266</v>
      </c>
      <c r="B257" s="37" t="s">
        <v>3182</v>
      </c>
      <c r="C257" s="28" t="s">
        <v>3228</v>
      </c>
      <c r="D257" s="31" t="s">
        <v>3184</v>
      </c>
      <c r="E257" s="31" t="s">
        <v>3185</v>
      </c>
      <c r="F257" s="38" t="s">
        <v>3186</v>
      </c>
      <c r="G257" s="31" t="s">
        <v>3187</v>
      </c>
      <c r="H257" s="27" t="s">
        <v>46</v>
      </c>
      <c r="I257" s="27" t="s">
        <v>46</v>
      </c>
      <c r="J257" s="27" t="s">
        <v>17</v>
      </c>
      <c r="K257" s="27">
        <v>100</v>
      </c>
      <c r="L257" s="27">
        <v>80</v>
      </c>
      <c r="M257" s="27" t="s">
        <v>3188</v>
      </c>
      <c r="N257" s="27" t="s">
        <v>3189</v>
      </c>
      <c r="O257" s="48" t="s">
        <v>3190</v>
      </c>
    </row>
    <row r="258" spans="1:15" ht="13.8" x14ac:dyDescent="0.3">
      <c r="A258" s="27">
        <v>1119266</v>
      </c>
      <c r="B258" s="37" t="s">
        <v>3182</v>
      </c>
      <c r="C258" s="28" t="s">
        <v>3228</v>
      </c>
      <c r="D258" s="31" t="s">
        <v>3184</v>
      </c>
      <c r="E258" s="31" t="s">
        <v>3185</v>
      </c>
      <c r="F258" s="38" t="s">
        <v>3186</v>
      </c>
      <c r="G258" s="31" t="s">
        <v>3191</v>
      </c>
      <c r="H258" s="27" t="s">
        <v>46</v>
      </c>
      <c r="I258" s="27" t="s">
        <v>46</v>
      </c>
      <c r="J258" s="27" t="s">
        <v>17</v>
      </c>
      <c r="K258" s="27">
        <v>100</v>
      </c>
      <c r="L258" s="27">
        <v>80</v>
      </c>
      <c r="M258" s="27" t="s">
        <v>3188</v>
      </c>
      <c r="N258" s="27" t="s">
        <v>3189</v>
      </c>
      <c r="O258" s="49"/>
    </row>
    <row r="259" spans="1:15" ht="13.8" x14ac:dyDescent="0.3">
      <c r="A259" s="27">
        <v>1119266</v>
      </c>
      <c r="B259" s="37" t="s">
        <v>3182</v>
      </c>
      <c r="C259" s="28" t="s">
        <v>3228</v>
      </c>
      <c r="D259" s="31" t="s">
        <v>3184</v>
      </c>
      <c r="E259" s="31" t="s">
        <v>3185</v>
      </c>
      <c r="F259" s="38" t="s">
        <v>3186</v>
      </c>
      <c r="G259" s="31" t="s">
        <v>3192</v>
      </c>
      <c r="H259" s="27" t="s">
        <v>46</v>
      </c>
      <c r="I259" s="27" t="s">
        <v>46</v>
      </c>
      <c r="J259" s="27" t="s">
        <v>17</v>
      </c>
      <c r="K259" s="27">
        <v>100</v>
      </c>
      <c r="L259" s="27">
        <v>80</v>
      </c>
      <c r="M259" s="27" t="s">
        <v>3188</v>
      </c>
      <c r="N259" s="27" t="s">
        <v>3189</v>
      </c>
      <c r="O259" s="49"/>
    </row>
    <row r="260" spans="1:15" ht="13.8" x14ac:dyDescent="0.3">
      <c r="A260" s="27">
        <v>1119266</v>
      </c>
      <c r="B260" s="37" t="s">
        <v>3182</v>
      </c>
      <c r="C260" s="28" t="s">
        <v>3228</v>
      </c>
      <c r="D260" s="31" t="s">
        <v>3184</v>
      </c>
      <c r="E260" s="31" t="s">
        <v>3185</v>
      </c>
      <c r="F260" s="38" t="s">
        <v>3186</v>
      </c>
      <c r="G260" s="31" t="s">
        <v>3193</v>
      </c>
      <c r="H260" s="27" t="s">
        <v>46</v>
      </c>
      <c r="I260" s="27" t="s">
        <v>46</v>
      </c>
      <c r="J260" s="27" t="s">
        <v>17</v>
      </c>
      <c r="K260" s="27">
        <v>100</v>
      </c>
      <c r="L260" s="27">
        <v>80</v>
      </c>
      <c r="M260" s="27" t="s">
        <v>3188</v>
      </c>
      <c r="N260" s="27" t="s">
        <v>3189</v>
      </c>
      <c r="O260" s="49"/>
    </row>
    <row r="261" spans="1:15" ht="13.8" x14ac:dyDescent="0.3">
      <c r="A261" s="27">
        <v>1119266</v>
      </c>
      <c r="B261" s="37" t="s">
        <v>3182</v>
      </c>
      <c r="C261" s="28" t="s">
        <v>3228</v>
      </c>
      <c r="D261" s="31" t="s">
        <v>3184</v>
      </c>
      <c r="E261" s="31" t="s">
        <v>3185</v>
      </c>
      <c r="F261" s="38" t="s">
        <v>3186</v>
      </c>
      <c r="G261" s="31" t="s">
        <v>3194</v>
      </c>
      <c r="H261" s="27" t="s">
        <v>46</v>
      </c>
      <c r="I261" s="27" t="s">
        <v>46</v>
      </c>
      <c r="J261" s="27" t="s">
        <v>17</v>
      </c>
      <c r="K261" s="27">
        <v>100</v>
      </c>
      <c r="L261" s="27">
        <v>80</v>
      </c>
      <c r="M261" s="27" t="s">
        <v>3188</v>
      </c>
      <c r="N261" s="27" t="s">
        <v>3189</v>
      </c>
      <c r="O261" s="49"/>
    </row>
    <row r="262" spans="1:15" ht="13.8" x14ac:dyDescent="0.3">
      <c r="A262" s="27">
        <v>1119266</v>
      </c>
      <c r="B262" s="37" t="s">
        <v>3182</v>
      </c>
      <c r="C262" s="28" t="s">
        <v>3228</v>
      </c>
      <c r="D262" s="31" t="s">
        <v>3184</v>
      </c>
      <c r="E262" s="31" t="s">
        <v>3185</v>
      </c>
      <c r="F262" s="38" t="s">
        <v>3186</v>
      </c>
      <c r="G262" s="31" t="s">
        <v>3195</v>
      </c>
      <c r="H262" s="27" t="s">
        <v>46</v>
      </c>
      <c r="I262" s="27" t="s">
        <v>46</v>
      </c>
      <c r="J262" s="27" t="s">
        <v>17</v>
      </c>
      <c r="K262" s="27">
        <v>100</v>
      </c>
      <c r="L262" s="27">
        <v>80</v>
      </c>
      <c r="M262" s="27" t="s">
        <v>3188</v>
      </c>
      <c r="N262" s="27" t="s">
        <v>3189</v>
      </c>
      <c r="O262" s="49"/>
    </row>
    <row r="263" spans="1:15" ht="13.8" x14ac:dyDescent="0.3">
      <c r="A263" s="27">
        <v>1119266</v>
      </c>
      <c r="B263" s="37" t="s">
        <v>3182</v>
      </c>
      <c r="C263" s="28" t="s">
        <v>3228</v>
      </c>
      <c r="D263" s="31" t="s">
        <v>3184</v>
      </c>
      <c r="E263" s="31" t="s">
        <v>3185</v>
      </c>
      <c r="F263" s="38" t="s">
        <v>3186</v>
      </c>
      <c r="G263" s="31" t="s">
        <v>3196</v>
      </c>
      <c r="H263" s="27" t="s">
        <v>46</v>
      </c>
      <c r="I263" s="27" t="s">
        <v>46</v>
      </c>
      <c r="J263" s="27" t="s">
        <v>17</v>
      </c>
      <c r="K263" s="27">
        <v>100</v>
      </c>
      <c r="L263" s="27">
        <v>80</v>
      </c>
      <c r="M263" s="27" t="s">
        <v>3188</v>
      </c>
      <c r="N263" s="27" t="s">
        <v>3189</v>
      </c>
      <c r="O263" s="49"/>
    </row>
    <row r="264" spans="1:15" ht="13.8" x14ac:dyDescent="0.3">
      <c r="A264" s="27">
        <v>1119266</v>
      </c>
      <c r="B264" s="37" t="s">
        <v>3182</v>
      </c>
      <c r="C264" s="28" t="s">
        <v>3228</v>
      </c>
      <c r="D264" s="31" t="s">
        <v>3184</v>
      </c>
      <c r="E264" s="31" t="s">
        <v>3185</v>
      </c>
      <c r="F264" s="38" t="s">
        <v>3186</v>
      </c>
      <c r="G264" s="31" t="s">
        <v>3197</v>
      </c>
      <c r="H264" s="27" t="s">
        <v>46</v>
      </c>
      <c r="I264" s="27" t="s">
        <v>46</v>
      </c>
      <c r="J264" s="27" t="s">
        <v>17</v>
      </c>
      <c r="K264" s="27">
        <v>100</v>
      </c>
      <c r="L264" s="27">
        <v>80</v>
      </c>
      <c r="M264" s="27" t="s">
        <v>3188</v>
      </c>
      <c r="N264" s="27" t="s">
        <v>3189</v>
      </c>
      <c r="O264" s="49"/>
    </row>
    <row r="265" spans="1:15" ht="13.8" x14ac:dyDescent="0.3">
      <c r="A265" s="27">
        <v>1119266</v>
      </c>
      <c r="B265" s="37" t="s">
        <v>3182</v>
      </c>
      <c r="C265" s="28" t="s">
        <v>3228</v>
      </c>
      <c r="D265" s="31" t="s">
        <v>3184</v>
      </c>
      <c r="E265" s="31" t="s">
        <v>3185</v>
      </c>
      <c r="F265" s="38" t="s">
        <v>3186</v>
      </c>
      <c r="G265" s="31" t="s">
        <v>3198</v>
      </c>
      <c r="H265" s="27" t="s">
        <v>46</v>
      </c>
      <c r="I265" s="27" t="s">
        <v>46</v>
      </c>
      <c r="J265" s="27" t="s">
        <v>17</v>
      </c>
      <c r="K265" s="27">
        <v>100</v>
      </c>
      <c r="L265" s="27">
        <v>80</v>
      </c>
      <c r="M265" s="27" t="s">
        <v>3188</v>
      </c>
      <c r="N265" s="27" t="s">
        <v>3189</v>
      </c>
      <c r="O265" s="49"/>
    </row>
    <row r="266" spans="1:15" ht="13.8" x14ac:dyDescent="0.3">
      <c r="A266" s="27">
        <v>1119266</v>
      </c>
      <c r="B266" s="37" t="s">
        <v>3182</v>
      </c>
      <c r="C266" s="28" t="s">
        <v>3228</v>
      </c>
      <c r="D266" s="31" t="s">
        <v>3184</v>
      </c>
      <c r="E266" s="31" t="s">
        <v>3185</v>
      </c>
      <c r="F266" s="38" t="s">
        <v>3186</v>
      </c>
      <c r="G266" s="31" t="s">
        <v>3199</v>
      </c>
      <c r="H266" s="27" t="s">
        <v>46</v>
      </c>
      <c r="I266" s="27" t="s">
        <v>46</v>
      </c>
      <c r="J266" s="27" t="s">
        <v>17</v>
      </c>
      <c r="K266" s="27">
        <v>100</v>
      </c>
      <c r="L266" s="27">
        <v>80</v>
      </c>
      <c r="M266" s="27" t="s">
        <v>3188</v>
      </c>
      <c r="N266" s="27" t="s">
        <v>3189</v>
      </c>
      <c r="O266" s="49"/>
    </row>
    <row r="267" spans="1:15" ht="13.8" x14ac:dyDescent="0.3">
      <c r="A267" s="27">
        <v>1119266</v>
      </c>
      <c r="B267" s="37" t="s">
        <v>3182</v>
      </c>
      <c r="C267" s="28" t="s">
        <v>3228</v>
      </c>
      <c r="D267" s="31" t="s">
        <v>3184</v>
      </c>
      <c r="E267" s="31" t="s">
        <v>3185</v>
      </c>
      <c r="F267" s="38" t="s">
        <v>3186</v>
      </c>
      <c r="G267" s="31" t="s">
        <v>3200</v>
      </c>
      <c r="H267" s="27" t="s">
        <v>46</v>
      </c>
      <c r="I267" s="27" t="s">
        <v>46</v>
      </c>
      <c r="J267" s="27" t="s">
        <v>17</v>
      </c>
      <c r="K267" s="27">
        <v>100</v>
      </c>
      <c r="L267" s="27">
        <v>80</v>
      </c>
      <c r="M267" s="27" t="s">
        <v>3188</v>
      </c>
      <c r="N267" s="27" t="s">
        <v>3189</v>
      </c>
      <c r="O267" s="49"/>
    </row>
    <row r="268" spans="1:15" ht="13.8" x14ac:dyDescent="0.3">
      <c r="A268" s="27">
        <v>1119266</v>
      </c>
      <c r="B268" s="37" t="s">
        <v>3182</v>
      </c>
      <c r="C268" s="28" t="s">
        <v>3228</v>
      </c>
      <c r="D268" s="31" t="s">
        <v>3184</v>
      </c>
      <c r="E268" s="31" t="s">
        <v>3185</v>
      </c>
      <c r="F268" s="38" t="s">
        <v>3186</v>
      </c>
      <c r="G268" s="31" t="s">
        <v>3201</v>
      </c>
      <c r="H268" s="27" t="s">
        <v>46</v>
      </c>
      <c r="I268" s="27" t="s">
        <v>46</v>
      </c>
      <c r="J268" s="27" t="s">
        <v>17</v>
      </c>
      <c r="K268" s="27">
        <v>100</v>
      </c>
      <c r="L268" s="27">
        <v>80</v>
      </c>
      <c r="M268" s="27" t="s">
        <v>3188</v>
      </c>
      <c r="N268" s="27" t="s">
        <v>3189</v>
      </c>
      <c r="O268" s="49"/>
    </row>
    <row r="269" spans="1:15" ht="13.8" x14ac:dyDescent="0.3">
      <c r="A269" s="27">
        <v>1119266</v>
      </c>
      <c r="B269" s="37" t="s">
        <v>3182</v>
      </c>
      <c r="C269" s="28" t="s">
        <v>3228</v>
      </c>
      <c r="D269" s="31" t="s">
        <v>3184</v>
      </c>
      <c r="E269" s="31" t="s">
        <v>3185</v>
      </c>
      <c r="F269" s="38" t="s">
        <v>3186</v>
      </c>
      <c r="G269" s="31" t="s">
        <v>3202</v>
      </c>
      <c r="H269" s="27" t="s">
        <v>46</v>
      </c>
      <c r="I269" s="27" t="s">
        <v>46</v>
      </c>
      <c r="J269" s="27" t="s">
        <v>17</v>
      </c>
      <c r="K269" s="27">
        <v>100</v>
      </c>
      <c r="L269" s="27">
        <v>80</v>
      </c>
      <c r="M269" s="27" t="s">
        <v>3188</v>
      </c>
      <c r="N269" s="27" t="s">
        <v>3189</v>
      </c>
      <c r="O269" s="49"/>
    </row>
    <row r="270" spans="1:15" ht="13.8" x14ac:dyDescent="0.3">
      <c r="A270" s="27">
        <v>1119266</v>
      </c>
      <c r="B270" s="37" t="s">
        <v>3182</v>
      </c>
      <c r="C270" s="28" t="s">
        <v>3228</v>
      </c>
      <c r="D270" s="31" t="s">
        <v>3184</v>
      </c>
      <c r="E270" s="31" t="s">
        <v>3185</v>
      </c>
      <c r="F270" s="38" t="s">
        <v>3186</v>
      </c>
      <c r="G270" s="31" t="s">
        <v>3203</v>
      </c>
      <c r="H270" s="27" t="s">
        <v>46</v>
      </c>
      <c r="I270" s="27" t="s">
        <v>46</v>
      </c>
      <c r="J270" s="27" t="s">
        <v>17</v>
      </c>
      <c r="K270" s="27">
        <v>100</v>
      </c>
      <c r="L270" s="27">
        <v>80</v>
      </c>
      <c r="M270" s="27" t="s">
        <v>3188</v>
      </c>
      <c r="N270" s="27" t="s">
        <v>3189</v>
      </c>
      <c r="O270" s="49"/>
    </row>
    <row r="271" spans="1:15" ht="13.8" x14ac:dyDescent="0.3">
      <c r="A271" s="27">
        <v>1119266</v>
      </c>
      <c r="B271" s="37" t="s">
        <v>3182</v>
      </c>
      <c r="C271" s="28" t="s">
        <v>3228</v>
      </c>
      <c r="D271" s="31" t="s">
        <v>3184</v>
      </c>
      <c r="E271" s="31" t="s">
        <v>3185</v>
      </c>
      <c r="F271" s="38" t="s">
        <v>3186</v>
      </c>
      <c r="G271" s="31" t="s">
        <v>3204</v>
      </c>
      <c r="H271" s="27" t="s">
        <v>46</v>
      </c>
      <c r="I271" s="27" t="s">
        <v>46</v>
      </c>
      <c r="J271" s="27" t="s">
        <v>17</v>
      </c>
      <c r="K271" s="27">
        <v>100</v>
      </c>
      <c r="L271" s="27">
        <v>80</v>
      </c>
      <c r="M271" s="27" t="s">
        <v>3188</v>
      </c>
      <c r="N271" s="27" t="s">
        <v>3189</v>
      </c>
      <c r="O271" s="49"/>
    </row>
    <row r="272" spans="1:15" ht="13.8" x14ac:dyDescent="0.3">
      <c r="A272" s="27">
        <v>1119266</v>
      </c>
      <c r="B272" s="37" t="s">
        <v>3182</v>
      </c>
      <c r="C272" s="28" t="s">
        <v>3228</v>
      </c>
      <c r="D272" s="31" t="s">
        <v>3184</v>
      </c>
      <c r="E272" s="31" t="s">
        <v>3185</v>
      </c>
      <c r="F272" s="38" t="s">
        <v>3186</v>
      </c>
      <c r="G272" s="31" t="s">
        <v>3205</v>
      </c>
      <c r="H272" s="27" t="s">
        <v>46</v>
      </c>
      <c r="I272" s="27" t="s">
        <v>46</v>
      </c>
      <c r="J272" s="27" t="s">
        <v>17</v>
      </c>
      <c r="K272" s="27">
        <v>100</v>
      </c>
      <c r="L272" s="27">
        <v>80</v>
      </c>
      <c r="M272" s="27" t="s">
        <v>3188</v>
      </c>
      <c r="N272" s="27" t="s">
        <v>3189</v>
      </c>
      <c r="O272" s="49"/>
    </row>
    <row r="273" spans="1:15" ht="13.8" x14ac:dyDescent="0.3">
      <c r="A273" s="27">
        <v>1119266</v>
      </c>
      <c r="B273" s="37" t="s">
        <v>3182</v>
      </c>
      <c r="C273" s="28" t="s">
        <v>3228</v>
      </c>
      <c r="D273" s="31" t="s">
        <v>3184</v>
      </c>
      <c r="E273" s="31" t="s">
        <v>3185</v>
      </c>
      <c r="F273" s="38" t="s">
        <v>3186</v>
      </c>
      <c r="G273" s="31" t="s">
        <v>3206</v>
      </c>
      <c r="H273" s="27" t="s">
        <v>46</v>
      </c>
      <c r="I273" s="27" t="s">
        <v>46</v>
      </c>
      <c r="J273" s="27" t="s">
        <v>17</v>
      </c>
      <c r="K273" s="27">
        <v>100</v>
      </c>
      <c r="L273" s="27">
        <v>80</v>
      </c>
      <c r="M273" s="27" t="s">
        <v>3188</v>
      </c>
      <c r="N273" s="27" t="s">
        <v>3189</v>
      </c>
      <c r="O273" s="49"/>
    </row>
    <row r="274" spans="1:15" ht="13.8" x14ac:dyDescent="0.3">
      <c r="A274" s="27">
        <v>1119266</v>
      </c>
      <c r="B274" s="37" t="s">
        <v>3182</v>
      </c>
      <c r="C274" s="28" t="s">
        <v>3228</v>
      </c>
      <c r="D274" s="31" t="s">
        <v>3184</v>
      </c>
      <c r="E274" s="31" t="s">
        <v>3185</v>
      </c>
      <c r="F274" s="38" t="s">
        <v>3186</v>
      </c>
      <c r="G274" s="31" t="s">
        <v>3207</v>
      </c>
      <c r="H274" s="27" t="s">
        <v>46</v>
      </c>
      <c r="I274" s="27" t="s">
        <v>46</v>
      </c>
      <c r="J274" s="27" t="s">
        <v>17</v>
      </c>
      <c r="K274" s="27">
        <v>100</v>
      </c>
      <c r="L274" s="27">
        <v>80</v>
      </c>
      <c r="M274" s="27" t="s">
        <v>3188</v>
      </c>
      <c r="N274" s="27" t="s">
        <v>3189</v>
      </c>
      <c r="O274" s="49"/>
    </row>
    <row r="275" spans="1:15" ht="13.8" x14ac:dyDescent="0.3">
      <c r="A275" s="27">
        <v>1119266</v>
      </c>
      <c r="B275" s="37" t="s">
        <v>3182</v>
      </c>
      <c r="C275" s="28" t="s">
        <v>3228</v>
      </c>
      <c r="D275" s="31" t="s">
        <v>3184</v>
      </c>
      <c r="E275" s="31" t="s">
        <v>3185</v>
      </c>
      <c r="F275" s="38" t="s">
        <v>3186</v>
      </c>
      <c r="G275" s="31" t="s">
        <v>3208</v>
      </c>
      <c r="H275" s="27" t="s">
        <v>46</v>
      </c>
      <c r="I275" s="27" t="s">
        <v>46</v>
      </c>
      <c r="J275" s="27" t="s">
        <v>17</v>
      </c>
      <c r="K275" s="27">
        <v>100</v>
      </c>
      <c r="L275" s="27">
        <v>80</v>
      </c>
      <c r="M275" s="27" t="s">
        <v>3188</v>
      </c>
      <c r="N275" s="27" t="s">
        <v>3189</v>
      </c>
      <c r="O275" s="49"/>
    </row>
    <row r="276" spans="1:15" ht="13.8" x14ac:dyDescent="0.3">
      <c r="A276" s="27">
        <v>1119266</v>
      </c>
      <c r="B276" s="37" t="s">
        <v>3182</v>
      </c>
      <c r="C276" s="28" t="s">
        <v>3228</v>
      </c>
      <c r="D276" s="31" t="s">
        <v>3184</v>
      </c>
      <c r="E276" s="31" t="s">
        <v>3185</v>
      </c>
      <c r="F276" s="38" t="s">
        <v>3186</v>
      </c>
      <c r="G276" s="31" t="s">
        <v>3209</v>
      </c>
      <c r="H276" s="27" t="s">
        <v>46</v>
      </c>
      <c r="I276" s="27" t="s">
        <v>46</v>
      </c>
      <c r="J276" s="27" t="s">
        <v>17</v>
      </c>
      <c r="K276" s="27">
        <v>100</v>
      </c>
      <c r="L276" s="27">
        <v>80</v>
      </c>
      <c r="M276" s="27" t="s">
        <v>3188</v>
      </c>
      <c r="N276" s="27" t="s">
        <v>3189</v>
      </c>
      <c r="O276" s="49"/>
    </row>
    <row r="277" spans="1:15" ht="13.8" x14ac:dyDescent="0.3">
      <c r="A277" s="27">
        <v>1119266</v>
      </c>
      <c r="B277" s="37" t="s">
        <v>3182</v>
      </c>
      <c r="C277" s="28" t="s">
        <v>3228</v>
      </c>
      <c r="D277" s="31" t="s">
        <v>3184</v>
      </c>
      <c r="E277" s="31" t="s">
        <v>3185</v>
      </c>
      <c r="F277" s="38" t="s">
        <v>3186</v>
      </c>
      <c r="G277" s="31" t="s">
        <v>3210</v>
      </c>
      <c r="H277" s="27" t="s">
        <v>46</v>
      </c>
      <c r="I277" s="27" t="s">
        <v>46</v>
      </c>
      <c r="J277" s="27" t="s">
        <v>17</v>
      </c>
      <c r="K277" s="27">
        <v>100</v>
      </c>
      <c r="L277" s="27">
        <v>80</v>
      </c>
      <c r="M277" s="27" t="s">
        <v>3188</v>
      </c>
      <c r="N277" s="27" t="s">
        <v>3189</v>
      </c>
      <c r="O277" s="49"/>
    </row>
    <row r="278" spans="1:15" ht="13.8" x14ac:dyDescent="0.3">
      <c r="A278" s="27">
        <v>1119266</v>
      </c>
      <c r="B278" s="37" t="s">
        <v>3182</v>
      </c>
      <c r="C278" s="28" t="s">
        <v>3228</v>
      </c>
      <c r="D278" s="31" t="s">
        <v>3184</v>
      </c>
      <c r="E278" s="31" t="s">
        <v>3185</v>
      </c>
      <c r="F278" s="38" t="s">
        <v>3186</v>
      </c>
      <c r="G278" s="31" t="s">
        <v>3211</v>
      </c>
      <c r="H278" s="27" t="s">
        <v>46</v>
      </c>
      <c r="I278" s="27" t="s">
        <v>46</v>
      </c>
      <c r="J278" s="27" t="s">
        <v>17</v>
      </c>
      <c r="K278" s="27">
        <v>100</v>
      </c>
      <c r="L278" s="27">
        <v>80</v>
      </c>
      <c r="M278" s="27" t="s">
        <v>3188</v>
      </c>
      <c r="N278" s="27" t="s">
        <v>3189</v>
      </c>
      <c r="O278" s="49"/>
    </row>
    <row r="279" spans="1:15" ht="13.8" x14ac:dyDescent="0.3">
      <c r="A279" s="27">
        <v>1119266</v>
      </c>
      <c r="B279" s="37" t="s">
        <v>3182</v>
      </c>
      <c r="C279" s="28" t="s">
        <v>3228</v>
      </c>
      <c r="D279" s="31" t="s">
        <v>3184</v>
      </c>
      <c r="E279" s="31" t="s">
        <v>3185</v>
      </c>
      <c r="F279" s="38" t="s">
        <v>3186</v>
      </c>
      <c r="G279" s="31" t="s">
        <v>3212</v>
      </c>
      <c r="H279" s="27" t="s">
        <v>46</v>
      </c>
      <c r="I279" s="27" t="s">
        <v>46</v>
      </c>
      <c r="J279" s="27" t="s">
        <v>17</v>
      </c>
      <c r="K279" s="27">
        <v>100</v>
      </c>
      <c r="L279" s="27">
        <v>80</v>
      </c>
      <c r="M279" s="27" t="s">
        <v>3188</v>
      </c>
      <c r="N279" s="27" t="s">
        <v>3189</v>
      </c>
      <c r="O279" s="49"/>
    </row>
    <row r="280" spans="1:15" ht="13.8" x14ac:dyDescent="0.3">
      <c r="A280" s="27">
        <v>1119266</v>
      </c>
      <c r="B280" s="37" t="s">
        <v>3182</v>
      </c>
      <c r="C280" s="28" t="s">
        <v>3228</v>
      </c>
      <c r="D280" s="31" t="s">
        <v>3184</v>
      </c>
      <c r="E280" s="31" t="s">
        <v>3185</v>
      </c>
      <c r="F280" s="38" t="s">
        <v>3186</v>
      </c>
      <c r="G280" s="31" t="s">
        <v>3213</v>
      </c>
      <c r="H280" s="27" t="s">
        <v>46</v>
      </c>
      <c r="I280" s="27" t="s">
        <v>46</v>
      </c>
      <c r="J280" s="27" t="s">
        <v>17</v>
      </c>
      <c r="K280" s="27">
        <v>100</v>
      </c>
      <c r="L280" s="27">
        <v>80</v>
      </c>
      <c r="M280" s="27" t="s">
        <v>3188</v>
      </c>
      <c r="N280" s="27" t="s">
        <v>3189</v>
      </c>
      <c r="O280" s="49"/>
    </row>
    <row r="281" spans="1:15" ht="13.8" x14ac:dyDescent="0.3">
      <c r="A281" s="27">
        <v>1119266</v>
      </c>
      <c r="B281" s="37" t="s">
        <v>3182</v>
      </c>
      <c r="C281" s="28" t="s">
        <v>3228</v>
      </c>
      <c r="D281" s="31" t="s">
        <v>3184</v>
      </c>
      <c r="E281" s="31" t="s">
        <v>3185</v>
      </c>
      <c r="F281" s="38" t="s">
        <v>3186</v>
      </c>
      <c r="G281" s="31" t="s">
        <v>3214</v>
      </c>
      <c r="H281" s="27" t="s">
        <v>46</v>
      </c>
      <c r="I281" s="27" t="s">
        <v>46</v>
      </c>
      <c r="J281" s="27" t="s">
        <v>17</v>
      </c>
      <c r="K281" s="27">
        <v>100</v>
      </c>
      <c r="L281" s="27">
        <v>80</v>
      </c>
      <c r="M281" s="27" t="s">
        <v>3188</v>
      </c>
      <c r="N281" s="27" t="s">
        <v>3189</v>
      </c>
      <c r="O281" s="49"/>
    </row>
    <row r="282" spans="1:15" ht="13.8" x14ac:dyDescent="0.3">
      <c r="A282" s="27">
        <v>1119266</v>
      </c>
      <c r="B282" s="37" t="s">
        <v>3182</v>
      </c>
      <c r="C282" s="28" t="s">
        <v>3228</v>
      </c>
      <c r="D282" s="31" t="s">
        <v>3184</v>
      </c>
      <c r="E282" s="31" t="s">
        <v>3185</v>
      </c>
      <c r="F282" s="38" t="s">
        <v>3186</v>
      </c>
      <c r="G282" s="31" t="s">
        <v>3215</v>
      </c>
      <c r="H282" s="27" t="s">
        <v>46</v>
      </c>
      <c r="I282" s="27" t="s">
        <v>46</v>
      </c>
      <c r="J282" s="27" t="s">
        <v>17</v>
      </c>
      <c r="K282" s="27">
        <v>100</v>
      </c>
      <c r="L282" s="27">
        <v>80</v>
      </c>
      <c r="M282" s="27" t="s">
        <v>3188</v>
      </c>
      <c r="N282" s="27" t="s">
        <v>3189</v>
      </c>
      <c r="O282" s="49"/>
    </row>
    <row r="283" spans="1:15" ht="13.8" x14ac:dyDescent="0.3">
      <c r="A283" s="27">
        <v>1119266</v>
      </c>
      <c r="B283" s="37" t="s">
        <v>3182</v>
      </c>
      <c r="C283" s="28" t="s">
        <v>3228</v>
      </c>
      <c r="D283" s="31" t="s">
        <v>3184</v>
      </c>
      <c r="E283" s="31" t="s">
        <v>3185</v>
      </c>
      <c r="F283" s="38" t="s">
        <v>3186</v>
      </c>
      <c r="G283" s="31" t="s">
        <v>3216</v>
      </c>
      <c r="H283" s="27" t="s">
        <v>46</v>
      </c>
      <c r="I283" s="27" t="s">
        <v>46</v>
      </c>
      <c r="J283" s="27" t="s">
        <v>17</v>
      </c>
      <c r="K283" s="27">
        <v>100</v>
      </c>
      <c r="L283" s="27">
        <v>80</v>
      </c>
      <c r="M283" s="27" t="s">
        <v>3188</v>
      </c>
      <c r="N283" s="27" t="s">
        <v>3189</v>
      </c>
      <c r="O283" s="49"/>
    </row>
    <row r="284" spans="1:15" ht="13.8" x14ac:dyDescent="0.3">
      <c r="A284" s="27">
        <v>1119266</v>
      </c>
      <c r="B284" s="37" t="s">
        <v>3182</v>
      </c>
      <c r="C284" s="28" t="s">
        <v>3228</v>
      </c>
      <c r="D284" s="31" t="s">
        <v>3184</v>
      </c>
      <c r="E284" s="31" t="s">
        <v>3185</v>
      </c>
      <c r="F284" s="38" t="s">
        <v>3186</v>
      </c>
      <c r="G284" s="31" t="s">
        <v>3217</v>
      </c>
      <c r="H284" s="27" t="s">
        <v>46</v>
      </c>
      <c r="I284" s="27" t="s">
        <v>46</v>
      </c>
      <c r="J284" s="27" t="s">
        <v>17</v>
      </c>
      <c r="K284" s="27">
        <v>100</v>
      </c>
      <c r="L284" s="27">
        <v>80</v>
      </c>
      <c r="M284" s="27" t="s">
        <v>3188</v>
      </c>
      <c r="N284" s="27" t="s">
        <v>3189</v>
      </c>
      <c r="O284" s="49"/>
    </row>
    <row r="285" spans="1:15" ht="13.8" x14ac:dyDescent="0.3">
      <c r="A285" s="27">
        <v>1119266</v>
      </c>
      <c r="B285" s="37" t="s">
        <v>3182</v>
      </c>
      <c r="C285" s="28" t="s">
        <v>3228</v>
      </c>
      <c r="D285" s="31" t="s">
        <v>3184</v>
      </c>
      <c r="E285" s="31" t="s">
        <v>3185</v>
      </c>
      <c r="F285" s="38" t="s">
        <v>3186</v>
      </c>
      <c r="G285" s="31" t="s">
        <v>3218</v>
      </c>
      <c r="H285" s="27" t="s">
        <v>46</v>
      </c>
      <c r="I285" s="27" t="s">
        <v>46</v>
      </c>
      <c r="J285" s="27" t="s">
        <v>17</v>
      </c>
      <c r="K285" s="27">
        <v>100</v>
      </c>
      <c r="L285" s="27">
        <v>80</v>
      </c>
      <c r="M285" s="27" t="s">
        <v>3188</v>
      </c>
      <c r="N285" s="27" t="s">
        <v>3189</v>
      </c>
      <c r="O285" s="49"/>
    </row>
    <row r="286" spans="1:15" ht="13.8" x14ac:dyDescent="0.3">
      <c r="A286" s="27">
        <v>1119281</v>
      </c>
      <c r="B286" s="34" t="s">
        <v>3229</v>
      </c>
      <c r="C286" s="28" t="s">
        <v>3127</v>
      </c>
      <c r="D286" s="31" t="s">
        <v>3128</v>
      </c>
      <c r="E286" s="31" t="s">
        <v>3129</v>
      </c>
      <c r="F286" s="31"/>
      <c r="G286" s="31" t="s">
        <v>3130</v>
      </c>
      <c r="H286" s="27" t="s">
        <v>22</v>
      </c>
      <c r="I286" s="27" t="s">
        <v>22</v>
      </c>
      <c r="J286" s="27" t="s">
        <v>17</v>
      </c>
      <c r="K286" s="27">
        <v>88.9</v>
      </c>
      <c r="L286" s="27">
        <v>105.3</v>
      </c>
      <c r="M286" s="27" t="s">
        <v>3131</v>
      </c>
      <c r="N286" s="27" t="s">
        <v>3132</v>
      </c>
    </row>
    <row r="287" spans="1:15" ht="13.8" x14ac:dyDescent="0.3">
      <c r="A287" s="27">
        <v>1119281</v>
      </c>
      <c r="B287" s="34" t="s">
        <v>3229</v>
      </c>
      <c r="C287" s="28" t="s">
        <v>3127</v>
      </c>
      <c r="D287" s="31" t="s">
        <v>3128</v>
      </c>
      <c r="E287" s="31" t="s">
        <v>3129</v>
      </c>
      <c r="F287" s="31"/>
      <c r="G287" s="31" t="s">
        <v>3133</v>
      </c>
      <c r="H287" s="27" t="s">
        <v>22</v>
      </c>
      <c r="I287" s="27" t="s">
        <v>22</v>
      </c>
      <c r="J287" s="27" t="s">
        <v>17</v>
      </c>
      <c r="K287" s="27">
        <v>88.9</v>
      </c>
      <c r="L287" s="27">
        <v>105.3</v>
      </c>
      <c r="M287" s="27" t="s">
        <v>3131</v>
      </c>
      <c r="N287" s="27" t="s">
        <v>3132</v>
      </c>
    </row>
    <row r="288" spans="1:15" ht="13.8" x14ac:dyDescent="0.3">
      <c r="A288" s="27">
        <v>1119281</v>
      </c>
      <c r="B288" s="34" t="s">
        <v>3229</v>
      </c>
      <c r="C288" s="28" t="s">
        <v>3127</v>
      </c>
      <c r="D288" s="31" t="s">
        <v>3128</v>
      </c>
      <c r="E288" s="31" t="s">
        <v>3129</v>
      </c>
      <c r="F288" s="31"/>
      <c r="G288" s="31" t="s">
        <v>3134</v>
      </c>
      <c r="H288" s="27" t="s">
        <v>22</v>
      </c>
      <c r="I288" s="27" t="s">
        <v>22</v>
      </c>
      <c r="J288" s="27" t="s">
        <v>17</v>
      </c>
      <c r="K288" s="27">
        <v>88.9</v>
      </c>
      <c r="L288" s="27">
        <v>105.3</v>
      </c>
      <c r="M288" s="27" t="s">
        <v>3131</v>
      </c>
      <c r="N288" s="27" t="s">
        <v>3132</v>
      </c>
    </row>
    <row r="289" spans="1:15" ht="13.8" x14ac:dyDescent="0.3">
      <c r="A289" s="27">
        <v>1119281</v>
      </c>
      <c r="B289" s="34" t="s">
        <v>3229</v>
      </c>
      <c r="C289" s="28" t="s">
        <v>3127</v>
      </c>
      <c r="D289" s="31" t="s">
        <v>3128</v>
      </c>
      <c r="E289" s="31" t="s">
        <v>3129</v>
      </c>
      <c r="F289" s="31"/>
      <c r="G289" s="31" t="s">
        <v>3135</v>
      </c>
      <c r="H289" s="27" t="s">
        <v>22</v>
      </c>
      <c r="I289" s="27" t="s">
        <v>22</v>
      </c>
      <c r="J289" s="27" t="s">
        <v>17</v>
      </c>
      <c r="K289" s="27">
        <v>88.9</v>
      </c>
      <c r="L289" s="27">
        <v>105.3</v>
      </c>
      <c r="M289" s="27" t="s">
        <v>3131</v>
      </c>
      <c r="N289" s="27" t="s">
        <v>3132</v>
      </c>
    </row>
    <row r="290" spans="1:15" ht="13.8" x14ac:dyDescent="0.3">
      <c r="A290" s="27">
        <v>1119281</v>
      </c>
      <c r="B290" s="34" t="s">
        <v>3229</v>
      </c>
      <c r="C290" s="28" t="s">
        <v>3127</v>
      </c>
      <c r="D290" s="31" t="s">
        <v>3128</v>
      </c>
      <c r="E290" s="31" t="s">
        <v>3129</v>
      </c>
      <c r="F290" s="31"/>
      <c r="G290" s="31" t="s">
        <v>3136</v>
      </c>
      <c r="H290" s="27" t="s">
        <v>22</v>
      </c>
      <c r="I290" s="27" t="s">
        <v>22</v>
      </c>
      <c r="J290" s="27" t="s">
        <v>17</v>
      </c>
      <c r="K290" s="27">
        <v>88.9</v>
      </c>
      <c r="L290" s="27">
        <v>105.3</v>
      </c>
      <c r="M290" s="27" t="s">
        <v>3131</v>
      </c>
      <c r="N290" s="27" t="s">
        <v>3132</v>
      </c>
    </row>
    <row r="291" spans="1:15" ht="13.8" x14ac:dyDescent="0.3">
      <c r="A291" s="27">
        <v>1119281</v>
      </c>
      <c r="B291" s="34" t="s">
        <v>3229</v>
      </c>
      <c r="C291" s="28" t="s">
        <v>3127</v>
      </c>
      <c r="D291" s="31" t="s">
        <v>3128</v>
      </c>
      <c r="E291" s="31" t="s">
        <v>3129</v>
      </c>
      <c r="F291" s="31"/>
      <c r="G291" s="31" t="s">
        <v>3137</v>
      </c>
      <c r="H291" s="27" t="s">
        <v>22</v>
      </c>
      <c r="I291" s="27" t="s">
        <v>22</v>
      </c>
      <c r="J291" s="27" t="s">
        <v>17</v>
      </c>
      <c r="K291" s="27">
        <v>88.9</v>
      </c>
      <c r="L291" s="27">
        <v>105.3</v>
      </c>
      <c r="M291" s="27" t="s">
        <v>3131</v>
      </c>
      <c r="N291" s="27" t="s">
        <v>3132</v>
      </c>
    </row>
    <row r="292" spans="1:15" ht="13.8" x14ac:dyDescent="0.3">
      <c r="A292" s="27">
        <v>1119281</v>
      </c>
      <c r="B292" s="34" t="s">
        <v>3229</v>
      </c>
      <c r="C292" s="28" t="s">
        <v>3143</v>
      </c>
      <c r="D292" s="31" t="s">
        <v>3143</v>
      </c>
      <c r="E292" s="31" t="s">
        <v>3144</v>
      </c>
      <c r="F292" s="31"/>
      <c r="G292" s="31"/>
      <c r="H292" s="27" t="s">
        <v>22</v>
      </c>
      <c r="I292" s="27" t="s">
        <v>22</v>
      </c>
      <c r="J292" s="27" t="s">
        <v>17</v>
      </c>
      <c r="K292" s="27">
        <v>100</v>
      </c>
      <c r="L292" s="27">
        <v>110</v>
      </c>
      <c r="M292" s="27" t="s">
        <v>346</v>
      </c>
      <c r="N292" s="27" t="s">
        <v>347</v>
      </c>
    </row>
    <row r="293" spans="1:15" ht="13.8" x14ac:dyDescent="0.3">
      <c r="A293" s="27">
        <v>1119287</v>
      </c>
      <c r="B293" s="41" t="s">
        <v>3230</v>
      </c>
      <c r="C293" s="28" t="s">
        <v>3148</v>
      </c>
      <c r="D293" s="31" t="s">
        <v>3149</v>
      </c>
      <c r="E293" s="31" t="s">
        <v>3150</v>
      </c>
      <c r="F293" s="31"/>
      <c r="G293" s="31" t="s">
        <v>3151</v>
      </c>
      <c r="H293" s="27" t="s">
        <v>46</v>
      </c>
      <c r="I293" s="27" t="s">
        <v>46</v>
      </c>
      <c r="J293" s="27" t="s">
        <v>17</v>
      </c>
      <c r="K293" s="27">
        <v>100</v>
      </c>
      <c r="L293" s="27">
        <v>50</v>
      </c>
      <c r="M293" s="27" t="s">
        <v>3152</v>
      </c>
      <c r="N293" s="27" t="s">
        <v>3153</v>
      </c>
    </row>
    <row r="294" spans="1:15" ht="13.8" x14ac:dyDescent="0.3">
      <c r="A294" s="27">
        <v>1119287</v>
      </c>
      <c r="B294" s="41" t="s">
        <v>3230</v>
      </c>
      <c r="C294" s="28" t="s">
        <v>3154</v>
      </c>
      <c r="D294" s="31" t="s">
        <v>3155</v>
      </c>
      <c r="E294" s="31" t="s">
        <v>3156</v>
      </c>
      <c r="F294" s="31"/>
      <c r="G294" s="31" t="s">
        <v>3157</v>
      </c>
      <c r="H294" s="27" t="s">
        <v>22</v>
      </c>
      <c r="I294" s="27" t="s">
        <v>22</v>
      </c>
      <c r="J294" s="27" t="s">
        <v>17</v>
      </c>
      <c r="K294" s="27">
        <v>80.8</v>
      </c>
      <c r="L294" s="27">
        <v>48.5</v>
      </c>
      <c r="O294" s="50" t="s">
        <v>3231</v>
      </c>
    </row>
    <row r="295" spans="1:15" ht="13.8" x14ac:dyDescent="0.3">
      <c r="A295" s="27">
        <v>1119287</v>
      </c>
      <c r="B295" s="41" t="s">
        <v>3230</v>
      </c>
      <c r="C295" s="28" t="s">
        <v>3154</v>
      </c>
      <c r="D295" s="31" t="s">
        <v>3155</v>
      </c>
      <c r="E295" s="31" t="s">
        <v>3156</v>
      </c>
      <c r="F295" s="31"/>
      <c r="G295" s="31" t="s">
        <v>3158</v>
      </c>
      <c r="H295" s="27" t="s">
        <v>22</v>
      </c>
      <c r="I295" s="27" t="s">
        <v>22</v>
      </c>
      <c r="J295" s="27" t="s">
        <v>17</v>
      </c>
      <c r="K295" s="27">
        <v>80.8</v>
      </c>
      <c r="L295" s="27">
        <v>48.5</v>
      </c>
      <c r="O295" s="49"/>
    </row>
    <row r="296" spans="1:15" ht="13.8" x14ac:dyDescent="0.3">
      <c r="A296" s="27">
        <v>1119287</v>
      </c>
      <c r="B296" s="41" t="s">
        <v>3230</v>
      </c>
      <c r="C296" s="28" t="s">
        <v>3154</v>
      </c>
      <c r="D296" s="31" t="s">
        <v>3155</v>
      </c>
      <c r="E296" s="31" t="s">
        <v>3156</v>
      </c>
      <c r="F296" s="31"/>
      <c r="G296" s="31" t="s">
        <v>3159</v>
      </c>
      <c r="H296" s="27" t="s">
        <v>22</v>
      </c>
      <c r="I296" s="27" t="s">
        <v>22</v>
      </c>
      <c r="J296" s="27" t="s">
        <v>17</v>
      </c>
      <c r="K296" s="27">
        <v>80.8</v>
      </c>
      <c r="L296" s="27">
        <v>48.5</v>
      </c>
      <c r="O296" s="49"/>
    </row>
    <row r="297" spans="1:15" ht="13.8" x14ac:dyDescent="0.3">
      <c r="A297" s="27">
        <v>1119287</v>
      </c>
      <c r="B297" s="41" t="s">
        <v>3230</v>
      </c>
      <c r="C297" s="28" t="s">
        <v>3154</v>
      </c>
      <c r="D297" s="31" t="s">
        <v>3155</v>
      </c>
      <c r="E297" s="31" t="s">
        <v>3156</v>
      </c>
      <c r="F297" s="31"/>
      <c r="G297" s="31" t="s">
        <v>3160</v>
      </c>
      <c r="H297" s="27" t="s">
        <v>22</v>
      </c>
      <c r="I297" s="27" t="s">
        <v>22</v>
      </c>
      <c r="J297" s="27" t="s">
        <v>17</v>
      </c>
      <c r="K297" s="27">
        <v>80.8</v>
      </c>
      <c r="L297" s="27">
        <v>48.5</v>
      </c>
      <c r="O297" s="49"/>
    </row>
    <row r="298" spans="1:15" ht="13.8" x14ac:dyDescent="0.3">
      <c r="A298" s="27">
        <v>1119287</v>
      </c>
      <c r="B298" s="41" t="s">
        <v>3230</v>
      </c>
      <c r="C298" s="28" t="s">
        <v>3154</v>
      </c>
      <c r="D298" s="31" t="s">
        <v>3155</v>
      </c>
      <c r="E298" s="31" t="s">
        <v>3156</v>
      </c>
      <c r="F298" s="31"/>
      <c r="G298" s="31" t="s">
        <v>3161</v>
      </c>
      <c r="H298" s="27" t="s">
        <v>22</v>
      </c>
      <c r="I298" s="27" t="s">
        <v>22</v>
      </c>
      <c r="J298" s="27" t="s">
        <v>17</v>
      </c>
      <c r="K298" s="27">
        <v>80.8</v>
      </c>
      <c r="L298" s="27">
        <v>48.5</v>
      </c>
      <c r="O298" s="49"/>
    </row>
    <row r="299" spans="1:15" ht="13.8" x14ac:dyDescent="0.3">
      <c r="A299" s="27">
        <v>1119287</v>
      </c>
      <c r="B299" s="41" t="s">
        <v>3230</v>
      </c>
      <c r="C299" s="28" t="s">
        <v>3154</v>
      </c>
      <c r="D299" s="31" t="s">
        <v>3155</v>
      </c>
      <c r="E299" s="31" t="s">
        <v>3156</v>
      </c>
      <c r="F299" s="31"/>
      <c r="G299" s="31" t="s">
        <v>3162</v>
      </c>
      <c r="H299" s="27" t="s">
        <v>22</v>
      </c>
      <c r="I299" s="27" t="s">
        <v>22</v>
      </c>
      <c r="J299" s="27" t="s">
        <v>17</v>
      </c>
      <c r="K299" s="27">
        <v>80.8</v>
      </c>
      <c r="L299" s="27">
        <v>48.5</v>
      </c>
      <c r="O299" s="49"/>
    </row>
    <row r="300" spans="1:15" ht="13.8" x14ac:dyDescent="0.3">
      <c r="A300" s="27">
        <v>1119287</v>
      </c>
      <c r="B300" s="41" t="s">
        <v>3230</v>
      </c>
      <c r="C300" s="28" t="s">
        <v>3154</v>
      </c>
      <c r="D300" s="31" t="s">
        <v>3155</v>
      </c>
      <c r="E300" s="31" t="s">
        <v>3156</v>
      </c>
      <c r="F300" s="31"/>
      <c r="G300" s="31" t="s">
        <v>3163</v>
      </c>
      <c r="H300" s="27" t="s">
        <v>22</v>
      </c>
      <c r="I300" s="27" t="s">
        <v>22</v>
      </c>
      <c r="J300" s="27" t="s">
        <v>17</v>
      </c>
      <c r="K300" s="27">
        <v>80.8</v>
      </c>
      <c r="L300" s="27">
        <v>48.5</v>
      </c>
      <c r="O300" s="49"/>
    </row>
    <row r="301" spans="1:15" ht="13.8" x14ac:dyDescent="0.3">
      <c r="A301" s="27">
        <v>1119287</v>
      </c>
      <c r="B301" s="41" t="s">
        <v>3230</v>
      </c>
      <c r="C301" s="28" t="s">
        <v>3154</v>
      </c>
      <c r="D301" s="31" t="s">
        <v>3155</v>
      </c>
      <c r="E301" s="31" t="s">
        <v>3156</v>
      </c>
      <c r="F301" s="31"/>
      <c r="G301" s="31" t="s">
        <v>3164</v>
      </c>
      <c r="H301" s="27" t="s">
        <v>22</v>
      </c>
      <c r="I301" s="27" t="s">
        <v>22</v>
      </c>
      <c r="J301" s="27" t="s">
        <v>17</v>
      </c>
      <c r="K301" s="27">
        <v>80.8</v>
      </c>
      <c r="L301" s="27">
        <v>48.5</v>
      </c>
      <c r="O301" s="49"/>
    </row>
    <row r="302" spans="1:15" ht="13.8" x14ac:dyDescent="0.3">
      <c r="A302" s="27">
        <v>1119287</v>
      </c>
      <c r="B302" s="41" t="s">
        <v>3230</v>
      </c>
      <c r="C302" s="28" t="s">
        <v>3154</v>
      </c>
      <c r="D302" s="31" t="s">
        <v>3155</v>
      </c>
      <c r="E302" s="31" t="s">
        <v>3156</v>
      </c>
      <c r="F302" s="31"/>
      <c r="G302" s="31" t="s">
        <v>3165</v>
      </c>
      <c r="H302" s="27" t="s">
        <v>22</v>
      </c>
      <c r="I302" s="27" t="s">
        <v>22</v>
      </c>
      <c r="J302" s="27" t="s">
        <v>17</v>
      </c>
      <c r="K302" s="27">
        <v>80.8</v>
      </c>
      <c r="L302" s="27">
        <v>48.5</v>
      </c>
      <c r="O302" s="49"/>
    </row>
    <row r="303" spans="1:15" ht="13.8" x14ac:dyDescent="0.3">
      <c r="A303" s="27">
        <v>1119287</v>
      </c>
      <c r="B303" s="41" t="s">
        <v>3230</v>
      </c>
      <c r="C303" s="28" t="s">
        <v>3154</v>
      </c>
      <c r="D303" s="31" t="s">
        <v>3155</v>
      </c>
      <c r="E303" s="31" t="s">
        <v>3156</v>
      </c>
      <c r="F303" s="31"/>
      <c r="G303" s="31" t="s">
        <v>3166</v>
      </c>
      <c r="H303" s="27" t="s">
        <v>22</v>
      </c>
      <c r="I303" s="27" t="s">
        <v>22</v>
      </c>
      <c r="J303" s="27" t="s">
        <v>17</v>
      </c>
      <c r="K303" s="27">
        <v>80.8</v>
      </c>
      <c r="L303" s="27">
        <v>48.5</v>
      </c>
      <c r="O303" s="49"/>
    </row>
    <row r="304" spans="1:15" ht="13.8" x14ac:dyDescent="0.3">
      <c r="A304" s="27">
        <v>1119287</v>
      </c>
      <c r="B304" s="41" t="s">
        <v>3230</v>
      </c>
      <c r="C304" s="28" t="s">
        <v>3154</v>
      </c>
      <c r="D304" s="31" t="s">
        <v>3155</v>
      </c>
      <c r="E304" s="31" t="s">
        <v>3156</v>
      </c>
      <c r="F304" s="31"/>
      <c r="G304" s="31" t="s">
        <v>3167</v>
      </c>
      <c r="H304" s="27" t="s">
        <v>22</v>
      </c>
      <c r="I304" s="27" t="s">
        <v>22</v>
      </c>
      <c r="J304" s="27" t="s">
        <v>17</v>
      </c>
      <c r="K304" s="27">
        <v>80.8</v>
      </c>
      <c r="L304" s="27">
        <v>48.5</v>
      </c>
      <c r="O304" s="49"/>
    </row>
    <row r="305" spans="1:15" ht="13.8" x14ac:dyDescent="0.3">
      <c r="A305" s="27">
        <v>1119287</v>
      </c>
      <c r="B305" s="41" t="s">
        <v>3230</v>
      </c>
      <c r="C305" s="28" t="s">
        <v>3154</v>
      </c>
      <c r="D305" s="31" t="s">
        <v>3155</v>
      </c>
      <c r="E305" s="31" t="s">
        <v>3156</v>
      </c>
      <c r="F305" s="31"/>
      <c r="G305" s="31" t="s">
        <v>3168</v>
      </c>
      <c r="H305" s="27" t="s">
        <v>22</v>
      </c>
      <c r="I305" s="27" t="s">
        <v>22</v>
      </c>
      <c r="J305" s="27" t="s">
        <v>17</v>
      </c>
      <c r="K305" s="27">
        <v>80.8</v>
      </c>
      <c r="L305" s="27">
        <v>48.5</v>
      </c>
      <c r="O305" s="49"/>
    </row>
    <row r="306" spans="1:15" ht="13.8" x14ac:dyDescent="0.3">
      <c r="A306" s="27">
        <v>1119287</v>
      </c>
      <c r="B306" s="41" t="s">
        <v>3230</v>
      </c>
      <c r="C306" s="28" t="s">
        <v>3154</v>
      </c>
      <c r="D306" s="31" t="s">
        <v>3155</v>
      </c>
      <c r="E306" s="31" t="s">
        <v>3156</v>
      </c>
      <c r="F306" s="31"/>
      <c r="G306" s="31" t="s">
        <v>3169</v>
      </c>
      <c r="H306" s="27" t="s">
        <v>22</v>
      </c>
      <c r="I306" s="27" t="s">
        <v>22</v>
      </c>
      <c r="J306" s="27" t="s">
        <v>17</v>
      </c>
      <c r="K306" s="27">
        <v>80.8</v>
      </c>
      <c r="L306" s="27">
        <v>48.5</v>
      </c>
      <c r="O306" s="49"/>
    </row>
    <row r="307" spans="1:15" ht="13.8" x14ac:dyDescent="0.3">
      <c r="A307" s="27">
        <v>1119287</v>
      </c>
      <c r="B307" s="41" t="s">
        <v>3230</v>
      </c>
      <c r="C307" s="28" t="s">
        <v>3154</v>
      </c>
      <c r="D307" s="31" t="s">
        <v>3155</v>
      </c>
      <c r="E307" s="31" t="s">
        <v>3156</v>
      </c>
      <c r="F307" s="31"/>
      <c r="G307" s="31" t="s">
        <v>3170</v>
      </c>
      <c r="H307" s="27" t="s">
        <v>22</v>
      </c>
      <c r="I307" s="27" t="s">
        <v>22</v>
      </c>
      <c r="J307" s="27" t="s">
        <v>17</v>
      </c>
      <c r="K307" s="27">
        <v>80.8</v>
      </c>
      <c r="L307" s="27">
        <v>48.5</v>
      </c>
      <c r="O307" s="49"/>
    </row>
    <row r="308" spans="1:15" ht="13.8" x14ac:dyDescent="0.3">
      <c r="A308" s="27">
        <v>1119287</v>
      </c>
      <c r="B308" s="41" t="s">
        <v>3230</v>
      </c>
      <c r="C308" s="28" t="s">
        <v>3154</v>
      </c>
      <c r="D308" s="31" t="s">
        <v>3155</v>
      </c>
      <c r="E308" s="31" t="s">
        <v>3156</v>
      </c>
      <c r="F308" s="31"/>
      <c r="G308" s="31" t="s">
        <v>3171</v>
      </c>
      <c r="H308" s="27" t="s">
        <v>22</v>
      </c>
      <c r="I308" s="27" t="s">
        <v>22</v>
      </c>
      <c r="J308" s="27" t="s">
        <v>17</v>
      </c>
      <c r="K308" s="27">
        <v>80.8</v>
      </c>
      <c r="L308" s="27">
        <v>48.5</v>
      </c>
      <c r="O308" s="49"/>
    </row>
    <row r="309" spans="1:15" ht="13.8" x14ac:dyDescent="0.3">
      <c r="A309" s="27">
        <v>1119287</v>
      </c>
      <c r="B309" s="41" t="s">
        <v>3230</v>
      </c>
      <c r="C309" s="28" t="s">
        <v>3154</v>
      </c>
      <c r="D309" s="31" t="s">
        <v>3155</v>
      </c>
      <c r="E309" s="31" t="s">
        <v>3156</v>
      </c>
      <c r="F309" s="31"/>
      <c r="G309" s="31" t="s">
        <v>3172</v>
      </c>
      <c r="H309" s="27" t="s">
        <v>22</v>
      </c>
      <c r="I309" s="27" t="s">
        <v>22</v>
      </c>
      <c r="J309" s="27" t="s">
        <v>17</v>
      </c>
      <c r="K309" s="27">
        <v>80.8</v>
      </c>
      <c r="L309" s="27">
        <v>48.5</v>
      </c>
      <c r="O309" s="49"/>
    </row>
    <row r="310" spans="1:15" ht="13.8" x14ac:dyDescent="0.3">
      <c r="A310" s="27">
        <v>1119287</v>
      </c>
      <c r="B310" s="41" t="s">
        <v>3230</v>
      </c>
      <c r="C310" s="28" t="s">
        <v>3154</v>
      </c>
      <c r="D310" s="31" t="s">
        <v>3155</v>
      </c>
      <c r="E310" s="31" t="s">
        <v>3156</v>
      </c>
      <c r="F310" s="31"/>
      <c r="G310" s="31" t="s">
        <v>3173</v>
      </c>
      <c r="H310" s="27" t="s">
        <v>22</v>
      </c>
      <c r="I310" s="27" t="s">
        <v>22</v>
      </c>
      <c r="J310" s="27" t="s">
        <v>17</v>
      </c>
      <c r="K310" s="27">
        <v>80.8</v>
      </c>
      <c r="L310" s="27">
        <v>48.5</v>
      </c>
      <c r="O310" s="49"/>
    </row>
    <row r="311" spans="1:15" ht="13.8" x14ac:dyDescent="0.3">
      <c r="A311" s="27">
        <v>1119287</v>
      </c>
      <c r="B311" s="41" t="s">
        <v>3230</v>
      </c>
      <c r="C311" s="28" t="s">
        <v>3154</v>
      </c>
      <c r="D311" s="31" t="s">
        <v>3155</v>
      </c>
      <c r="E311" s="31" t="s">
        <v>3156</v>
      </c>
      <c r="F311" s="31"/>
      <c r="G311" s="31" t="s">
        <v>3174</v>
      </c>
      <c r="H311" s="27" t="s">
        <v>22</v>
      </c>
      <c r="I311" s="27" t="s">
        <v>22</v>
      </c>
      <c r="J311" s="27" t="s">
        <v>17</v>
      </c>
      <c r="K311" s="27">
        <v>80.8</v>
      </c>
      <c r="L311" s="27">
        <v>48.5</v>
      </c>
      <c r="O311" s="49"/>
    </row>
    <row r="312" spans="1:15" ht="13.8" x14ac:dyDescent="0.3">
      <c r="A312" s="27">
        <v>1119287</v>
      </c>
      <c r="B312" s="41" t="s">
        <v>3230</v>
      </c>
      <c r="C312" s="28" t="s">
        <v>3154</v>
      </c>
      <c r="D312" s="31" t="s">
        <v>3155</v>
      </c>
      <c r="E312" s="31" t="s">
        <v>3156</v>
      </c>
      <c r="F312" s="31"/>
      <c r="G312" s="31" t="s">
        <v>3175</v>
      </c>
      <c r="H312" s="27" t="s">
        <v>22</v>
      </c>
      <c r="I312" s="27" t="s">
        <v>22</v>
      </c>
      <c r="J312" s="27" t="s">
        <v>17</v>
      </c>
      <c r="K312" s="27">
        <v>80.8</v>
      </c>
      <c r="L312" s="27">
        <v>48.5</v>
      </c>
      <c r="O312" s="49"/>
    </row>
    <row r="313" spans="1:15" ht="13.8" x14ac:dyDescent="0.3">
      <c r="A313" s="27">
        <v>1119287</v>
      </c>
      <c r="B313" s="41" t="s">
        <v>3230</v>
      </c>
      <c r="C313" s="28" t="s">
        <v>3154</v>
      </c>
      <c r="D313" s="31" t="s">
        <v>3155</v>
      </c>
      <c r="E313" s="31" t="s">
        <v>3156</v>
      </c>
      <c r="F313" s="31"/>
      <c r="G313" s="31" t="s">
        <v>3176</v>
      </c>
      <c r="H313" s="27" t="s">
        <v>22</v>
      </c>
      <c r="I313" s="27" t="s">
        <v>22</v>
      </c>
      <c r="J313" s="27" t="s">
        <v>17</v>
      </c>
      <c r="K313" s="27">
        <v>80.8</v>
      </c>
      <c r="L313" s="27">
        <v>48.5</v>
      </c>
      <c r="O313" s="49"/>
    </row>
    <row r="314" spans="1:15" ht="13.8" x14ac:dyDescent="0.3">
      <c r="A314" s="27">
        <v>1119287</v>
      </c>
      <c r="B314" s="41" t="s">
        <v>3230</v>
      </c>
      <c r="C314" s="28" t="s">
        <v>3154</v>
      </c>
      <c r="D314" s="31" t="s">
        <v>3155</v>
      </c>
      <c r="E314" s="31" t="s">
        <v>3156</v>
      </c>
      <c r="F314" s="31"/>
      <c r="G314" s="31" t="s">
        <v>3177</v>
      </c>
      <c r="H314" s="27" t="s">
        <v>22</v>
      </c>
      <c r="I314" s="27" t="s">
        <v>22</v>
      </c>
      <c r="J314" s="27" t="s">
        <v>17</v>
      </c>
      <c r="K314" s="27">
        <v>80.8</v>
      </c>
      <c r="L314" s="27">
        <v>48.5</v>
      </c>
      <c r="O314" s="49"/>
    </row>
    <row r="315" spans="1:15" ht="13.8" x14ac:dyDescent="0.3">
      <c r="A315" s="27">
        <v>1119287</v>
      </c>
      <c r="B315" s="41" t="s">
        <v>3230</v>
      </c>
      <c r="C315" s="28" t="s">
        <v>3154</v>
      </c>
      <c r="D315" s="31" t="s">
        <v>3155</v>
      </c>
      <c r="E315" s="31" t="s">
        <v>3156</v>
      </c>
      <c r="F315" s="31"/>
      <c r="G315" s="31" t="s">
        <v>3178</v>
      </c>
      <c r="H315" s="27" t="s">
        <v>22</v>
      </c>
      <c r="I315" s="27" t="s">
        <v>22</v>
      </c>
      <c r="J315" s="27" t="s">
        <v>17</v>
      </c>
      <c r="K315" s="27">
        <v>80.8</v>
      </c>
      <c r="L315" s="27">
        <v>48.5</v>
      </c>
      <c r="O315" s="49"/>
    </row>
    <row r="316" spans="1:15" ht="13.8" x14ac:dyDescent="0.3">
      <c r="A316" s="27">
        <v>1119287</v>
      </c>
      <c r="B316" s="41" t="s">
        <v>3230</v>
      </c>
      <c r="C316" s="28" t="s">
        <v>3154</v>
      </c>
      <c r="D316" s="31" t="s">
        <v>3155</v>
      </c>
      <c r="E316" s="31" t="s">
        <v>3156</v>
      </c>
      <c r="F316" s="31"/>
      <c r="G316" s="31" t="s">
        <v>3179</v>
      </c>
      <c r="H316" s="27" t="s">
        <v>22</v>
      </c>
      <c r="I316" s="27" t="s">
        <v>22</v>
      </c>
      <c r="J316" s="27" t="s">
        <v>17</v>
      </c>
      <c r="K316" s="27">
        <v>80.8</v>
      </c>
      <c r="L316" s="27">
        <v>48.5</v>
      </c>
      <c r="O316" s="49"/>
    </row>
    <row r="317" spans="1:15" ht="13.8" x14ac:dyDescent="0.3">
      <c r="A317" s="27">
        <v>1119298</v>
      </c>
      <c r="B317" s="37" t="s">
        <v>3232</v>
      </c>
      <c r="C317" s="28" t="s">
        <v>3233</v>
      </c>
      <c r="D317" s="31" t="s">
        <v>3234</v>
      </c>
      <c r="E317" s="31" t="s">
        <v>3235</v>
      </c>
      <c r="F317" s="31"/>
      <c r="G317" s="31" t="s">
        <v>3236</v>
      </c>
      <c r="H317" s="27" t="s">
        <v>22</v>
      </c>
      <c r="I317" s="27" t="s">
        <v>22</v>
      </c>
      <c r="J317" s="27" t="s">
        <v>17</v>
      </c>
      <c r="K317" s="27">
        <v>95</v>
      </c>
      <c r="L317" s="27">
        <v>108</v>
      </c>
      <c r="M317" s="27" t="s">
        <v>3237</v>
      </c>
      <c r="N317" s="27" t="s">
        <v>3238</v>
      </c>
    </row>
    <row r="318" spans="1:15" ht="13.8" x14ac:dyDescent="0.3">
      <c r="A318" s="27">
        <v>1119298</v>
      </c>
      <c r="B318" s="37" t="s">
        <v>3232</v>
      </c>
      <c r="C318" s="28" t="s">
        <v>3233</v>
      </c>
      <c r="D318" s="31" t="s">
        <v>3234</v>
      </c>
      <c r="E318" s="31" t="s">
        <v>3235</v>
      </c>
      <c r="F318" s="31"/>
      <c r="G318" s="31" t="s">
        <v>3239</v>
      </c>
      <c r="H318" s="27" t="s">
        <v>22</v>
      </c>
      <c r="I318" s="27" t="s">
        <v>22</v>
      </c>
      <c r="J318" s="27" t="s">
        <v>17</v>
      </c>
      <c r="K318" s="27">
        <v>95</v>
      </c>
      <c r="L318" s="27">
        <v>108</v>
      </c>
      <c r="M318" s="27" t="s">
        <v>3237</v>
      </c>
      <c r="N318" s="27" t="s">
        <v>3238</v>
      </c>
    </row>
    <row r="319" spans="1:15" ht="13.8" x14ac:dyDescent="0.3">
      <c r="A319" s="27">
        <v>1119298</v>
      </c>
      <c r="B319" s="37" t="s">
        <v>3232</v>
      </c>
      <c r="C319" s="28" t="s">
        <v>3233</v>
      </c>
      <c r="D319" s="31" t="s">
        <v>3234</v>
      </c>
      <c r="E319" s="31" t="s">
        <v>3235</v>
      </c>
      <c r="F319" s="31"/>
      <c r="G319" s="31" t="s">
        <v>3240</v>
      </c>
      <c r="H319" s="27" t="s">
        <v>22</v>
      </c>
      <c r="I319" s="27" t="s">
        <v>22</v>
      </c>
      <c r="J319" s="27" t="s">
        <v>17</v>
      </c>
      <c r="K319" s="27">
        <v>95</v>
      </c>
      <c r="L319" s="27">
        <v>108</v>
      </c>
      <c r="M319" s="27" t="s">
        <v>3237</v>
      </c>
      <c r="N319" s="27" t="s">
        <v>3238</v>
      </c>
    </row>
    <row r="320" spans="1:15" ht="13.8" x14ac:dyDescent="0.3">
      <c r="A320" s="27">
        <v>1119298</v>
      </c>
      <c r="B320" s="37" t="s">
        <v>3232</v>
      </c>
      <c r="C320" s="28" t="s">
        <v>3233</v>
      </c>
      <c r="D320" s="31" t="s">
        <v>3234</v>
      </c>
      <c r="E320" s="31" t="s">
        <v>3235</v>
      </c>
      <c r="F320" s="31"/>
      <c r="G320" s="31" t="s">
        <v>3241</v>
      </c>
      <c r="H320" s="27" t="s">
        <v>22</v>
      </c>
      <c r="I320" s="27" t="s">
        <v>22</v>
      </c>
      <c r="J320" s="27" t="s">
        <v>17</v>
      </c>
      <c r="K320" s="27">
        <v>95</v>
      </c>
      <c r="L320" s="27">
        <v>108</v>
      </c>
      <c r="M320" s="27" t="s">
        <v>3237</v>
      </c>
      <c r="N320" s="27" t="s">
        <v>3238</v>
      </c>
    </row>
    <row r="321" spans="1:15" ht="13.8" x14ac:dyDescent="0.3">
      <c r="A321" s="27">
        <v>1119298</v>
      </c>
      <c r="B321" s="37" t="s">
        <v>3232</v>
      </c>
      <c r="C321" s="28" t="s">
        <v>3233</v>
      </c>
      <c r="D321" s="31" t="s">
        <v>3234</v>
      </c>
      <c r="E321" s="31" t="s">
        <v>3235</v>
      </c>
      <c r="F321" s="31"/>
      <c r="G321" s="31" t="s">
        <v>3242</v>
      </c>
      <c r="H321" s="27" t="s">
        <v>22</v>
      </c>
      <c r="I321" s="27" t="s">
        <v>22</v>
      </c>
      <c r="J321" s="27" t="s">
        <v>17</v>
      </c>
      <c r="K321" s="27">
        <v>95</v>
      </c>
      <c r="L321" s="27">
        <v>108</v>
      </c>
      <c r="M321" s="27" t="s">
        <v>3237</v>
      </c>
      <c r="N321" s="27" t="s">
        <v>3238</v>
      </c>
    </row>
    <row r="322" spans="1:15" ht="13.8" x14ac:dyDescent="0.3">
      <c r="A322" s="27">
        <v>1119298</v>
      </c>
      <c r="B322" s="37" t="s">
        <v>3232</v>
      </c>
      <c r="C322" s="28" t="s">
        <v>3233</v>
      </c>
      <c r="D322" s="31" t="s">
        <v>3234</v>
      </c>
      <c r="E322" s="31" t="s">
        <v>3235</v>
      </c>
      <c r="F322" s="31"/>
      <c r="G322" s="31" t="s">
        <v>3243</v>
      </c>
      <c r="H322" s="27" t="s">
        <v>22</v>
      </c>
      <c r="I322" s="27" t="s">
        <v>22</v>
      </c>
      <c r="J322" s="27" t="s">
        <v>17</v>
      </c>
      <c r="K322" s="27">
        <v>95</v>
      </c>
      <c r="L322" s="27">
        <v>108</v>
      </c>
      <c r="M322" s="27" t="s">
        <v>3237</v>
      </c>
      <c r="N322" s="27" t="s">
        <v>3238</v>
      </c>
    </row>
    <row r="323" spans="1:15" ht="13.8" x14ac:dyDescent="0.3">
      <c r="A323" s="27">
        <v>1119298</v>
      </c>
      <c r="B323" s="37" t="s">
        <v>3232</v>
      </c>
      <c r="C323" s="28" t="s">
        <v>3233</v>
      </c>
      <c r="D323" s="31" t="s">
        <v>3234</v>
      </c>
      <c r="E323" s="31" t="s">
        <v>3235</v>
      </c>
      <c r="F323" s="31"/>
      <c r="G323" s="31" t="s">
        <v>3244</v>
      </c>
      <c r="H323" s="27" t="s">
        <v>22</v>
      </c>
      <c r="I323" s="27" t="s">
        <v>22</v>
      </c>
      <c r="J323" s="27" t="s">
        <v>17</v>
      </c>
      <c r="K323" s="27">
        <v>95</v>
      </c>
      <c r="L323" s="27">
        <v>108</v>
      </c>
      <c r="M323" s="27" t="s">
        <v>3237</v>
      </c>
      <c r="N323" s="27" t="s">
        <v>3238</v>
      </c>
    </row>
    <row r="324" spans="1:15" ht="13.8" x14ac:dyDescent="0.3">
      <c r="A324" s="27">
        <v>1119298</v>
      </c>
      <c r="B324" s="37" t="s">
        <v>3232</v>
      </c>
      <c r="C324" s="28" t="s">
        <v>3233</v>
      </c>
      <c r="D324" s="31" t="s">
        <v>3234</v>
      </c>
      <c r="E324" s="31" t="s">
        <v>3235</v>
      </c>
      <c r="F324" s="31"/>
      <c r="G324" s="31" t="s">
        <v>3245</v>
      </c>
      <c r="H324" s="27" t="s">
        <v>22</v>
      </c>
      <c r="I324" s="27" t="s">
        <v>22</v>
      </c>
      <c r="J324" s="27" t="s">
        <v>17</v>
      </c>
      <c r="K324" s="27">
        <v>95</v>
      </c>
      <c r="L324" s="27">
        <v>108</v>
      </c>
      <c r="M324" s="27" t="s">
        <v>3237</v>
      </c>
      <c r="N324" s="27" t="s">
        <v>3238</v>
      </c>
    </row>
    <row r="325" spans="1:15" ht="13.8" x14ac:dyDescent="0.3">
      <c r="A325" s="27">
        <v>1119298</v>
      </c>
      <c r="B325" s="37" t="s">
        <v>3232</v>
      </c>
      <c r="C325" s="28" t="s">
        <v>3233</v>
      </c>
      <c r="D325" s="31" t="s">
        <v>3234</v>
      </c>
      <c r="E325" s="31" t="s">
        <v>3235</v>
      </c>
      <c r="F325" s="31"/>
      <c r="G325" s="31" t="s">
        <v>3246</v>
      </c>
      <c r="H325" s="27" t="s">
        <v>22</v>
      </c>
      <c r="I325" s="27" t="s">
        <v>22</v>
      </c>
      <c r="J325" s="27" t="s">
        <v>17</v>
      </c>
      <c r="K325" s="27">
        <v>95</v>
      </c>
      <c r="L325" s="27">
        <v>108</v>
      </c>
      <c r="M325" s="27" t="s">
        <v>3237</v>
      </c>
      <c r="N325" s="27" t="s">
        <v>3238</v>
      </c>
    </row>
    <row r="326" spans="1:15" ht="13.8" x14ac:dyDescent="0.3">
      <c r="A326" s="27">
        <v>1119298</v>
      </c>
      <c r="B326" s="37" t="s">
        <v>3232</v>
      </c>
      <c r="C326" s="28" t="s">
        <v>3233</v>
      </c>
      <c r="D326" s="31" t="s">
        <v>3234</v>
      </c>
      <c r="E326" s="31" t="s">
        <v>3235</v>
      </c>
      <c r="F326" s="31"/>
      <c r="G326" s="31" t="s">
        <v>3247</v>
      </c>
      <c r="H326" s="27" t="s">
        <v>22</v>
      </c>
      <c r="I326" s="27" t="s">
        <v>22</v>
      </c>
      <c r="J326" s="27" t="s">
        <v>17</v>
      </c>
      <c r="K326" s="27">
        <v>95</v>
      </c>
      <c r="L326" s="27">
        <v>108</v>
      </c>
      <c r="M326" s="27" t="s">
        <v>3237</v>
      </c>
      <c r="N326" s="27" t="s">
        <v>3238</v>
      </c>
    </row>
    <row r="327" spans="1:15" ht="13.8" x14ac:dyDescent="0.3">
      <c r="A327" s="27">
        <v>1119298</v>
      </c>
      <c r="B327" s="37" t="s">
        <v>3232</v>
      </c>
      <c r="C327" s="28" t="s">
        <v>3248</v>
      </c>
      <c r="D327" s="38" t="s">
        <v>3249</v>
      </c>
      <c r="E327" s="38" t="s">
        <v>3250</v>
      </c>
      <c r="F327" s="38"/>
      <c r="G327" s="38"/>
      <c r="H327" s="27" t="s">
        <v>22</v>
      </c>
      <c r="I327" s="27" t="s">
        <v>22</v>
      </c>
      <c r="J327" s="27" t="s">
        <v>17</v>
      </c>
      <c r="K327" s="27">
        <v>76.400000000000006</v>
      </c>
      <c r="L327" s="27">
        <v>45.8</v>
      </c>
      <c r="M327" s="27" t="s">
        <v>3237</v>
      </c>
      <c r="N327" s="27" t="s">
        <v>3238</v>
      </c>
      <c r="O327" s="27" t="s">
        <v>3015</v>
      </c>
    </row>
    <row r="328" spans="1:15" ht="13.8" x14ac:dyDescent="0.3">
      <c r="A328" s="27">
        <v>1119300</v>
      </c>
      <c r="B328" s="37" t="s">
        <v>3251</v>
      </c>
      <c r="C328" s="28" t="s">
        <v>3233</v>
      </c>
      <c r="D328" s="31" t="s">
        <v>3234</v>
      </c>
      <c r="E328" s="31" t="s">
        <v>3235</v>
      </c>
      <c r="F328" s="31"/>
      <c r="G328" s="31" t="s">
        <v>3236</v>
      </c>
      <c r="H328" s="27" t="s">
        <v>22</v>
      </c>
      <c r="I328" s="27" t="s">
        <v>22</v>
      </c>
      <c r="J328" s="27" t="s">
        <v>17</v>
      </c>
      <c r="K328" s="27">
        <v>95</v>
      </c>
      <c r="L328" s="27">
        <v>107</v>
      </c>
      <c r="M328" s="27" t="s">
        <v>3237</v>
      </c>
      <c r="N328" s="27" t="s">
        <v>3238</v>
      </c>
    </row>
    <row r="329" spans="1:15" ht="13.8" x14ac:dyDescent="0.3">
      <c r="A329" s="27">
        <v>1119300</v>
      </c>
      <c r="B329" s="37" t="s">
        <v>3251</v>
      </c>
      <c r="C329" s="28" t="s">
        <v>3233</v>
      </c>
      <c r="D329" s="31" t="s">
        <v>3234</v>
      </c>
      <c r="E329" s="31" t="s">
        <v>3235</v>
      </c>
      <c r="F329" s="31"/>
      <c r="G329" s="31" t="s">
        <v>3239</v>
      </c>
      <c r="H329" s="27" t="s">
        <v>22</v>
      </c>
      <c r="I329" s="27" t="s">
        <v>22</v>
      </c>
      <c r="J329" s="27" t="s">
        <v>17</v>
      </c>
      <c r="K329" s="27">
        <v>95</v>
      </c>
      <c r="L329" s="27">
        <v>107</v>
      </c>
      <c r="M329" s="27" t="s">
        <v>3237</v>
      </c>
      <c r="N329" s="27" t="s">
        <v>3238</v>
      </c>
    </row>
    <row r="330" spans="1:15" ht="13.8" x14ac:dyDescent="0.3">
      <c r="A330" s="27">
        <v>1119300</v>
      </c>
      <c r="B330" s="37" t="s">
        <v>3251</v>
      </c>
      <c r="C330" s="28" t="s">
        <v>3233</v>
      </c>
      <c r="D330" s="31" t="s">
        <v>3234</v>
      </c>
      <c r="E330" s="31" t="s">
        <v>3235</v>
      </c>
      <c r="F330" s="31"/>
      <c r="G330" s="31" t="s">
        <v>3240</v>
      </c>
      <c r="H330" s="27" t="s">
        <v>22</v>
      </c>
      <c r="I330" s="27" t="s">
        <v>22</v>
      </c>
      <c r="J330" s="27" t="s">
        <v>17</v>
      </c>
      <c r="K330" s="27">
        <v>95</v>
      </c>
      <c r="L330" s="27">
        <v>107</v>
      </c>
      <c r="M330" s="27" t="s">
        <v>3237</v>
      </c>
      <c r="N330" s="27" t="s">
        <v>3238</v>
      </c>
    </row>
    <row r="331" spans="1:15" ht="13.8" x14ac:dyDescent="0.3">
      <c r="A331" s="27">
        <v>1119300</v>
      </c>
      <c r="B331" s="37" t="s">
        <v>3251</v>
      </c>
      <c r="C331" s="28" t="s">
        <v>3233</v>
      </c>
      <c r="D331" s="31" t="s">
        <v>3234</v>
      </c>
      <c r="E331" s="31" t="s">
        <v>3235</v>
      </c>
      <c r="F331" s="31"/>
      <c r="G331" s="31" t="s">
        <v>3241</v>
      </c>
      <c r="H331" s="27" t="s">
        <v>22</v>
      </c>
      <c r="I331" s="27" t="s">
        <v>22</v>
      </c>
      <c r="J331" s="27" t="s">
        <v>17</v>
      </c>
      <c r="K331" s="27">
        <v>95</v>
      </c>
      <c r="L331" s="27">
        <v>107</v>
      </c>
      <c r="M331" s="27" t="s">
        <v>3237</v>
      </c>
      <c r="N331" s="27" t="s">
        <v>3238</v>
      </c>
    </row>
    <row r="332" spans="1:15" ht="13.8" x14ac:dyDescent="0.3">
      <c r="A332" s="27">
        <v>1119300</v>
      </c>
      <c r="B332" s="37" t="s">
        <v>3251</v>
      </c>
      <c r="C332" s="28" t="s">
        <v>3233</v>
      </c>
      <c r="D332" s="31" t="s">
        <v>3234</v>
      </c>
      <c r="E332" s="31" t="s">
        <v>3235</v>
      </c>
      <c r="F332" s="31"/>
      <c r="G332" s="31" t="s">
        <v>3242</v>
      </c>
      <c r="H332" s="27" t="s">
        <v>22</v>
      </c>
      <c r="I332" s="27" t="s">
        <v>22</v>
      </c>
      <c r="J332" s="27" t="s">
        <v>17</v>
      </c>
      <c r="K332" s="27">
        <v>95</v>
      </c>
      <c r="L332" s="27">
        <v>107</v>
      </c>
      <c r="M332" s="27" t="s">
        <v>3237</v>
      </c>
      <c r="N332" s="27" t="s">
        <v>3238</v>
      </c>
    </row>
    <row r="333" spans="1:15" ht="13.8" x14ac:dyDescent="0.3">
      <c r="A333" s="27">
        <v>1119300</v>
      </c>
      <c r="B333" s="37" t="s">
        <v>3251</v>
      </c>
      <c r="C333" s="28" t="s">
        <v>3233</v>
      </c>
      <c r="D333" s="31" t="s">
        <v>3234</v>
      </c>
      <c r="E333" s="31" t="s">
        <v>3235</v>
      </c>
      <c r="F333" s="31"/>
      <c r="G333" s="31" t="s">
        <v>3243</v>
      </c>
      <c r="H333" s="27" t="s">
        <v>22</v>
      </c>
      <c r="I333" s="27" t="s">
        <v>22</v>
      </c>
      <c r="J333" s="27" t="s">
        <v>17</v>
      </c>
      <c r="K333" s="27">
        <v>95</v>
      </c>
      <c r="L333" s="27">
        <v>107</v>
      </c>
      <c r="M333" s="27" t="s">
        <v>3237</v>
      </c>
      <c r="N333" s="27" t="s">
        <v>3238</v>
      </c>
    </row>
    <row r="334" spans="1:15" ht="13.8" x14ac:dyDescent="0.3">
      <c r="A334" s="27">
        <v>1119300</v>
      </c>
      <c r="B334" s="37" t="s">
        <v>3251</v>
      </c>
      <c r="C334" s="28" t="s">
        <v>3233</v>
      </c>
      <c r="D334" s="31" t="s">
        <v>3234</v>
      </c>
      <c r="E334" s="31" t="s">
        <v>3235</v>
      </c>
      <c r="F334" s="31"/>
      <c r="G334" s="31" t="s">
        <v>3244</v>
      </c>
      <c r="H334" s="27" t="s">
        <v>22</v>
      </c>
      <c r="I334" s="27" t="s">
        <v>22</v>
      </c>
      <c r="J334" s="27" t="s">
        <v>17</v>
      </c>
      <c r="K334" s="27">
        <v>95</v>
      </c>
      <c r="L334" s="27">
        <v>107</v>
      </c>
      <c r="M334" s="27" t="s">
        <v>3237</v>
      </c>
      <c r="N334" s="27" t="s">
        <v>3238</v>
      </c>
    </row>
    <row r="335" spans="1:15" ht="13.8" x14ac:dyDescent="0.3">
      <c r="A335" s="27">
        <v>1119300</v>
      </c>
      <c r="B335" s="37" t="s">
        <v>3251</v>
      </c>
      <c r="C335" s="28" t="s">
        <v>3233</v>
      </c>
      <c r="D335" s="31" t="s">
        <v>3234</v>
      </c>
      <c r="E335" s="31" t="s">
        <v>3235</v>
      </c>
      <c r="F335" s="31"/>
      <c r="G335" s="31" t="s">
        <v>3245</v>
      </c>
      <c r="H335" s="27" t="s">
        <v>22</v>
      </c>
      <c r="I335" s="27" t="s">
        <v>22</v>
      </c>
      <c r="J335" s="27" t="s">
        <v>17</v>
      </c>
      <c r="K335" s="27">
        <v>95</v>
      </c>
      <c r="L335" s="27">
        <v>107</v>
      </c>
      <c r="M335" s="27" t="s">
        <v>3237</v>
      </c>
      <c r="N335" s="27" t="s">
        <v>3238</v>
      </c>
    </row>
    <row r="336" spans="1:15" ht="13.8" x14ac:dyDescent="0.3">
      <c r="A336" s="27">
        <v>1119300</v>
      </c>
      <c r="B336" s="37" t="s">
        <v>3251</v>
      </c>
      <c r="C336" s="28" t="s">
        <v>3233</v>
      </c>
      <c r="D336" s="31" t="s">
        <v>3234</v>
      </c>
      <c r="E336" s="31" t="s">
        <v>3235</v>
      </c>
      <c r="F336" s="31"/>
      <c r="G336" s="31" t="s">
        <v>3246</v>
      </c>
      <c r="H336" s="27" t="s">
        <v>22</v>
      </c>
      <c r="I336" s="27" t="s">
        <v>22</v>
      </c>
      <c r="J336" s="27" t="s">
        <v>17</v>
      </c>
      <c r="K336" s="27">
        <v>95</v>
      </c>
      <c r="L336" s="27">
        <v>107</v>
      </c>
      <c r="M336" s="27" t="s">
        <v>3237</v>
      </c>
      <c r="N336" s="27" t="s">
        <v>3238</v>
      </c>
    </row>
    <row r="337" spans="1:15" ht="13.8" x14ac:dyDescent="0.3">
      <c r="A337" s="27">
        <v>1119300</v>
      </c>
      <c r="B337" s="37" t="s">
        <v>3251</v>
      </c>
      <c r="C337" s="28" t="s">
        <v>3233</v>
      </c>
      <c r="D337" s="31" t="s">
        <v>3234</v>
      </c>
      <c r="E337" s="31" t="s">
        <v>3235</v>
      </c>
      <c r="F337" s="31"/>
      <c r="G337" s="31" t="s">
        <v>3247</v>
      </c>
      <c r="H337" s="27" t="s">
        <v>22</v>
      </c>
      <c r="I337" s="27" t="s">
        <v>22</v>
      </c>
      <c r="J337" s="27" t="s">
        <v>17</v>
      </c>
      <c r="K337" s="27">
        <v>95</v>
      </c>
      <c r="L337" s="27">
        <v>107</v>
      </c>
      <c r="M337" s="27" t="s">
        <v>3237</v>
      </c>
      <c r="N337" s="27" t="s">
        <v>3238</v>
      </c>
    </row>
    <row r="338" spans="1:15" ht="13.8" x14ac:dyDescent="0.3">
      <c r="A338" s="27">
        <v>1119300</v>
      </c>
      <c r="B338" s="37" t="s">
        <v>3251</v>
      </c>
      <c r="C338" s="28" t="s">
        <v>3248</v>
      </c>
      <c r="D338" s="31" t="s">
        <v>3249</v>
      </c>
      <c r="E338" s="31" t="s">
        <v>3250</v>
      </c>
      <c r="F338" s="31"/>
      <c r="G338" s="31"/>
      <c r="H338" s="27" t="s">
        <v>22</v>
      </c>
      <c r="I338" s="27" t="s">
        <v>22</v>
      </c>
      <c r="J338" s="27" t="s">
        <v>17</v>
      </c>
      <c r="K338" s="27">
        <v>76.400000000000006</v>
      </c>
      <c r="L338" s="27">
        <v>47.8</v>
      </c>
      <c r="M338" s="27" t="s">
        <v>3237</v>
      </c>
      <c r="N338" s="27" t="s">
        <v>3238</v>
      </c>
    </row>
    <row r="339" spans="1:15" ht="13.8" x14ac:dyDescent="0.3">
      <c r="A339" s="27">
        <v>1119721</v>
      </c>
      <c r="B339" s="36" t="s">
        <v>3252</v>
      </c>
      <c r="C339" s="28" t="s">
        <v>3253</v>
      </c>
      <c r="D339" s="31" t="s">
        <v>3253</v>
      </c>
      <c r="E339" s="31" t="s">
        <v>3254</v>
      </c>
      <c r="F339" s="35" t="s">
        <v>3255</v>
      </c>
      <c r="G339" s="31" t="s">
        <v>3256</v>
      </c>
      <c r="H339" s="27" t="s">
        <v>22</v>
      </c>
      <c r="I339" s="27" t="s">
        <v>22</v>
      </c>
      <c r="J339" s="27" t="s">
        <v>17</v>
      </c>
      <c r="K339" s="27">
        <v>100</v>
      </c>
      <c r="L339" s="27">
        <v>122</v>
      </c>
      <c r="M339" s="27" t="s">
        <v>3257</v>
      </c>
      <c r="N339" s="27" t="s">
        <v>3258</v>
      </c>
      <c r="O339" s="50" t="s">
        <v>3259</v>
      </c>
    </row>
    <row r="340" spans="1:15" ht="13.8" x14ac:dyDescent="0.3">
      <c r="A340" s="27">
        <v>1119721</v>
      </c>
      <c r="B340" s="36" t="s">
        <v>3252</v>
      </c>
      <c r="C340" s="28" t="s">
        <v>3253</v>
      </c>
      <c r="D340" s="31" t="s">
        <v>3253</v>
      </c>
      <c r="E340" s="31" t="s">
        <v>3254</v>
      </c>
      <c r="F340" s="35" t="s">
        <v>3255</v>
      </c>
      <c r="G340" s="31" t="s">
        <v>3260</v>
      </c>
      <c r="H340" s="27" t="s">
        <v>22</v>
      </c>
      <c r="I340" s="27" t="s">
        <v>22</v>
      </c>
      <c r="J340" s="27" t="s">
        <v>17</v>
      </c>
      <c r="K340" s="27">
        <v>100</v>
      </c>
      <c r="L340" s="27">
        <v>122</v>
      </c>
      <c r="M340" s="27" t="s">
        <v>3257</v>
      </c>
      <c r="N340" s="27" t="s">
        <v>3258</v>
      </c>
      <c r="O340" s="49"/>
    </row>
    <row r="341" spans="1:15" ht="13.8" x14ac:dyDescent="0.3">
      <c r="A341" s="27">
        <v>1119721</v>
      </c>
      <c r="B341" s="36" t="s">
        <v>3252</v>
      </c>
      <c r="C341" s="28" t="s">
        <v>3253</v>
      </c>
      <c r="D341" s="31" t="s">
        <v>3253</v>
      </c>
      <c r="E341" s="31" t="s">
        <v>3254</v>
      </c>
      <c r="F341" s="35" t="s">
        <v>3255</v>
      </c>
      <c r="G341" s="31" t="s">
        <v>3261</v>
      </c>
      <c r="H341" s="27" t="s">
        <v>22</v>
      </c>
      <c r="I341" s="27" t="s">
        <v>22</v>
      </c>
      <c r="J341" s="27" t="s">
        <v>17</v>
      </c>
      <c r="K341" s="27">
        <v>100</v>
      </c>
      <c r="L341" s="27">
        <v>122</v>
      </c>
      <c r="M341" s="27" t="s">
        <v>3257</v>
      </c>
      <c r="N341" s="27" t="s">
        <v>3258</v>
      </c>
      <c r="O341" s="49"/>
    </row>
    <row r="342" spans="1:15" ht="13.8" x14ac:dyDescent="0.3">
      <c r="A342" s="27">
        <v>1119721</v>
      </c>
      <c r="B342" s="36" t="s">
        <v>3252</v>
      </c>
      <c r="C342" s="28" t="s">
        <v>3253</v>
      </c>
      <c r="D342" s="31" t="s">
        <v>3253</v>
      </c>
      <c r="E342" s="31" t="s">
        <v>3254</v>
      </c>
      <c r="F342" s="35" t="s">
        <v>3255</v>
      </c>
      <c r="G342" s="31" t="s">
        <v>3262</v>
      </c>
      <c r="H342" s="27" t="s">
        <v>22</v>
      </c>
      <c r="I342" s="27" t="s">
        <v>22</v>
      </c>
      <c r="J342" s="27" t="s">
        <v>17</v>
      </c>
      <c r="K342" s="27">
        <v>100</v>
      </c>
      <c r="L342" s="27">
        <v>122</v>
      </c>
      <c r="M342" s="27" t="s">
        <v>3257</v>
      </c>
      <c r="N342" s="27" t="s">
        <v>3258</v>
      </c>
      <c r="O342" s="49"/>
    </row>
    <row r="343" spans="1:15" ht="13.8" x14ac:dyDescent="0.3">
      <c r="A343" s="27">
        <v>1119721</v>
      </c>
      <c r="B343" s="36" t="s">
        <v>3252</v>
      </c>
      <c r="C343" s="28" t="s">
        <v>3253</v>
      </c>
      <c r="D343" s="31" t="s">
        <v>3253</v>
      </c>
      <c r="E343" s="31" t="s">
        <v>3254</v>
      </c>
      <c r="F343" s="35" t="s">
        <v>3255</v>
      </c>
      <c r="G343" s="31" t="s">
        <v>3263</v>
      </c>
      <c r="H343" s="27" t="s">
        <v>22</v>
      </c>
      <c r="I343" s="27" t="s">
        <v>22</v>
      </c>
      <c r="J343" s="27" t="s">
        <v>17</v>
      </c>
      <c r="K343" s="27">
        <v>100</v>
      </c>
      <c r="L343" s="27">
        <v>122</v>
      </c>
      <c r="M343" s="27" t="s">
        <v>3257</v>
      </c>
      <c r="N343" s="27" t="s">
        <v>3258</v>
      </c>
      <c r="O343" s="49"/>
    </row>
    <row r="344" spans="1:15" ht="13.8" x14ac:dyDescent="0.3">
      <c r="A344" s="27">
        <v>1119721</v>
      </c>
      <c r="B344" s="36" t="s">
        <v>3252</v>
      </c>
      <c r="C344" s="28" t="s">
        <v>3253</v>
      </c>
      <c r="D344" s="31" t="s">
        <v>3253</v>
      </c>
      <c r="E344" s="31" t="s">
        <v>3254</v>
      </c>
      <c r="F344" s="35" t="s">
        <v>3255</v>
      </c>
      <c r="G344" s="31" t="s">
        <v>3264</v>
      </c>
      <c r="H344" s="27" t="s">
        <v>22</v>
      </c>
      <c r="I344" s="27" t="s">
        <v>22</v>
      </c>
      <c r="J344" s="27" t="s">
        <v>17</v>
      </c>
      <c r="K344" s="27">
        <v>100</v>
      </c>
      <c r="L344" s="27">
        <v>122</v>
      </c>
      <c r="M344" s="27" t="s">
        <v>3257</v>
      </c>
      <c r="N344" s="27" t="s">
        <v>3258</v>
      </c>
      <c r="O344" s="49"/>
    </row>
    <row r="345" spans="1:15" ht="13.8" x14ac:dyDescent="0.3">
      <c r="A345" s="27">
        <v>1119721</v>
      </c>
      <c r="B345" s="36" t="s">
        <v>3252</v>
      </c>
      <c r="C345" s="28" t="s">
        <v>3253</v>
      </c>
      <c r="D345" s="31" t="s">
        <v>3253</v>
      </c>
      <c r="E345" s="31" t="s">
        <v>3254</v>
      </c>
      <c r="F345" s="35" t="s">
        <v>3255</v>
      </c>
      <c r="G345" s="31" t="s">
        <v>3265</v>
      </c>
      <c r="H345" s="27" t="s">
        <v>22</v>
      </c>
      <c r="I345" s="27" t="s">
        <v>22</v>
      </c>
      <c r="J345" s="27" t="s">
        <v>17</v>
      </c>
      <c r="K345" s="27">
        <v>100</v>
      </c>
      <c r="L345" s="27">
        <v>122</v>
      </c>
      <c r="M345" s="27" t="s">
        <v>3257</v>
      </c>
      <c r="N345" s="27" t="s">
        <v>3258</v>
      </c>
      <c r="O345" s="49"/>
    </row>
    <row r="346" spans="1:15" ht="13.8" x14ac:dyDescent="0.3">
      <c r="A346" s="27">
        <v>1119721</v>
      </c>
      <c r="B346" s="36" t="s">
        <v>3252</v>
      </c>
      <c r="C346" s="28" t="s">
        <v>3253</v>
      </c>
      <c r="D346" s="31" t="s">
        <v>3253</v>
      </c>
      <c r="E346" s="31" t="s">
        <v>3254</v>
      </c>
      <c r="F346" s="35" t="s">
        <v>3255</v>
      </c>
      <c r="G346" s="31" t="s">
        <v>3266</v>
      </c>
      <c r="H346" s="27" t="s">
        <v>22</v>
      </c>
      <c r="I346" s="27" t="s">
        <v>22</v>
      </c>
      <c r="J346" s="27" t="s">
        <v>17</v>
      </c>
      <c r="K346" s="27">
        <v>100</v>
      </c>
      <c r="L346" s="27">
        <v>122</v>
      </c>
      <c r="M346" s="27" t="s">
        <v>3257</v>
      </c>
      <c r="N346" s="27" t="s">
        <v>3258</v>
      </c>
      <c r="O346" s="49"/>
    </row>
    <row r="347" spans="1:15" ht="13.8" x14ac:dyDescent="0.3">
      <c r="A347" s="27">
        <v>1119721</v>
      </c>
      <c r="B347" s="36" t="s">
        <v>3252</v>
      </c>
      <c r="C347" s="28" t="s">
        <v>3253</v>
      </c>
      <c r="D347" s="31" t="s">
        <v>3253</v>
      </c>
      <c r="E347" s="31" t="s">
        <v>3254</v>
      </c>
      <c r="F347" s="35" t="s">
        <v>3255</v>
      </c>
      <c r="G347" s="31" t="s">
        <v>3267</v>
      </c>
      <c r="H347" s="27" t="s">
        <v>22</v>
      </c>
      <c r="I347" s="27" t="s">
        <v>22</v>
      </c>
      <c r="J347" s="27" t="s">
        <v>17</v>
      </c>
      <c r="K347" s="27">
        <v>100</v>
      </c>
      <c r="L347" s="27">
        <v>122</v>
      </c>
      <c r="M347" s="27" t="s">
        <v>3257</v>
      </c>
      <c r="N347" s="27" t="s">
        <v>3258</v>
      </c>
      <c r="O347" s="49"/>
    </row>
    <row r="348" spans="1:15" ht="13.8" x14ac:dyDescent="0.3">
      <c r="A348" s="27">
        <v>1119721</v>
      </c>
      <c r="B348" s="36" t="s">
        <v>3252</v>
      </c>
      <c r="C348" s="28" t="s">
        <v>3253</v>
      </c>
      <c r="D348" s="31" t="s">
        <v>3253</v>
      </c>
      <c r="E348" s="31" t="s">
        <v>3254</v>
      </c>
      <c r="F348" s="35" t="s">
        <v>3255</v>
      </c>
      <c r="G348" s="31" t="s">
        <v>3268</v>
      </c>
      <c r="H348" s="27" t="s">
        <v>22</v>
      </c>
      <c r="I348" s="27" t="s">
        <v>22</v>
      </c>
      <c r="J348" s="27" t="s">
        <v>17</v>
      </c>
      <c r="K348" s="27">
        <v>100</v>
      </c>
      <c r="L348" s="27">
        <v>122</v>
      </c>
      <c r="M348" s="27" t="s">
        <v>3257</v>
      </c>
      <c r="N348" s="27" t="s">
        <v>3258</v>
      </c>
      <c r="O348" s="49"/>
    </row>
    <row r="349" spans="1:15" ht="13.8" x14ac:dyDescent="0.3">
      <c r="A349" s="27">
        <v>1119721</v>
      </c>
      <c r="B349" s="36" t="s">
        <v>3252</v>
      </c>
      <c r="C349" s="28" t="s">
        <v>3253</v>
      </c>
      <c r="D349" s="31" t="s">
        <v>3253</v>
      </c>
      <c r="E349" s="31" t="s">
        <v>3254</v>
      </c>
      <c r="F349" s="35" t="s">
        <v>3255</v>
      </c>
      <c r="G349" s="31" t="s">
        <v>3269</v>
      </c>
      <c r="H349" s="27" t="s">
        <v>22</v>
      </c>
      <c r="I349" s="27" t="s">
        <v>22</v>
      </c>
      <c r="J349" s="27" t="s">
        <v>17</v>
      </c>
      <c r="K349" s="27">
        <v>100</v>
      </c>
      <c r="L349" s="27">
        <v>122</v>
      </c>
      <c r="M349" s="27" t="s">
        <v>3257</v>
      </c>
      <c r="N349" s="27" t="s">
        <v>3258</v>
      </c>
      <c r="O349" s="49"/>
    </row>
    <row r="350" spans="1:15" ht="13.8" x14ac:dyDescent="0.3">
      <c r="A350" s="27">
        <v>1119721</v>
      </c>
      <c r="B350" s="36" t="s">
        <v>3252</v>
      </c>
      <c r="C350" s="28" t="s">
        <v>3253</v>
      </c>
      <c r="D350" s="31" t="s">
        <v>3253</v>
      </c>
      <c r="E350" s="31" t="s">
        <v>3254</v>
      </c>
      <c r="F350" s="35" t="s">
        <v>3255</v>
      </c>
      <c r="G350" s="31" t="s">
        <v>3270</v>
      </c>
      <c r="H350" s="27" t="s">
        <v>22</v>
      </c>
      <c r="I350" s="27" t="s">
        <v>22</v>
      </c>
      <c r="J350" s="27" t="s">
        <v>17</v>
      </c>
      <c r="K350" s="27">
        <v>100</v>
      </c>
      <c r="L350" s="27">
        <v>122</v>
      </c>
      <c r="M350" s="27" t="s">
        <v>3257</v>
      </c>
      <c r="N350" s="27" t="s">
        <v>3258</v>
      </c>
      <c r="O350" s="49"/>
    </row>
    <row r="351" spans="1:15" ht="13.8" x14ac:dyDescent="0.3">
      <c r="A351" s="27">
        <v>1119721</v>
      </c>
      <c r="B351" s="36" t="s">
        <v>3252</v>
      </c>
      <c r="C351" s="28" t="s">
        <v>3253</v>
      </c>
      <c r="D351" s="31" t="s">
        <v>3253</v>
      </c>
      <c r="E351" s="31" t="s">
        <v>3254</v>
      </c>
      <c r="F351" s="35" t="s">
        <v>3255</v>
      </c>
      <c r="G351" s="31" t="s">
        <v>3271</v>
      </c>
      <c r="H351" s="27" t="s">
        <v>22</v>
      </c>
      <c r="I351" s="27" t="s">
        <v>22</v>
      </c>
      <c r="J351" s="27" t="s">
        <v>17</v>
      </c>
      <c r="K351" s="27">
        <v>100</v>
      </c>
      <c r="L351" s="27">
        <v>122</v>
      </c>
      <c r="M351" s="27" t="s">
        <v>3257</v>
      </c>
      <c r="N351" s="27" t="s">
        <v>3258</v>
      </c>
      <c r="O351" s="49"/>
    </row>
    <row r="352" spans="1:15" ht="13.8" x14ac:dyDescent="0.3">
      <c r="A352" s="27">
        <v>1119721</v>
      </c>
      <c r="B352" s="36" t="s">
        <v>3252</v>
      </c>
      <c r="C352" s="28" t="s">
        <v>3253</v>
      </c>
      <c r="D352" s="31" t="s">
        <v>3253</v>
      </c>
      <c r="E352" s="31" t="s">
        <v>3254</v>
      </c>
      <c r="F352" s="35" t="s">
        <v>3255</v>
      </c>
      <c r="G352" s="31" t="s">
        <v>3272</v>
      </c>
      <c r="H352" s="27" t="s">
        <v>22</v>
      </c>
      <c r="I352" s="27" t="s">
        <v>22</v>
      </c>
      <c r="J352" s="27" t="s">
        <v>17</v>
      </c>
      <c r="K352" s="27">
        <v>100</v>
      </c>
      <c r="L352" s="27">
        <v>122</v>
      </c>
      <c r="M352" s="27" t="s">
        <v>3257</v>
      </c>
      <c r="N352" s="27" t="s">
        <v>3258</v>
      </c>
      <c r="O352" s="49"/>
    </row>
    <row r="353" spans="1:15" ht="13.8" x14ac:dyDescent="0.3">
      <c r="A353" s="27">
        <v>1119721</v>
      </c>
      <c r="B353" s="36" t="s">
        <v>3252</v>
      </c>
      <c r="C353" s="28" t="s">
        <v>3253</v>
      </c>
      <c r="D353" s="31" t="s">
        <v>3253</v>
      </c>
      <c r="E353" s="31" t="s">
        <v>3254</v>
      </c>
      <c r="F353" s="35" t="s">
        <v>3255</v>
      </c>
      <c r="G353" s="31" t="s">
        <v>3273</v>
      </c>
      <c r="H353" s="27" t="s">
        <v>22</v>
      </c>
      <c r="I353" s="27" t="s">
        <v>22</v>
      </c>
      <c r="J353" s="27" t="s">
        <v>17</v>
      </c>
      <c r="K353" s="27">
        <v>100</v>
      </c>
      <c r="L353" s="27">
        <v>122</v>
      </c>
      <c r="M353" s="27" t="s">
        <v>3257</v>
      </c>
      <c r="N353" s="27" t="s">
        <v>3258</v>
      </c>
      <c r="O353" s="49"/>
    </row>
    <row r="354" spans="1:15" ht="13.8" x14ac:dyDescent="0.3">
      <c r="A354" s="27">
        <v>1119721</v>
      </c>
      <c r="B354" s="36" t="s">
        <v>3252</v>
      </c>
      <c r="C354" s="28" t="s">
        <v>3253</v>
      </c>
      <c r="D354" s="31" t="s">
        <v>3253</v>
      </c>
      <c r="E354" s="31" t="s">
        <v>3254</v>
      </c>
      <c r="F354" s="35" t="s">
        <v>3255</v>
      </c>
      <c r="G354" s="31" t="s">
        <v>3274</v>
      </c>
      <c r="H354" s="27" t="s">
        <v>22</v>
      </c>
      <c r="I354" s="27" t="s">
        <v>22</v>
      </c>
      <c r="J354" s="27" t="s">
        <v>17</v>
      </c>
      <c r="K354" s="27">
        <v>100</v>
      </c>
      <c r="L354" s="27">
        <v>122</v>
      </c>
      <c r="M354" s="27" t="s">
        <v>3257</v>
      </c>
      <c r="N354" s="27" t="s">
        <v>3258</v>
      </c>
      <c r="O354" s="49"/>
    </row>
    <row r="355" spans="1:15" ht="13.8" x14ac:dyDescent="0.3">
      <c r="A355" s="27">
        <v>1119721</v>
      </c>
      <c r="B355" s="36" t="s">
        <v>3252</v>
      </c>
      <c r="C355" s="28" t="s">
        <v>3253</v>
      </c>
      <c r="D355" s="31" t="s">
        <v>3253</v>
      </c>
      <c r="E355" s="31" t="s">
        <v>3254</v>
      </c>
      <c r="F355" s="35" t="s">
        <v>3255</v>
      </c>
      <c r="G355" s="31" t="s">
        <v>3275</v>
      </c>
      <c r="H355" s="27" t="s">
        <v>22</v>
      </c>
      <c r="I355" s="27" t="s">
        <v>22</v>
      </c>
      <c r="J355" s="27" t="s">
        <v>17</v>
      </c>
      <c r="K355" s="27">
        <v>100</v>
      </c>
      <c r="L355" s="27">
        <v>122</v>
      </c>
      <c r="M355" s="27" t="s">
        <v>3257</v>
      </c>
      <c r="N355" s="27" t="s">
        <v>3258</v>
      </c>
      <c r="O355" s="49"/>
    </row>
    <row r="356" spans="1:15" ht="13.8" x14ac:dyDescent="0.3">
      <c r="A356" s="27">
        <v>1119721</v>
      </c>
      <c r="B356" s="36" t="s">
        <v>3252</v>
      </c>
      <c r="C356" s="28" t="s">
        <v>3253</v>
      </c>
      <c r="D356" s="31" t="s">
        <v>3253</v>
      </c>
      <c r="E356" s="31" t="s">
        <v>3254</v>
      </c>
      <c r="F356" s="35" t="s">
        <v>3255</v>
      </c>
      <c r="G356" s="31" t="s">
        <v>3276</v>
      </c>
      <c r="H356" s="27" t="s">
        <v>22</v>
      </c>
      <c r="I356" s="27" t="s">
        <v>22</v>
      </c>
      <c r="J356" s="27" t="s">
        <v>17</v>
      </c>
      <c r="K356" s="27">
        <v>100</v>
      </c>
      <c r="L356" s="27">
        <v>122</v>
      </c>
      <c r="M356" s="27" t="s">
        <v>3257</v>
      </c>
      <c r="N356" s="27" t="s">
        <v>3258</v>
      </c>
      <c r="O356" s="49"/>
    </row>
    <row r="357" spans="1:15" ht="13.8" x14ac:dyDescent="0.3">
      <c r="A357" s="27">
        <v>1119721</v>
      </c>
      <c r="B357" s="36" t="s">
        <v>3252</v>
      </c>
      <c r="C357" s="28" t="s">
        <v>3253</v>
      </c>
      <c r="D357" s="31" t="s">
        <v>3253</v>
      </c>
      <c r="E357" s="31" t="s">
        <v>3254</v>
      </c>
      <c r="F357" s="35" t="s">
        <v>3255</v>
      </c>
      <c r="G357" s="31" t="s">
        <v>3277</v>
      </c>
      <c r="H357" s="27" t="s">
        <v>22</v>
      </c>
      <c r="I357" s="27" t="s">
        <v>22</v>
      </c>
      <c r="J357" s="27" t="s">
        <v>17</v>
      </c>
      <c r="K357" s="27">
        <v>100</v>
      </c>
      <c r="L357" s="27">
        <v>122</v>
      </c>
      <c r="M357" s="27" t="s">
        <v>3257</v>
      </c>
      <c r="N357" s="27" t="s">
        <v>3258</v>
      </c>
      <c r="O357" s="49"/>
    </row>
    <row r="358" spans="1:15" ht="13.8" x14ac:dyDescent="0.3">
      <c r="A358" s="27">
        <v>1119721</v>
      </c>
      <c r="B358" s="36" t="s">
        <v>3252</v>
      </c>
      <c r="C358" s="28" t="s">
        <v>3253</v>
      </c>
      <c r="D358" s="31" t="s">
        <v>3253</v>
      </c>
      <c r="E358" s="31" t="s">
        <v>3254</v>
      </c>
      <c r="F358" s="35" t="s">
        <v>3255</v>
      </c>
      <c r="G358" s="31" t="s">
        <v>3278</v>
      </c>
      <c r="H358" s="27" t="s">
        <v>22</v>
      </c>
      <c r="I358" s="27" t="s">
        <v>22</v>
      </c>
      <c r="J358" s="27" t="s">
        <v>17</v>
      </c>
      <c r="K358" s="27">
        <v>100</v>
      </c>
      <c r="L358" s="27">
        <v>122</v>
      </c>
      <c r="M358" s="27" t="s">
        <v>3257</v>
      </c>
      <c r="N358" s="27" t="s">
        <v>3258</v>
      </c>
      <c r="O358" s="49"/>
    </row>
    <row r="359" spans="1:15" ht="13.8" x14ac:dyDescent="0.3">
      <c r="A359" s="27">
        <v>1119721</v>
      </c>
      <c r="B359" s="36" t="s">
        <v>3252</v>
      </c>
      <c r="C359" s="28" t="s">
        <v>3253</v>
      </c>
      <c r="D359" s="31" t="s">
        <v>3253</v>
      </c>
      <c r="E359" s="31" t="s">
        <v>3254</v>
      </c>
      <c r="F359" s="35" t="s">
        <v>3255</v>
      </c>
      <c r="G359" s="31" t="s">
        <v>3279</v>
      </c>
      <c r="H359" s="27" t="s">
        <v>22</v>
      </c>
      <c r="I359" s="27" t="s">
        <v>22</v>
      </c>
      <c r="J359" s="27" t="s">
        <v>17</v>
      </c>
      <c r="K359" s="27">
        <v>100</v>
      </c>
      <c r="L359" s="27">
        <v>122</v>
      </c>
      <c r="M359" s="27" t="s">
        <v>3257</v>
      </c>
      <c r="N359" s="27" t="s">
        <v>3258</v>
      </c>
      <c r="O359" s="49"/>
    </row>
    <row r="360" spans="1:15" ht="13.8" x14ac:dyDescent="0.3">
      <c r="A360" s="27">
        <v>1119721</v>
      </c>
      <c r="B360" s="36" t="s">
        <v>3252</v>
      </c>
      <c r="C360" s="28" t="s">
        <v>3253</v>
      </c>
      <c r="D360" s="31" t="s">
        <v>3253</v>
      </c>
      <c r="E360" s="31" t="s">
        <v>3254</v>
      </c>
      <c r="F360" s="35" t="s">
        <v>3255</v>
      </c>
      <c r="G360" s="31" t="s">
        <v>3280</v>
      </c>
      <c r="H360" s="27" t="s">
        <v>22</v>
      </c>
      <c r="I360" s="27" t="s">
        <v>22</v>
      </c>
      <c r="J360" s="27" t="s">
        <v>17</v>
      </c>
      <c r="K360" s="27">
        <v>100</v>
      </c>
      <c r="L360" s="27">
        <v>122</v>
      </c>
      <c r="M360" s="27" t="s">
        <v>3257</v>
      </c>
      <c r="N360" s="27" t="s">
        <v>3258</v>
      </c>
      <c r="O360" s="49"/>
    </row>
    <row r="361" spans="1:15" ht="13.8" hidden="1" x14ac:dyDescent="0.3">
      <c r="A361" s="27">
        <v>1119721</v>
      </c>
      <c r="B361" s="36" t="s">
        <v>3252</v>
      </c>
      <c r="C361" s="28" t="s">
        <v>3281</v>
      </c>
      <c r="D361" s="31"/>
      <c r="E361" s="31"/>
      <c r="F361" s="31"/>
      <c r="G361" s="31"/>
      <c r="H361" s="27" t="s">
        <v>16</v>
      </c>
      <c r="I361" s="27" t="s">
        <v>16</v>
      </c>
      <c r="J361" s="27" t="s">
        <v>17</v>
      </c>
      <c r="K361" s="27">
        <v>0</v>
      </c>
      <c r="L361" s="27">
        <v>0</v>
      </c>
    </row>
    <row r="362" spans="1:15" ht="13.8" hidden="1" x14ac:dyDescent="0.3">
      <c r="A362" s="27">
        <v>1119721</v>
      </c>
      <c r="B362" s="36" t="s">
        <v>3252</v>
      </c>
      <c r="C362" s="28" t="s">
        <v>3282</v>
      </c>
      <c r="D362" s="31"/>
      <c r="E362" s="31"/>
      <c r="F362" s="31"/>
      <c r="G362" s="31"/>
      <c r="H362" s="27" t="s">
        <v>16</v>
      </c>
      <c r="I362" s="27" t="s">
        <v>16</v>
      </c>
      <c r="J362" s="27" t="s">
        <v>17</v>
      </c>
      <c r="K362" s="27">
        <v>0</v>
      </c>
      <c r="L362" s="27">
        <v>0</v>
      </c>
    </row>
    <row r="363" spans="1:15" ht="13.8" hidden="1" x14ac:dyDescent="0.3">
      <c r="A363" s="27">
        <v>1119721</v>
      </c>
      <c r="B363" s="36" t="s">
        <v>3252</v>
      </c>
      <c r="C363" s="28" t="s">
        <v>3283</v>
      </c>
      <c r="D363" s="31"/>
      <c r="E363" s="31"/>
      <c r="F363" s="31"/>
      <c r="G363" s="31"/>
      <c r="H363" s="27" t="s">
        <v>16</v>
      </c>
      <c r="I363" s="27" t="s">
        <v>16</v>
      </c>
      <c r="J363" s="27" t="s">
        <v>17</v>
      </c>
      <c r="K363" s="27">
        <v>0</v>
      </c>
      <c r="L363" s="27">
        <v>0</v>
      </c>
    </row>
    <row r="364" spans="1:15" ht="13.8" hidden="1" x14ac:dyDescent="0.3">
      <c r="A364" s="27">
        <v>1119721</v>
      </c>
      <c r="B364" s="36" t="s">
        <v>3252</v>
      </c>
      <c r="C364" s="28" t="s">
        <v>3284</v>
      </c>
      <c r="D364" s="31"/>
      <c r="E364" s="31"/>
      <c r="F364" s="31"/>
      <c r="G364" s="31"/>
      <c r="H364" s="27" t="s">
        <v>16</v>
      </c>
      <c r="I364" s="27" t="s">
        <v>16</v>
      </c>
      <c r="J364" s="27" t="s">
        <v>17</v>
      </c>
      <c r="K364" s="27">
        <v>0</v>
      </c>
      <c r="L364" s="27">
        <v>0</v>
      </c>
    </row>
    <row r="365" spans="1:15" ht="13.8" hidden="1" x14ac:dyDescent="0.3">
      <c r="A365" s="27">
        <v>1119721</v>
      </c>
      <c r="B365" s="36" t="s">
        <v>3252</v>
      </c>
      <c r="C365" s="28" t="s">
        <v>3285</v>
      </c>
      <c r="D365" s="31"/>
      <c r="E365" s="31"/>
      <c r="F365" s="31"/>
      <c r="G365" s="31"/>
      <c r="H365" s="27" t="s">
        <v>16</v>
      </c>
      <c r="I365" s="27" t="s">
        <v>16</v>
      </c>
      <c r="J365" s="27" t="s">
        <v>17</v>
      </c>
      <c r="K365" s="27">
        <v>0</v>
      </c>
      <c r="L365" s="27">
        <v>0</v>
      </c>
    </row>
    <row r="366" spans="1:15" ht="13.8" x14ac:dyDescent="0.3">
      <c r="A366" s="27">
        <v>1119721</v>
      </c>
      <c r="B366" s="36" t="s">
        <v>3252</v>
      </c>
      <c r="C366" s="28" t="s">
        <v>3286</v>
      </c>
      <c r="D366" s="31" t="s">
        <v>3287</v>
      </c>
      <c r="E366" s="31" t="s">
        <v>3288</v>
      </c>
      <c r="F366" s="31"/>
      <c r="G366" s="31" t="s">
        <v>3289</v>
      </c>
      <c r="H366" s="27" t="s">
        <v>46</v>
      </c>
      <c r="I366" s="27" t="s">
        <v>46</v>
      </c>
      <c r="J366" s="27" t="s">
        <v>17</v>
      </c>
      <c r="K366" s="27">
        <v>100</v>
      </c>
      <c r="L366" s="27">
        <v>50</v>
      </c>
      <c r="M366" s="27" t="s">
        <v>3290</v>
      </c>
      <c r="N366" s="27" t="s">
        <v>3291</v>
      </c>
    </row>
    <row r="367" spans="1:15" ht="13.8" x14ac:dyDescent="0.3">
      <c r="A367" s="27">
        <v>1119721</v>
      </c>
      <c r="B367" s="36" t="s">
        <v>3252</v>
      </c>
      <c r="C367" s="28" t="s">
        <v>3286</v>
      </c>
      <c r="D367" s="31" t="s">
        <v>3287</v>
      </c>
      <c r="E367" s="31" t="s">
        <v>3288</v>
      </c>
      <c r="F367" s="31"/>
      <c r="G367" s="31" t="s">
        <v>3292</v>
      </c>
      <c r="H367" s="27" t="s">
        <v>46</v>
      </c>
      <c r="I367" s="27" t="s">
        <v>46</v>
      </c>
      <c r="J367" s="27" t="s">
        <v>17</v>
      </c>
      <c r="K367" s="27">
        <v>100</v>
      </c>
      <c r="L367" s="27">
        <v>50</v>
      </c>
      <c r="M367" s="27" t="s">
        <v>3290</v>
      </c>
      <c r="N367" s="27" t="s">
        <v>3291</v>
      </c>
    </row>
    <row r="368" spans="1:15" ht="13.8" x14ac:dyDescent="0.3">
      <c r="A368" s="27">
        <v>1119721</v>
      </c>
      <c r="B368" s="36" t="s">
        <v>3252</v>
      </c>
      <c r="C368" s="28" t="s">
        <v>3286</v>
      </c>
      <c r="D368" s="31" t="s">
        <v>3287</v>
      </c>
      <c r="E368" s="31" t="s">
        <v>3288</v>
      </c>
      <c r="F368" s="31"/>
      <c r="G368" s="31" t="s">
        <v>3293</v>
      </c>
      <c r="H368" s="27" t="s">
        <v>46</v>
      </c>
      <c r="I368" s="27" t="s">
        <v>46</v>
      </c>
      <c r="J368" s="27" t="s">
        <v>17</v>
      </c>
      <c r="K368" s="27">
        <v>100</v>
      </c>
      <c r="L368" s="27">
        <v>50</v>
      </c>
      <c r="M368" s="27" t="s">
        <v>3290</v>
      </c>
      <c r="N368" s="27" t="s">
        <v>3291</v>
      </c>
    </row>
    <row r="369" spans="1:14" ht="13.8" x14ac:dyDescent="0.3">
      <c r="A369" s="27">
        <v>1119721</v>
      </c>
      <c r="B369" s="36" t="s">
        <v>3252</v>
      </c>
      <c r="C369" s="28" t="s">
        <v>3294</v>
      </c>
      <c r="D369" s="31" t="s">
        <v>3295</v>
      </c>
      <c r="E369" s="31" t="s">
        <v>3296</v>
      </c>
      <c r="F369" s="31"/>
      <c r="G369" s="31" t="s">
        <v>3297</v>
      </c>
      <c r="H369" s="27" t="s">
        <v>22</v>
      </c>
      <c r="I369" s="27" t="s">
        <v>22</v>
      </c>
      <c r="J369" s="27" t="s">
        <v>17</v>
      </c>
      <c r="K369" s="27">
        <v>94.4</v>
      </c>
      <c r="L369" s="27">
        <v>107.7</v>
      </c>
    </row>
    <row r="370" spans="1:14" ht="13.8" x14ac:dyDescent="0.3">
      <c r="A370" s="27">
        <v>1119721</v>
      </c>
      <c r="B370" s="36" t="s">
        <v>3252</v>
      </c>
      <c r="C370" s="28" t="s">
        <v>3294</v>
      </c>
      <c r="D370" s="31" t="s">
        <v>3295</v>
      </c>
      <c r="E370" s="31" t="s">
        <v>3296</v>
      </c>
      <c r="F370" s="31"/>
      <c r="G370" s="31" t="s">
        <v>3298</v>
      </c>
      <c r="H370" s="27" t="s">
        <v>22</v>
      </c>
      <c r="I370" s="27" t="s">
        <v>22</v>
      </c>
      <c r="J370" s="27" t="s">
        <v>17</v>
      </c>
      <c r="K370" s="27">
        <v>94.4</v>
      </c>
      <c r="L370" s="27">
        <v>107.7</v>
      </c>
    </row>
    <row r="371" spans="1:14" ht="13.8" x14ac:dyDescent="0.3">
      <c r="A371" s="27">
        <v>1119721</v>
      </c>
      <c r="B371" s="36" t="s">
        <v>3252</v>
      </c>
      <c r="C371" s="28" t="s">
        <v>3299</v>
      </c>
      <c r="D371" s="31" t="s">
        <v>3300</v>
      </c>
      <c r="E371" s="31" t="s">
        <v>3301</v>
      </c>
      <c r="F371" s="31" t="s">
        <v>3302</v>
      </c>
      <c r="G371" s="31" t="s">
        <v>3303</v>
      </c>
      <c r="H371" s="27" t="s">
        <v>22</v>
      </c>
      <c r="I371" s="27" t="s">
        <v>22</v>
      </c>
      <c r="J371" s="27" t="s">
        <v>17</v>
      </c>
      <c r="K371" s="27">
        <v>95</v>
      </c>
      <c r="L371" s="27">
        <v>113</v>
      </c>
      <c r="M371" s="27" t="s">
        <v>3304</v>
      </c>
      <c r="N371" s="27" t="s">
        <v>3305</v>
      </c>
    </row>
    <row r="372" spans="1:14" ht="13.8" x14ac:dyDescent="0.3">
      <c r="A372" s="27">
        <v>1119721</v>
      </c>
      <c r="B372" s="36" t="s">
        <v>3252</v>
      </c>
      <c r="C372" s="28" t="s">
        <v>3299</v>
      </c>
      <c r="D372" s="31" t="s">
        <v>3300</v>
      </c>
      <c r="E372" s="31" t="s">
        <v>3301</v>
      </c>
      <c r="F372" s="31" t="s">
        <v>3302</v>
      </c>
      <c r="G372" s="31" t="s">
        <v>3306</v>
      </c>
      <c r="H372" s="27" t="s">
        <v>22</v>
      </c>
      <c r="I372" s="27" t="s">
        <v>22</v>
      </c>
      <c r="J372" s="27" t="s">
        <v>17</v>
      </c>
      <c r="K372" s="27">
        <v>95</v>
      </c>
      <c r="L372" s="27">
        <v>113</v>
      </c>
      <c r="M372" s="27" t="s">
        <v>3304</v>
      </c>
      <c r="N372" s="27" t="s">
        <v>3305</v>
      </c>
    </row>
    <row r="373" spans="1:14" ht="13.8" x14ac:dyDescent="0.3">
      <c r="A373" s="27">
        <v>1119721</v>
      </c>
      <c r="B373" s="36" t="s">
        <v>3252</v>
      </c>
      <c r="C373" s="28" t="s">
        <v>3299</v>
      </c>
      <c r="D373" s="31" t="s">
        <v>3300</v>
      </c>
      <c r="E373" s="31" t="s">
        <v>3301</v>
      </c>
      <c r="F373" s="31" t="s">
        <v>3302</v>
      </c>
      <c r="G373" s="31" t="s">
        <v>3307</v>
      </c>
      <c r="H373" s="27" t="s">
        <v>22</v>
      </c>
      <c r="I373" s="27" t="s">
        <v>22</v>
      </c>
      <c r="J373" s="27" t="s">
        <v>17</v>
      </c>
      <c r="K373" s="27">
        <v>95</v>
      </c>
      <c r="L373" s="27">
        <v>113</v>
      </c>
      <c r="M373" s="27" t="s">
        <v>3304</v>
      </c>
      <c r="N373" s="27" t="s">
        <v>3305</v>
      </c>
    </row>
    <row r="374" spans="1:14" ht="13.8" x14ac:dyDescent="0.3">
      <c r="A374" s="27">
        <v>1119721</v>
      </c>
      <c r="B374" s="36" t="s">
        <v>3252</v>
      </c>
      <c r="C374" s="28" t="s">
        <v>3299</v>
      </c>
      <c r="D374" s="31" t="s">
        <v>3300</v>
      </c>
      <c r="E374" s="31" t="s">
        <v>3301</v>
      </c>
      <c r="F374" s="31" t="s">
        <v>3302</v>
      </c>
      <c r="G374" s="31" t="s">
        <v>3308</v>
      </c>
      <c r="H374" s="27" t="s">
        <v>22</v>
      </c>
      <c r="I374" s="27" t="s">
        <v>22</v>
      </c>
      <c r="J374" s="27" t="s">
        <v>17</v>
      </c>
      <c r="K374" s="27">
        <v>95</v>
      </c>
      <c r="L374" s="27">
        <v>113</v>
      </c>
      <c r="M374" s="27" t="s">
        <v>3304</v>
      </c>
      <c r="N374" s="27" t="s">
        <v>3305</v>
      </c>
    </row>
    <row r="375" spans="1:14" ht="13.8" x14ac:dyDescent="0.3">
      <c r="A375" s="27">
        <v>1119721</v>
      </c>
      <c r="B375" s="36" t="s">
        <v>3252</v>
      </c>
      <c r="C375" s="28" t="s">
        <v>3299</v>
      </c>
      <c r="D375" s="31" t="s">
        <v>3300</v>
      </c>
      <c r="E375" s="31" t="s">
        <v>3301</v>
      </c>
      <c r="F375" s="31" t="s">
        <v>3302</v>
      </c>
      <c r="G375" s="31" t="s">
        <v>3309</v>
      </c>
      <c r="H375" s="27" t="s">
        <v>22</v>
      </c>
      <c r="I375" s="27" t="s">
        <v>22</v>
      </c>
      <c r="J375" s="27" t="s">
        <v>17</v>
      </c>
      <c r="K375" s="27">
        <v>95</v>
      </c>
      <c r="L375" s="27">
        <v>113</v>
      </c>
      <c r="M375" s="27" t="s">
        <v>3304</v>
      </c>
      <c r="N375" s="27" t="s">
        <v>3305</v>
      </c>
    </row>
    <row r="376" spans="1:14" ht="13.8" x14ac:dyDescent="0.3">
      <c r="A376" s="27">
        <v>1119721</v>
      </c>
      <c r="B376" s="36" t="s">
        <v>3252</v>
      </c>
      <c r="C376" s="28" t="s">
        <v>3299</v>
      </c>
      <c r="D376" s="31" t="s">
        <v>3300</v>
      </c>
      <c r="E376" s="31" t="s">
        <v>3301</v>
      </c>
      <c r="F376" s="31" t="s">
        <v>3302</v>
      </c>
      <c r="G376" s="31" t="s">
        <v>3310</v>
      </c>
      <c r="H376" s="27" t="s">
        <v>22</v>
      </c>
      <c r="I376" s="27" t="s">
        <v>22</v>
      </c>
      <c r="J376" s="27" t="s">
        <v>17</v>
      </c>
      <c r="K376" s="27">
        <v>95</v>
      </c>
      <c r="L376" s="27">
        <v>113</v>
      </c>
      <c r="M376" s="27" t="s">
        <v>3304</v>
      </c>
      <c r="N376" s="27" t="s">
        <v>3305</v>
      </c>
    </row>
    <row r="377" spans="1:14" ht="13.8" x14ac:dyDescent="0.3">
      <c r="A377" s="27">
        <v>1119721</v>
      </c>
      <c r="B377" s="36" t="s">
        <v>3252</v>
      </c>
      <c r="C377" s="28" t="s">
        <v>3299</v>
      </c>
      <c r="D377" s="31" t="s">
        <v>3300</v>
      </c>
      <c r="E377" s="31" t="s">
        <v>3301</v>
      </c>
      <c r="F377" s="31" t="s">
        <v>3302</v>
      </c>
      <c r="G377" s="31" t="s">
        <v>3311</v>
      </c>
      <c r="H377" s="27" t="s">
        <v>22</v>
      </c>
      <c r="I377" s="27" t="s">
        <v>22</v>
      </c>
      <c r="J377" s="27" t="s">
        <v>17</v>
      </c>
      <c r="K377" s="27">
        <v>95</v>
      </c>
      <c r="L377" s="27">
        <v>113</v>
      </c>
      <c r="M377" s="27" t="s">
        <v>3304</v>
      </c>
      <c r="N377" s="27" t="s">
        <v>3305</v>
      </c>
    </row>
    <row r="378" spans="1:14" ht="13.8" x14ac:dyDescent="0.3">
      <c r="A378" s="27">
        <v>1119721</v>
      </c>
      <c r="B378" s="36" t="s">
        <v>3252</v>
      </c>
      <c r="C378" s="28" t="s">
        <v>3299</v>
      </c>
      <c r="D378" s="31" t="s">
        <v>3300</v>
      </c>
      <c r="E378" s="31" t="s">
        <v>3301</v>
      </c>
      <c r="F378" s="31" t="s">
        <v>3302</v>
      </c>
      <c r="G378" s="31" t="s">
        <v>3312</v>
      </c>
      <c r="H378" s="27" t="s">
        <v>22</v>
      </c>
      <c r="I378" s="27" t="s">
        <v>22</v>
      </c>
      <c r="J378" s="27" t="s">
        <v>17</v>
      </c>
      <c r="K378" s="27">
        <v>95</v>
      </c>
      <c r="L378" s="27">
        <v>113</v>
      </c>
      <c r="M378" s="27" t="s">
        <v>3304</v>
      </c>
      <c r="N378" s="27" t="s">
        <v>3305</v>
      </c>
    </row>
    <row r="379" spans="1:14" ht="13.8" x14ac:dyDescent="0.3">
      <c r="A379" s="27">
        <v>1119721</v>
      </c>
      <c r="B379" s="36" t="s">
        <v>3252</v>
      </c>
      <c r="C379" s="28" t="s">
        <v>3299</v>
      </c>
      <c r="D379" s="31" t="s">
        <v>3300</v>
      </c>
      <c r="E379" s="31" t="s">
        <v>3301</v>
      </c>
      <c r="F379" s="31" t="s">
        <v>3302</v>
      </c>
      <c r="G379" s="31" t="s">
        <v>3313</v>
      </c>
      <c r="H379" s="27" t="s">
        <v>22</v>
      </c>
      <c r="I379" s="27" t="s">
        <v>22</v>
      </c>
      <c r="J379" s="27" t="s">
        <v>17</v>
      </c>
      <c r="K379" s="27">
        <v>95</v>
      </c>
      <c r="L379" s="27">
        <v>113</v>
      </c>
      <c r="M379" s="27" t="s">
        <v>3304</v>
      </c>
      <c r="N379" s="27" t="s">
        <v>3305</v>
      </c>
    </row>
    <row r="380" spans="1:14" ht="13.8" x14ac:dyDescent="0.3">
      <c r="A380" s="27">
        <v>1119721</v>
      </c>
      <c r="B380" s="36" t="s">
        <v>3252</v>
      </c>
      <c r="C380" s="28" t="s">
        <v>3299</v>
      </c>
      <c r="D380" s="31" t="s">
        <v>3300</v>
      </c>
      <c r="E380" s="31" t="s">
        <v>3301</v>
      </c>
      <c r="F380" s="31" t="s">
        <v>3302</v>
      </c>
      <c r="G380" s="31" t="s">
        <v>3314</v>
      </c>
      <c r="H380" s="27" t="s">
        <v>22</v>
      </c>
      <c r="I380" s="27" t="s">
        <v>22</v>
      </c>
      <c r="J380" s="27" t="s">
        <v>17</v>
      </c>
      <c r="K380" s="27">
        <v>95</v>
      </c>
      <c r="L380" s="27">
        <v>113</v>
      </c>
      <c r="M380" s="27" t="s">
        <v>3304</v>
      </c>
      <c r="N380" s="27" t="s">
        <v>3305</v>
      </c>
    </row>
    <row r="381" spans="1:14" ht="13.8" x14ac:dyDescent="0.3">
      <c r="A381" s="27">
        <v>1119721</v>
      </c>
      <c r="B381" s="36" t="s">
        <v>3252</v>
      </c>
      <c r="C381" s="28" t="s">
        <v>3315</v>
      </c>
      <c r="D381" s="31" t="s">
        <v>3316</v>
      </c>
      <c r="E381" s="31" t="s">
        <v>3317</v>
      </c>
      <c r="F381" s="31"/>
      <c r="G381" s="31" t="s">
        <v>3318</v>
      </c>
      <c r="H381" s="27" t="s">
        <v>22</v>
      </c>
      <c r="I381" s="27" t="s">
        <v>22</v>
      </c>
      <c r="J381" s="27" t="s">
        <v>17</v>
      </c>
      <c r="K381" s="27">
        <v>94.4</v>
      </c>
      <c r="L381" s="27">
        <v>107.7</v>
      </c>
      <c r="M381" s="27" t="s">
        <v>3131</v>
      </c>
      <c r="N381" s="27" t="s">
        <v>3132</v>
      </c>
    </row>
    <row r="382" spans="1:14" ht="13.8" x14ac:dyDescent="0.3">
      <c r="A382" s="27">
        <v>1119721</v>
      </c>
      <c r="B382" s="36" t="s">
        <v>3252</v>
      </c>
      <c r="C382" s="28" t="s">
        <v>3315</v>
      </c>
      <c r="D382" s="31" t="s">
        <v>3316</v>
      </c>
      <c r="E382" s="31" t="s">
        <v>3317</v>
      </c>
      <c r="F382" s="31"/>
      <c r="G382" s="31" t="s">
        <v>3319</v>
      </c>
      <c r="H382" s="27" t="s">
        <v>22</v>
      </c>
      <c r="I382" s="27" t="s">
        <v>22</v>
      </c>
      <c r="J382" s="27" t="s">
        <v>17</v>
      </c>
      <c r="K382" s="27">
        <v>94.4</v>
      </c>
      <c r="L382" s="27">
        <v>107.7</v>
      </c>
      <c r="M382" s="27" t="s">
        <v>3131</v>
      </c>
      <c r="N382" s="27" t="s">
        <v>3132</v>
      </c>
    </row>
    <row r="383" spans="1:14" ht="13.8" x14ac:dyDescent="0.3">
      <c r="A383" s="27">
        <v>1119721</v>
      </c>
      <c r="B383" s="36" t="s">
        <v>3252</v>
      </c>
      <c r="C383" s="28" t="s">
        <v>3315</v>
      </c>
      <c r="D383" s="31" t="s">
        <v>3316</v>
      </c>
      <c r="E383" s="31" t="s">
        <v>3317</v>
      </c>
      <c r="F383" s="31"/>
      <c r="G383" s="31" t="s">
        <v>3320</v>
      </c>
      <c r="H383" s="27" t="s">
        <v>22</v>
      </c>
      <c r="I383" s="27" t="s">
        <v>22</v>
      </c>
      <c r="J383" s="27" t="s">
        <v>17</v>
      </c>
      <c r="K383" s="27">
        <v>94.4</v>
      </c>
      <c r="L383" s="27">
        <v>107.7</v>
      </c>
      <c r="M383" s="27" t="s">
        <v>3131</v>
      </c>
      <c r="N383" s="27" t="s">
        <v>3132</v>
      </c>
    </row>
    <row r="384" spans="1:14" ht="13.8" x14ac:dyDescent="0.3">
      <c r="A384" s="27">
        <v>1119721</v>
      </c>
      <c r="B384" s="36" t="s">
        <v>3252</v>
      </c>
      <c r="C384" s="28" t="s">
        <v>3315</v>
      </c>
      <c r="D384" s="31" t="s">
        <v>3316</v>
      </c>
      <c r="E384" s="31" t="s">
        <v>3317</v>
      </c>
      <c r="F384" s="31"/>
      <c r="G384" s="31" t="s">
        <v>3321</v>
      </c>
      <c r="H384" s="27" t="s">
        <v>22</v>
      </c>
      <c r="I384" s="27" t="s">
        <v>22</v>
      </c>
      <c r="J384" s="27" t="s">
        <v>17</v>
      </c>
      <c r="K384" s="27">
        <v>94.4</v>
      </c>
      <c r="L384" s="27">
        <v>107.7</v>
      </c>
      <c r="M384" s="27" t="s">
        <v>3131</v>
      </c>
      <c r="N384" s="27" t="s">
        <v>3132</v>
      </c>
    </row>
    <row r="385" spans="1:15" ht="13.8" x14ac:dyDescent="0.3">
      <c r="A385" s="27">
        <v>1119721</v>
      </c>
      <c r="B385" s="36" t="s">
        <v>3252</v>
      </c>
      <c r="C385" s="28" t="s">
        <v>3315</v>
      </c>
      <c r="D385" s="31" t="s">
        <v>3316</v>
      </c>
      <c r="E385" s="31" t="s">
        <v>3317</v>
      </c>
      <c r="F385" s="31"/>
      <c r="G385" s="31" t="s">
        <v>3322</v>
      </c>
      <c r="H385" s="27" t="s">
        <v>22</v>
      </c>
      <c r="I385" s="27" t="s">
        <v>22</v>
      </c>
      <c r="J385" s="27" t="s">
        <v>17</v>
      </c>
      <c r="K385" s="27">
        <v>94.4</v>
      </c>
      <c r="L385" s="27">
        <v>107.7</v>
      </c>
      <c r="M385" s="27" t="s">
        <v>3131</v>
      </c>
      <c r="N385" s="27" t="s">
        <v>3132</v>
      </c>
    </row>
    <row r="386" spans="1:15" ht="13.8" x14ac:dyDescent="0.3">
      <c r="A386" s="27">
        <v>1119721</v>
      </c>
      <c r="B386" s="36" t="s">
        <v>3252</v>
      </c>
      <c r="C386" s="28" t="s">
        <v>3315</v>
      </c>
      <c r="D386" s="31" t="s">
        <v>3316</v>
      </c>
      <c r="E386" s="31" t="s">
        <v>3317</v>
      </c>
      <c r="F386" s="31"/>
      <c r="G386" s="31" t="s">
        <v>3323</v>
      </c>
      <c r="H386" s="27" t="s">
        <v>22</v>
      </c>
      <c r="I386" s="27" t="s">
        <v>22</v>
      </c>
      <c r="J386" s="27" t="s">
        <v>17</v>
      </c>
      <c r="K386" s="27">
        <v>94.4</v>
      </c>
      <c r="L386" s="27">
        <v>107.7</v>
      </c>
      <c r="M386" s="27" t="s">
        <v>3131</v>
      </c>
      <c r="N386" s="27" t="s">
        <v>3132</v>
      </c>
    </row>
    <row r="387" spans="1:15" ht="13.8" x14ac:dyDescent="0.3">
      <c r="A387" s="27">
        <v>1119721</v>
      </c>
      <c r="B387" s="36" t="s">
        <v>3252</v>
      </c>
      <c r="C387" s="28" t="s">
        <v>3315</v>
      </c>
      <c r="D387" s="31" t="s">
        <v>3316</v>
      </c>
      <c r="E387" s="31" t="s">
        <v>3317</v>
      </c>
      <c r="F387" s="31"/>
      <c r="G387" s="31" t="s">
        <v>3324</v>
      </c>
      <c r="H387" s="27" t="s">
        <v>22</v>
      </c>
      <c r="I387" s="27" t="s">
        <v>22</v>
      </c>
      <c r="J387" s="27" t="s">
        <v>17</v>
      </c>
      <c r="K387" s="27">
        <v>94.4</v>
      </c>
      <c r="L387" s="27">
        <v>107.7</v>
      </c>
      <c r="M387" s="27" t="s">
        <v>3131</v>
      </c>
      <c r="N387" s="27" t="s">
        <v>3132</v>
      </c>
    </row>
    <row r="388" spans="1:15" ht="13.8" x14ac:dyDescent="0.3">
      <c r="A388" s="27">
        <v>1119721</v>
      </c>
      <c r="B388" s="36" t="s">
        <v>3252</v>
      </c>
      <c r="C388" s="28" t="s">
        <v>3315</v>
      </c>
      <c r="D388" s="31" t="s">
        <v>3316</v>
      </c>
      <c r="E388" s="31" t="s">
        <v>3317</v>
      </c>
      <c r="F388" s="31"/>
      <c r="G388" s="31" t="s">
        <v>3325</v>
      </c>
      <c r="H388" s="27" t="s">
        <v>22</v>
      </c>
      <c r="I388" s="27" t="s">
        <v>22</v>
      </c>
      <c r="J388" s="27" t="s">
        <v>17</v>
      </c>
      <c r="K388" s="27">
        <v>94.4</v>
      </c>
      <c r="L388" s="27">
        <v>107.7</v>
      </c>
      <c r="M388" s="27" t="s">
        <v>3131</v>
      </c>
      <c r="N388" s="27" t="s">
        <v>3132</v>
      </c>
    </row>
    <row r="389" spans="1:15" ht="13.8" x14ac:dyDescent="0.3">
      <c r="A389" s="27">
        <v>1119721</v>
      </c>
      <c r="B389" s="36" t="s">
        <v>3252</v>
      </c>
      <c r="C389" s="28" t="s">
        <v>3315</v>
      </c>
      <c r="D389" s="31" t="s">
        <v>3316</v>
      </c>
      <c r="E389" s="31" t="s">
        <v>3317</v>
      </c>
      <c r="F389" s="31"/>
      <c r="G389" s="31" t="s">
        <v>3326</v>
      </c>
      <c r="H389" s="27" t="s">
        <v>22</v>
      </c>
      <c r="I389" s="27" t="s">
        <v>22</v>
      </c>
      <c r="J389" s="27" t="s">
        <v>17</v>
      </c>
      <c r="K389" s="27">
        <v>94.4</v>
      </c>
      <c r="L389" s="27">
        <v>107.7</v>
      </c>
      <c r="M389" s="27" t="s">
        <v>3131</v>
      </c>
      <c r="N389" s="27" t="s">
        <v>3132</v>
      </c>
    </row>
    <row r="390" spans="1:15" ht="13.8" hidden="1" x14ac:dyDescent="0.3">
      <c r="A390" s="27">
        <v>1122586</v>
      </c>
      <c r="B390" s="34" t="s">
        <v>3327</v>
      </c>
      <c r="C390" s="28" t="s">
        <v>3328</v>
      </c>
      <c r="D390" s="31"/>
      <c r="E390" s="31"/>
      <c r="F390" s="31"/>
      <c r="G390" s="31"/>
      <c r="H390" s="27" t="s">
        <v>16</v>
      </c>
      <c r="I390" s="27" t="s">
        <v>16</v>
      </c>
      <c r="J390" s="27" t="s">
        <v>17</v>
      </c>
      <c r="K390" s="27">
        <v>0</v>
      </c>
      <c r="L390" s="27">
        <v>0</v>
      </c>
    </row>
    <row r="391" spans="1:15" ht="13.8" x14ac:dyDescent="0.3">
      <c r="A391" s="27">
        <v>1122586</v>
      </c>
      <c r="B391" s="34" t="s">
        <v>3327</v>
      </c>
      <c r="C391" s="28" t="s">
        <v>3329</v>
      </c>
      <c r="D391" s="38" t="s">
        <v>3330</v>
      </c>
      <c r="E391" s="38" t="s">
        <v>3331</v>
      </c>
      <c r="F391" s="38"/>
      <c r="G391" s="38"/>
      <c r="H391" s="38" t="s">
        <v>22</v>
      </c>
      <c r="I391" s="38" t="s">
        <v>22</v>
      </c>
      <c r="J391" s="38" t="s">
        <v>17</v>
      </c>
      <c r="K391" s="38">
        <v>80</v>
      </c>
      <c r="L391" s="38">
        <v>49</v>
      </c>
      <c r="M391" s="38" t="s">
        <v>1629</v>
      </c>
      <c r="N391" s="38" t="s">
        <v>1628</v>
      </c>
      <c r="O391" s="38" t="s">
        <v>3332</v>
      </c>
    </row>
    <row r="392" spans="1:15" ht="13.8" x14ac:dyDescent="0.3">
      <c r="A392" s="27">
        <v>1122586</v>
      </c>
      <c r="B392" s="34" t="s">
        <v>3327</v>
      </c>
      <c r="C392" s="28" t="s">
        <v>3333</v>
      </c>
      <c r="D392" s="31" t="s">
        <v>3333</v>
      </c>
      <c r="E392" s="31" t="s">
        <v>3334</v>
      </c>
      <c r="F392" s="31"/>
      <c r="G392" s="31"/>
      <c r="H392" s="31" t="s">
        <v>22</v>
      </c>
      <c r="I392" s="31" t="s">
        <v>22</v>
      </c>
      <c r="J392" s="31" t="s">
        <v>17</v>
      </c>
      <c r="K392" s="31">
        <v>100</v>
      </c>
      <c r="L392" s="31">
        <v>111</v>
      </c>
      <c r="M392" s="31" t="s">
        <v>338</v>
      </c>
      <c r="N392" s="31" t="s">
        <v>339</v>
      </c>
      <c r="O392" s="31"/>
    </row>
    <row r="393" spans="1:15" ht="13.8" x14ac:dyDescent="0.3">
      <c r="A393" s="27">
        <v>1122586</v>
      </c>
      <c r="B393" s="34" t="s">
        <v>3327</v>
      </c>
      <c r="C393" s="28" t="s">
        <v>3335</v>
      </c>
      <c r="D393" s="31" t="s">
        <v>3336</v>
      </c>
      <c r="E393" s="31" t="s">
        <v>3337</v>
      </c>
      <c r="F393" s="31" t="s">
        <v>3338</v>
      </c>
      <c r="G393" s="31" t="s">
        <v>3339</v>
      </c>
      <c r="H393" s="27" t="s">
        <v>46</v>
      </c>
      <c r="I393" s="27" t="s">
        <v>46</v>
      </c>
      <c r="J393" s="27" t="s">
        <v>17</v>
      </c>
      <c r="K393" s="27">
        <v>100</v>
      </c>
      <c r="L393" s="27">
        <v>50</v>
      </c>
      <c r="M393" s="27" t="s">
        <v>3340</v>
      </c>
      <c r="N393" s="27" t="s">
        <v>3341</v>
      </c>
    </row>
    <row r="394" spans="1:15" ht="13.8" x14ac:dyDescent="0.3">
      <c r="A394" s="27">
        <v>1122586</v>
      </c>
      <c r="B394" s="34" t="s">
        <v>3327</v>
      </c>
      <c r="C394" s="28" t="s">
        <v>3335</v>
      </c>
      <c r="D394" s="31" t="s">
        <v>3336</v>
      </c>
      <c r="E394" s="31" t="s">
        <v>3337</v>
      </c>
      <c r="F394" s="31" t="s">
        <v>3338</v>
      </c>
      <c r="G394" s="31" t="s">
        <v>3342</v>
      </c>
      <c r="H394" s="27" t="s">
        <v>46</v>
      </c>
      <c r="I394" s="27" t="s">
        <v>46</v>
      </c>
      <c r="J394" s="27" t="s">
        <v>17</v>
      </c>
      <c r="K394" s="27">
        <v>100</v>
      </c>
      <c r="L394" s="27">
        <v>50</v>
      </c>
      <c r="M394" s="27" t="s">
        <v>3340</v>
      </c>
      <c r="N394" s="27" t="s">
        <v>3341</v>
      </c>
    </row>
    <row r="395" spans="1:15" ht="13.8" x14ac:dyDescent="0.3">
      <c r="A395" s="27">
        <v>1122586</v>
      </c>
      <c r="B395" s="34" t="s">
        <v>3327</v>
      </c>
      <c r="C395" s="28" t="s">
        <v>3335</v>
      </c>
      <c r="D395" s="31" t="s">
        <v>3336</v>
      </c>
      <c r="E395" s="31" t="s">
        <v>3337</v>
      </c>
      <c r="F395" s="31" t="s">
        <v>3338</v>
      </c>
      <c r="G395" s="31" t="s">
        <v>3343</v>
      </c>
      <c r="H395" s="27" t="s">
        <v>46</v>
      </c>
      <c r="I395" s="27" t="s">
        <v>46</v>
      </c>
      <c r="J395" s="27" t="s">
        <v>17</v>
      </c>
      <c r="K395" s="27">
        <v>100</v>
      </c>
      <c r="L395" s="27">
        <v>50</v>
      </c>
      <c r="M395" s="27" t="s">
        <v>3340</v>
      </c>
      <c r="N395" s="27" t="s">
        <v>3341</v>
      </c>
    </row>
    <row r="396" spans="1:15" ht="13.8" x14ac:dyDescent="0.3">
      <c r="A396" s="27">
        <v>1122586</v>
      </c>
      <c r="B396" s="34" t="s">
        <v>3327</v>
      </c>
      <c r="C396" s="28" t="s">
        <v>3335</v>
      </c>
      <c r="D396" s="31" t="s">
        <v>3336</v>
      </c>
      <c r="E396" s="31" t="s">
        <v>3337</v>
      </c>
      <c r="F396" s="31" t="s">
        <v>3338</v>
      </c>
      <c r="G396" s="31" t="s">
        <v>3344</v>
      </c>
      <c r="H396" s="27" t="s">
        <v>46</v>
      </c>
      <c r="I396" s="27" t="s">
        <v>46</v>
      </c>
      <c r="J396" s="27" t="s">
        <v>17</v>
      </c>
      <c r="K396" s="27">
        <v>100</v>
      </c>
      <c r="L396" s="27">
        <v>50</v>
      </c>
      <c r="M396" s="27" t="s">
        <v>3340</v>
      </c>
      <c r="N396" s="27" t="s">
        <v>3341</v>
      </c>
    </row>
    <row r="397" spans="1:15" ht="13.8" x14ac:dyDescent="0.3">
      <c r="A397" s="27">
        <v>1122586</v>
      </c>
      <c r="B397" s="34" t="s">
        <v>3327</v>
      </c>
      <c r="C397" s="28" t="s">
        <v>3335</v>
      </c>
      <c r="D397" s="31" t="s">
        <v>3336</v>
      </c>
      <c r="E397" s="31" t="s">
        <v>3337</v>
      </c>
      <c r="F397" s="31" t="s">
        <v>3338</v>
      </c>
      <c r="G397" s="31" t="s">
        <v>3345</v>
      </c>
      <c r="H397" s="27" t="s">
        <v>46</v>
      </c>
      <c r="I397" s="27" t="s">
        <v>46</v>
      </c>
      <c r="J397" s="27" t="s">
        <v>17</v>
      </c>
      <c r="K397" s="27">
        <v>100</v>
      </c>
      <c r="L397" s="27">
        <v>50</v>
      </c>
      <c r="M397" s="27" t="s">
        <v>3340</v>
      </c>
      <c r="N397" s="27" t="s">
        <v>3341</v>
      </c>
    </row>
    <row r="398" spans="1:15" ht="13.8" x14ac:dyDescent="0.3">
      <c r="A398" s="27">
        <v>1122586</v>
      </c>
      <c r="B398" s="34" t="s">
        <v>3327</v>
      </c>
      <c r="C398" s="28" t="s">
        <v>3335</v>
      </c>
      <c r="D398" s="31" t="s">
        <v>3336</v>
      </c>
      <c r="E398" s="31" t="s">
        <v>3337</v>
      </c>
      <c r="F398" s="31" t="s">
        <v>3338</v>
      </c>
      <c r="G398" s="31" t="s">
        <v>3346</v>
      </c>
      <c r="H398" s="27" t="s">
        <v>46</v>
      </c>
      <c r="I398" s="27" t="s">
        <v>46</v>
      </c>
      <c r="J398" s="27" t="s">
        <v>17</v>
      </c>
      <c r="K398" s="27">
        <v>100</v>
      </c>
      <c r="L398" s="27">
        <v>50</v>
      </c>
      <c r="M398" s="27" t="s">
        <v>3340</v>
      </c>
      <c r="N398" s="27" t="s">
        <v>3341</v>
      </c>
    </row>
    <row r="399" spans="1:15" ht="13.8" x14ac:dyDescent="0.3">
      <c r="A399" s="27">
        <v>1122586</v>
      </c>
      <c r="B399" s="34" t="s">
        <v>3327</v>
      </c>
      <c r="C399" s="28" t="s">
        <v>3347</v>
      </c>
      <c r="D399" s="31" t="s">
        <v>3347</v>
      </c>
      <c r="E399" s="31" t="s">
        <v>3348</v>
      </c>
      <c r="F399" s="31"/>
      <c r="G399" s="31"/>
      <c r="H399" s="27" t="s">
        <v>22</v>
      </c>
      <c r="I399" s="27" t="s">
        <v>22</v>
      </c>
      <c r="J399" s="27" t="s">
        <v>17</v>
      </c>
      <c r="K399" s="27">
        <v>100</v>
      </c>
      <c r="L399" s="27">
        <v>112</v>
      </c>
      <c r="M399" s="27" t="s">
        <v>338</v>
      </c>
      <c r="N399" s="27" t="s">
        <v>339</v>
      </c>
    </row>
    <row r="400" spans="1:15" ht="13.8" x14ac:dyDescent="0.3">
      <c r="A400" s="27">
        <v>1122586</v>
      </c>
      <c r="B400" s="34" t="s">
        <v>3327</v>
      </c>
      <c r="C400" s="28" t="s">
        <v>3349</v>
      </c>
      <c r="D400" s="31" t="s">
        <v>3350</v>
      </c>
      <c r="E400" s="31" t="s">
        <v>3351</v>
      </c>
      <c r="F400" s="31"/>
      <c r="G400" s="31"/>
      <c r="H400" s="27" t="s">
        <v>22</v>
      </c>
      <c r="I400" s="27" t="s">
        <v>22</v>
      </c>
      <c r="J400" s="27" t="s">
        <v>17</v>
      </c>
      <c r="K400" s="27">
        <v>94.1</v>
      </c>
      <c r="L400" s="27">
        <v>139.5</v>
      </c>
      <c r="M400" s="27" t="s">
        <v>3352</v>
      </c>
      <c r="N400" s="27" t="s">
        <v>3353</v>
      </c>
    </row>
    <row r="401" spans="1:15" ht="13.8" x14ac:dyDescent="0.3">
      <c r="A401" s="27">
        <v>1122937</v>
      </c>
      <c r="B401" s="36" t="s">
        <v>3354</v>
      </c>
      <c r="C401" s="28" t="s">
        <v>3355</v>
      </c>
      <c r="D401" s="31" t="s">
        <v>3355</v>
      </c>
      <c r="E401" s="31" t="s">
        <v>3356</v>
      </c>
      <c r="F401" s="31"/>
      <c r="G401" s="31"/>
      <c r="H401" s="27" t="s">
        <v>22</v>
      </c>
      <c r="I401" s="27" t="s">
        <v>22</v>
      </c>
      <c r="J401" s="27" t="s">
        <v>17</v>
      </c>
      <c r="K401" s="27">
        <v>100</v>
      </c>
      <c r="L401" s="27">
        <v>111</v>
      </c>
      <c r="M401" s="27" t="s">
        <v>182</v>
      </c>
      <c r="N401" s="27" t="s">
        <v>183</v>
      </c>
    </row>
    <row r="402" spans="1:15" ht="13.8" x14ac:dyDescent="0.3">
      <c r="A402" s="27">
        <v>1122937</v>
      </c>
      <c r="B402" s="36" t="s">
        <v>3354</v>
      </c>
      <c r="C402" s="28" t="s">
        <v>3357</v>
      </c>
      <c r="D402" s="31" t="s">
        <v>3358</v>
      </c>
      <c r="E402" s="31" t="s">
        <v>3359</v>
      </c>
      <c r="F402" s="31"/>
      <c r="G402" s="31"/>
      <c r="H402" s="27" t="s">
        <v>22</v>
      </c>
      <c r="I402" s="27" t="s">
        <v>22</v>
      </c>
      <c r="J402" s="27" t="s">
        <v>17</v>
      </c>
      <c r="K402" s="27">
        <v>92</v>
      </c>
      <c r="L402" s="27">
        <v>56.2</v>
      </c>
    </row>
    <row r="403" spans="1:15" ht="13.8" x14ac:dyDescent="0.3">
      <c r="A403" s="27">
        <v>1122937</v>
      </c>
      <c r="B403" s="36" t="s">
        <v>3354</v>
      </c>
      <c r="C403" s="28" t="s">
        <v>3360</v>
      </c>
      <c r="D403" s="31" t="s">
        <v>3361</v>
      </c>
      <c r="E403" s="31" t="s">
        <v>3362</v>
      </c>
      <c r="F403" s="35">
        <v>119386738</v>
      </c>
      <c r="G403" s="31" t="s">
        <v>3363</v>
      </c>
      <c r="H403" s="27" t="s">
        <v>22</v>
      </c>
      <c r="I403" s="27" t="s">
        <v>22</v>
      </c>
      <c r="J403" s="27" t="s">
        <v>17</v>
      </c>
      <c r="K403" s="27">
        <v>87.5</v>
      </c>
      <c r="L403" s="27">
        <v>108.5</v>
      </c>
      <c r="O403" s="50" t="s">
        <v>3364</v>
      </c>
    </row>
    <row r="404" spans="1:15" ht="13.8" x14ac:dyDescent="0.3">
      <c r="A404" s="27">
        <v>1122937</v>
      </c>
      <c r="B404" s="36" t="s">
        <v>3354</v>
      </c>
      <c r="C404" s="28" t="s">
        <v>3360</v>
      </c>
      <c r="D404" s="31" t="s">
        <v>3361</v>
      </c>
      <c r="E404" s="31" t="s">
        <v>3362</v>
      </c>
      <c r="F404" s="35">
        <v>119386738</v>
      </c>
      <c r="G404" s="31" t="s">
        <v>3365</v>
      </c>
      <c r="H404" s="27" t="s">
        <v>22</v>
      </c>
      <c r="I404" s="27" t="s">
        <v>22</v>
      </c>
      <c r="J404" s="27" t="s">
        <v>17</v>
      </c>
      <c r="K404" s="27">
        <v>87.5</v>
      </c>
      <c r="L404" s="27">
        <v>108.5</v>
      </c>
      <c r="O404" s="49"/>
    </row>
    <row r="405" spans="1:15" ht="13.8" x14ac:dyDescent="0.3">
      <c r="A405" s="27">
        <v>1122937</v>
      </c>
      <c r="B405" s="36" t="s">
        <v>3354</v>
      </c>
      <c r="C405" s="28" t="s">
        <v>3360</v>
      </c>
      <c r="D405" s="31" t="s">
        <v>3361</v>
      </c>
      <c r="E405" s="31" t="s">
        <v>3362</v>
      </c>
      <c r="F405" s="35">
        <v>119386738</v>
      </c>
      <c r="G405" s="31" t="s">
        <v>3366</v>
      </c>
      <c r="H405" s="27" t="s">
        <v>22</v>
      </c>
      <c r="I405" s="27" t="s">
        <v>22</v>
      </c>
      <c r="J405" s="27" t="s">
        <v>17</v>
      </c>
      <c r="K405" s="27">
        <v>87.5</v>
      </c>
      <c r="L405" s="27">
        <v>108.5</v>
      </c>
      <c r="O405" s="49"/>
    </row>
    <row r="406" spans="1:15" ht="13.8" x14ac:dyDescent="0.3">
      <c r="A406" s="27">
        <v>1122937</v>
      </c>
      <c r="B406" s="36" t="s">
        <v>3354</v>
      </c>
      <c r="C406" s="28" t="s">
        <v>3360</v>
      </c>
      <c r="D406" s="31" t="s">
        <v>3361</v>
      </c>
      <c r="E406" s="31" t="s">
        <v>3362</v>
      </c>
      <c r="F406" s="35">
        <v>119386738</v>
      </c>
      <c r="G406" s="31" t="s">
        <v>3367</v>
      </c>
      <c r="H406" s="27" t="s">
        <v>22</v>
      </c>
      <c r="I406" s="27" t="s">
        <v>22</v>
      </c>
      <c r="J406" s="27" t="s">
        <v>17</v>
      </c>
      <c r="K406" s="27">
        <v>87.5</v>
      </c>
      <c r="L406" s="27">
        <v>108.5</v>
      </c>
      <c r="O406" s="49"/>
    </row>
    <row r="407" spans="1:15" ht="13.8" hidden="1" x14ac:dyDescent="0.3">
      <c r="A407" s="27">
        <v>1122937</v>
      </c>
      <c r="B407" s="36" t="s">
        <v>3354</v>
      </c>
      <c r="C407" s="28" t="s">
        <v>3368</v>
      </c>
      <c r="D407" s="31"/>
      <c r="E407" s="31"/>
      <c r="F407" s="31"/>
      <c r="G407" s="31"/>
      <c r="H407" s="27" t="s">
        <v>16</v>
      </c>
      <c r="I407" s="27" t="s">
        <v>16</v>
      </c>
      <c r="J407" s="27" t="s">
        <v>17</v>
      </c>
      <c r="K407" s="27">
        <v>0</v>
      </c>
      <c r="L407" s="27">
        <v>0</v>
      </c>
    </row>
    <row r="408" spans="1:15" ht="13.8" hidden="1" x14ac:dyDescent="0.3">
      <c r="A408" s="27">
        <v>1122938</v>
      </c>
      <c r="B408" s="34" t="s">
        <v>3369</v>
      </c>
      <c r="C408" s="28" t="s">
        <v>3370</v>
      </c>
      <c r="D408" s="35"/>
      <c r="E408" s="35"/>
      <c r="F408" s="35"/>
      <c r="G408" s="35"/>
      <c r="H408" s="27" t="s">
        <v>16</v>
      </c>
      <c r="I408" s="27" t="s">
        <v>16</v>
      </c>
      <c r="J408" s="27" t="s">
        <v>17</v>
      </c>
      <c r="K408" s="27">
        <v>0</v>
      </c>
      <c r="L408" s="27">
        <v>0</v>
      </c>
      <c r="O408" s="27" t="s">
        <v>3371</v>
      </c>
    </row>
    <row r="409" spans="1:15" ht="13.8" hidden="1" x14ac:dyDescent="0.3">
      <c r="A409" s="27">
        <v>1122938</v>
      </c>
      <c r="B409" s="34" t="s">
        <v>3369</v>
      </c>
      <c r="C409" s="28" t="s">
        <v>3372</v>
      </c>
      <c r="D409" s="31"/>
      <c r="E409" s="31"/>
      <c r="F409" s="31"/>
      <c r="G409" s="31"/>
      <c r="H409" s="27" t="s">
        <v>16</v>
      </c>
      <c r="I409" s="27" t="s">
        <v>16</v>
      </c>
      <c r="J409" s="27" t="s">
        <v>17</v>
      </c>
      <c r="K409" s="27">
        <v>0</v>
      </c>
      <c r="L409" s="27">
        <v>0</v>
      </c>
    </row>
    <row r="410" spans="1:15" ht="13.8" hidden="1" x14ac:dyDescent="0.3">
      <c r="A410" s="27">
        <v>1122938</v>
      </c>
      <c r="B410" s="34" t="s">
        <v>3369</v>
      </c>
      <c r="C410" s="28" t="s">
        <v>3373</v>
      </c>
      <c r="D410" s="31"/>
      <c r="E410" s="31"/>
      <c r="F410" s="31"/>
      <c r="G410" s="31"/>
      <c r="H410" s="27" t="s">
        <v>16</v>
      </c>
      <c r="I410" s="27" t="s">
        <v>16</v>
      </c>
      <c r="J410" s="27" t="s">
        <v>17</v>
      </c>
      <c r="K410" s="27">
        <v>0</v>
      </c>
      <c r="L410" s="27">
        <v>0</v>
      </c>
    </row>
    <row r="411" spans="1:15" ht="13.8" x14ac:dyDescent="0.3">
      <c r="A411" s="27">
        <v>1122938</v>
      </c>
      <c r="B411" s="34" t="s">
        <v>3369</v>
      </c>
      <c r="C411" s="28" t="s">
        <v>3374</v>
      </c>
      <c r="D411" s="31" t="s">
        <v>3375</v>
      </c>
      <c r="E411" s="31" t="s">
        <v>3376</v>
      </c>
      <c r="F411" s="31"/>
      <c r="G411" s="31" t="s">
        <v>3377</v>
      </c>
      <c r="H411" s="27" t="s">
        <v>22</v>
      </c>
      <c r="I411" s="27" t="s">
        <v>22</v>
      </c>
      <c r="J411" s="27" t="s">
        <v>17</v>
      </c>
      <c r="K411" s="27">
        <v>92.3</v>
      </c>
      <c r="L411" s="27">
        <v>108.4</v>
      </c>
    </row>
    <row r="412" spans="1:15" ht="13.8" x14ac:dyDescent="0.3">
      <c r="A412" s="27">
        <v>1122938</v>
      </c>
      <c r="B412" s="34" t="s">
        <v>3369</v>
      </c>
      <c r="C412" s="28" t="s">
        <v>3374</v>
      </c>
      <c r="D412" s="31" t="s">
        <v>3375</v>
      </c>
      <c r="E412" s="31" t="s">
        <v>3376</v>
      </c>
      <c r="F412" s="31"/>
      <c r="G412" s="31" t="s">
        <v>3378</v>
      </c>
      <c r="H412" s="27" t="s">
        <v>22</v>
      </c>
      <c r="I412" s="27" t="s">
        <v>22</v>
      </c>
      <c r="J412" s="27" t="s">
        <v>17</v>
      </c>
      <c r="K412" s="27">
        <v>92.3</v>
      </c>
      <c r="L412" s="27">
        <v>108.4</v>
      </c>
    </row>
    <row r="413" spans="1:15" ht="13.8" x14ac:dyDescent="0.3">
      <c r="A413" s="27">
        <v>1122938</v>
      </c>
      <c r="B413" s="34" t="s">
        <v>3369</v>
      </c>
      <c r="C413" s="28" t="s">
        <v>3374</v>
      </c>
      <c r="D413" s="31" t="s">
        <v>3375</v>
      </c>
      <c r="E413" s="31" t="s">
        <v>3376</v>
      </c>
      <c r="F413" s="31"/>
      <c r="G413" s="31" t="s">
        <v>3379</v>
      </c>
      <c r="H413" s="27" t="s">
        <v>22</v>
      </c>
      <c r="I413" s="27" t="s">
        <v>22</v>
      </c>
      <c r="J413" s="27" t="s">
        <v>17</v>
      </c>
      <c r="K413" s="27">
        <v>92.3</v>
      </c>
      <c r="L413" s="27">
        <v>108.4</v>
      </c>
    </row>
    <row r="414" spans="1:15" ht="13.8" x14ac:dyDescent="0.3">
      <c r="A414" s="27">
        <v>1122938</v>
      </c>
      <c r="B414" s="34" t="s">
        <v>3369</v>
      </c>
      <c r="C414" s="28" t="s">
        <v>3374</v>
      </c>
      <c r="D414" s="31" t="s">
        <v>3375</v>
      </c>
      <c r="E414" s="31" t="s">
        <v>3376</v>
      </c>
      <c r="F414" s="31"/>
      <c r="G414" s="31" t="s">
        <v>3380</v>
      </c>
      <c r="H414" s="27" t="s">
        <v>22</v>
      </c>
      <c r="I414" s="27" t="s">
        <v>22</v>
      </c>
      <c r="J414" s="27" t="s">
        <v>17</v>
      </c>
      <c r="K414" s="27">
        <v>92.3</v>
      </c>
      <c r="L414" s="27">
        <v>108.4</v>
      </c>
    </row>
    <row r="415" spans="1:15" ht="13.8" x14ac:dyDescent="0.3">
      <c r="A415" s="27">
        <v>1122938</v>
      </c>
      <c r="B415" s="34" t="s">
        <v>3369</v>
      </c>
      <c r="C415" s="28" t="s">
        <v>3374</v>
      </c>
      <c r="D415" s="31" t="s">
        <v>3375</v>
      </c>
      <c r="E415" s="31" t="s">
        <v>3376</v>
      </c>
      <c r="F415" s="31"/>
      <c r="G415" s="31" t="s">
        <v>3381</v>
      </c>
      <c r="H415" s="27" t="s">
        <v>22</v>
      </c>
      <c r="I415" s="27" t="s">
        <v>22</v>
      </c>
      <c r="J415" s="27" t="s">
        <v>17</v>
      </c>
      <c r="K415" s="27">
        <v>92.3</v>
      </c>
      <c r="L415" s="27">
        <v>108.4</v>
      </c>
    </row>
    <row r="416" spans="1:15" ht="13.8" x14ac:dyDescent="0.3">
      <c r="A416" s="27">
        <v>1122938</v>
      </c>
      <c r="B416" s="34" t="s">
        <v>3369</v>
      </c>
      <c r="C416" s="28" t="s">
        <v>3374</v>
      </c>
      <c r="D416" s="31" t="s">
        <v>3375</v>
      </c>
      <c r="E416" s="31" t="s">
        <v>3376</v>
      </c>
      <c r="F416" s="31"/>
      <c r="G416" s="31" t="s">
        <v>3382</v>
      </c>
      <c r="H416" s="27" t="s">
        <v>22</v>
      </c>
      <c r="I416" s="27" t="s">
        <v>22</v>
      </c>
      <c r="J416" s="27" t="s">
        <v>17</v>
      </c>
      <c r="K416" s="27">
        <v>92.3</v>
      </c>
      <c r="L416" s="27">
        <v>108.4</v>
      </c>
    </row>
    <row r="417" spans="1:14" ht="13.8" x14ac:dyDescent="0.3">
      <c r="A417" s="27">
        <v>1122938</v>
      </c>
      <c r="B417" s="34" t="s">
        <v>3369</v>
      </c>
      <c r="C417" s="28" t="s">
        <v>3374</v>
      </c>
      <c r="D417" s="31" t="s">
        <v>3375</v>
      </c>
      <c r="E417" s="31" t="s">
        <v>3376</v>
      </c>
      <c r="F417" s="31"/>
      <c r="G417" s="31" t="s">
        <v>3383</v>
      </c>
      <c r="H417" s="27" t="s">
        <v>22</v>
      </c>
      <c r="I417" s="27" t="s">
        <v>22</v>
      </c>
      <c r="J417" s="27" t="s">
        <v>17</v>
      </c>
      <c r="K417" s="27">
        <v>92.3</v>
      </c>
      <c r="L417" s="27">
        <v>108.4</v>
      </c>
    </row>
    <row r="418" spans="1:14" ht="13.8" x14ac:dyDescent="0.3">
      <c r="A418" s="27">
        <v>1122938</v>
      </c>
      <c r="B418" s="34" t="s">
        <v>3369</v>
      </c>
      <c r="C418" s="28" t="s">
        <v>3374</v>
      </c>
      <c r="D418" s="31" t="s">
        <v>3375</v>
      </c>
      <c r="E418" s="31" t="s">
        <v>3376</v>
      </c>
      <c r="F418" s="31"/>
      <c r="G418" s="31" t="s">
        <v>3384</v>
      </c>
      <c r="H418" s="27" t="s">
        <v>22</v>
      </c>
      <c r="I418" s="27" t="s">
        <v>22</v>
      </c>
      <c r="J418" s="27" t="s">
        <v>17</v>
      </c>
      <c r="K418" s="27">
        <v>92.3</v>
      </c>
      <c r="L418" s="27">
        <v>108.4</v>
      </c>
    </row>
    <row r="419" spans="1:14" ht="13.8" x14ac:dyDescent="0.3">
      <c r="A419" s="27">
        <v>1122938</v>
      </c>
      <c r="B419" s="34" t="s">
        <v>3369</v>
      </c>
      <c r="C419" s="28" t="s">
        <v>3374</v>
      </c>
      <c r="D419" s="31" t="s">
        <v>3375</v>
      </c>
      <c r="E419" s="31" t="s">
        <v>3376</v>
      </c>
      <c r="F419" s="31"/>
      <c r="G419" s="31" t="s">
        <v>3385</v>
      </c>
      <c r="H419" s="27" t="s">
        <v>22</v>
      </c>
      <c r="I419" s="27" t="s">
        <v>22</v>
      </c>
      <c r="J419" s="27" t="s">
        <v>17</v>
      </c>
      <c r="K419" s="27">
        <v>92.3</v>
      </c>
      <c r="L419" s="27">
        <v>108.4</v>
      </c>
    </row>
    <row r="420" spans="1:14" ht="13.8" x14ac:dyDescent="0.3">
      <c r="A420" s="27">
        <v>1122938</v>
      </c>
      <c r="B420" s="34" t="s">
        <v>3369</v>
      </c>
      <c r="C420" s="28" t="s">
        <v>3374</v>
      </c>
      <c r="D420" s="31" t="s">
        <v>3375</v>
      </c>
      <c r="E420" s="31" t="s">
        <v>3376</v>
      </c>
      <c r="F420" s="31"/>
      <c r="G420" s="31" t="s">
        <v>3386</v>
      </c>
      <c r="H420" s="27" t="s">
        <v>22</v>
      </c>
      <c r="I420" s="27" t="s">
        <v>22</v>
      </c>
      <c r="J420" s="27" t="s">
        <v>17</v>
      </c>
      <c r="K420" s="27">
        <v>92.3</v>
      </c>
      <c r="L420" s="27">
        <v>108.4</v>
      </c>
    </row>
    <row r="421" spans="1:14" ht="13.8" x14ac:dyDescent="0.3">
      <c r="A421" s="27">
        <v>1122938</v>
      </c>
      <c r="B421" s="34" t="s">
        <v>3369</v>
      </c>
      <c r="C421" s="28" t="s">
        <v>3374</v>
      </c>
      <c r="D421" s="31" t="s">
        <v>3375</v>
      </c>
      <c r="E421" s="31" t="s">
        <v>3376</v>
      </c>
      <c r="F421" s="31"/>
      <c r="G421" s="31" t="s">
        <v>3387</v>
      </c>
      <c r="H421" s="27" t="s">
        <v>22</v>
      </c>
      <c r="I421" s="27" t="s">
        <v>22</v>
      </c>
      <c r="J421" s="27" t="s">
        <v>17</v>
      </c>
      <c r="K421" s="27">
        <v>92.3</v>
      </c>
      <c r="L421" s="27">
        <v>108.4</v>
      </c>
    </row>
    <row r="422" spans="1:14" ht="13.8" x14ac:dyDescent="0.3">
      <c r="A422" s="27">
        <v>1122938</v>
      </c>
      <c r="B422" s="34" t="s">
        <v>3369</v>
      </c>
      <c r="C422" s="28" t="s">
        <v>3374</v>
      </c>
      <c r="D422" s="31" t="s">
        <v>3375</v>
      </c>
      <c r="E422" s="31" t="s">
        <v>3376</v>
      </c>
      <c r="F422" s="31"/>
      <c r="G422" s="31" t="s">
        <v>3388</v>
      </c>
      <c r="H422" s="27" t="s">
        <v>22</v>
      </c>
      <c r="I422" s="27" t="s">
        <v>22</v>
      </c>
      <c r="J422" s="27" t="s">
        <v>17</v>
      </c>
      <c r="K422" s="27">
        <v>92.3</v>
      </c>
      <c r="L422" s="27">
        <v>108.4</v>
      </c>
    </row>
    <row r="423" spans="1:14" ht="13.8" x14ac:dyDescent="0.3">
      <c r="A423" s="27">
        <v>1122938</v>
      </c>
      <c r="B423" s="34" t="s">
        <v>3369</v>
      </c>
      <c r="C423" s="28" t="s">
        <v>3374</v>
      </c>
      <c r="D423" s="31" t="s">
        <v>3375</v>
      </c>
      <c r="E423" s="31" t="s">
        <v>3376</v>
      </c>
      <c r="F423" s="31"/>
      <c r="G423" s="31" t="s">
        <v>3389</v>
      </c>
      <c r="H423" s="27" t="s">
        <v>22</v>
      </c>
      <c r="I423" s="27" t="s">
        <v>22</v>
      </c>
      <c r="J423" s="27" t="s">
        <v>17</v>
      </c>
      <c r="K423" s="27">
        <v>92.3</v>
      </c>
      <c r="L423" s="27">
        <v>108.4</v>
      </c>
    </row>
    <row r="424" spans="1:14" ht="13.8" x14ac:dyDescent="0.3">
      <c r="A424" s="27">
        <v>1122938</v>
      </c>
      <c r="B424" s="34" t="s">
        <v>3369</v>
      </c>
      <c r="C424" s="28" t="s">
        <v>3374</v>
      </c>
      <c r="D424" s="31" t="s">
        <v>3375</v>
      </c>
      <c r="E424" s="31" t="s">
        <v>3376</v>
      </c>
      <c r="F424" s="31"/>
      <c r="G424" s="31" t="s">
        <v>3390</v>
      </c>
      <c r="H424" s="27" t="s">
        <v>22</v>
      </c>
      <c r="I424" s="27" t="s">
        <v>22</v>
      </c>
      <c r="J424" s="27" t="s">
        <v>17</v>
      </c>
      <c r="K424" s="27">
        <v>92.3</v>
      </c>
      <c r="L424" s="27">
        <v>108.4</v>
      </c>
    </row>
    <row r="425" spans="1:14" ht="13.8" x14ac:dyDescent="0.3">
      <c r="A425" s="27">
        <v>1123460</v>
      </c>
      <c r="B425" s="42" t="s">
        <v>3391</v>
      </c>
      <c r="C425" s="28" t="s">
        <v>3392</v>
      </c>
      <c r="D425" s="31" t="s">
        <v>3392</v>
      </c>
      <c r="E425" s="31" t="s">
        <v>3393</v>
      </c>
      <c r="F425" s="31"/>
      <c r="G425" s="31"/>
      <c r="H425" s="27" t="s">
        <v>22</v>
      </c>
      <c r="I425" s="27" t="s">
        <v>22</v>
      </c>
      <c r="J425" s="27" t="s">
        <v>17</v>
      </c>
      <c r="K425" s="27">
        <v>100</v>
      </c>
      <c r="L425" s="27">
        <v>112</v>
      </c>
      <c r="M425" s="27" t="s">
        <v>3394</v>
      </c>
      <c r="N425" s="27" t="s">
        <v>3395</v>
      </c>
    </row>
    <row r="426" spans="1:14" ht="13.8" x14ac:dyDescent="0.3">
      <c r="A426" s="27">
        <v>1123460</v>
      </c>
      <c r="B426" s="42" t="s">
        <v>3391</v>
      </c>
      <c r="C426" s="28" t="s">
        <v>3396</v>
      </c>
      <c r="D426" s="31" t="s">
        <v>3397</v>
      </c>
      <c r="E426" s="31" t="s">
        <v>3398</v>
      </c>
      <c r="F426" s="31">
        <v>119501005</v>
      </c>
      <c r="G426" s="31" t="s">
        <v>788</v>
      </c>
      <c r="H426" s="27" t="s">
        <v>22</v>
      </c>
      <c r="I426" s="27" t="s">
        <v>22</v>
      </c>
      <c r="J426" s="27" t="s">
        <v>17</v>
      </c>
      <c r="K426" s="27">
        <v>90.9</v>
      </c>
      <c r="L426" s="27">
        <v>107.5</v>
      </c>
      <c r="M426" s="27" t="s">
        <v>3399</v>
      </c>
      <c r="N426" s="27" t="s">
        <v>3400</v>
      </c>
    </row>
    <row r="427" spans="1:14" ht="13.8" x14ac:dyDescent="0.3">
      <c r="A427" s="27">
        <v>1123460</v>
      </c>
      <c r="B427" s="42" t="s">
        <v>3391</v>
      </c>
      <c r="C427" s="28" t="s">
        <v>3396</v>
      </c>
      <c r="D427" s="31" t="s">
        <v>3397</v>
      </c>
      <c r="E427" s="31" t="s">
        <v>3398</v>
      </c>
      <c r="F427" s="31">
        <v>119501005</v>
      </c>
      <c r="G427" s="31" t="s">
        <v>3401</v>
      </c>
      <c r="H427" s="27" t="s">
        <v>22</v>
      </c>
      <c r="I427" s="27" t="s">
        <v>22</v>
      </c>
      <c r="J427" s="27" t="s">
        <v>17</v>
      </c>
      <c r="K427" s="27">
        <v>90.9</v>
      </c>
      <c r="L427" s="27">
        <v>107.5</v>
      </c>
      <c r="M427" s="27" t="s">
        <v>3399</v>
      </c>
      <c r="N427" s="27" t="s">
        <v>3400</v>
      </c>
    </row>
    <row r="428" spans="1:14" ht="13.8" x14ac:dyDescent="0.3">
      <c r="A428" s="27">
        <v>1123460</v>
      </c>
      <c r="B428" s="42" t="s">
        <v>3391</v>
      </c>
      <c r="C428" s="28" t="s">
        <v>3396</v>
      </c>
      <c r="D428" s="31" t="s">
        <v>3397</v>
      </c>
      <c r="E428" s="31" t="s">
        <v>3398</v>
      </c>
      <c r="F428" s="31">
        <v>119501005</v>
      </c>
      <c r="G428" s="31" t="s">
        <v>3402</v>
      </c>
      <c r="H428" s="27" t="s">
        <v>22</v>
      </c>
      <c r="I428" s="27" t="s">
        <v>22</v>
      </c>
      <c r="J428" s="27" t="s">
        <v>17</v>
      </c>
      <c r="K428" s="27">
        <v>90.9</v>
      </c>
      <c r="L428" s="27">
        <v>107.5</v>
      </c>
      <c r="M428" s="27" t="s">
        <v>3399</v>
      </c>
      <c r="N428" s="27" t="s">
        <v>3400</v>
      </c>
    </row>
    <row r="429" spans="1:14" ht="13.8" x14ac:dyDescent="0.3">
      <c r="A429" s="27">
        <v>1123460</v>
      </c>
      <c r="B429" s="42" t="s">
        <v>3391</v>
      </c>
      <c r="C429" s="28" t="s">
        <v>3396</v>
      </c>
      <c r="D429" s="31" t="s">
        <v>3397</v>
      </c>
      <c r="E429" s="31" t="s">
        <v>3398</v>
      </c>
      <c r="F429" s="31">
        <v>119501005</v>
      </c>
      <c r="G429" s="31" t="s">
        <v>3403</v>
      </c>
      <c r="H429" s="27" t="s">
        <v>22</v>
      </c>
      <c r="I429" s="27" t="s">
        <v>22</v>
      </c>
      <c r="J429" s="27" t="s">
        <v>17</v>
      </c>
      <c r="K429" s="27">
        <v>90.9</v>
      </c>
      <c r="L429" s="27">
        <v>107.5</v>
      </c>
      <c r="M429" s="27" t="s">
        <v>3399</v>
      </c>
      <c r="N429" s="27" t="s">
        <v>3400</v>
      </c>
    </row>
    <row r="430" spans="1:14" ht="13.8" x14ac:dyDescent="0.3">
      <c r="A430" s="27">
        <v>1123460</v>
      </c>
      <c r="B430" s="42" t="s">
        <v>3391</v>
      </c>
      <c r="C430" s="28" t="s">
        <v>3396</v>
      </c>
      <c r="D430" s="31" t="s">
        <v>3397</v>
      </c>
      <c r="E430" s="31" t="s">
        <v>3398</v>
      </c>
      <c r="F430" s="31">
        <v>119501005</v>
      </c>
      <c r="G430" s="31" t="s">
        <v>3404</v>
      </c>
      <c r="H430" s="27" t="s">
        <v>22</v>
      </c>
      <c r="I430" s="27" t="s">
        <v>22</v>
      </c>
      <c r="J430" s="27" t="s">
        <v>17</v>
      </c>
      <c r="K430" s="27">
        <v>90.9</v>
      </c>
      <c r="L430" s="27">
        <v>107.5</v>
      </c>
      <c r="M430" s="27" t="s">
        <v>3399</v>
      </c>
      <c r="N430" s="27" t="s">
        <v>3400</v>
      </c>
    </row>
    <row r="431" spans="1:14" ht="13.8" x14ac:dyDescent="0.3">
      <c r="A431" s="27">
        <v>1123460</v>
      </c>
      <c r="B431" s="42" t="s">
        <v>3391</v>
      </c>
      <c r="C431" s="28" t="s">
        <v>3396</v>
      </c>
      <c r="D431" s="31" t="s">
        <v>3397</v>
      </c>
      <c r="E431" s="31" t="s">
        <v>3398</v>
      </c>
      <c r="F431" s="31">
        <v>119501005</v>
      </c>
      <c r="G431" s="31" t="s">
        <v>3405</v>
      </c>
      <c r="H431" s="27" t="s">
        <v>22</v>
      </c>
      <c r="I431" s="27" t="s">
        <v>22</v>
      </c>
      <c r="J431" s="27" t="s">
        <v>17</v>
      </c>
      <c r="K431" s="27">
        <v>90.9</v>
      </c>
      <c r="L431" s="27">
        <v>107.5</v>
      </c>
      <c r="M431" s="27" t="s">
        <v>3399</v>
      </c>
      <c r="N431" s="27" t="s">
        <v>3400</v>
      </c>
    </row>
    <row r="432" spans="1:14" ht="13.8" x14ac:dyDescent="0.3">
      <c r="A432" s="27">
        <v>1123460</v>
      </c>
      <c r="B432" s="42" t="s">
        <v>3391</v>
      </c>
      <c r="C432" s="28" t="s">
        <v>3396</v>
      </c>
      <c r="D432" s="31" t="s">
        <v>3397</v>
      </c>
      <c r="E432" s="31" t="s">
        <v>3398</v>
      </c>
      <c r="F432" s="31">
        <v>119501005</v>
      </c>
      <c r="G432" s="31" t="s">
        <v>3406</v>
      </c>
      <c r="H432" s="27" t="s">
        <v>22</v>
      </c>
      <c r="I432" s="27" t="s">
        <v>22</v>
      </c>
      <c r="J432" s="27" t="s">
        <v>17</v>
      </c>
      <c r="K432" s="27">
        <v>90.9</v>
      </c>
      <c r="L432" s="27">
        <v>107.5</v>
      </c>
      <c r="M432" s="27" t="s">
        <v>3399</v>
      </c>
      <c r="N432" s="27" t="s">
        <v>3400</v>
      </c>
    </row>
    <row r="433" spans="1:14" ht="13.8" x14ac:dyDescent="0.3">
      <c r="A433" s="27">
        <v>1123460</v>
      </c>
      <c r="B433" s="42" t="s">
        <v>3391</v>
      </c>
      <c r="C433" s="28" t="s">
        <v>3396</v>
      </c>
      <c r="D433" s="31" t="s">
        <v>3397</v>
      </c>
      <c r="E433" s="31" t="s">
        <v>3398</v>
      </c>
      <c r="F433" s="31">
        <v>119501005</v>
      </c>
      <c r="G433" s="31" t="s">
        <v>3407</v>
      </c>
      <c r="H433" s="27" t="s">
        <v>22</v>
      </c>
      <c r="I433" s="27" t="s">
        <v>22</v>
      </c>
      <c r="J433" s="27" t="s">
        <v>17</v>
      </c>
      <c r="K433" s="27">
        <v>90.9</v>
      </c>
      <c r="L433" s="27">
        <v>107.5</v>
      </c>
      <c r="M433" s="27" t="s">
        <v>3399</v>
      </c>
      <c r="N433" s="27" t="s">
        <v>3400</v>
      </c>
    </row>
    <row r="434" spans="1:14" ht="13.8" x14ac:dyDescent="0.3">
      <c r="A434" s="27">
        <v>1123460</v>
      </c>
      <c r="B434" s="42" t="s">
        <v>3391</v>
      </c>
      <c r="C434" s="28" t="s">
        <v>3396</v>
      </c>
      <c r="D434" s="31" t="s">
        <v>3397</v>
      </c>
      <c r="E434" s="31" t="s">
        <v>3398</v>
      </c>
      <c r="F434" s="31">
        <v>119501005</v>
      </c>
      <c r="G434" s="31" t="s">
        <v>3408</v>
      </c>
      <c r="H434" s="27" t="s">
        <v>22</v>
      </c>
      <c r="I434" s="27" t="s">
        <v>22</v>
      </c>
      <c r="J434" s="27" t="s">
        <v>17</v>
      </c>
      <c r="K434" s="27">
        <v>90.9</v>
      </c>
      <c r="L434" s="27">
        <v>107.5</v>
      </c>
      <c r="M434" s="27" t="s">
        <v>3399</v>
      </c>
      <c r="N434" s="27" t="s">
        <v>3400</v>
      </c>
    </row>
    <row r="435" spans="1:14" ht="13.8" x14ac:dyDescent="0.3">
      <c r="A435" s="27">
        <v>1123460</v>
      </c>
      <c r="B435" s="42" t="s">
        <v>3391</v>
      </c>
      <c r="C435" s="28" t="s">
        <v>3396</v>
      </c>
      <c r="D435" s="31" t="s">
        <v>3397</v>
      </c>
      <c r="E435" s="31" t="s">
        <v>3398</v>
      </c>
      <c r="F435" s="31">
        <v>119501005</v>
      </c>
      <c r="G435" s="31" t="s">
        <v>3409</v>
      </c>
      <c r="H435" s="27" t="s">
        <v>22</v>
      </c>
      <c r="I435" s="27" t="s">
        <v>22</v>
      </c>
      <c r="J435" s="27" t="s">
        <v>17</v>
      </c>
      <c r="K435" s="27">
        <v>90.9</v>
      </c>
      <c r="L435" s="27">
        <v>107.5</v>
      </c>
      <c r="M435" s="27" t="s">
        <v>3399</v>
      </c>
      <c r="N435" s="27" t="s">
        <v>3400</v>
      </c>
    </row>
    <row r="436" spans="1:14" ht="13.8" x14ac:dyDescent="0.3">
      <c r="A436" s="27">
        <v>1123460</v>
      </c>
      <c r="B436" s="42" t="s">
        <v>3391</v>
      </c>
      <c r="C436" s="28" t="s">
        <v>3396</v>
      </c>
      <c r="D436" s="31" t="s">
        <v>3397</v>
      </c>
      <c r="E436" s="31" t="s">
        <v>3398</v>
      </c>
      <c r="F436" s="31">
        <v>119501005</v>
      </c>
      <c r="G436" s="31" t="s">
        <v>3410</v>
      </c>
      <c r="H436" s="27" t="s">
        <v>22</v>
      </c>
      <c r="I436" s="27" t="s">
        <v>22</v>
      </c>
      <c r="J436" s="27" t="s">
        <v>17</v>
      </c>
      <c r="K436" s="27">
        <v>90.9</v>
      </c>
      <c r="L436" s="27">
        <v>107.5</v>
      </c>
      <c r="M436" s="27" t="s">
        <v>3399</v>
      </c>
      <c r="N436" s="27" t="s">
        <v>3400</v>
      </c>
    </row>
    <row r="437" spans="1:14" ht="13.8" x14ac:dyDescent="0.3">
      <c r="A437" s="27">
        <v>1123460</v>
      </c>
      <c r="B437" s="42" t="s">
        <v>3391</v>
      </c>
      <c r="C437" s="28" t="s">
        <v>3396</v>
      </c>
      <c r="D437" s="31" t="s">
        <v>3397</v>
      </c>
      <c r="E437" s="31" t="s">
        <v>3398</v>
      </c>
      <c r="F437" s="31">
        <v>119501005</v>
      </c>
      <c r="G437" s="31" t="s">
        <v>3411</v>
      </c>
      <c r="H437" s="27" t="s">
        <v>22</v>
      </c>
      <c r="I437" s="27" t="s">
        <v>22</v>
      </c>
      <c r="J437" s="27" t="s">
        <v>17</v>
      </c>
      <c r="K437" s="27">
        <v>90.9</v>
      </c>
      <c r="L437" s="27">
        <v>107.5</v>
      </c>
      <c r="M437" s="27" t="s">
        <v>3399</v>
      </c>
      <c r="N437" s="27" t="s">
        <v>3400</v>
      </c>
    </row>
    <row r="438" spans="1:14" ht="13.8" x14ac:dyDescent="0.3">
      <c r="A438" s="27">
        <v>1123460</v>
      </c>
      <c r="B438" s="42" t="s">
        <v>3391</v>
      </c>
      <c r="C438" s="28" t="s">
        <v>3396</v>
      </c>
      <c r="D438" s="31" t="s">
        <v>3397</v>
      </c>
      <c r="E438" s="31" t="s">
        <v>3398</v>
      </c>
      <c r="F438" s="31">
        <v>119501005</v>
      </c>
      <c r="G438" s="31" t="s">
        <v>3412</v>
      </c>
      <c r="H438" s="27" t="s">
        <v>22</v>
      </c>
      <c r="I438" s="27" t="s">
        <v>22</v>
      </c>
      <c r="J438" s="27" t="s">
        <v>17</v>
      </c>
      <c r="K438" s="27">
        <v>90.9</v>
      </c>
      <c r="L438" s="27">
        <v>107.5</v>
      </c>
      <c r="M438" s="27" t="s">
        <v>3399</v>
      </c>
      <c r="N438" s="27" t="s">
        <v>3400</v>
      </c>
    </row>
    <row r="439" spans="1:14" ht="13.8" x14ac:dyDescent="0.3">
      <c r="A439" s="27">
        <v>1123460</v>
      </c>
      <c r="B439" s="42" t="s">
        <v>3391</v>
      </c>
      <c r="C439" s="28" t="s">
        <v>3396</v>
      </c>
      <c r="D439" s="31" t="s">
        <v>3397</v>
      </c>
      <c r="E439" s="31" t="s">
        <v>3398</v>
      </c>
      <c r="F439" s="31">
        <v>119501005</v>
      </c>
      <c r="G439" s="31" t="s">
        <v>3413</v>
      </c>
      <c r="H439" s="27" t="s">
        <v>22</v>
      </c>
      <c r="I439" s="27" t="s">
        <v>22</v>
      </c>
      <c r="J439" s="27" t="s">
        <v>17</v>
      </c>
      <c r="K439" s="27">
        <v>90.9</v>
      </c>
      <c r="L439" s="27">
        <v>107.5</v>
      </c>
      <c r="M439" s="27" t="s">
        <v>3399</v>
      </c>
      <c r="N439" s="27" t="s">
        <v>3400</v>
      </c>
    </row>
    <row r="440" spans="1:14" ht="13.8" x14ac:dyDescent="0.3">
      <c r="A440" s="27">
        <v>1123460</v>
      </c>
      <c r="B440" s="42" t="s">
        <v>3391</v>
      </c>
      <c r="C440" s="28" t="s">
        <v>3396</v>
      </c>
      <c r="D440" s="31" t="s">
        <v>3397</v>
      </c>
      <c r="E440" s="31" t="s">
        <v>3398</v>
      </c>
      <c r="F440" s="31">
        <v>119501005</v>
      </c>
      <c r="G440" s="31" t="s">
        <v>3414</v>
      </c>
      <c r="H440" s="27" t="s">
        <v>22</v>
      </c>
      <c r="I440" s="27" t="s">
        <v>22</v>
      </c>
      <c r="J440" s="27" t="s">
        <v>17</v>
      </c>
      <c r="K440" s="27">
        <v>90.9</v>
      </c>
      <c r="L440" s="27">
        <v>107.5</v>
      </c>
      <c r="M440" s="27" t="s">
        <v>3399</v>
      </c>
      <c r="N440" s="27" t="s">
        <v>3400</v>
      </c>
    </row>
    <row r="441" spans="1:14" ht="13.8" x14ac:dyDescent="0.3">
      <c r="A441" s="27">
        <v>1123460</v>
      </c>
      <c r="B441" s="42" t="s">
        <v>3391</v>
      </c>
      <c r="C441" s="28" t="s">
        <v>3396</v>
      </c>
      <c r="D441" s="31" t="s">
        <v>3397</v>
      </c>
      <c r="E441" s="31" t="s">
        <v>3398</v>
      </c>
      <c r="F441" s="31">
        <v>119501005</v>
      </c>
      <c r="G441" s="31" t="s">
        <v>3415</v>
      </c>
      <c r="H441" s="27" t="s">
        <v>22</v>
      </c>
      <c r="I441" s="27" t="s">
        <v>22</v>
      </c>
      <c r="J441" s="27" t="s">
        <v>17</v>
      </c>
      <c r="K441" s="27">
        <v>90.9</v>
      </c>
      <c r="L441" s="27">
        <v>107.5</v>
      </c>
      <c r="M441" s="27" t="s">
        <v>3399</v>
      </c>
      <c r="N441" s="27" t="s">
        <v>3400</v>
      </c>
    </row>
    <row r="442" spans="1:14" ht="13.8" x14ac:dyDescent="0.3">
      <c r="A442" s="27">
        <v>1123460</v>
      </c>
      <c r="B442" s="42" t="s">
        <v>3391</v>
      </c>
      <c r="C442" s="28" t="s">
        <v>3396</v>
      </c>
      <c r="D442" s="31" t="s">
        <v>3397</v>
      </c>
      <c r="E442" s="31" t="s">
        <v>3398</v>
      </c>
      <c r="F442" s="31">
        <v>119501005</v>
      </c>
      <c r="G442" s="31" t="s">
        <v>3416</v>
      </c>
      <c r="H442" s="27" t="s">
        <v>22</v>
      </c>
      <c r="I442" s="27" t="s">
        <v>22</v>
      </c>
      <c r="J442" s="27" t="s">
        <v>17</v>
      </c>
      <c r="K442" s="27">
        <v>90.9</v>
      </c>
      <c r="L442" s="27">
        <v>107.5</v>
      </c>
      <c r="M442" s="27" t="s">
        <v>3399</v>
      </c>
      <c r="N442" s="27" t="s">
        <v>3400</v>
      </c>
    </row>
    <row r="443" spans="1:14" ht="13.8" x14ac:dyDescent="0.3">
      <c r="A443" s="27">
        <v>1123460</v>
      </c>
      <c r="B443" s="42" t="s">
        <v>3391</v>
      </c>
      <c r="C443" s="28" t="s">
        <v>3396</v>
      </c>
      <c r="D443" s="31" t="s">
        <v>3397</v>
      </c>
      <c r="E443" s="31" t="s">
        <v>3398</v>
      </c>
      <c r="F443" s="31">
        <v>119501005</v>
      </c>
      <c r="G443" s="31" t="s">
        <v>3417</v>
      </c>
      <c r="H443" s="27" t="s">
        <v>22</v>
      </c>
      <c r="I443" s="27" t="s">
        <v>22</v>
      </c>
      <c r="J443" s="27" t="s">
        <v>17</v>
      </c>
      <c r="K443" s="27">
        <v>90.9</v>
      </c>
      <c r="L443" s="27">
        <v>107.5</v>
      </c>
      <c r="M443" s="27" t="s">
        <v>3399</v>
      </c>
      <c r="N443" s="27" t="s">
        <v>3400</v>
      </c>
    </row>
    <row r="444" spans="1:14" ht="13.8" x14ac:dyDescent="0.3">
      <c r="A444" s="27">
        <v>1123460</v>
      </c>
      <c r="B444" s="42" t="s">
        <v>3391</v>
      </c>
      <c r="C444" s="28" t="s">
        <v>3396</v>
      </c>
      <c r="D444" s="31" t="s">
        <v>3397</v>
      </c>
      <c r="E444" s="31" t="s">
        <v>3398</v>
      </c>
      <c r="F444" s="31">
        <v>119501005</v>
      </c>
      <c r="G444" s="31" t="s">
        <v>3418</v>
      </c>
      <c r="H444" s="27" t="s">
        <v>22</v>
      </c>
      <c r="I444" s="27" t="s">
        <v>22</v>
      </c>
      <c r="J444" s="27" t="s">
        <v>17</v>
      </c>
      <c r="K444" s="27">
        <v>90.9</v>
      </c>
      <c r="L444" s="27">
        <v>107.5</v>
      </c>
      <c r="M444" s="27" t="s">
        <v>3399</v>
      </c>
      <c r="N444" s="27" t="s">
        <v>3400</v>
      </c>
    </row>
    <row r="445" spans="1:14" ht="13.8" x14ac:dyDescent="0.3">
      <c r="A445" s="27">
        <v>1123460</v>
      </c>
      <c r="B445" s="42" t="s">
        <v>3391</v>
      </c>
      <c r="C445" s="28" t="s">
        <v>3396</v>
      </c>
      <c r="D445" s="31" t="s">
        <v>3397</v>
      </c>
      <c r="E445" s="31" t="s">
        <v>3398</v>
      </c>
      <c r="F445" s="31">
        <v>119501005</v>
      </c>
      <c r="G445" s="31" t="s">
        <v>3419</v>
      </c>
      <c r="H445" s="27" t="s">
        <v>22</v>
      </c>
      <c r="I445" s="27" t="s">
        <v>22</v>
      </c>
      <c r="J445" s="27" t="s">
        <v>17</v>
      </c>
      <c r="K445" s="27">
        <v>90.9</v>
      </c>
      <c r="L445" s="27">
        <v>107.5</v>
      </c>
      <c r="M445" s="27" t="s">
        <v>3399</v>
      </c>
      <c r="N445" s="27" t="s">
        <v>3400</v>
      </c>
    </row>
    <row r="446" spans="1:14" ht="13.8" x14ac:dyDescent="0.3">
      <c r="A446" s="27">
        <v>1123460</v>
      </c>
      <c r="B446" s="42" t="s">
        <v>3391</v>
      </c>
      <c r="C446" s="28" t="s">
        <v>3396</v>
      </c>
      <c r="D446" s="31" t="s">
        <v>3397</v>
      </c>
      <c r="E446" s="31" t="s">
        <v>3398</v>
      </c>
      <c r="F446" s="31">
        <v>119501005</v>
      </c>
      <c r="G446" s="31" t="s">
        <v>3420</v>
      </c>
      <c r="H446" s="27" t="s">
        <v>22</v>
      </c>
      <c r="I446" s="27" t="s">
        <v>22</v>
      </c>
      <c r="J446" s="27" t="s">
        <v>17</v>
      </c>
      <c r="K446" s="27">
        <v>90.9</v>
      </c>
      <c r="L446" s="27">
        <v>107.5</v>
      </c>
      <c r="M446" s="27" t="s">
        <v>3399</v>
      </c>
      <c r="N446" s="27" t="s">
        <v>3400</v>
      </c>
    </row>
    <row r="447" spans="1:14" ht="13.8" x14ac:dyDescent="0.3">
      <c r="A447" s="27">
        <v>1123460</v>
      </c>
      <c r="B447" s="42" t="s">
        <v>3391</v>
      </c>
      <c r="C447" s="28" t="s">
        <v>3396</v>
      </c>
      <c r="D447" s="31" t="s">
        <v>3397</v>
      </c>
      <c r="E447" s="31" t="s">
        <v>3398</v>
      </c>
      <c r="F447" s="31">
        <v>119501005</v>
      </c>
      <c r="G447" s="31" t="s">
        <v>3421</v>
      </c>
      <c r="H447" s="27" t="s">
        <v>22</v>
      </c>
      <c r="I447" s="27" t="s">
        <v>22</v>
      </c>
      <c r="J447" s="27" t="s">
        <v>17</v>
      </c>
      <c r="K447" s="27">
        <v>90.9</v>
      </c>
      <c r="L447" s="27">
        <v>107.5</v>
      </c>
      <c r="M447" s="27" t="s">
        <v>3399</v>
      </c>
      <c r="N447" s="27" t="s">
        <v>3400</v>
      </c>
    </row>
    <row r="448" spans="1:14" ht="13.8" x14ac:dyDescent="0.3">
      <c r="A448" s="27">
        <v>1123460</v>
      </c>
      <c r="B448" s="42" t="s">
        <v>3391</v>
      </c>
      <c r="C448" s="28" t="s">
        <v>3396</v>
      </c>
      <c r="D448" s="31" t="s">
        <v>3397</v>
      </c>
      <c r="E448" s="31" t="s">
        <v>3398</v>
      </c>
      <c r="F448" s="31">
        <v>119501005</v>
      </c>
      <c r="G448" s="31" t="s">
        <v>3422</v>
      </c>
      <c r="H448" s="27" t="s">
        <v>22</v>
      </c>
      <c r="I448" s="27" t="s">
        <v>22</v>
      </c>
      <c r="J448" s="27" t="s">
        <v>17</v>
      </c>
      <c r="K448" s="27">
        <v>90.9</v>
      </c>
      <c r="L448" s="27">
        <v>107.5</v>
      </c>
      <c r="M448" s="27" t="s">
        <v>3399</v>
      </c>
      <c r="N448" s="27" t="s">
        <v>3400</v>
      </c>
    </row>
    <row r="449" spans="1:14" ht="13.8" x14ac:dyDescent="0.3">
      <c r="A449" s="27">
        <v>1123460</v>
      </c>
      <c r="B449" s="42" t="s">
        <v>3391</v>
      </c>
      <c r="C449" s="28" t="s">
        <v>3396</v>
      </c>
      <c r="D449" s="31" t="s">
        <v>3397</v>
      </c>
      <c r="E449" s="31" t="s">
        <v>3398</v>
      </c>
      <c r="F449" s="31">
        <v>119501005</v>
      </c>
      <c r="G449" s="31" t="s">
        <v>3423</v>
      </c>
      <c r="H449" s="27" t="s">
        <v>22</v>
      </c>
      <c r="I449" s="27" t="s">
        <v>22</v>
      </c>
      <c r="J449" s="27" t="s">
        <v>17</v>
      </c>
      <c r="K449" s="27">
        <v>90.9</v>
      </c>
      <c r="L449" s="27">
        <v>107.5</v>
      </c>
      <c r="M449" s="27" t="s">
        <v>3399</v>
      </c>
      <c r="N449" s="27" t="s">
        <v>3400</v>
      </c>
    </row>
    <row r="450" spans="1:14" ht="13.8" x14ac:dyDescent="0.3">
      <c r="A450" s="27">
        <v>1123460</v>
      </c>
      <c r="B450" s="42" t="s">
        <v>3391</v>
      </c>
      <c r="C450" s="28" t="s">
        <v>3396</v>
      </c>
      <c r="D450" s="31" t="s">
        <v>3397</v>
      </c>
      <c r="E450" s="31" t="s">
        <v>3398</v>
      </c>
      <c r="F450" s="31">
        <v>119501005</v>
      </c>
      <c r="G450" s="31" t="s">
        <v>3424</v>
      </c>
      <c r="H450" s="27" t="s">
        <v>22</v>
      </c>
      <c r="I450" s="27" t="s">
        <v>22</v>
      </c>
      <c r="J450" s="27" t="s">
        <v>17</v>
      </c>
      <c r="K450" s="27">
        <v>90.9</v>
      </c>
      <c r="L450" s="27">
        <v>107.5</v>
      </c>
      <c r="M450" s="27" t="s">
        <v>3399</v>
      </c>
      <c r="N450" s="27" t="s">
        <v>3400</v>
      </c>
    </row>
    <row r="451" spans="1:14" ht="13.8" x14ac:dyDescent="0.3">
      <c r="A451" s="27">
        <v>1123460</v>
      </c>
      <c r="B451" s="42" t="s">
        <v>3391</v>
      </c>
      <c r="C451" s="28" t="s">
        <v>3396</v>
      </c>
      <c r="D451" s="31" t="s">
        <v>3397</v>
      </c>
      <c r="E451" s="31" t="s">
        <v>3398</v>
      </c>
      <c r="F451" s="31">
        <v>119501005</v>
      </c>
      <c r="G451" s="31" t="s">
        <v>3425</v>
      </c>
      <c r="H451" s="27" t="s">
        <v>22</v>
      </c>
      <c r="I451" s="27" t="s">
        <v>22</v>
      </c>
      <c r="J451" s="27" t="s">
        <v>17</v>
      </c>
      <c r="K451" s="27">
        <v>90.9</v>
      </c>
      <c r="L451" s="27">
        <v>107.5</v>
      </c>
      <c r="M451" s="27" t="s">
        <v>3399</v>
      </c>
      <c r="N451" s="27" t="s">
        <v>3400</v>
      </c>
    </row>
    <row r="452" spans="1:14" ht="13.8" x14ac:dyDescent="0.3">
      <c r="A452" s="27">
        <v>1123460</v>
      </c>
      <c r="B452" s="42" t="s">
        <v>3391</v>
      </c>
      <c r="C452" s="28" t="s">
        <v>3396</v>
      </c>
      <c r="D452" s="31" t="s">
        <v>3397</v>
      </c>
      <c r="E452" s="31" t="s">
        <v>3398</v>
      </c>
      <c r="F452" s="31">
        <v>119501005</v>
      </c>
      <c r="G452" s="31" t="s">
        <v>3426</v>
      </c>
      <c r="H452" s="27" t="s">
        <v>22</v>
      </c>
      <c r="I452" s="27" t="s">
        <v>22</v>
      </c>
      <c r="J452" s="27" t="s">
        <v>17</v>
      </c>
      <c r="K452" s="27">
        <v>90.9</v>
      </c>
      <c r="L452" s="27">
        <v>107.5</v>
      </c>
      <c r="M452" s="27" t="s">
        <v>3399</v>
      </c>
      <c r="N452" s="27" t="s">
        <v>3400</v>
      </c>
    </row>
    <row r="453" spans="1:14" ht="13.8" x14ac:dyDescent="0.3">
      <c r="A453" s="27">
        <v>1123460</v>
      </c>
      <c r="B453" s="42" t="s">
        <v>3391</v>
      </c>
      <c r="C453" s="28" t="s">
        <v>3396</v>
      </c>
      <c r="D453" s="31" t="s">
        <v>3397</v>
      </c>
      <c r="E453" s="31" t="s">
        <v>3398</v>
      </c>
      <c r="F453" s="31">
        <v>119501005</v>
      </c>
      <c r="G453" s="31" t="s">
        <v>3427</v>
      </c>
      <c r="H453" s="27" t="s">
        <v>22</v>
      </c>
      <c r="I453" s="27" t="s">
        <v>22</v>
      </c>
      <c r="J453" s="27" t="s">
        <v>17</v>
      </c>
      <c r="K453" s="27">
        <v>90.9</v>
      </c>
      <c r="L453" s="27">
        <v>107.5</v>
      </c>
      <c r="M453" s="27" t="s">
        <v>3399</v>
      </c>
      <c r="N453" s="27" t="s">
        <v>3400</v>
      </c>
    </row>
    <row r="454" spans="1:14" ht="13.8" x14ac:dyDescent="0.3">
      <c r="A454" s="27">
        <v>1123460</v>
      </c>
      <c r="B454" s="42" t="s">
        <v>3391</v>
      </c>
      <c r="C454" s="28" t="s">
        <v>3396</v>
      </c>
      <c r="D454" s="31" t="s">
        <v>3397</v>
      </c>
      <c r="E454" s="31" t="s">
        <v>3398</v>
      </c>
      <c r="F454" s="31">
        <v>119501005</v>
      </c>
      <c r="G454" s="31" t="s">
        <v>3428</v>
      </c>
      <c r="H454" s="27" t="s">
        <v>22</v>
      </c>
      <c r="I454" s="27" t="s">
        <v>22</v>
      </c>
      <c r="J454" s="27" t="s">
        <v>17</v>
      </c>
      <c r="K454" s="27">
        <v>90.9</v>
      </c>
      <c r="L454" s="27">
        <v>107.5</v>
      </c>
      <c r="M454" s="27" t="s">
        <v>3399</v>
      </c>
      <c r="N454" s="27" t="s">
        <v>3400</v>
      </c>
    </row>
    <row r="455" spans="1:14" ht="13.8" x14ac:dyDescent="0.3">
      <c r="A455" s="27">
        <v>1123460</v>
      </c>
      <c r="B455" s="42" t="s">
        <v>3391</v>
      </c>
      <c r="C455" s="28" t="s">
        <v>3396</v>
      </c>
      <c r="D455" s="31" t="s">
        <v>3397</v>
      </c>
      <c r="E455" s="31" t="s">
        <v>3398</v>
      </c>
      <c r="F455" s="31">
        <v>119501005</v>
      </c>
      <c r="G455" s="31" t="s">
        <v>3429</v>
      </c>
      <c r="H455" s="27" t="s">
        <v>22</v>
      </c>
      <c r="I455" s="27" t="s">
        <v>22</v>
      </c>
      <c r="J455" s="27" t="s">
        <v>17</v>
      </c>
      <c r="K455" s="27">
        <v>90.9</v>
      </c>
      <c r="L455" s="27">
        <v>107.5</v>
      </c>
      <c r="M455" s="27" t="s">
        <v>3399</v>
      </c>
      <c r="N455" s="27" t="s">
        <v>3400</v>
      </c>
    </row>
    <row r="456" spans="1:14" ht="13.8" x14ac:dyDescent="0.3">
      <c r="A456" s="27">
        <v>1123460</v>
      </c>
      <c r="B456" s="42" t="s">
        <v>3391</v>
      </c>
      <c r="C456" s="28" t="s">
        <v>3396</v>
      </c>
      <c r="D456" s="31" t="s">
        <v>3397</v>
      </c>
      <c r="E456" s="31" t="s">
        <v>3398</v>
      </c>
      <c r="F456" s="31">
        <v>119501005</v>
      </c>
      <c r="G456" s="31" t="s">
        <v>792</v>
      </c>
      <c r="H456" s="27" t="s">
        <v>22</v>
      </c>
      <c r="I456" s="27" t="s">
        <v>22</v>
      </c>
      <c r="J456" s="27" t="s">
        <v>17</v>
      </c>
      <c r="K456" s="27">
        <v>90.9</v>
      </c>
      <c r="L456" s="27">
        <v>107.5</v>
      </c>
      <c r="M456" s="27" t="s">
        <v>3399</v>
      </c>
      <c r="N456" s="27" t="s">
        <v>3400</v>
      </c>
    </row>
    <row r="457" spans="1:14" ht="13.8" x14ac:dyDescent="0.3">
      <c r="A457" s="27">
        <v>1123460</v>
      </c>
      <c r="B457" s="42" t="s">
        <v>3391</v>
      </c>
      <c r="C457" s="28" t="s">
        <v>3396</v>
      </c>
      <c r="D457" s="31" t="s">
        <v>3397</v>
      </c>
      <c r="E457" s="31" t="s">
        <v>3398</v>
      </c>
      <c r="F457" s="31">
        <v>119501005</v>
      </c>
      <c r="G457" s="31" t="s">
        <v>793</v>
      </c>
      <c r="H457" s="27" t="s">
        <v>22</v>
      </c>
      <c r="I457" s="27" t="s">
        <v>22</v>
      </c>
      <c r="J457" s="27" t="s">
        <v>17</v>
      </c>
      <c r="K457" s="27">
        <v>90.9</v>
      </c>
      <c r="L457" s="27">
        <v>107.5</v>
      </c>
      <c r="M457" s="27" t="s">
        <v>3399</v>
      </c>
      <c r="N457" s="27" t="s">
        <v>3400</v>
      </c>
    </row>
    <row r="458" spans="1:14" ht="13.8" x14ac:dyDescent="0.3">
      <c r="A458" s="27">
        <v>1123460</v>
      </c>
      <c r="B458" s="42" t="s">
        <v>3391</v>
      </c>
      <c r="C458" s="28" t="s">
        <v>3396</v>
      </c>
      <c r="D458" s="31" t="s">
        <v>3397</v>
      </c>
      <c r="E458" s="31" t="s">
        <v>3398</v>
      </c>
      <c r="F458" s="31">
        <v>119501005</v>
      </c>
      <c r="G458" s="31" t="s">
        <v>794</v>
      </c>
      <c r="H458" s="27" t="s">
        <v>22</v>
      </c>
      <c r="I458" s="27" t="s">
        <v>22</v>
      </c>
      <c r="J458" s="27" t="s">
        <v>17</v>
      </c>
      <c r="K458" s="27">
        <v>90.9</v>
      </c>
      <c r="L458" s="27">
        <v>107.5</v>
      </c>
      <c r="M458" s="27" t="s">
        <v>3399</v>
      </c>
      <c r="N458" s="27" t="s">
        <v>3400</v>
      </c>
    </row>
    <row r="459" spans="1:14" ht="13.8" x14ac:dyDescent="0.3">
      <c r="A459" s="27">
        <v>1123460</v>
      </c>
      <c r="B459" s="42" t="s">
        <v>3391</v>
      </c>
      <c r="C459" s="28" t="s">
        <v>3396</v>
      </c>
      <c r="D459" s="31" t="s">
        <v>3397</v>
      </c>
      <c r="E459" s="31" t="s">
        <v>3398</v>
      </c>
      <c r="F459" s="31">
        <v>119501005</v>
      </c>
      <c r="G459" s="31" t="s">
        <v>795</v>
      </c>
      <c r="H459" s="27" t="s">
        <v>22</v>
      </c>
      <c r="I459" s="27" t="s">
        <v>22</v>
      </c>
      <c r="J459" s="27" t="s">
        <v>17</v>
      </c>
      <c r="K459" s="27">
        <v>90.9</v>
      </c>
      <c r="L459" s="27">
        <v>107.5</v>
      </c>
      <c r="M459" s="27" t="s">
        <v>3399</v>
      </c>
      <c r="N459" s="27" t="s">
        <v>3400</v>
      </c>
    </row>
    <row r="460" spans="1:14" ht="13.8" x14ac:dyDescent="0.3">
      <c r="A460" s="27">
        <v>1123460</v>
      </c>
      <c r="B460" s="42" t="s">
        <v>3391</v>
      </c>
      <c r="C460" s="28" t="s">
        <v>3396</v>
      </c>
      <c r="D460" s="31" t="s">
        <v>3397</v>
      </c>
      <c r="E460" s="31" t="s">
        <v>3398</v>
      </c>
      <c r="F460" s="31">
        <v>119501005</v>
      </c>
      <c r="G460" s="31" t="s">
        <v>796</v>
      </c>
      <c r="H460" s="27" t="s">
        <v>22</v>
      </c>
      <c r="I460" s="27" t="s">
        <v>22</v>
      </c>
      <c r="J460" s="27" t="s">
        <v>17</v>
      </c>
      <c r="K460" s="27">
        <v>90.9</v>
      </c>
      <c r="L460" s="27">
        <v>107.5</v>
      </c>
      <c r="M460" s="27" t="s">
        <v>3399</v>
      </c>
      <c r="N460" s="27" t="s">
        <v>3400</v>
      </c>
    </row>
    <row r="461" spans="1:14" ht="13.8" x14ac:dyDescent="0.3">
      <c r="A461" s="27">
        <v>1123460</v>
      </c>
      <c r="B461" s="42" t="s">
        <v>3391</v>
      </c>
      <c r="C461" s="28" t="s">
        <v>3396</v>
      </c>
      <c r="D461" s="31" t="s">
        <v>3397</v>
      </c>
      <c r="E461" s="31" t="s">
        <v>3398</v>
      </c>
      <c r="F461" s="31">
        <v>119501005</v>
      </c>
      <c r="G461" s="31" t="s">
        <v>797</v>
      </c>
      <c r="H461" s="27" t="s">
        <v>22</v>
      </c>
      <c r="I461" s="27" t="s">
        <v>22</v>
      </c>
      <c r="J461" s="27" t="s">
        <v>17</v>
      </c>
      <c r="K461" s="27">
        <v>90.9</v>
      </c>
      <c r="L461" s="27">
        <v>107.5</v>
      </c>
      <c r="M461" s="27" t="s">
        <v>3399</v>
      </c>
      <c r="N461" s="27" t="s">
        <v>3400</v>
      </c>
    </row>
    <row r="462" spans="1:14" ht="13.8" x14ac:dyDescent="0.3">
      <c r="A462" s="27">
        <v>1123460</v>
      </c>
      <c r="B462" s="42" t="s">
        <v>3391</v>
      </c>
      <c r="C462" s="28" t="s">
        <v>3396</v>
      </c>
      <c r="D462" s="31" t="s">
        <v>3397</v>
      </c>
      <c r="E462" s="31" t="s">
        <v>3398</v>
      </c>
      <c r="F462" s="31">
        <v>119501005</v>
      </c>
      <c r="G462" s="31" t="s">
        <v>798</v>
      </c>
      <c r="H462" s="27" t="s">
        <v>22</v>
      </c>
      <c r="I462" s="27" t="s">
        <v>22</v>
      </c>
      <c r="J462" s="27" t="s">
        <v>17</v>
      </c>
      <c r="K462" s="27">
        <v>90.9</v>
      </c>
      <c r="L462" s="27">
        <v>107.5</v>
      </c>
      <c r="M462" s="27" t="s">
        <v>3399</v>
      </c>
      <c r="N462" s="27" t="s">
        <v>3400</v>
      </c>
    </row>
    <row r="463" spans="1:14" ht="13.8" x14ac:dyDescent="0.3">
      <c r="A463" s="27">
        <v>1123460</v>
      </c>
      <c r="B463" s="42" t="s">
        <v>3391</v>
      </c>
      <c r="C463" s="28" t="s">
        <v>3396</v>
      </c>
      <c r="D463" s="31" t="s">
        <v>3397</v>
      </c>
      <c r="E463" s="31" t="s">
        <v>3398</v>
      </c>
      <c r="F463" s="31">
        <v>119501005</v>
      </c>
      <c r="G463" s="31" t="s">
        <v>799</v>
      </c>
      <c r="H463" s="27" t="s">
        <v>22</v>
      </c>
      <c r="I463" s="27" t="s">
        <v>22</v>
      </c>
      <c r="J463" s="27" t="s">
        <v>17</v>
      </c>
      <c r="K463" s="27">
        <v>90.9</v>
      </c>
      <c r="L463" s="27">
        <v>107.5</v>
      </c>
      <c r="M463" s="27" t="s">
        <v>3399</v>
      </c>
      <c r="N463" s="27" t="s">
        <v>3400</v>
      </c>
    </row>
    <row r="464" spans="1:14" ht="13.8" x14ac:dyDescent="0.3">
      <c r="A464" s="27">
        <v>1123460</v>
      </c>
      <c r="B464" s="42" t="s">
        <v>3391</v>
      </c>
      <c r="C464" s="28" t="s">
        <v>3396</v>
      </c>
      <c r="D464" s="31" t="s">
        <v>3397</v>
      </c>
      <c r="E464" s="31" t="s">
        <v>3398</v>
      </c>
      <c r="F464" s="31">
        <v>119501005</v>
      </c>
      <c r="G464" s="31" t="s">
        <v>800</v>
      </c>
      <c r="H464" s="27" t="s">
        <v>22</v>
      </c>
      <c r="I464" s="27" t="s">
        <v>22</v>
      </c>
      <c r="J464" s="27" t="s">
        <v>17</v>
      </c>
      <c r="K464" s="27">
        <v>90.9</v>
      </c>
      <c r="L464" s="27">
        <v>107.5</v>
      </c>
      <c r="M464" s="27" t="s">
        <v>3399</v>
      </c>
      <c r="N464" s="27" t="s">
        <v>3400</v>
      </c>
    </row>
    <row r="465" spans="1:14" ht="13.8" x14ac:dyDescent="0.3">
      <c r="A465" s="27">
        <v>1123460</v>
      </c>
      <c r="B465" s="42" t="s">
        <v>3391</v>
      </c>
      <c r="C465" s="28" t="s">
        <v>3396</v>
      </c>
      <c r="D465" s="31" t="s">
        <v>3397</v>
      </c>
      <c r="E465" s="31" t="s">
        <v>3398</v>
      </c>
      <c r="F465" s="31">
        <v>119501005</v>
      </c>
      <c r="G465" s="31" t="s">
        <v>801</v>
      </c>
      <c r="H465" s="27" t="s">
        <v>22</v>
      </c>
      <c r="I465" s="27" t="s">
        <v>22</v>
      </c>
      <c r="J465" s="27" t="s">
        <v>17</v>
      </c>
      <c r="K465" s="27">
        <v>90.9</v>
      </c>
      <c r="L465" s="27">
        <v>107.5</v>
      </c>
      <c r="M465" s="27" t="s">
        <v>3399</v>
      </c>
      <c r="N465" s="27" t="s">
        <v>3400</v>
      </c>
    </row>
    <row r="466" spans="1:14" ht="13.8" x14ac:dyDescent="0.3">
      <c r="A466" s="27">
        <v>1123460</v>
      </c>
      <c r="B466" s="42" t="s">
        <v>3391</v>
      </c>
      <c r="C466" s="28" t="s">
        <v>3396</v>
      </c>
      <c r="D466" s="31" t="s">
        <v>3397</v>
      </c>
      <c r="E466" s="31" t="s">
        <v>3398</v>
      </c>
      <c r="F466" s="31">
        <v>119501005</v>
      </c>
      <c r="G466" s="31" t="s">
        <v>802</v>
      </c>
      <c r="H466" s="27" t="s">
        <v>22</v>
      </c>
      <c r="I466" s="27" t="s">
        <v>22</v>
      </c>
      <c r="J466" s="27" t="s">
        <v>17</v>
      </c>
      <c r="K466" s="27">
        <v>90.9</v>
      </c>
      <c r="L466" s="27">
        <v>107.5</v>
      </c>
      <c r="M466" s="27" t="s">
        <v>3399</v>
      </c>
      <c r="N466" s="27" t="s">
        <v>3400</v>
      </c>
    </row>
    <row r="467" spans="1:14" ht="13.8" x14ac:dyDescent="0.3">
      <c r="A467" s="27">
        <v>1123460</v>
      </c>
      <c r="B467" s="42" t="s">
        <v>3391</v>
      </c>
      <c r="C467" s="28" t="s">
        <v>3396</v>
      </c>
      <c r="D467" s="31" t="s">
        <v>3397</v>
      </c>
      <c r="E467" s="31" t="s">
        <v>3398</v>
      </c>
      <c r="F467" s="31">
        <v>119501005</v>
      </c>
      <c r="G467" s="31" t="s">
        <v>803</v>
      </c>
      <c r="H467" s="27" t="s">
        <v>22</v>
      </c>
      <c r="I467" s="27" t="s">
        <v>22</v>
      </c>
      <c r="J467" s="27" t="s">
        <v>17</v>
      </c>
      <c r="K467" s="27">
        <v>90.9</v>
      </c>
      <c r="L467" s="27">
        <v>107.5</v>
      </c>
      <c r="M467" s="27" t="s">
        <v>3399</v>
      </c>
      <c r="N467" s="27" t="s">
        <v>3400</v>
      </c>
    </row>
    <row r="468" spans="1:14" ht="13.8" x14ac:dyDescent="0.3">
      <c r="A468" s="27">
        <v>1123460</v>
      </c>
      <c r="B468" s="42" t="s">
        <v>3391</v>
      </c>
      <c r="C468" s="28" t="s">
        <v>3396</v>
      </c>
      <c r="D468" s="31" t="s">
        <v>3397</v>
      </c>
      <c r="E468" s="31" t="s">
        <v>3398</v>
      </c>
      <c r="F468" s="31">
        <v>119501005</v>
      </c>
      <c r="G468" s="31" t="s">
        <v>804</v>
      </c>
      <c r="H468" s="27" t="s">
        <v>22</v>
      </c>
      <c r="I468" s="27" t="s">
        <v>22</v>
      </c>
      <c r="J468" s="27" t="s">
        <v>17</v>
      </c>
      <c r="K468" s="27">
        <v>90.9</v>
      </c>
      <c r="L468" s="27">
        <v>107.5</v>
      </c>
      <c r="M468" s="27" t="s">
        <v>3399</v>
      </c>
      <c r="N468" s="27" t="s">
        <v>3400</v>
      </c>
    </row>
    <row r="469" spans="1:14" ht="13.8" x14ac:dyDescent="0.3">
      <c r="A469" s="27">
        <v>1123460</v>
      </c>
      <c r="B469" s="42" t="s">
        <v>3391</v>
      </c>
      <c r="C469" s="28" t="s">
        <v>3396</v>
      </c>
      <c r="D469" s="31" t="s">
        <v>3397</v>
      </c>
      <c r="E469" s="31" t="s">
        <v>3398</v>
      </c>
      <c r="F469" s="31">
        <v>119501005</v>
      </c>
      <c r="G469" s="31" t="s">
        <v>805</v>
      </c>
      <c r="H469" s="27" t="s">
        <v>22</v>
      </c>
      <c r="I469" s="27" t="s">
        <v>22</v>
      </c>
      <c r="J469" s="27" t="s">
        <v>17</v>
      </c>
      <c r="K469" s="27">
        <v>90.9</v>
      </c>
      <c r="L469" s="27">
        <v>107.5</v>
      </c>
      <c r="M469" s="27" t="s">
        <v>3399</v>
      </c>
      <c r="N469" s="27" t="s">
        <v>3400</v>
      </c>
    </row>
    <row r="470" spans="1:14" ht="13.8" x14ac:dyDescent="0.3">
      <c r="A470" s="27">
        <v>1123460</v>
      </c>
      <c r="B470" s="42" t="s">
        <v>3391</v>
      </c>
      <c r="C470" s="28" t="s">
        <v>3396</v>
      </c>
      <c r="D470" s="31" t="s">
        <v>3397</v>
      </c>
      <c r="E470" s="31" t="s">
        <v>3398</v>
      </c>
      <c r="F470" s="31">
        <v>119501005</v>
      </c>
      <c r="G470" s="31" t="s">
        <v>806</v>
      </c>
      <c r="H470" s="27" t="s">
        <v>22</v>
      </c>
      <c r="I470" s="27" t="s">
        <v>22</v>
      </c>
      <c r="J470" s="27" t="s">
        <v>17</v>
      </c>
      <c r="K470" s="27">
        <v>90.9</v>
      </c>
      <c r="L470" s="27">
        <v>107.5</v>
      </c>
      <c r="M470" s="27" t="s">
        <v>3399</v>
      </c>
      <c r="N470" s="27" t="s">
        <v>3400</v>
      </c>
    </row>
    <row r="471" spans="1:14" ht="13.8" x14ac:dyDescent="0.3">
      <c r="A471" s="27">
        <v>1123460</v>
      </c>
      <c r="B471" s="42" t="s">
        <v>3391</v>
      </c>
      <c r="C471" s="28" t="s">
        <v>3396</v>
      </c>
      <c r="D471" s="31" t="s">
        <v>3397</v>
      </c>
      <c r="E471" s="31" t="s">
        <v>3398</v>
      </c>
      <c r="F471" s="31">
        <v>119501005</v>
      </c>
      <c r="G471" s="31" t="s">
        <v>807</v>
      </c>
      <c r="H471" s="27" t="s">
        <v>22</v>
      </c>
      <c r="I471" s="27" t="s">
        <v>22</v>
      </c>
      <c r="J471" s="27" t="s">
        <v>17</v>
      </c>
      <c r="K471" s="27">
        <v>90.9</v>
      </c>
      <c r="L471" s="27">
        <v>107.5</v>
      </c>
      <c r="M471" s="27" t="s">
        <v>3399</v>
      </c>
      <c r="N471" s="27" t="s">
        <v>3400</v>
      </c>
    </row>
    <row r="472" spans="1:14" ht="13.8" x14ac:dyDescent="0.3">
      <c r="A472" s="27">
        <v>1123460</v>
      </c>
      <c r="B472" s="42" t="s">
        <v>3391</v>
      </c>
      <c r="C472" s="28" t="s">
        <v>3396</v>
      </c>
      <c r="D472" s="31" t="s">
        <v>3397</v>
      </c>
      <c r="E472" s="31" t="s">
        <v>3398</v>
      </c>
      <c r="F472" s="31">
        <v>119501005</v>
      </c>
      <c r="G472" s="31" t="s">
        <v>808</v>
      </c>
      <c r="H472" s="27" t="s">
        <v>22</v>
      </c>
      <c r="I472" s="27" t="s">
        <v>22</v>
      </c>
      <c r="J472" s="27" t="s">
        <v>17</v>
      </c>
      <c r="K472" s="27">
        <v>90.9</v>
      </c>
      <c r="L472" s="27">
        <v>107.5</v>
      </c>
      <c r="M472" s="27" t="s">
        <v>3399</v>
      </c>
      <c r="N472" s="27" t="s">
        <v>3400</v>
      </c>
    </row>
    <row r="473" spans="1:14" ht="13.8" x14ac:dyDescent="0.3">
      <c r="A473" s="27">
        <v>1123460</v>
      </c>
      <c r="B473" s="42" t="s">
        <v>3391</v>
      </c>
      <c r="C473" s="28" t="s">
        <v>3396</v>
      </c>
      <c r="D473" s="31" t="s">
        <v>3397</v>
      </c>
      <c r="E473" s="31" t="s">
        <v>3398</v>
      </c>
      <c r="F473" s="31">
        <v>119501005</v>
      </c>
      <c r="G473" s="31" t="s">
        <v>809</v>
      </c>
      <c r="H473" s="27" t="s">
        <v>22</v>
      </c>
      <c r="I473" s="27" t="s">
        <v>22</v>
      </c>
      <c r="J473" s="27" t="s">
        <v>17</v>
      </c>
      <c r="K473" s="27">
        <v>90.9</v>
      </c>
      <c r="L473" s="27">
        <v>107.5</v>
      </c>
      <c r="M473" s="27" t="s">
        <v>3399</v>
      </c>
      <c r="N473" s="27" t="s">
        <v>3400</v>
      </c>
    </row>
    <row r="474" spans="1:14" ht="13.8" x14ac:dyDescent="0.3">
      <c r="A474" s="27">
        <v>1123460</v>
      </c>
      <c r="B474" s="42" t="s">
        <v>3391</v>
      </c>
      <c r="C474" s="28" t="s">
        <v>3396</v>
      </c>
      <c r="D474" s="31" t="s">
        <v>3397</v>
      </c>
      <c r="E474" s="31" t="s">
        <v>3398</v>
      </c>
      <c r="F474" s="31">
        <v>119501005</v>
      </c>
      <c r="G474" s="31" t="s">
        <v>810</v>
      </c>
      <c r="H474" s="27" t="s">
        <v>22</v>
      </c>
      <c r="I474" s="27" t="s">
        <v>22</v>
      </c>
      <c r="J474" s="27" t="s">
        <v>17</v>
      </c>
      <c r="K474" s="27">
        <v>90.9</v>
      </c>
      <c r="L474" s="27">
        <v>107.5</v>
      </c>
      <c r="M474" s="27" t="s">
        <v>3399</v>
      </c>
      <c r="N474" s="27" t="s">
        <v>3400</v>
      </c>
    </row>
    <row r="475" spans="1:14" ht="13.8" x14ac:dyDescent="0.3">
      <c r="A475" s="27">
        <v>1123460</v>
      </c>
      <c r="B475" s="42" t="s">
        <v>3391</v>
      </c>
      <c r="C475" s="28" t="s">
        <v>3396</v>
      </c>
      <c r="D475" s="31" t="s">
        <v>3397</v>
      </c>
      <c r="E475" s="31" t="s">
        <v>3398</v>
      </c>
      <c r="F475" s="31">
        <v>119501005</v>
      </c>
      <c r="G475" s="31" t="s">
        <v>811</v>
      </c>
      <c r="H475" s="27" t="s">
        <v>22</v>
      </c>
      <c r="I475" s="27" t="s">
        <v>22</v>
      </c>
      <c r="J475" s="27" t="s">
        <v>17</v>
      </c>
      <c r="K475" s="27">
        <v>90.9</v>
      </c>
      <c r="L475" s="27">
        <v>107.5</v>
      </c>
      <c r="M475" s="27" t="s">
        <v>3399</v>
      </c>
      <c r="N475" s="27" t="s">
        <v>3400</v>
      </c>
    </row>
    <row r="476" spans="1:14" ht="13.8" x14ac:dyDescent="0.3">
      <c r="A476" s="27">
        <v>1123460</v>
      </c>
      <c r="B476" s="42" t="s">
        <v>3391</v>
      </c>
      <c r="C476" s="28" t="s">
        <v>2961</v>
      </c>
      <c r="D476" s="31" t="s">
        <v>2962</v>
      </c>
      <c r="E476" s="31" t="s">
        <v>2963</v>
      </c>
      <c r="F476" s="31"/>
      <c r="G476" s="31" t="s">
        <v>2964</v>
      </c>
      <c r="H476" s="27" t="s">
        <v>22</v>
      </c>
      <c r="I476" s="27" t="s">
        <v>22</v>
      </c>
      <c r="J476" s="27" t="s">
        <v>17</v>
      </c>
      <c r="K476" s="27">
        <v>90</v>
      </c>
      <c r="L476" s="27">
        <v>141</v>
      </c>
      <c r="M476" s="27" t="s">
        <v>2965</v>
      </c>
      <c r="N476" s="27" t="s">
        <v>2966</v>
      </c>
    </row>
    <row r="477" spans="1:14" ht="13.8" x14ac:dyDescent="0.3">
      <c r="A477" s="27">
        <v>1123460</v>
      </c>
      <c r="B477" s="42" t="s">
        <v>3391</v>
      </c>
      <c r="C477" s="28" t="s">
        <v>2961</v>
      </c>
      <c r="D477" s="31" t="s">
        <v>2962</v>
      </c>
      <c r="E477" s="31" t="s">
        <v>2963</v>
      </c>
      <c r="F477" s="31"/>
      <c r="G477" s="31" t="s">
        <v>2967</v>
      </c>
      <c r="H477" s="27" t="s">
        <v>22</v>
      </c>
      <c r="I477" s="27" t="s">
        <v>22</v>
      </c>
      <c r="J477" s="27" t="s">
        <v>17</v>
      </c>
      <c r="K477" s="27">
        <v>90</v>
      </c>
      <c r="L477" s="27">
        <v>141</v>
      </c>
      <c r="M477" s="27" t="s">
        <v>2965</v>
      </c>
      <c r="N477" s="27" t="s">
        <v>2966</v>
      </c>
    </row>
    <row r="478" spans="1:14" ht="13.8" x14ac:dyDescent="0.3">
      <c r="A478" s="27">
        <v>1123460</v>
      </c>
      <c r="B478" s="42" t="s">
        <v>3391</v>
      </c>
      <c r="C478" s="28" t="s">
        <v>2961</v>
      </c>
      <c r="D478" s="31" t="s">
        <v>2962</v>
      </c>
      <c r="E478" s="31" t="s">
        <v>2963</v>
      </c>
      <c r="F478" s="31"/>
      <c r="G478" s="31" t="s">
        <v>2968</v>
      </c>
      <c r="H478" s="27" t="s">
        <v>22</v>
      </c>
      <c r="I478" s="27" t="s">
        <v>22</v>
      </c>
      <c r="J478" s="27" t="s">
        <v>17</v>
      </c>
      <c r="K478" s="27">
        <v>90</v>
      </c>
      <c r="L478" s="27">
        <v>141</v>
      </c>
      <c r="M478" s="27" t="s">
        <v>2965</v>
      </c>
      <c r="N478" s="27" t="s">
        <v>2966</v>
      </c>
    </row>
    <row r="479" spans="1:14" ht="13.8" x14ac:dyDescent="0.3">
      <c r="A479" s="27">
        <v>1123460</v>
      </c>
      <c r="B479" s="42" t="s">
        <v>3391</v>
      </c>
      <c r="C479" s="28" t="s">
        <v>2961</v>
      </c>
      <c r="D479" s="31" t="s">
        <v>2962</v>
      </c>
      <c r="E479" s="31" t="s">
        <v>2963</v>
      </c>
      <c r="F479" s="31"/>
      <c r="G479" s="31" t="s">
        <v>2969</v>
      </c>
      <c r="H479" s="27" t="s">
        <v>22</v>
      </c>
      <c r="I479" s="27" t="s">
        <v>22</v>
      </c>
      <c r="J479" s="27" t="s">
        <v>17</v>
      </c>
      <c r="K479" s="27">
        <v>90</v>
      </c>
      <c r="L479" s="27">
        <v>141</v>
      </c>
      <c r="M479" s="27" t="s">
        <v>2965</v>
      </c>
      <c r="N479" s="27" t="s">
        <v>2966</v>
      </c>
    </row>
    <row r="480" spans="1:14" ht="13.8" x14ac:dyDescent="0.3">
      <c r="A480" s="27">
        <v>1123460</v>
      </c>
      <c r="B480" s="42" t="s">
        <v>3391</v>
      </c>
      <c r="C480" s="28" t="s">
        <v>2961</v>
      </c>
      <c r="D480" s="31" t="s">
        <v>2962</v>
      </c>
      <c r="E480" s="31" t="s">
        <v>2963</v>
      </c>
      <c r="F480" s="31"/>
      <c r="G480" s="31" t="s">
        <v>2970</v>
      </c>
      <c r="H480" s="27" t="s">
        <v>22</v>
      </c>
      <c r="I480" s="27" t="s">
        <v>22</v>
      </c>
      <c r="J480" s="27" t="s">
        <v>17</v>
      </c>
      <c r="K480" s="27">
        <v>90</v>
      </c>
      <c r="L480" s="27">
        <v>141</v>
      </c>
      <c r="M480" s="27" t="s">
        <v>2965</v>
      </c>
      <c r="N480" s="27" t="s">
        <v>2966</v>
      </c>
    </row>
    <row r="481" spans="1:14" ht="13.8" x14ac:dyDescent="0.3">
      <c r="A481" s="27">
        <v>1123460</v>
      </c>
      <c r="B481" s="42" t="s">
        <v>3391</v>
      </c>
      <c r="C481" s="28" t="s">
        <v>2961</v>
      </c>
      <c r="D481" s="31" t="s">
        <v>2962</v>
      </c>
      <c r="E481" s="31" t="s">
        <v>2963</v>
      </c>
      <c r="F481" s="31"/>
      <c r="G481" s="31" t="s">
        <v>2971</v>
      </c>
      <c r="H481" s="27" t="s">
        <v>22</v>
      </c>
      <c r="I481" s="27" t="s">
        <v>22</v>
      </c>
      <c r="J481" s="27" t="s">
        <v>17</v>
      </c>
      <c r="K481" s="27">
        <v>90</v>
      </c>
      <c r="L481" s="27">
        <v>141</v>
      </c>
      <c r="M481" s="27" t="s">
        <v>2965</v>
      </c>
      <c r="N481" s="27" t="s">
        <v>2966</v>
      </c>
    </row>
    <row r="482" spans="1:14" ht="13.8" x14ac:dyDescent="0.3">
      <c r="A482" s="27">
        <v>1123522</v>
      </c>
      <c r="B482" s="30" t="s">
        <v>3430</v>
      </c>
      <c r="C482" s="28" t="s">
        <v>3431</v>
      </c>
      <c r="D482" s="31" t="s">
        <v>3431</v>
      </c>
      <c r="E482" s="31" t="s">
        <v>3432</v>
      </c>
      <c r="F482" s="31"/>
      <c r="G482" s="31"/>
      <c r="H482" s="27" t="s">
        <v>22</v>
      </c>
      <c r="I482" s="27" t="s">
        <v>22</v>
      </c>
      <c r="J482" s="27" t="s">
        <v>17</v>
      </c>
      <c r="K482" s="27">
        <v>100</v>
      </c>
      <c r="L482" s="27">
        <v>110</v>
      </c>
      <c r="M482" s="27" t="s">
        <v>3433</v>
      </c>
      <c r="N482" s="27" t="s">
        <v>3434</v>
      </c>
    </row>
    <row r="483" spans="1:14" ht="13.8" hidden="1" x14ac:dyDescent="0.3">
      <c r="A483" s="27">
        <v>1123522</v>
      </c>
      <c r="B483" s="30" t="s">
        <v>3430</v>
      </c>
      <c r="C483" s="31" t="s">
        <v>3435</v>
      </c>
      <c r="D483" s="31"/>
      <c r="E483" s="31"/>
      <c r="F483" s="31"/>
      <c r="G483" s="31"/>
      <c r="H483" s="27" t="s">
        <v>16</v>
      </c>
      <c r="I483" s="27" t="s">
        <v>16</v>
      </c>
      <c r="J483" s="27" t="s">
        <v>17</v>
      </c>
      <c r="K483" s="27">
        <v>0</v>
      </c>
      <c r="L483" s="27">
        <v>0</v>
      </c>
    </row>
    <row r="484" spans="1:14" ht="13.8" x14ac:dyDescent="0.3">
      <c r="A484" s="27">
        <v>1123522</v>
      </c>
      <c r="B484" s="30" t="s">
        <v>3430</v>
      </c>
      <c r="C484" s="28" t="s">
        <v>3436</v>
      </c>
      <c r="D484" s="31" t="s">
        <v>3437</v>
      </c>
      <c r="E484" s="31" t="s">
        <v>3438</v>
      </c>
      <c r="F484" s="31"/>
      <c r="G484" s="31" t="s">
        <v>3439</v>
      </c>
      <c r="H484" s="27" t="s">
        <v>22</v>
      </c>
      <c r="I484" s="27" t="s">
        <v>22</v>
      </c>
      <c r="J484" s="27" t="s">
        <v>17</v>
      </c>
      <c r="K484" s="27">
        <v>100</v>
      </c>
      <c r="L484" s="27">
        <v>111</v>
      </c>
    </row>
    <row r="485" spans="1:14" ht="13.8" x14ac:dyDescent="0.3">
      <c r="A485" s="27">
        <v>1123522</v>
      </c>
      <c r="B485" s="30" t="s">
        <v>3430</v>
      </c>
      <c r="C485" s="28" t="s">
        <v>3436</v>
      </c>
      <c r="D485" s="31" t="s">
        <v>3437</v>
      </c>
      <c r="E485" s="31" t="s">
        <v>3438</v>
      </c>
      <c r="F485" s="31"/>
      <c r="G485" s="31" t="s">
        <v>3440</v>
      </c>
      <c r="H485" s="27" t="s">
        <v>22</v>
      </c>
      <c r="I485" s="27" t="s">
        <v>22</v>
      </c>
      <c r="J485" s="27" t="s">
        <v>17</v>
      </c>
      <c r="K485" s="27">
        <v>100</v>
      </c>
      <c r="L485" s="27">
        <v>111</v>
      </c>
    </row>
    <row r="486" spans="1:14" ht="13.8" x14ac:dyDescent="0.3">
      <c r="A486" s="27">
        <v>1123522</v>
      </c>
      <c r="B486" s="30" t="s">
        <v>3430</v>
      </c>
      <c r="C486" s="28" t="s">
        <v>3436</v>
      </c>
      <c r="D486" s="31" t="s">
        <v>3437</v>
      </c>
      <c r="E486" s="31" t="s">
        <v>3438</v>
      </c>
      <c r="F486" s="31"/>
      <c r="G486" s="31" t="s">
        <v>3441</v>
      </c>
      <c r="H486" s="27" t="s">
        <v>22</v>
      </c>
      <c r="I486" s="27" t="s">
        <v>22</v>
      </c>
      <c r="J486" s="27" t="s">
        <v>17</v>
      </c>
      <c r="K486" s="27">
        <v>100</v>
      </c>
      <c r="L486" s="27">
        <v>111</v>
      </c>
    </row>
    <row r="487" spans="1:14" ht="13.8" x14ac:dyDescent="0.3">
      <c r="A487" s="27">
        <v>1123522</v>
      </c>
      <c r="B487" s="30" t="s">
        <v>3430</v>
      </c>
      <c r="C487" s="28" t="s">
        <v>3436</v>
      </c>
      <c r="D487" s="31" t="s">
        <v>3437</v>
      </c>
      <c r="E487" s="31" t="s">
        <v>3438</v>
      </c>
      <c r="F487" s="31"/>
      <c r="G487" s="31" t="s">
        <v>3442</v>
      </c>
      <c r="H487" s="27" t="s">
        <v>22</v>
      </c>
      <c r="I487" s="27" t="s">
        <v>22</v>
      </c>
      <c r="J487" s="27" t="s">
        <v>17</v>
      </c>
      <c r="K487" s="27">
        <v>100</v>
      </c>
      <c r="L487" s="27">
        <v>111</v>
      </c>
    </row>
    <row r="488" spans="1:14" ht="13.8" x14ac:dyDescent="0.3">
      <c r="A488" s="27">
        <v>1123522</v>
      </c>
      <c r="B488" s="30" t="s">
        <v>3430</v>
      </c>
      <c r="C488" s="28" t="s">
        <v>3436</v>
      </c>
      <c r="D488" s="31" t="s">
        <v>3437</v>
      </c>
      <c r="E488" s="31" t="s">
        <v>3438</v>
      </c>
      <c r="F488" s="31"/>
      <c r="G488" s="31" t="s">
        <v>3443</v>
      </c>
      <c r="H488" s="27" t="s">
        <v>22</v>
      </c>
      <c r="I488" s="27" t="s">
        <v>22</v>
      </c>
      <c r="J488" s="27" t="s">
        <v>17</v>
      </c>
      <c r="K488" s="27">
        <v>100</v>
      </c>
      <c r="L488" s="27">
        <v>111</v>
      </c>
    </row>
    <row r="489" spans="1:14" ht="13.8" x14ac:dyDescent="0.3">
      <c r="A489" s="27">
        <v>1123522</v>
      </c>
      <c r="B489" s="30" t="s">
        <v>3430</v>
      </c>
      <c r="C489" s="28" t="s">
        <v>3436</v>
      </c>
      <c r="D489" s="31" t="s">
        <v>3437</v>
      </c>
      <c r="E489" s="31" t="s">
        <v>3438</v>
      </c>
      <c r="F489" s="31"/>
      <c r="G489" s="31" t="s">
        <v>3444</v>
      </c>
      <c r="H489" s="27" t="s">
        <v>22</v>
      </c>
      <c r="I489" s="27" t="s">
        <v>22</v>
      </c>
      <c r="J489" s="27" t="s">
        <v>17</v>
      </c>
      <c r="K489" s="27">
        <v>100</v>
      </c>
      <c r="L489" s="27">
        <v>111</v>
      </c>
    </row>
    <row r="490" spans="1:14" ht="13.8" x14ac:dyDescent="0.3">
      <c r="A490" s="27">
        <v>1123522</v>
      </c>
      <c r="B490" s="30" t="s">
        <v>3430</v>
      </c>
      <c r="C490" s="28" t="s">
        <v>3436</v>
      </c>
      <c r="D490" s="31" t="s">
        <v>3437</v>
      </c>
      <c r="E490" s="31" t="s">
        <v>3438</v>
      </c>
      <c r="F490" s="31"/>
      <c r="G490" s="31" t="s">
        <v>3445</v>
      </c>
      <c r="H490" s="27" t="s">
        <v>22</v>
      </c>
      <c r="I490" s="27" t="s">
        <v>22</v>
      </c>
      <c r="J490" s="27" t="s">
        <v>17</v>
      </c>
      <c r="K490" s="27">
        <v>100</v>
      </c>
      <c r="L490" s="27">
        <v>111</v>
      </c>
    </row>
    <row r="491" spans="1:14" ht="13.8" x14ac:dyDescent="0.3">
      <c r="A491" s="27">
        <v>1123522</v>
      </c>
      <c r="B491" s="30" t="s">
        <v>3430</v>
      </c>
      <c r="C491" s="28" t="s">
        <v>3436</v>
      </c>
      <c r="D491" s="31" t="s">
        <v>3437</v>
      </c>
      <c r="E491" s="31" t="s">
        <v>3438</v>
      </c>
      <c r="F491" s="31"/>
      <c r="G491" s="31" t="s">
        <v>3446</v>
      </c>
      <c r="H491" s="27" t="s">
        <v>22</v>
      </c>
      <c r="I491" s="27" t="s">
        <v>22</v>
      </c>
      <c r="J491" s="27" t="s">
        <v>17</v>
      </c>
      <c r="K491" s="27">
        <v>100</v>
      </c>
      <c r="L491" s="27">
        <v>111</v>
      </c>
    </row>
    <row r="492" spans="1:14" ht="13.8" x14ac:dyDescent="0.3">
      <c r="A492" s="27">
        <v>1123522</v>
      </c>
      <c r="B492" s="30" t="s">
        <v>3430</v>
      </c>
      <c r="C492" s="28" t="s">
        <v>3436</v>
      </c>
      <c r="D492" s="31" t="s">
        <v>3437</v>
      </c>
      <c r="E492" s="31" t="s">
        <v>3438</v>
      </c>
      <c r="F492" s="31"/>
      <c r="G492" s="31" t="s">
        <v>3447</v>
      </c>
      <c r="H492" s="27" t="s">
        <v>22</v>
      </c>
      <c r="I492" s="27" t="s">
        <v>22</v>
      </c>
      <c r="J492" s="27" t="s">
        <v>17</v>
      </c>
      <c r="K492" s="27">
        <v>100</v>
      </c>
      <c r="L492" s="27">
        <v>111</v>
      </c>
    </row>
    <row r="493" spans="1:14" ht="13.8" x14ac:dyDescent="0.3">
      <c r="A493" s="27">
        <v>1123522</v>
      </c>
      <c r="B493" s="30" t="s">
        <v>3430</v>
      </c>
      <c r="C493" s="28" t="s">
        <v>3448</v>
      </c>
      <c r="D493" s="31" t="s">
        <v>3448</v>
      </c>
      <c r="E493" s="31" t="s">
        <v>3449</v>
      </c>
      <c r="F493" s="31"/>
      <c r="G493" s="31"/>
      <c r="H493" s="27" t="s">
        <v>22</v>
      </c>
      <c r="I493" s="27" t="s">
        <v>22</v>
      </c>
      <c r="J493" s="27" t="s">
        <v>17</v>
      </c>
      <c r="K493" s="27">
        <v>100</v>
      </c>
      <c r="L493" s="27">
        <v>111</v>
      </c>
      <c r="M493" s="27" t="s">
        <v>2038</v>
      </c>
      <c r="N493" s="27" t="s">
        <v>2039</v>
      </c>
    </row>
    <row r="494" spans="1:14" ht="13.8" x14ac:dyDescent="0.3">
      <c r="B494" s="28"/>
      <c r="C494" s="28"/>
    </row>
    <row r="495" spans="1:14" ht="13.8" x14ac:dyDescent="0.3">
      <c r="B495" s="28"/>
      <c r="C495" s="28"/>
    </row>
    <row r="496" spans="1:14" ht="13.8" x14ac:dyDescent="0.3">
      <c r="B496" s="28"/>
      <c r="C496" s="28"/>
    </row>
    <row r="497" spans="2:3" ht="13.8" x14ac:dyDescent="0.3">
      <c r="B497" s="28"/>
      <c r="C497" s="28"/>
    </row>
    <row r="498" spans="2:3" ht="13.8" x14ac:dyDescent="0.3">
      <c r="B498" s="28"/>
      <c r="C498" s="28"/>
    </row>
    <row r="499" spans="2:3" ht="13.8" x14ac:dyDescent="0.3">
      <c r="B499" s="28"/>
      <c r="C499" s="28"/>
    </row>
    <row r="500" spans="2:3" ht="13.8" x14ac:dyDescent="0.3">
      <c r="B500" s="28"/>
      <c r="C500" s="28"/>
    </row>
    <row r="501" spans="2:3" ht="13.8" x14ac:dyDescent="0.3">
      <c r="B501" s="28"/>
      <c r="C501" s="28"/>
    </row>
    <row r="502" spans="2:3" ht="13.8" x14ac:dyDescent="0.3">
      <c r="B502" s="28"/>
      <c r="C502" s="28"/>
    </row>
    <row r="503" spans="2:3" ht="13.8" x14ac:dyDescent="0.3">
      <c r="B503" s="28"/>
      <c r="C503" s="28"/>
    </row>
    <row r="504" spans="2:3" ht="13.8" x14ac:dyDescent="0.3">
      <c r="B504" s="28"/>
      <c r="C504" s="28"/>
    </row>
    <row r="505" spans="2:3" ht="13.8" x14ac:dyDescent="0.3">
      <c r="B505" s="28"/>
      <c r="C505" s="28"/>
    </row>
    <row r="506" spans="2:3" ht="13.8" x14ac:dyDescent="0.3">
      <c r="B506" s="28"/>
      <c r="C506" s="28"/>
    </row>
    <row r="507" spans="2:3" ht="13.8" x14ac:dyDescent="0.3">
      <c r="B507" s="28"/>
      <c r="C507" s="28"/>
    </row>
    <row r="508" spans="2:3" ht="13.8" x14ac:dyDescent="0.3">
      <c r="B508" s="28"/>
      <c r="C508" s="28"/>
    </row>
    <row r="509" spans="2:3" ht="13.8" x14ac:dyDescent="0.3">
      <c r="B509" s="28"/>
      <c r="C509" s="28"/>
    </row>
    <row r="510" spans="2:3" ht="13.8" x14ac:dyDescent="0.3">
      <c r="B510" s="28"/>
      <c r="C510" s="28"/>
    </row>
    <row r="511" spans="2:3" ht="13.8" x14ac:dyDescent="0.3">
      <c r="B511" s="28"/>
      <c r="C511" s="28"/>
    </row>
    <row r="512" spans="2:3" ht="13.8" x14ac:dyDescent="0.3">
      <c r="B512" s="28"/>
      <c r="C512" s="28"/>
    </row>
    <row r="513" spans="2:3" ht="13.8" x14ac:dyDescent="0.3">
      <c r="B513" s="28"/>
      <c r="C513" s="28"/>
    </row>
    <row r="514" spans="2:3" ht="13.8" x14ac:dyDescent="0.3">
      <c r="B514" s="28"/>
      <c r="C514" s="28"/>
    </row>
    <row r="515" spans="2:3" ht="13.8" x14ac:dyDescent="0.3">
      <c r="B515" s="28"/>
      <c r="C515" s="28"/>
    </row>
    <row r="516" spans="2:3" ht="13.8" x14ac:dyDescent="0.3">
      <c r="B516" s="28"/>
      <c r="C516" s="28"/>
    </row>
    <row r="517" spans="2:3" ht="13.8" x14ac:dyDescent="0.3">
      <c r="B517" s="28"/>
      <c r="C517" s="28"/>
    </row>
    <row r="518" spans="2:3" ht="13.8" x14ac:dyDescent="0.3">
      <c r="B518" s="28"/>
      <c r="C518" s="28"/>
    </row>
    <row r="519" spans="2:3" ht="13.8" x14ac:dyDescent="0.3">
      <c r="B519" s="28"/>
      <c r="C519" s="28"/>
    </row>
    <row r="520" spans="2:3" ht="13.8" x14ac:dyDescent="0.3">
      <c r="B520" s="28"/>
      <c r="C520" s="28"/>
    </row>
    <row r="521" spans="2:3" ht="13.8" x14ac:dyDescent="0.3">
      <c r="B521" s="28"/>
      <c r="C521" s="28"/>
    </row>
    <row r="522" spans="2:3" ht="13.8" x14ac:dyDescent="0.3">
      <c r="B522" s="28"/>
      <c r="C522" s="28"/>
    </row>
    <row r="523" spans="2:3" ht="13.8" x14ac:dyDescent="0.3">
      <c r="B523" s="28"/>
      <c r="C523" s="28"/>
    </row>
    <row r="524" spans="2:3" ht="13.8" x14ac:dyDescent="0.3">
      <c r="B524" s="28"/>
      <c r="C524" s="28"/>
    </row>
    <row r="525" spans="2:3" ht="13.8" x14ac:dyDescent="0.3">
      <c r="B525" s="28"/>
      <c r="C525" s="28"/>
    </row>
    <row r="526" spans="2:3" ht="13.8" x14ac:dyDescent="0.3">
      <c r="B526" s="28"/>
      <c r="C526" s="28"/>
    </row>
    <row r="527" spans="2:3" ht="13.8" x14ac:dyDescent="0.3">
      <c r="B527" s="28"/>
      <c r="C527" s="28"/>
    </row>
    <row r="528" spans="2:3" ht="13.8" x14ac:dyDescent="0.3">
      <c r="B528" s="28"/>
      <c r="C528" s="28"/>
    </row>
    <row r="529" spans="2:3" ht="13.8" x14ac:dyDescent="0.3">
      <c r="B529" s="28"/>
      <c r="C529" s="28"/>
    </row>
    <row r="530" spans="2:3" ht="13.8" x14ac:dyDescent="0.3">
      <c r="B530" s="28"/>
      <c r="C530" s="28"/>
    </row>
    <row r="531" spans="2:3" ht="13.8" x14ac:dyDescent="0.3">
      <c r="B531" s="28"/>
      <c r="C531" s="28"/>
    </row>
    <row r="532" spans="2:3" ht="13.8" x14ac:dyDescent="0.3">
      <c r="B532" s="28"/>
      <c r="C532" s="28"/>
    </row>
    <row r="533" spans="2:3" ht="13.8" x14ac:dyDescent="0.3">
      <c r="B533" s="28"/>
      <c r="C533" s="28"/>
    </row>
    <row r="534" spans="2:3" ht="13.8" x14ac:dyDescent="0.3">
      <c r="B534" s="28"/>
      <c r="C534" s="28"/>
    </row>
    <row r="535" spans="2:3" ht="13.8" x14ac:dyDescent="0.3">
      <c r="B535" s="28"/>
      <c r="C535" s="28"/>
    </row>
    <row r="536" spans="2:3" ht="13.8" x14ac:dyDescent="0.3">
      <c r="B536" s="28"/>
      <c r="C536" s="28"/>
    </row>
    <row r="537" spans="2:3" ht="13.8" x14ac:dyDescent="0.3">
      <c r="B537" s="28"/>
      <c r="C537" s="28"/>
    </row>
    <row r="538" spans="2:3" ht="13.8" x14ac:dyDescent="0.3">
      <c r="B538" s="28"/>
      <c r="C538" s="28"/>
    </row>
    <row r="539" spans="2:3" ht="13.8" x14ac:dyDescent="0.3">
      <c r="B539" s="28"/>
      <c r="C539" s="28"/>
    </row>
    <row r="540" spans="2:3" ht="13.8" x14ac:dyDescent="0.3">
      <c r="B540" s="28"/>
      <c r="C540" s="28"/>
    </row>
    <row r="541" spans="2:3" ht="13.8" x14ac:dyDescent="0.3">
      <c r="B541" s="28"/>
      <c r="C541" s="28"/>
    </row>
    <row r="542" spans="2:3" ht="13.8" x14ac:dyDescent="0.3">
      <c r="B542" s="28"/>
      <c r="C542" s="28"/>
    </row>
    <row r="543" spans="2:3" ht="13.8" x14ac:dyDescent="0.3">
      <c r="B543" s="28"/>
      <c r="C543" s="28"/>
    </row>
    <row r="544" spans="2:3" ht="13.8" x14ac:dyDescent="0.3">
      <c r="B544" s="28"/>
      <c r="C544" s="28"/>
    </row>
    <row r="545" spans="2:3" ht="13.8" x14ac:dyDescent="0.3">
      <c r="B545" s="28"/>
      <c r="C545" s="28"/>
    </row>
    <row r="546" spans="2:3" ht="13.8" x14ac:dyDescent="0.3">
      <c r="B546" s="28"/>
      <c r="C546" s="28"/>
    </row>
    <row r="547" spans="2:3" ht="13.8" x14ac:dyDescent="0.3">
      <c r="B547" s="28"/>
      <c r="C547" s="28"/>
    </row>
    <row r="548" spans="2:3" ht="13.8" x14ac:dyDescent="0.3">
      <c r="B548" s="28"/>
      <c r="C548" s="28"/>
    </row>
    <row r="549" spans="2:3" ht="13.8" x14ac:dyDescent="0.3">
      <c r="B549" s="28"/>
      <c r="C549" s="28"/>
    </row>
    <row r="550" spans="2:3" ht="13.8" x14ac:dyDescent="0.3">
      <c r="B550" s="28"/>
      <c r="C550" s="28"/>
    </row>
    <row r="551" spans="2:3" ht="13.8" x14ac:dyDescent="0.3">
      <c r="B551" s="28"/>
      <c r="C551" s="28"/>
    </row>
    <row r="552" spans="2:3" ht="13.8" x14ac:dyDescent="0.3">
      <c r="B552" s="28"/>
      <c r="C552" s="28"/>
    </row>
    <row r="553" spans="2:3" ht="13.8" x14ac:dyDescent="0.3">
      <c r="B553" s="28"/>
      <c r="C553" s="28"/>
    </row>
    <row r="554" spans="2:3" ht="13.8" x14ac:dyDescent="0.3">
      <c r="B554" s="28"/>
      <c r="C554" s="28"/>
    </row>
    <row r="555" spans="2:3" ht="13.8" x14ac:dyDescent="0.3">
      <c r="B555" s="28"/>
      <c r="C555" s="28"/>
    </row>
    <row r="556" spans="2:3" ht="13.8" x14ac:dyDescent="0.3">
      <c r="B556" s="28"/>
      <c r="C556" s="28"/>
    </row>
    <row r="557" spans="2:3" ht="13.8" x14ac:dyDescent="0.3">
      <c r="B557" s="28"/>
      <c r="C557" s="28"/>
    </row>
    <row r="558" spans="2:3" ht="13.8" x14ac:dyDescent="0.3">
      <c r="B558" s="28"/>
      <c r="C558" s="28"/>
    </row>
    <row r="559" spans="2:3" ht="13.8" x14ac:dyDescent="0.3">
      <c r="B559" s="28"/>
      <c r="C559" s="28"/>
    </row>
    <row r="560" spans="2:3" ht="13.8" x14ac:dyDescent="0.3">
      <c r="B560" s="28"/>
      <c r="C560" s="28"/>
    </row>
    <row r="561" spans="2:3" ht="13.8" x14ac:dyDescent="0.3">
      <c r="B561" s="28"/>
      <c r="C561" s="28"/>
    </row>
    <row r="562" spans="2:3" ht="13.8" x14ac:dyDescent="0.3">
      <c r="B562" s="28"/>
      <c r="C562" s="28"/>
    </row>
    <row r="563" spans="2:3" ht="13.8" x14ac:dyDescent="0.3">
      <c r="B563" s="28"/>
      <c r="C563" s="28"/>
    </row>
    <row r="564" spans="2:3" ht="13.8" x14ac:dyDescent="0.3">
      <c r="B564" s="28"/>
      <c r="C564" s="28"/>
    </row>
    <row r="565" spans="2:3" ht="13.8" x14ac:dyDescent="0.3">
      <c r="B565" s="28"/>
      <c r="C565" s="28"/>
    </row>
    <row r="566" spans="2:3" ht="13.8" x14ac:dyDescent="0.3">
      <c r="B566" s="28"/>
      <c r="C566" s="28"/>
    </row>
    <row r="567" spans="2:3" ht="13.8" x14ac:dyDescent="0.3">
      <c r="B567" s="28"/>
      <c r="C567" s="28"/>
    </row>
    <row r="568" spans="2:3" ht="13.8" x14ac:dyDescent="0.3">
      <c r="B568" s="28"/>
      <c r="C568" s="28"/>
    </row>
    <row r="569" spans="2:3" ht="13.8" x14ac:dyDescent="0.3">
      <c r="B569" s="28"/>
      <c r="C569" s="28"/>
    </row>
    <row r="570" spans="2:3" ht="13.8" x14ac:dyDescent="0.3">
      <c r="B570" s="28"/>
      <c r="C570" s="28"/>
    </row>
    <row r="571" spans="2:3" ht="13.8" x14ac:dyDescent="0.3">
      <c r="B571" s="28"/>
      <c r="C571" s="28"/>
    </row>
    <row r="572" spans="2:3" ht="13.8" x14ac:dyDescent="0.3">
      <c r="B572" s="28"/>
      <c r="C572" s="28"/>
    </row>
    <row r="573" spans="2:3" ht="13.8" x14ac:dyDescent="0.3">
      <c r="B573" s="28"/>
      <c r="C573" s="28"/>
    </row>
    <row r="574" spans="2:3" ht="13.8" x14ac:dyDescent="0.3">
      <c r="B574" s="28"/>
      <c r="C574" s="28"/>
    </row>
    <row r="575" spans="2:3" ht="13.8" x14ac:dyDescent="0.3">
      <c r="B575" s="28"/>
      <c r="C575" s="28"/>
    </row>
    <row r="576" spans="2:3" ht="13.8" x14ac:dyDescent="0.3">
      <c r="B576" s="28"/>
      <c r="C576" s="28"/>
    </row>
    <row r="577" spans="2:3" ht="13.8" x14ac:dyDescent="0.3">
      <c r="B577" s="28"/>
      <c r="C577" s="28"/>
    </row>
    <row r="578" spans="2:3" ht="13.8" x14ac:dyDescent="0.3">
      <c r="B578" s="28"/>
      <c r="C578" s="28"/>
    </row>
    <row r="579" spans="2:3" ht="13.8" x14ac:dyDescent="0.3">
      <c r="B579" s="28"/>
      <c r="C579" s="28"/>
    </row>
    <row r="580" spans="2:3" ht="13.8" x14ac:dyDescent="0.3">
      <c r="B580" s="28"/>
      <c r="C580" s="28"/>
    </row>
    <row r="581" spans="2:3" ht="13.8" x14ac:dyDescent="0.3">
      <c r="B581" s="28"/>
      <c r="C581" s="28"/>
    </row>
    <row r="582" spans="2:3" ht="13.8" x14ac:dyDescent="0.3">
      <c r="B582" s="28"/>
      <c r="C582" s="28"/>
    </row>
    <row r="583" spans="2:3" ht="13.8" x14ac:dyDescent="0.3">
      <c r="B583" s="28"/>
      <c r="C583" s="28"/>
    </row>
    <row r="584" spans="2:3" ht="13.8" x14ac:dyDescent="0.3">
      <c r="B584" s="28"/>
      <c r="C584" s="28"/>
    </row>
    <row r="585" spans="2:3" ht="13.8" x14ac:dyDescent="0.3">
      <c r="B585" s="28"/>
      <c r="C585" s="28"/>
    </row>
    <row r="586" spans="2:3" ht="13.8" x14ac:dyDescent="0.3">
      <c r="B586" s="28"/>
      <c r="C586" s="28"/>
    </row>
    <row r="587" spans="2:3" ht="13.8" x14ac:dyDescent="0.3">
      <c r="B587" s="28"/>
      <c r="C587" s="28"/>
    </row>
    <row r="588" spans="2:3" ht="13.8" x14ac:dyDescent="0.3">
      <c r="B588" s="28"/>
      <c r="C588" s="28"/>
    </row>
    <row r="589" spans="2:3" ht="13.8" x14ac:dyDescent="0.3">
      <c r="B589" s="28"/>
      <c r="C589" s="28"/>
    </row>
    <row r="590" spans="2:3" ht="13.8" x14ac:dyDescent="0.3">
      <c r="B590" s="28"/>
      <c r="C590" s="28"/>
    </row>
    <row r="591" spans="2:3" ht="13.8" x14ac:dyDescent="0.3">
      <c r="B591" s="28"/>
      <c r="C591" s="28"/>
    </row>
    <row r="592" spans="2:3" ht="13.8" x14ac:dyDescent="0.3">
      <c r="B592" s="28"/>
      <c r="C592" s="28"/>
    </row>
    <row r="593" spans="2:3" ht="13.8" x14ac:dyDescent="0.3">
      <c r="B593" s="28"/>
      <c r="C593" s="28"/>
    </row>
    <row r="594" spans="2:3" ht="13.8" x14ac:dyDescent="0.3">
      <c r="B594" s="28"/>
      <c r="C594" s="28"/>
    </row>
    <row r="595" spans="2:3" ht="13.8" x14ac:dyDescent="0.3">
      <c r="B595" s="28"/>
      <c r="C595" s="28"/>
    </row>
    <row r="596" spans="2:3" ht="13.8" x14ac:dyDescent="0.3">
      <c r="B596" s="28"/>
      <c r="C596" s="28"/>
    </row>
    <row r="597" spans="2:3" ht="13.8" x14ac:dyDescent="0.3">
      <c r="B597" s="28"/>
      <c r="C597" s="28"/>
    </row>
    <row r="598" spans="2:3" ht="13.8" x14ac:dyDescent="0.3">
      <c r="B598" s="28"/>
      <c r="C598" s="28"/>
    </row>
    <row r="599" spans="2:3" ht="13.8" x14ac:dyDescent="0.3">
      <c r="B599" s="28"/>
      <c r="C599" s="28"/>
    </row>
    <row r="600" spans="2:3" ht="13.8" x14ac:dyDescent="0.3">
      <c r="B600" s="28"/>
      <c r="C600" s="28"/>
    </row>
    <row r="601" spans="2:3" ht="13.8" x14ac:dyDescent="0.3">
      <c r="B601" s="28"/>
      <c r="C601" s="28"/>
    </row>
    <row r="602" spans="2:3" ht="13.8" x14ac:dyDescent="0.3">
      <c r="B602" s="28"/>
      <c r="C602" s="28"/>
    </row>
    <row r="603" spans="2:3" ht="13.8" x14ac:dyDescent="0.3">
      <c r="B603" s="28"/>
      <c r="C603" s="28"/>
    </row>
    <row r="604" spans="2:3" ht="13.8" x14ac:dyDescent="0.3">
      <c r="B604" s="28"/>
      <c r="C604" s="28"/>
    </row>
    <row r="605" spans="2:3" ht="13.8" x14ac:dyDescent="0.3">
      <c r="B605" s="28"/>
      <c r="C605" s="28"/>
    </row>
    <row r="606" spans="2:3" ht="13.8" x14ac:dyDescent="0.3">
      <c r="B606" s="28"/>
      <c r="C606" s="28"/>
    </row>
    <row r="607" spans="2:3" ht="13.8" x14ac:dyDescent="0.3">
      <c r="B607" s="28"/>
      <c r="C607" s="28"/>
    </row>
    <row r="608" spans="2:3" ht="13.8" x14ac:dyDescent="0.3">
      <c r="B608" s="28"/>
      <c r="C608" s="28"/>
    </row>
    <row r="609" spans="2:3" ht="13.8" x14ac:dyDescent="0.3">
      <c r="B609" s="28"/>
      <c r="C609" s="28"/>
    </row>
    <row r="610" spans="2:3" ht="13.8" x14ac:dyDescent="0.3">
      <c r="B610" s="28"/>
      <c r="C610" s="28"/>
    </row>
    <row r="611" spans="2:3" ht="13.8" x14ac:dyDescent="0.3">
      <c r="B611" s="28"/>
      <c r="C611" s="28"/>
    </row>
    <row r="612" spans="2:3" ht="13.8" x14ac:dyDescent="0.3">
      <c r="B612" s="28"/>
      <c r="C612" s="28"/>
    </row>
    <row r="613" spans="2:3" ht="13.8" x14ac:dyDescent="0.3">
      <c r="B613" s="28"/>
      <c r="C613" s="28"/>
    </row>
    <row r="614" spans="2:3" ht="13.8" x14ac:dyDescent="0.3">
      <c r="B614" s="28"/>
      <c r="C614" s="28"/>
    </row>
    <row r="615" spans="2:3" ht="13.8" x14ac:dyDescent="0.3">
      <c r="B615" s="28"/>
      <c r="C615" s="28"/>
    </row>
    <row r="616" spans="2:3" ht="13.8" x14ac:dyDescent="0.3">
      <c r="B616" s="28"/>
      <c r="C616" s="28"/>
    </row>
    <row r="617" spans="2:3" ht="13.8" x14ac:dyDescent="0.3">
      <c r="B617" s="28"/>
      <c r="C617" s="28"/>
    </row>
    <row r="618" spans="2:3" ht="13.8" x14ac:dyDescent="0.3">
      <c r="B618" s="28"/>
      <c r="C618" s="28"/>
    </row>
    <row r="619" spans="2:3" ht="13.8" x14ac:dyDescent="0.3">
      <c r="B619" s="28"/>
      <c r="C619" s="28"/>
    </row>
    <row r="620" spans="2:3" ht="13.8" x14ac:dyDescent="0.3">
      <c r="B620" s="28"/>
      <c r="C620" s="28"/>
    </row>
    <row r="621" spans="2:3" ht="13.8" x14ac:dyDescent="0.3">
      <c r="B621" s="28"/>
      <c r="C621" s="28"/>
    </row>
    <row r="622" spans="2:3" ht="13.8" x14ac:dyDescent="0.3">
      <c r="B622" s="28"/>
      <c r="C622" s="28"/>
    </row>
    <row r="623" spans="2:3" ht="13.8" x14ac:dyDescent="0.3">
      <c r="B623" s="28"/>
      <c r="C623" s="28"/>
    </row>
    <row r="624" spans="2:3" ht="13.8" x14ac:dyDescent="0.3">
      <c r="B624" s="28"/>
      <c r="C624" s="28"/>
    </row>
    <row r="625" spans="2:3" ht="13.8" x14ac:dyDescent="0.3">
      <c r="B625" s="28"/>
      <c r="C625" s="28"/>
    </row>
    <row r="626" spans="2:3" ht="13.8" x14ac:dyDescent="0.3">
      <c r="B626" s="28"/>
      <c r="C626" s="28"/>
    </row>
    <row r="627" spans="2:3" ht="13.8" x14ac:dyDescent="0.3">
      <c r="B627" s="28"/>
      <c r="C627" s="28"/>
    </row>
    <row r="628" spans="2:3" ht="13.8" x14ac:dyDescent="0.3">
      <c r="B628" s="28"/>
      <c r="C628" s="28"/>
    </row>
    <row r="629" spans="2:3" ht="13.8" x14ac:dyDescent="0.3">
      <c r="B629" s="28"/>
      <c r="C629" s="28"/>
    </row>
    <row r="630" spans="2:3" ht="13.8" x14ac:dyDescent="0.3">
      <c r="B630" s="28"/>
      <c r="C630" s="28"/>
    </row>
    <row r="631" spans="2:3" ht="13.8" x14ac:dyDescent="0.3">
      <c r="B631" s="28"/>
      <c r="C631" s="28"/>
    </row>
    <row r="632" spans="2:3" ht="13.8" x14ac:dyDescent="0.3">
      <c r="B632" s="28"/>
      <c r="C632" s="28"/>
    </row>
    <row r="633" spans="2:3" ht="13.8" x14ac:dyDescent="0.3">
      <c r="B633" s="28"/>
      <c r="C633" s="28"/>
    </row>
    <row r="634" spans="2:3" ht="13.8" x14ac:dyDescent="0.3">
      <c r="B634" s="28"/>
      <c r="C634" s="28"/>
    </row>
    <row r="635" spans="2:3" ht="13.8" x14ac:dyDescent="0.3">
      <c r="B635" s="28"/>
      <c r="C635" s="28"/>
    </row>
    <row r="636" spans="2:3" ht="13.8" x14ac:dyDescent="0.3">
      <c r="B636" s="28"/>
      <c r="C636" s="28"/>
    </row>
    <row r="637" spans="2:3" ht="13.8" x14ac:dyDescent="0.3">
      <c r="B637" s="28"/>
      <c r="C637" s="28"/>
    </row>
    <row r="638" spans="2:3" ht="13.8" x14ac:dyDescent="0.3">
      <c r="B638" s="28"/>
      <c r="C638" s="28"/>
    </row>
    <row r="639" spans="2:3" ht="13.8" x14ac:dyDescent="0.3">
      <c r="B639" s="28"/>
      <c r="C639" s="28"/>
    </row>
    <row r="640" spans="2:3" ht="13.8" x14ac:dyDescent="0.3">
      <c r="B640" s="28"/>
      <c r="C640" s="28"/>
    </row>
    <row r="641" spans="2:3" ht="13.8" x14ac:dyDescent="0.3">
      <c r="B641" s="28"/>
      <c r="C641" s="28"/>
    </row>
    <row r="642" spans="2:3" ht="13.8" x14ac:dyDescent="0.3">
      <c r="B642" s="28"/>
      <c r="C642" s="28"/>
    </row>
    <row r="643" spans="2:3" ht="13.8" x14ac:dyDescent="0.3">
      <c r="B643" s="28"/>
      <c r="C643" s="28"/>
    </row>
    <row r="644" spans="2:3" ht="13.8" x14ac:dyDescent="0.3">
      <c r="B644" s="28"/>
      <c r="C644" s="28"/>
    </row>
    <row r="645" spans="2:3" ht="13.8" x14ac:dyDescent="0.3">
      <c r="B645" s="28"/>
      <c r="C645" s="28"/>
    </row>
    <row r="646" spans="2:3" ht="13.8" x14ac:dyDescent="0.3">
      <c r="B646" s="28"/>
      <c r="C646" s="28"/>
    </row>
    <row r="647" spans="2:3" ht="13.8" x14ac:dyDescent="0.3">
      <c r="B647" s="28"/>
      <c r="C647" s="28"/>
    </row>
    <row r="648" spans="2:3" ht="13.8" x14ac:dyDescent="0.3">
      <c r="B648" s="28"/>
      <c r="C648" s="28"/>
    </row>
    <row r="649" spans="2:3" ht="13.8" x14ac:dyDescent="0.3">
      <c r="B649" s="28"/>
      <c r="C649" s="28"/>
    </row>
    <row r="650" spans="2:3" ht="13.8" x14ac:dyDescent="0.3">
      <c r="B650" s="28"/>
      <c r="C650" s="28"/>
    </row>
    <row r="651" spans="2:3" ht="13.8" x14ac:dyDescent="0.3">
      <c r="B651" s="28"/>
      <c r="C651" s="28"/>
    </row>
    <row r="652" spans="2:3" ht="13.8" x14ac:dyDescent="0.3">
      <c r="B652" s="28"/>
      <c r="C652" s="28"/>
    </row>
    <row r="653" spans="2:3" ht="13.8" x14ac:dyDescent="0.3">
      <c r="B653" s="28"/>
      <c r="C653" s="28"/>
    </row>
    <row r="654" spans="2:3" ht="13.8" x14ac:dyDescent="0.3">
      <c r="B654" s="28"/>
      <c r="C654" s="28"/>
    </row>
    <row r="655" spans="2:3" ht="13.8" x14ac:dyDescent="0.3">
      <c r="B655" s="28"/>
      <c r="C655" s="28"/>
    </row>
    <row r="656" spans="2:3" ht="13.8" x14ac:dyDescent="0.3">
      <c r="B656" s="28"/>
      <c r="C656" s="28"/>
    </row>
    <row r="657" spans="2:3" ht="13.8" x14ac:dyDescent="0.3">
      <c r="B657" s="28"/>
      <c r="C657" s="28"/>
    </row>
    <row r="658" spans="2:3" ht="13.8" x14ac:dyDescent="0.3">
      <c r="B658" s="28"/>
      <c r="C658" s="28"/>
    </row>
    <row r="659" spans="2:3" ht="13.8" x14ac:dyDescent="0.3">
      <c r="B659" s="28"/>
      <c r="C659" s="28"/>
    </row>
    <row r="660" spans="2:3" ht="13.8" x14ac:dyDescent="0.3">
      <c r="B660" s="28"/>
      <c r="C660" s="28"/>
    </row>
    <row r="661" spans="2:3" ht="13.8" x14ac:dyDescent="0.3">
      <c r="B661" s="28"/>
      <c r="C661" s="28"/>
    </row>
    <row r="662" spans="2:3" ht="13.8" x14ac:dyDescent="0.3">
      <c r="B662" s="28"/>
      <c r="C662" s="28"/>
    </row>
    <row r="663" spans="2:3" ht="13.8" x14ac:dyDescent="0.3">
      <c r="B663" s="28"/>
      <c r="C663" s="28"/>
    </row>
    <row r="664" spans="2:3" ht="13.8" x14ac:dyDescent="0.3">
      <c r="B664" s="28"/>
      <c r="C664" s="28"/>
    </row>
    <row r="665" spans="2:3" ht="13.8" x14ac:dyDescent="0.3">
      <c r="B665" s="28"/>
      <c r="C665" s="28"/>
    </row>
    <row r="666" spans="2:3" ht="13.8" x14ac:dyDescent="0.3">
      <c r="B666" s="28"/>
      <c r="C666" s="28"/>
    </row>
    <row r="667" spans="2:3" ht="13.8" x14ac:dyDescent="0.3">
      <c r="B667" s="28"/>
      <c r="C667" s="28"/>
    </row>
    <row r="668" spans="2:3" ht="13.8" x14ac:dyDescent="0.3">
      <c r="B668" s="28"/>
      <c r="C668" s="28"/>
    </row>
    <row r="669" spans="2:3" ht="13.8" x14ac:dyDescent="0.3">
      <c r="B669" s="28"/>
      <c r="C669" s="28"/>
    </row>
    <row r="670" spans="2:3" ht="13.8" x14ac:dyDescent="0.3">
      <c r="B670" s="28"/>
      <c r="C670" s="28"/>
    </row>
    <row r="671" spans="2:3" ht="13.8" x14ac:dyDescent="0.3">
      <c r="B671" s="28"/>
      <c r="C671" s="28"/>
    </row>
    <row r="672" spans="2:3" ht="13.8" x14ac:dyDescent="0.3">
      <c r="B672" s="28"/>
      <c r="C672" s="28"/>
    </row>
    <row r="673" spans="2:3" ht="13.8" x14ac:dyDescent="0.3">
      <c r="B673" s="28"/>
      <c r="C673" s="28"/>
    </row>
    <row r="674" spans="2:3" ht="13.8" x14ac:dyDescent="0.3">
      <c r="B674" s="28"/>
      <c r="C674" s="28"/>
    </row>
    <row r="675" spans="2:3" ht="13.8" x14ac:dyDescent="0.3">
      <c r="B675" s="28"/>
      <c r="C675" s="28"/>
    </row>
    <row r="676" spans="2:3" ht="13.8" x14ac:dyDescent="0.3">
      <c r="B676" s="28"/>
      <c r="C676" s="28"/>
    </row>
    <row r="677" spans="2:3" ht="13.8" x14ac:dyDescent="0.3">
      <c r="B677" s="28"/>
      <c r="C677" s="28"/>
    </row>
    <row r="678" spans="2:3" ht="13.8" x14ac:dyDescent="0.3">
      <c r="B678" s="28"/>
      <c r="C678" s="28"/>
    </row>
    <row r="679" spans="2:3" ht="13.8" x14ac:dyDescent="0.3">
      <c r="B679" s="28"/>
      <c r="C679" s="28"/>
    </row>
    <row r="680" spans="2:3" ht="13.8" x14ac:dyDescent="0.3">
      <c r="B680" s="28"/>
      <c r="C680" s="28"/>
    </row>
    <row r="681" spans="2:3" ht="13.8" x14ac:dyDescent="0.3">
      <c r="B681" s="28"/>
      <c r="C681" s="28"/>
    </row>
    <row r="682" spans="2:3" ht="13.8" x14ac:dyDescent="0.3">
      <c r="B682" s="28"/>
      <c r="C682" s="28"/>
    </row>
    <row r="683" spans="2:3" ht="13.8" x14ac:dyDescent="0.3">
      <c r="B683" s="28"/>
      <c r="C683" s="28"/>
    </row>
    <row r="684" spans="2:3" ht="13.8" x14ac:dyDescent="0.3">
      <c r="B684" s="28"/>
      <c r="C684" s="28"/>
    </row>
    <row r="685" spans="2:3" ht="13.8" x14ac:dyDescent="0.3">
      <c r="B685" s="28"/>
      <c r="C685" s="28"/>
    </row>
    <row r="686" spans="2:3" ht="13.8" x14ac:dyDescent="0.3">
      <c r="B686" s="28"/>
      <c r="C686" s="28"/>
    </row>
    <row r="687" spans="2:3" ht="13.8" x14ac:dyDescent="0.3">
      <c r="B687" s="28"/>
      <c r="C687" s="28"/>
    </row>
    <row r="688" spans="2:3" ht="13.8" x14ac:dyDescent="0.3">
      <c r="B688" s="28"/>
      <c r="C688" s="28"/>
    </row>
    <row r="689" spans="2:3" ht="13.8" x14ac:dyDescent="0.3">
      <c r="B689" s="28"/>
      <c r="C689" s="28"/>
    </row>
    <row r="690" spans="2:3" ht="13.8" x14ac:dyDescent="0.3">
      <c r="B690" s="28"/>
      <c r="C690" s="28"/>
    </row>
    <row r="691" spans="2:3" ht="13.8" x14ac:dyDescent="0.3">
      <c r="B691" s="28"/>
      <c r="C691" s="28"/>
    </row>
    <row r="692" spans="2:3" ht="13.8" x14ac:dyDescent="0.3">
      <c r="B692" s="28"/>
      <c r="C692" s="28"/>
    </row>
    <row r="693" spans="2:3" ht="13.8" x14ac:dyDescent="0.3">
      <c r="B693" s="28"/>
      <c r="C693" s="28"/>
    </row>
    <row r="694" spans="2:3" ht="13.8" x14ac:dyDescent="0.3">
      <c r="B694" s="28"/>
      <c r="C694" s="28"/>
    </row>
    <row r="695" spans="2:3" ht="13.8" x14ac:dyDescent="0.3">
      <c r="B695" s="28"/>
      <c r="C695" s="28"/>
    </row>
    <row r="696" spans="2:3" ht="13.8" x14ac:dyDescent="0.3">
      <c r="B696" s="28"/>
      <c r="C696" s="28"/>
    </row>
    <row r="697" spans="2:3" ht="13.8" x14ac:dyDescent="0.3">
      <c r="B697" s="28"/>
      <c r="C697" s="28"/>
    </row>
    <row r="698" spans="2:3" ht="13.8" x14ac:dyDescent="0.3">
      <c r="B698" s="28"/>
      <c r="C698" s="28"/>
    </row>
    <row r="699" spans="2:3" ht="13.8" x14ac:dyDescent="0.3">
      <c r="B699" s="28"/>
      <c r="C699" s="28"/>
    </row>
    <row r="700" spans="2:3" ht="13.8" x14ac:dyDescent="0.3">
      <c r="B700" s="28"/>
      <c r="C700" s="28"/>
    </row>
    <row r="701" spans="2:3" ht="13.8" x14ac:dyDescent="0.3">
      <c r="B701" s="28"/>
      <c r="C701" s="28"/>
    </row>
    <row r="702" spans="2:3" ht="13.8" x14ac:dyDescent="0.3">
      <c r="B702" s="28"/>
      <c r="C702" s="28"/>
    </row>
    <row r="703" spans="2:3" ht="13.8" x14ac:dyDescent="0.3">
      <c r="B703" s="28"/>
      <c r="C703" s="28"/>
    </row>
    <row r="704" spans="2:3" ht="13.8" x14ac:dyDescent="0.3">
      <c r="B704" s="28"/>
      <c r="C704" s="28"/>
    </row>
    <row r="705" spans="2:3" ht="13.8" x14ac:dyDescent="0.3">
      <c r="B705" s="28"/>
      <c r="C705" s="28"/>
    </row>
    <row r="706" spans="2:3" ht="13.8" x14ac:dyDescent="0.3">
      <c r="B706" s="28"/>
      <c r="C706" s="28"/>
    </row>
    <row r="707" spans="2:3" ht="13.8" x14ac:dyDescent="0.3">
      <c r="B707" s="28"/>
      <c r="C707" s="28"/>
    </row>
    <row r="708" spans="2:3" ht="13.8" x14ac:dyDescent="0.3">
      <c r="B708" s="28"/>
      <c r="C708" s="28"/>
    </row>
    <row r="709" spans="2:3" ht="13.8" x14ac:dyDescent="0.3">
      <c r="B709" s="28"/>
      <c r="C709" s="28"/>
    </row>
    <row r="710" spans="2:3" ht="13.8" x14ac:dyDescent="0.3">
      <c r="B710" s="28"/>
      <c r="C710" s="28"/>
    </row>
    <row r="711" spans="2:3" ht="13.8" x14ac:dyDescent="0.3">
      <c r="B711" s="28"/>
      <c r="C711" s="28"/>
    </row>
    <row r="712" spans="2:3" ht="13.8" x14ac:dyDescent="0.3">
      <c r="B712" s="28"/>
      <c r="C712" s="28"/>
    </row>
    <row r="713" spans="2:3" ht="13.8" x14ac:dyDescent="0.3">
      <c r="B713" s="28"/>
      <c r="C713" s="28"/>
    </row>
    <row r="714" spans="2:3" ht="13.8" x14ac:dyDescent="0.3">
      <c r="B714" s="28"/>
      <c r="C714" s="28"/>
    </row>
    <row r="715" spans="2:3" ht="13.8" x14ac:dyDescent="0.3">
      <c r="B715" s="28"/>
      <c r="C715" s="28"/>
    </row>
    <row r="716" spans="2:3" ht="13.8" x14ac:dyDescent="0.3">
      <c r="B716" s="28"/>
      <c r="C716" s="28"/>
    </row>
    <row r="717" spans="2:3" ht="13.8" x14ac:dyDescent="0.3">
      <c r="B717" s="28"/>
      <c r="C717" s="28"/>
    </row>
    <row r="718" spans="2:3" ht="13.8" x14ac:dyDescent="0.3">
      <c r="B718" s="28"/>
      <c r="C718" s="28"/>
    </row>
    <row r="719" spans="2:3" ht="13.8" x14ac:dyDescent="0.3">
      <c r="B719" s="28"/>
      <c r="C719" s="28"/>
    </row>
    <row r="720" spans="2:3" ht="13.8" x14ac:dyDescent="0.3">
      <c r="B720" s="28"/>
      <c r="C720" s="28"/>
    </row>
    <row r="721" spans="2:3" ht="13.8" x14ac:dyDescent="0.3">
      <c r="B721" s="28"/>
      <c r="C721" s="28"/>
    </row>
    <row r="722" spans="2:3" ht="13.8" x14ac:dyDescent="0.3">
      <c r="B722" s="28"/>
      <c r="C722" s="28"/>
    </row>
    <row r="723" spans="2:3" ht="13.8" x14ac:dyDescent="0.3">
      <c r="B723" s="28"/>
      <c r="C723" s="28"/>
    </row>
    <row r="724" spans="2:3" ht="13.8" x14ac:dyDescent="0.3">
      <c r="B724" s="28"/>
      <c r="C724" s="28"/>
    </row>
    <row r="725" spans="2:3" ht="13.8" x14ac:dyDescent="0.3">
      <c r="B725" s="28"/>
      <c r="C725" s="28"/>
    </row>
    <row r="726" spans="2:3" ht="13.8" x14ac:dyDescent="0.3">
      <c r="B726" s="28"/>
      <c r="C726" s="28"/>
    </row>
    <row r="727" spans="2:3" ht="13.8" x14ac:dyDescent="0.3">
      <c r="B727" s="28"/>
      <c r="C727" s="28"/>
    </row>
    <row r="728" spans="2:3" ht="13.8" x14ac:dyDescent="0.3">
      <c r="B728" s="28"/>
      <c r="C728" s="28"/>
    </row>
    <row r="729" spans="2:3" ht="13.8" x14ac:dyDescent="0.3">
      <c r="B729" s="28"/>
      <c r="C729" s="28"/>
    </row>
    <row r="730" spans="2:3" ht="13.8" x14ac:dyDescent="0.3">
      <c r="B730" s="28"/>
      <c r="C730" s="28"/>
    </row>
    <row r="731" spans="2:3" ht="13.8" x14ac:dyDescent="0.3">
      <c r="B731" s="28"/>
      <c r="C731" s="28"/>
    </row>
    <row r="732" spans="2:3" ht="13.8" x14ac:dyDescent="0.3">
      <c r="B732" s="28"/>
      <c r="C732" s="28"/>
    </row>
    <row r="733" spans="2:3" ht="13.8" x14ac:dyDescent="0.3">
      <c r="B733" s="28"/>
      <c r="C733" s="28"/>
    </row>
    <row r="734" spans="2:3" ht="13.8" x14ac:dyDescent="0.3">
      <c r="B734" s="28"/>
      <c r="C734" s="28"/>
    </row>
    <row r="735" spans="2:3" ht="13.8" x14ac:dyDescent="0.3">
      <c r="B735" s="28"/>
      <c r="C735" s="28"/>
    </row>
    <row r="736" spans="2:3" ht="13.8" x14ac:dyDescent="0.3">
      <c r="B736" s="28"/>
      <c r="C736" s="28"/>
    </row>
    <row r="737" spans="2:3" ht="13.8" x14ac:dyDescent="0.3">
      <c r="B737" s="28"/>
      <c r="C737" s="28"/>
    </row>
    <row r="738" spans="2:3" ht="13.8" x14ac:dyDescent="0.3">
      <c r="B738" s="28"/>
      <c r="C738" s="28"/>
    </row>
    <row r="739" spans="2:3" ht="13.8" x14ac:dyDescent="0.3">
      <c r="B739" s="28"/>
      <c r="C739" s="28"/>
    </row>
    <row r="740" spans="2:3" ht="13.8" x14ac:dyDescent="0.3">
      <c r="B740" s="28"/>
      <c r="C740" s="28"/>
    </row>
    <row r="741" spans="2:3" ht="13.8" x14ac:dyDescent="0.3">
      <c r="B741" s="28"/>
      <c r="C741" s="28"/>
    </row>
    <row r="742" spans="2:3" ht="13.8" x14ac:dyDescent="0.3">
      <c r="B742" s="28"/>
      <c r="C742" s="28"/>
    </row>
    <row r="743" spans="2:3" ht="13.8" x14ac:dyDescent="0.3">
      <c r="B743" s="28"/>
      <c r="C743" s="28"/>
    </row>
    <row r="744" spans="2:3" ht="13.8" x14ac:dyDescent="0.3">
      <c r="B744" s="28"/>
      <c r="C744" s="28"/>
    </row>
    <row r="745" spans="2:3" ht="13.8" x14ac:dyDescent="0.3">
      <c r="B745" s="28"/>
      <c r="C745" s="28"/>
    </row>
    <row r="746" spans="2:3" ht="13.8" x14ac:dyDescent="0.3">
      <c r="B746" s="28"/>
      <c r="C746" s="28"/>
    </row>
    <row r="747" spans="2:3" ht="13.8" x14ac:dyDescent="0.3">
      <c r="B747" s="28"/>
      <c r="C747" s="28"/>
    </row>
    <row r="748" spans="2:3" ht="13.8" x14ac:dyDescent="0.3">
      <c r="B748" s="28"/>
      <c r="C748" s="28"/>
    </row>
    <row r="749" spans="2:3" ht="13.8" x14ac:dyDescent="0.3">
      <c r="B749" s="28"/>
      <c r="C749" s="28"/>
    </row>
    <row r="750" spans="2:3" ht="13.8" x14ac:dyDescent="0.3">
      <c r="B750" s="28"/>
      <c r="C750" s="28"/>
    </row>
    <row r="751" spans="2:3" ht="13.8" x14ac:dyDescent="0.3">
      <c r="B751" s="28"/>
      <c r="C751" s="28"/>
    </row>
    <row r="752" spans="2:3" ht="13.8" x14ac:dyDescent="0.3">
      <c r="B752" s="28"/>
      <c r="C752" s="28"/>
    </row>
    <row r="753" spans="2:3" ht="13.8" x14ac:dyDescent="0.3">
      <c r="B753" s="28"/>
      <c r="C753" s="28"/>
    </row>
    <row r="754" spans="2:3" ht="13.8" x14ac:dyDescent="0.3">
      <c r="B754" s="28"/>
      <c r="C754" s="28"/>
    </row>
    <row r="755" spans="2:3" ht="13.8" x14ac:dyDescent="0.3">
      <c r="B755" s="28"/>
      <c r="C755" s="28"/>
    </row>
    <row r="756" spans="2:3" ht="13.8" x14ac:dyDescent="0.3">
      <c r="B756" s="28"/>
      <c r="C756" s="28"/>
    </row>
    <row r="757" spans="2:3" ht="13.8" x14ac:dyDescent="0.3">
      <c r="B757" s="28"/>
      <c r="C757" s="28"/>
    </row>
    <row r="758" spans="2:3" ht="13.8" x14ac:dyDescent="0.3">
      <c r="B758" s="28"/>
      <c r="C758" s="28"/>
    </row>
    <row r="759" spans="2:3" ht="13.8" x14ac:dyDescent="0.3">
      <c r="B759" s="28"/>
      <c r="C759" s="28"/>
    </row>
    <row r="760" spans="2:3" ht="13.8" x14ac:dyDescent="0.3">
      <c r="B760" s="28"/>
      <c r="C760" s="28"/>
    </row>
    <row r="761" spans="2:3" ht="13.8" x14ac:dyDescent="0.3">
      <c r="B761" s="28"/>
      <c r="C761" s="28"/>
    </row>
    <row r="762" spans="2:3" ht="13.8" x14ac:dyDescent="0.3">
      <c r="B762" s="28"/>
      <c r="C762" s="28"/>
    </row>
    <row r="763" spans="2:3" ht="13.8" x14ac:dyDescent="0.3">
      <c r="B763" s="28"/>
      <c r="C763" s="28"/>
    </row>
    <row r="764" spans="2:3" ht="13.8" x14ac:dyDescent="0.3">
      <c r="B764" s="28"/>
      <c r="C764" s="28"/>
    </row>
    <row r="765" spans="2:3" ht="13.8" x14ac:dyDescent="0.3">
      <c r="B765" s="28"/>
      <c r="C765" s="28"/>
    </row>
    <row r="766" spans="2:3" ht="13.8" x14ac:dyDescent="0.3">
      <c r="B766" s="28"/>
      <c r="C766" s="28"/>
    </row>
    <row r="767" spans="2:3" ht="13.8" x14ac:dyDescent="0.3">
      <c r="B767" s="28"/>
      <c r="C767" s="28"/>
    </row>
    <row r="768" spans="2:3" ht="13.8" x14ac:dyDescent="0.3">
      <c r="B768" s="28"/>
      <c r="C768" s="28"/>
    </row>
    <row r="769" spans="2:3" ht="13.8" x14ac:dyDescent="0.3">
      <c r="B769" s="28"/>
      <c r="C769" s="28"/>
    </row>
    <row r="770" spans="2:3" ht="13.8" x14ac:dyDescent="0.3">
      <c r="B770" s="28"/>
      <c r="C770" s="28"/>
    </row>
    <row r="771" spans="2:3" ht="13.8" x14ac:dyDescent="0.3">
      <c r="B771" s="28"/>
      <c r="C771" s="28"/>
    </row>
    <row r="772" spans="2:3" ht="13.8" x14ac:dyDescent="0.3">
      <c r="B772" s="28"/>
      <c r="C772" s="28"/>
    </row>
    <row r="773" spans="2:3" ht="13.8" x14ac:dyDescent="0.3">
      <c r="B773" s="28"/>
      <c r="C773" s="28"/>
    </row>
    <row r="774" spans="2:3" ht="13.8" x14ac:dyDescent="0.3">
      <c r="B774" s="28"/>
      <c r="C774" s="28"/>
    </row>
    <row r="775" spans="2:3" ht="13.8" x14ac:dyDescent="0.3">
      <c r="B775" s="28"/>
      <c r="C775" s="28"/>
    </row>
    <row r="776" spans="2:3" ht="13.8" x14ac:dyDescent="0.3">
      <c r="B776" s="28"/>
      <c r="C776" s="28"/>
    </row>
    <row r="777" spans="2:3" ht="13.8" x14ac:dyDescent="0.3">
      <c r="B777" s="28"/>
      <c r="C777" s="28"/>
    </row>
    <row r="778" spans="2:3" ht="13.8" x14ac:dyDescent="0.3">
      <c r="B778" s="28"/>
      <c r="C778" s="28"/>
    </row>
    <row r="779" spans="2:3" ht="13.8" x14ac:dyDescent="0.3">
      <c r="B779" s="28"/>
      <c r="C779" s="28"/>
    </row>
    <row r="780" spans="2:3" ht="13.8" x14ac:dyDescent="0.3">
      <c r="B780" s="28"/>
      <c r="C780" s="28"/>
    </row>
    <row r="781" spans="2:3" ht="13.8" x14ac:dyDescent="0.3">
      <c r="B781" s="28"/>
      <c r="C781" s="28"/>
    </row>
    <row r="782" spans="2:3" ht="13.8" x14ac:dyDescent="0.3">
      <c r="B782" s="28"/>
      <c r="C782" s="28"/>
    </row>
    <row r="783" spans="2:3" ht="13.8" x14ac:dyDescent="0.3">
      <c r="B783" s="28"/>
      <c r="C783" s="28"/>
    </row>
    <row r="784" spans="2:3" ht="13.8" x14ac:dyDescent="0.3">
      <c r="B784" s="28"/>
      <c r="C784" s="28"/>
    </row>
    <row r="785" spans="2:3" ht="13.8" x14ac:dyDescent="0.3">
      <c r="B785" s="28"/>
      <c r="C785" s="28"/>
    </row>
    <row r="786" spans="2:3" ht="13.8" x14ac:dyDescent="0.3">
      <c r="B786" s="28"/>
      <c r="C786" s="28"/>
    </row>
    <row r="787" spans="2:3" ht="13.8" x14ac:dyDescent="0.3">
      <c r="B787" s="28"/>
      <c r="C787" s="28"/>
    </row>
    <row r="788" spans="2:3" ht="13.8" x14ac:dyDescent="0.3">
      <c r="B788" s="28"/>
      <c r="C788" s="28"/>
    </row>
    <row r="789" spans="2:3" ht="13.8" x14ac:dyDescent="0.3">
      <c r="B789" s="28"/>
      <c r="C789" s="28"/>
    </row>
    <row r="790" spans="2:3" ht="13.8" x14ac:dyDescent="0.3">
      <c r="B790" s="28"/>
      <c r="C790" s="28"/>
    </row>
    <row r="791" spans="2:3" ht="13.8" x14ac:dyDescent="0.3">
      <c r="B791" s="28"/>
      <c r="C791" s="28"/>
    </row>
    <row r="792" spans="2:3" ht="13.8" x14ac:dyDescent="0.3">
      <c r="B792" s="28"/>
      <c r="C792" s="28"/>
    </row>
    <row r="793" spans="2:3" ht="13.8" x14ac:dyDescent="0.3">
      <c r="B793" s="28"/>
      <c r="C793" s="28"/>
    </row>
    <row r="794" spans="2:3" ht="13.8" x14ac:dyDescent="0.3">
      <c r="B794" s="28"/>
      <c r="C794" s="28"/>
    </row>
    <row r="795" spans="2:3" ht="13.8" x14ac:dyDescent="0.3">
      <c r="B795" s="28"/>
      <c r="C795" s="28"/>
    </row>
    <row r="796" spans="2:3" ht="13.8" x14ac:dyDescent="0.3">
      <c r="B796" s="28"/>
      <c r="C796" s="28"/>
    </row>
    <row r="797" spans="2:3" ht="13.8" x14ac:dyDescent="0.3">
      <c r="B797" s="28"/>
      <c r="C797" s="28"/>
    </row>
    <row r="798" spans="2:3" ht="13.8" x14ac:dyDescent="0.3">
      <c r="B798" s="28"/>
      <c r="C798" s="28"/>
    </row>
    <row r="799" spans="2:3" ht="13.8" x14ac:dyDescent="0.3">
      <c r="B799" s="28"/>
      <c r="C799" s="28"/>
    </row>
    <row r="800" spans="2:3" ht="13.8" x14ac:dyDescent="0.3">
      <c r="B800" s="28"/>
      <c r="C800" s="28"/>
    </row>
    <row r="801" spans="2:3" ht="13.8" x14ac:dyDescent="0.3">
      <c r="B801" s="28"/>
      <c r="C801" s="28"/>
    </row>
    <row r="802" spans="2:3" ht="13.8" x14ac:dyDescent="0.3">
      <c r="B802" s="28"/>
      <c r="C802" s="28"/>
    </row>
    <row r="803" spans="2:3" ht="13.8" x14ac:dyDescent="0.3">
      <c r="B803" s="28"/>
      <c r="C803" s="28"/>
    </row>
    <row r="804" spans="2:3" ht="13.8" x14ac:dyDescent="0.3">
      <c r="B804" s="28"/>
      <c r="C804" s="28"/>
    </row>
    <row r="805" spans="2:3" ht="13.8" x14ac:dyDescent="0.3">
      <c r="B805" s="28"/>
      <c r="C805" s="28"/>
    </row>
    <row r="806" spans="2:3" ht="13.8" x14ac:dyDescent="0.3">
      <c r="B806" s="28"/>
      <c r="C806" s="28"/>
    </row>
    <row r="807" spans="2:3" ht="13.8" x14ac:dyDescent="0.3">
      <c r="B807" s="28"/>
      <c r="C807" s="28"/>
    </row>
    <row r="808" spans="2:3" ht="13.8" x14ac:dyDescent="0.3">
      <c r="B808" s="28"/>
      <c r="C808" s="28"/>
    </row>
    <row r="809" spans="2:3" ht="13.8" x14ac:dyDescent="0.3">
      <c r="B809" s="28"/>
      <c r="C809" s="28"/>
    </row>
    <row r="810" spans="2:3" ht="13.8" x14ac:dyDescent="0.3">
      <c r="B810" s="28"/>
      <c r="C810" s="28"/>
    </row>
    <row r="811" spans="2:3" ht="13.8" x14ac:dyDescent="0.3">
      <c r="B811" s="28"/>
      <c r="C811" s="28"/>
    </row>
    <row r="812" spans="2:3" ht="13.8" x14ac:dyDescent="0.3">
      <c r="B812" s="28"/>
      <c r="C812" s="28"/>
    </row>
    <row r="813" spans="2:3" ht="13.8" x14ac:dyDescent="0.3">
      <c r="B813" s="28"/>
      <c r="C813" s="28"/>
    </row>
    <row r="814" spans="2:3" ht="13.8" x14ac:dyDescent="0.3">
      <c r="B814" s="28"/>
      <c r="C814" s="28"/>
    </row>
    <row r="815" spans="2:3" ht="13.8" x14ac:dyDescent="0.3">
      <c r="B815" s="28"/>
      <c r="C815" s="28"/>
    </row>
    <row r="816" spans="2:3" ht="13.8" x14ac:dyDescent="0.3">
      <c r="B816" s="28"/>
      <c r="C816" s="28"/>
    </row>
    <row r="817" spans="2:3" ht="13.8" x14ac:dyDescent="0.3">
      <c r="B817" s="28"/>
      <c r="C817" s="28"/>
    </row>
    <row r="818" spans="2:3" ht="13.8" x14ac:dyDescent="0.3">
      <c r="B818" s="28"/>
      <c r="C818" s="28"/>
    </row>
    <row r="819" spans="2:3" ht="13.8" x14ac:dyDescent="0.3">
      <c r="B819" s="28"/>
      <c r="C819" s="28"/>
    </row>
    <row r="820" spans="2:3" ht="13.8" x14ac:dyDescent="0.3">
      <c r="B820" s="28"/>
      <c r="C820" s="28"/>
    </row>
    <row r="821" spans="2:3" ht="13.8" x14ac:dyDescent="0.3">
      <c r="B821" s="28"/>
      <c r="C821" s="28"/>
    </row>
    <row r="822" spans="2:3" ht="13.8" x14ac:dyDescent="0.3">
      <c r="B822" s="28"/>
      <c r="C822" s="28"/>
    </row>
    <row r="823" spans="2:3" ht="13.8" x14ac:dyDescent="0.3">
      <c r="B823" s="28"/>
      <c r="C823" s="28"/>
    </row>
    <row r="824" spans="2:3" ht="13.8" x14ac:dyDescent="0.3">
      <c r="B824" s="28"/>
      <c r="C824" s="28"/>
    </row>
    <row r="825" spans="2:3" ht="13.8" x14ac:dyDescent="0.3">
      <c r="B825" s="28"/>
      <c r="C825" s="28"/>
    </row>
    <row r="826" spans="2:3" ht="13.8" x14ac:dyDescent="0.3">
      <c r="B826" s="28"/>
      <c r="C826" s="28"/>
    </row>
    <row r="827" spans="2:3" ht="13.8" x14ac:dyDescent="0.3">
      <c r="B827" s="28"/>
      <c r="C827" s="28"/>
    </row>
    <row r="828" spans="2:3" ht="13.8" x14ac:dyDescent="0.3">
      <c r="B828" s="28"/>
      <c r="C828" s="28"/>
    </row>
    <row r="829" spans="2:3" ht="13.8" x14ac:dyDescent="0.3">
      <c r="B829" s="28"/>
      <c r="C829" s="28"/>
    </row>
    <row r="830" spans="2:3" ht="13.8" x14ac:dyDescent="0.3">
      <c r="B830" s="28"/>
      <c r="C830" s="28"/>
    </row>
    <row r="831" spans="2:3" ht="13.8" x14ac:dyDescent="0.3">
      <c r="B831" s="28"/>
      <c r="C831" s="28"/>
    </row>
    <row r="832" spans="2:3" ht="13.8" x14ac:dyDescent="0.3">
      <c r="B832" s="28"/>
      <c r="C832" s="28"/>
    </row>
    <row r="833" spans="2:3" ht="13.8" x14ac:dyDescent="0.3">
      <c r="B833" s="28"/>
      <c r="C833" s="28"/>
    </row>
    <row r="834" spans="2:3" ht="13.8" x14ac:dyDescent="0.3">
      <c r="B834" s="28"/>
      <c r="C834" s="28"/>
    </row>
    <row r="835" spans="2:3" ht="13.8" x14ac:dyDescent="0.3">
      <c r="B835" s="28"/>
      <c r="C835" s="28"/>
    </row>
    <row r="836" spans="2:3" ht="13.8" x14ac:dyDescent="0.3">
      <c r="B836" s="28"/>
      <c r="C836" s="28"/>
    </row>
    <row r="837" spans="2:3" ht="13.8" x14ac:dyDescent="0.3">
      <c r="B837" s="28"/>
      <c r="C837" s="28"/>
    </row>
    <row r="838" spans="2:3" ht="13.8" x14ac:dyDescent="0.3">
      <c r="B838" s="28"/>
      <c r="C838" s="28"/>
    </row>
    <row r="839" spans="2:3" ht="13.8" x14ac:dyDescent="0.3">
      <c r="B839" s="28"/>
      <c r="C839" s="28"/>
    </row>
    <row r="840" spans="2:3" ht="13.8" x14ac:dyDescent="0.3">
      <c r="B840" s="28"/>
      <c r="C840" s="28"/>
    </row>
    <row r="841" spans="2:3" ht="13.8" x14ac:dyDescent="0.3">
      <c r="B841" s="28"/>
      <c r="C841" s="28"/>
    </row>
    <row r="842" spans="2:3" ht="13.8" x14ac:dyDescent="0.3">
      <c r="B842" s="28"/>
      <c r="C842" s="28"/>
    </row>
    <row r="843" spans="2:3" ht="13.8" x14ac:dyDescent="0.3">
      <c r="B843" s="28"/>
      <c r="C843" s="28"/>
    </row>
    <row r="844" spans="2:3" ht="13.8" x14ac:dyDescent="0.3">
      <c r="B844" s="28"/>
      <c r="C844" s="28"/>
    </row>
    <row r="845" spans="2:3" ht="13.8" x14ac:dyDescent="0.3">
      <c r="B845" s="28"/>
      <c r="C845" s="28"/>
    </row>
    <row r="846" spans="2:3" ht="13.8" x14ac:dyDescent="0.3">
      <c r="B846" s="28"/>
      <c r="C846" s="28"/>
    </row>
    <row r="847" spans="2:3" ht="13.8" x14ac:dyDescent="0.3">
      <c r="B847" s="28"/>
      <c r="C847" s="28"/>
    </row>
    <row r="848" spans="2:3" ht="13.8" x14ac:dyDescent="0.3">
      <c r="B848" s="28"/>
      <c r="C848" s="28"/>
    </row>
    <row r="849" spans="2:3" ht="13.8" x14ac:dyDescent="0.3">
      <c r="B849" s="28"/>
      <c r="C849" s="28"/>
    </row>
    <row r="850" spans="2:3" ht="13.8" x14ac:dyDescent="0.3">
      <c r="B850" s="28"/>
      <c r="C850" s="28"/>
    </row>
    <row r="851" spans="2:3" ht="13.8" x14ac:dyDescent="0.3">
      <c r="B851" s="28"/>
      <c r="C851" s="28"/>
    </row>
    <row r="852" spans="2:3" ht="13.8" x14ac:dyDescent="0.3">
      <c r="B852" s="28"/>
      <c r="C852" s="28"/>
    </row>
    <row r="853" spans="2:3" ht="13.8" x14ac:dyDescent="0.3">
      <c r="B853" s="28"/>
      <c r="C853" s="28"/>
    </row>
    <row r="854" spans="2:3" ht="13.8" x14ac:dyDescent="0.3">
      <c r="B854" s="28"/>
      <c r="C854" s="28"/>
    </row>
    <row r="855" spans="2:3" ht="13.8" x14ac:dyDescent="0.3">
      <c r="B855" s="28"/>
      <c r="C855" s="28"/>
    </row>
    <row r="856" spans="2:3" ht="13.8" x14ac:dyDescent="0.3">
      <c r="B856" s="28"/>
      <c r="C856" s="28"/>
    </row>
    <row r="857" spans="2:3" ht="13.8" x14ac:dyDescent="0.3">
      <c r="B857" s="28"/>
      <c r="C857" s="28"/>
    </row>
    <row r="858" spans="2:3" ht="13.8" x14ac:dyDescent="0.3">
      <c r="B858" s="28"/>
      <c r="C858" s="28"/>
    </row>
    <row r="859" spans="2:3" ht="13.8" x14ac:dyDescent="0.3">
      <c r="B859" s="28"/>
      <c r="C859" s="28"/>
    </row>
    <row r="860" spans="2:3" ht="13.8" x14ac:dyDescent="0.3">
      <c r="B860" s="28"/>
      <c r="C860" s="28"/>
    </row>
    <row r="861" spans="2:3" ht="13.8" x14ac:dyDescent="0.3">
      <c r="B861" s="28"/>
      <c r="C861" s="28"/>
    </row>
    <row r="862" spans="2:3" ht="13.8" x14ac:dyDescent="0.3">
      <c r="B862" s="28"/>
      <c r="C862" s="28"/>
    </row>
    <row r="863" spans="2:3" ht="13.8" x14ac:dyDescent="0.3">
      <c r="B863" s="28"/>
      <c r="C863" s="28"/>
    </row>
    <row r="864" spans="2:3" ht="13.8" x14ac:dyDescent="0.3">
      <c r="B864" s="28"/>
      <c r="C864" s="28"/>
    </row>
    <row r="865" spans="2:3" ht="13.8" x14ac:dyDescent="0.3">
      <c r="B865" s="28"/>
      <c r="C865" s="28"/>
    </row>
    <row r="866" spans="2:3" ht="13.8" x14ac:dyDescent="0.3">
      <c r="B866" s="28"/>
      <c r="C866" s="28"/>
    </row>
    <row r="867" spans="2:3" ht="13.8" x14ac:dyDescent="0.3">
      <c r="B867" s="28"/>
      <c r="C867" s="28"/>
    </row>
    <row r="868" spans="2:3" ht="13.8" x14ac:dyDescent="0.3">
      <c r="B868" s="28"/>
      <c r="C868" s="28"/>
    </row>
    <row r="869" spans="2:3" ht="13.8" x14ac:dyDescent="0.3">
      <c r="B869" s="28"/>
      <c r="C869" s="28"/>
    </row>
    <row r="870" spans="2:3" ht="13.8" x14ac:dyDescent="0.3">
      <c r="B870" s="28"/>
      <c r="C870" s="28"/>
    </row>
    <row r="871" spans="2:3" ht="13.8" x14ac:dyDescent="0.3">
      <c r="B871" s="28"/>
      <c r="C871" s="28"/>
    </row>
    <row r="872" spans="2:3" ht="13.8" x14ac:dyDescent="0.3">
      <c r="B872" s="28"/>
      <c r="C872" s="28"/>
    </row>
    <row r="873" spans="2:3" ht="13.8" x14ac:dyDescent="0.3">
      <c r="B873" s="28"/>
      <c r="C873" s="28"/>
    </row>
    <row r="874" spans="2:3" ht="13.8" x14ac:dyDescent="0.3">
      <c r="B874" s="28"/>
      <c r="C874" s="28"/>
    </row>
    <row r="875" spans="2:3" ht="13.8" x14ac:dyDescent="0.3">
      <c r="B875" s="28"/>
      <c r="C875" s="28"/>
    </row>
    <row r="876" spans="2:3" ht="13.8" x14ac:dyDescent="0.3">
      <c r="B876" s="28"/>
      <c r="C876" s="28"/>
    </row>
    <row r="877" spans="2:3" ht="13.8" x14ac:dyDescent="0.3">
      <c r="B877" s="28"/>
      <c r="C877" s="28"/>
    </row>
    <row r="878" spans="2:3" ht="13.8" x14ac:dyDescent="0.3">
      <c r="B878" s="28"/>
      <c r="C878" s="28"/>
    </row>
    <row r="879" spans="2:3" ht="13.8" x14ac:dyDescent="0.3">
      <c r="B879" s="28"/>
      <c r="C879" s="28"/>
    </row>
    <row r="880" spans="2:3" ht="13.8" x14ac:dyDescent="0.3">
      <c r="B880" s="28"/>
      <c r="C880" s="28"/>
    </row>
    <row r="881" spans="2:3" ht="13.8" x14ac:dyDescent="0.3">
      <c r="B881" s="28"/>
      <c r="C881" s="28"/>
    </row>
    <row r="882" spans="2:3" ht="13.8" x14ac:dyDescent="0.3">
      <c r="B882" s="28"/>
      <c r="C882" s="28"/>
    </row>
    <row r="883" spans="2:3" ht="13.8" x14ac:dyDescent="0.3">
      <c r="B883" s="28"/>
      <c r="C883" s="28"/>
    </row>
    <row r="884" spans="2:3" ht="13.8" x14ac:dyDescent="0.3">
      <c r="B884" s="28"/>
      <c r="C884" s="28"/>
    </row>
    <row r="885" spans="2:3" ht="13.8" x14ac:dyDescent="0.3">
      <c r="B885" s="28"/>
      <c r="C885" s="28"/>
    </row>
    <row r="886" spans="2:3" ht="13.8" x14ac:dyDescent="0.3">
      <c r="B886" s="28"/>
      <c r="C886" s="28"/>
    </row>
    <row r="887" spans="2:3" ht="13.8" x14ac:dyDescent="0.3">
      <c r="B887" s="28"/>
      <c r="C887" s="28"/>
    </row>
    <row r="888" spans="2:3" ht="13.8" x14ac:dyDescent="0.3">
      <c r="B888" s="28"/>
      <c r="C888" s="28"/>
    </row>
    <row r="889" spans="2:3" ht="13.8" x14ac:dyDescent="0.3">
      <c r="B889" s="28"/>
      <c r="C889" s="28"/>
    </row>
    <row r="890" spans="2:3" ht="13.8" x14ac:dyDescent="0.3">
      <c r="B890" s="28"/>
      <c r="C890" s="28"/>
    </row>
    <row r="891" spans="2:3" ht="13.8" x14ac:dyDescent="0.3">
      <c r="B891" s="28"/>
      <c r="C891" s="28"/>
    </row>
    <row r="892" spans="2:3" ht="13.8" x14ac:dyDescent="0.3">
      <c r="B892" s="28"/>
      <c r="C892" s="28"/>
    </row>
    <row r="893" spans="2:3" ht="13.8" x14ac:dyDescent="0.3">
      <c r="B893" s="28"/>
      <c r="C893" s="28"/>
    </row>
    <row r="894" spans="2:3" ht="13.8" x14ac:dyDescent="0.3">
      <c r="B894" s="28"/>
      <c r="C894" s="28"/>
    </row>
    <row r="895" spans="2:3" ht="13.8" x14ac:dyDescent="0.3">
      <c r="B895" s="28"/>
      <c r="C895" s="28"/>
    </row>
    <row r="896" spans="2:3" ht="13.8" x14ac:dyDescent="0.3">
      <c r="B896" s="28"/>
      <c r="C896" s="28"/>
    </row>
    <row r="897" spans="2:3" ht="13.8" x14ac:dyDescent="0.3">
      <c r="B897" s="28"/>
      <c r="C897" s="28"/>
    </row>
    <row r="898" spans="2:3" ht="13.8" x14ac:dyDescent="0.3">
      <c r="B898" s="28"/>
      <c r="C898" s="28"/>
    </row>
    <row r="899" spans="2:3" ht="13.8" x14ac:dyDescent="0.3">
      <c r="B899" s="28"/>
      <c r="C899" s="28"/>
    </row>
    <row r="900" spans="2:3" ht="13.8" x14ac:dyDescent="0.3">
      <c r="B900" s="28"/>
      <c r="C900" s="28"/>
    </row>
    <row r="901" spans="2:3" ht="13.8" x14ac:dyDescent="0.3">
      <c r="B901" s="28"/>
      <c r="C901" s="28"/>
    </row>
    <row r="902" spans="2:3" ht="13.8" x14ac:dyDescent="0.3">
      <c r="B902" s="28"/>
      <c r="C902" s="28"/>
    </row>
    <row r="903" spans="2:3" ht="13.8" x14ac:dyDescent="0.3">
      <c r="B903" s="28"/>
      <c r="C903" s="28"/>
    </row>
    <row r="904" spans="2:3" ht="13.8" x14ac:dyDescent="0.3">
      <c r="B904" s="28"/>
      <c r="C904" s="28"/>
    </row>
    <row r="905" spans="2:3" ht="13.8" x14ac:dyDescent="0.3">
      <c r="B905" s="28"/>
      <c r="C905" s="28"/>
    </row>
    <row r="906" spans="2:3" ht="13.8" x14ac:dyDescent="0.3">
      <c r="B906" s="28"/>
      <c r="C906" s="28"/>
    </row>
    <row r="907" spans="2:3" ht="13.8" x14ac:dyDescent="0.3">
      <c r="B907" s="28"/>
      <c r="C907" s="28"/>
    </row>
    <row r="908" spans="2:3" ht="13.8" x14ac:dyDescent="0.3">
      <c r="B908" s="28"/>
      <c r="C908" s="28"/>
    </row>
    <row r="909" spans="2:3" ht="13.8" x14ac:dyDescent="0.3">
      <c r="B909" s="28"/>
      <c r="C909" s="28"/>
    </row>
    <row r="910" spans="2:3" ht="13.8" x14ac:dyDescent="0.3">
      <c r="B910" s="28"/>
      <c r="C910" s="28"/>
    </row>
    <row r="911" spans="2:3" ht="13.8" x14ac:dyDescent="0.3">
      <c r="B911" s="28"/>
      <c r="C911" s="28"/>
    </row>
    <row r="912" spans="2:3" ht="13.8" x14ac:dyDescent="0.3">
      <c r="B912" s="28"/>
      <c r="C912" s="28"/>
    </row>
    <row r="913" spans="2:3" ht="13.8" x14ac:dyDescent="0.3">
      <c r="B913" s="28"/>
      <c r="C913" s="28"/>
    </row>
    <row r="914" spans="2:3" ht="13.8" x14ac:dyDescent="0.3">
      <c r="B914" s="28"/>
      <c r="C914" s="28"/>
    </row>
    <row r="915" spans="2:3" ht="13.8" x14ac:dyDescent="0.3">
      <c r="B915" s="28"/>
      <c r="C915" s="28"/>
    </row>
    <row r="916" spans="2:3" ht="13.8" x14ac:dyDescent="0.3">
      <c r="B916" s="28"/>
      <c r="C916" s="28"/>
    </row>
    <row r="917" spans="2:3" ht="13.8" x14ac:dyDescent="0.3">
      <c r="B917" s="28"/>
      <c r="C917" s="28"/>
    </row>
    <row r="918" spans="2:3" ht="13.8" x14ac:dyDescent="0.3">
      <c r="B918" s="28"/>
      <c r="C918" s="28"/>
    </row>
    <row r="919" spans="2:3" ht="13.8" x14ac:dyDescent="0.3">
      <c r="B919" s="28"/>
      <c r="C919" s="28"/>
    </row>
    <row r="920" spans="2:3" ht="13.8" x14ac:dyDescent="0.3">
      <c r="B920" s="28"/>
      <c r="C920" s="28"/>
    </row>
    <row r="921" spans="2:3" ht="13.8" x14ac:dyDescent="0.3">
      <c r="B921" s="28"/>
      <c r="C921" s="28"/>
    </row>
    <row r="922" spans="2:3" ht="13.8" x14ac:dyDescent="0.3">
      <c r="B922" s="28"/>
      <c r="C922" s="28"/>
    </row>
    <row r="923" spans="2:3" ht="13.8" x14ac:dyDescent="0.3">
      <c r="B923" s="28"/>
      <c r="C923" s="28"/>
    </row>
    <row r="924" spans="2:3" ht="13.8" x14ac:dyDescent="0.3">
      <c r="B924" s="28"/>
      <c r="C924" s="28"/>
    </row>
    <row r="925" spans="2:3" ht="13.8" x14ac:dyDescent="0.3">
      <c r="B925" s="28"/>
      <c r="C925" s="28"/>
    </row>
    <row r="926" spans="2:3" ht="13.8" x14ac:dyDescent="0.3">
      <c r="B926" s="28"/>
      <c r="C926" s="28"/>
    </row>
    <row r="927" spans="2:3" ht="13.8" x14ac:dyDescent="0.3">
      <c r="B927" s="28"/>
      <c r="C927" s="28"/>
    </row>
    <row r="928" spans="2:3" ht="13.8" x14ac:dyDescent="0.3">
      <c r="B928" s="28"/>
      <c r="C928" s="28"/>
    </row>
    <row r="929" spans="2:3" ht="13.8" x14ac:dyDescent="0.3">
      <c r="B929" s="28"/>
      <c r="C929" s="28"/>
    </row>
    <row r="930" spans="2:3" ht="13.8" x14ac:dyDescent="0.3">
      <c r="B930" s="28"/>
      <c r="C930" s="28"/>
    </row>
    <row r="931" spans="2:3" ht="13.8" x14ac:dyDescent="0.3">
      <c r="B931" s="28"/>
      <c r="C931" s="28"/>
    </row>
    <row r="932" spans="2:3" ht="13.8" x14ac:dyDescent="0.3">
      <c r="B932" s="28"/>
      <c r="C932" s="28"/>
    </row>
    <row r="933" spans="2:3" ht="13.8" x14ac:dyDescent="0.3">
      <c r="B933" s="28"/>
      <c r="C933" s="28"/>
    </row>
    <row r="934" spans="2:3" ht="13.8" x14ac:dyDescent="0.3">
      <c r="B934" s="28"/>
      <c r="C934" s="28"/>
    </row>
    <row r="935" spans="2:3" ht="13.8" x14ac:dyDescent="0.3">
      <c r="B935" s="28"/>
      <c r="C935" s="28"/>
    </row>
    <row r="936" spans="2:3" ht="13.8" x14ac:dyDescent="0.3">
      <c r="B936" s="28"/>
      <c r="C936" s="28"/>
    </row>
    <row r="937" spans="2:3" ht="13.8" x14ac:dyDescent="0.3">
      <c r="B937" s="28"/>
      <c r="C937" s="28"/>
    </row>
    <row r="938" spans="2:3" ht="13.8" x14ac:dyDescent="0.3">
      <c r="B938" s="28"/>
      <c r="C938" s="28"/>
    </row>
    <row r="939" spans="2:3" ht="13.8" x14ac:dyDescent="0.3">
      <c r="B939" s="28"/>
      <c r="C939" s="28"/>
    </row>
    <row r="940" spans="2:3" ht="13.8" x14ac:dyDescent="0.3">
      <c r="B940" s="28"/>
      <c r="C940" s="28"/>
    </row>
    <row r="941" spans="2:3" ht="13.8" x14ac:dyDescent="0.3">
      <c r="B941" s="28"/>
      <c r="C941" s="28"/>
    </row>
    <row r="942" spans="2:3" ht="13.8" x14ac:dyDescent="0.3">
      <c r="B942" s="28"/>
      <c r="C942" s="28"/>
    </row>
    <row r="943" spans="2:3" ht="13.8" x14ac:dyDescent="0.3">
      <c r="B943" s="28"/>
      <c r="C943" s="28"/>
    </row>
    <row r="944" spans="2:3" ht="13.8" x14ac:dyDescent="0.3">
      <c r="B944" s="28"/>
      <c r="C944" s="28"/>
    </row>
    <row r="945" spans="2:3" ht="13.8" x14ac:dyDescent="0.3">
      <c r="B945" s="28"/>
      <c r="C945" s="28"/>
    </row>
    <row r="946" spans="2:3" ht="13.8" x14ac:dyDescent="0.3">
      <c r="B946" s="28"/>
      <c r="C946" s="28"/>
    </row>
    <row r="947" spans="2:3" ht="13.8" x14ac:dyDescent="0.3">
      <c r="B947" s="28"/>
      <c r="C947" s="28"/>
    </row>
    <row r="948" spans="2:3" ht="13.8" x14ac:dyDescent="0.3">
      <c r="B948" s="28"/>
      <c r="C948" s="28"/>
    </row>
    <row r="949" spans="2:3" ht="13.8" x14ac:dyDescent="0.3">
      <c r="B949" s="28"/>
      <c r="C949" s="28"/>
    </row>
    <row r="950" spans="2:3" ht="13.8" x14ac:dyDescent="0.3">
      <c r="B950" s="28"/>
      <c r="C950" s="28"/>
    </row>
    <row r="951" spans="2:3" ht="13.8" x14ac:dyDescent="0.3">
      <c r="B951" s="28"/>
      <c r="C951" s="28"/>
    </row>
    <row r="952" spans="2:3" ht="13.8" x14ac:dyDescent="0.3">
      <c r="B952" s="28"/>
      <c r="C952" s="28"/>
    </row>
    <row r="953" spans="2:3" ht="13.8" x14ac:dyDescent="0.3">
      <c r="B953" s="28"/>
      <c r="C953" s="28"/>
    </row>
    <row r="954" spans="2:3" ht="13.8" x14ac:dyDescent="0.3">
      <c r="B954" s="28"/>
      <c r="C954" s="28"/>
    </row>
    <row r="955" spans="2:3" ht="13.8" x14ac:dyDescent="0.3">
      <c r="B955" s="28"/>
      <c r="C955" s="28"/>
    </row>
    <row r="956" spans="2:3" ht="13.8" x14ac:dyDescent="0.3">
      <c r="B956" s="28"/>
      <c r="C956" s="28"/>
    </row>
    <row r="957" spans="2:3" ht="13.8" x14ac:dyDescent="0.3">
      <c r="B957" s="28"/>
      <c r="C957" s="28"/>
    </row>
    <row r="958" spans="2:3" ht="13.8" x14ac:dyDescent="0.3">
      <c r="B958" s="28"/>
      <c r="C958" s="28"/>
    </row>
    <row r="959" spans="2:3" ht="13.8" x14ac:dyDescent="0.3">
      <c r="B959" s="28"/>
      <c r="C959" s="28"/>
    </row>
    <row r="960" spans="2:3" ht="13.8" x14ac:dyDescent="0.3">
      <c r="B960" s="28"/>
      <c r="C960" s="28"/>
    </row>
    <row r="961" spans="2:3" ht="13.8" x14ac:dyDescent="0.3">
      <c r="B961" s="28"/>
      <c r="C961" s="28"/>
    </row>
    <row r="962" spans="2:3" ht="13.8" x14ac:dyDescent="0.3">
      <c r="B962" s="28"/>
      <c r="C962" s="28"/>
    </row>
    <row r="963" spans="2:3" ht="13.8" x14ac:dyDescent="0.3">
      <c r="B963" s="28"/>
      <c r="C963" s="28"/>
    </row>
    <row r="964" spans="2:3" ht="13.8" x14ac:dyDescent="0.3">
      <c r="B964" s="28"/>
      <c r="C964" s="28"/>
    </row>
    <row r="965" spans="2:3" ht="13.8" x14ac:dyDescent="0.3">
      <c r="B965" s="28"/>
      <c r="C965" s="28"/>
    </row>
    <row r="966" spans="2:3" ht="13.8" x14ac:dyDescent="0.3">
      <c r="B966" s="28"/>
      <c r="C966" s="28"/>
    </row>
    <row r="967" spans="2:3" ht="13.8" x14ac:dyDescent="0.3">
      <c r="B967" s="28"/>
      <c r="C967" s="28"/>
    </row>
    <row r="968" spans="2:3" ht="13.8" x14ac:dyDescent="0.3">
      <c r="B968" s="28"/>
      <c r="C968" s="28"/>
    </row>
    <row r="969" spans="2:3" ht="13.8" x14ac:dyDescent="0.3">
      <c r="B969" s="28"/>
      <c r="C969" s="28"/>
    </row>
    <row r="970" spans="2:3" ht="13.8" x14ac:dyDescent="0.3">
      <c r="B970" s="28"/>
      <c r="C970" s="28"/>
    </row>
    <row r="971" spans="2:3" ht="13.8" x14ac:dyDescent="0.3">
      <c r="B971" s="28"/>
      <c r="C971" s="28"/>
    </row>
    <row r="972" spans="2:3" ht="13.8" x14ac:dyDescent="0.3">
      <c r="B972" s="28"/>
      <c r="C972" s="28"/>
    </row>
    <row r="973" spans="2:3" ht="13.8" x14ac:dyDescent="0.3">
      <c r="B973" s="28"/>
      <c r="C973" s="28"/>
    </row>
    <row r="974" spans="2:3" ht="13.8" x14ac:dyDescent="0.3">
      <c r="B974" s="28"/>
      <c r="C974" s="28"/>
    </row>
    <row r="975" spans="2:3" ht="13.8" x14ac:dyDescent="0.3">
      <c r="B975" s="28"/>
      <c r="C975" s="28"/>
    </row>
    <row r="976" spans="2:3" ht="13.8" x14ac:dyDescent="0.3">
      <c r="B976" s="28"/>
      <c r="C976" s="28"/>
    </row>
    <row r="977" spans="2:3" ht="13.8" x14ac:dyDescent="0.3">
      <c r="B977" s="28"/>
      <c r="C977" s="28"/>
    </row>
    <row r="978" spans="2:3" ht="13.8" x14ac:dyDescent="0.3">
      <c r="B978" s="28"/>
      <c r="C978" s="28"/>
    </row>
    <row r="979" spans="2:3" ht="13.8" x14ac:dyDescent="0.3">
      <c r="B979" s="28"/>
      <c r="C979" s="28"/>
    </row>
    <row r="980" spans="2:3" ht="13.8" x14ac:dyDescent="0.3">
      <c r="B980" s="28"/>
      <c r="C980" s="28"/>
    </row>
    <row r="981" spans="2:3" ht="13.8" x14ac:dyDescent="0.3">
      <c r="B981" s="28"/>
      <c r="C981" s="28"/>
    </row>
    <row r="982" spans="2:3" ht="13.8" x14ac:dyDescent="0.3">
      <c r="B982" s="28"/>
      <c r="C982" s="28"/>
    </row>
    <row r="983" spans="2:3" ht="13.8" x14ac:dyDescent="0.3">
      <c r="B983" s="28"/>
      <c r="C983" s="28"/>
    </row>
    <row r="984" spans="2:3" ht="13.8" x14ac:dyDescent="0.3">
      <c r="B984" s="28"/>
      <c r="C984" s="28"/>
    </row>
    <row r="985" spans="2:3" ht="13.8" x14ac:dyDescent="0.3">
      <c r="B985" s="28"/>
      <c r="C985" s="28"/>
    </row>
    <row r="986" spans="2:3" ht="13.8" x14ac:dyDescent="0.3">
      <c r="B986" s="28"/>
      <c r="C986" s="28"/>
    </row>
    <row r="987" spans="2:3" ht="13.8" x14ac:dyDescent="0.3">
      <c r="B987" s="28"/>
      <c r="C987" s="28"/>
    </row>
    <row r="988" spans="2:3" ht="13.8" x14ac:dyDescent="0.3">
      <c r="B988" s="28"/>
      <c r="C988" s="28"/>
    </row>
    <row r="989" spans="2:3" ht="13.8" x14ac:dyDescent="0.3">
      <c r="B989" s="28"/>
      <c r="C989" s="28"/>
    </row>
    <row r="990" spans="2:3" ht="13.8" x14ac:dyDescent="0.3">
      <c r="B990" s="28"/>
      <c r="C990" s="28"/>
    </row>
    <row r="991" spans="2:3" ht="13.8" x14ac:dyDescent="0.3">
      <c r="B991" s="28"/>
      <c r="C991" s="28"/>
    </row>
    <row r="992" spans="2:3" ht="13.8" x14ac:dyDescent="0.3">
      <c r="B992" s="28"/>
      <c r="C992" s="28"/>
    </row>
    <row r="993" spans="2:3" ht="13.8" x14ac:dyDescent="0.3">
      <c r="B993" s="28"/>
      <c r="C993" s="28"/>
    </row>
    <row r="994" spans="2:3" ht="13.8" x14ac:dyDescent="0.3">
      <c r="B994" s="28"/>
      <c r="C994" s="28"/>
    </row>
    <row r="995" spans="2:3" ht="13.8" x14ac:dyDescent="0.3">
      <c r="B995" s="28"/>
      <c r="C995" s="28"/>
    </row>
    <row r="996" spans="2:3" ht="13.8" x14ac:dyDescent="0.3">
      <c r="B996" s="28"/>
      <c r="C996" s="28"/>
    </row>
    <row r="997" spans="2:3" ht="13.8" x14ac:dyDescent="0.3">
      <c r="B997" s="28"/>
      <c r="C997" s="28"/>
    </row>
    <row r="998" spans="2:3" ht="13.8" x14ac:dyDescent="0.3">
      <c r="B998" s="28"/>
      <c r="C998" s="28"/>
    </row>
    <row r="999" spans="2:3" ht="13.8" x14ac:dyDescent="0.3">
      <c r="B999" s="28"/>
      <c r="C999" s="28"/>
    </row>
    <row r="1000" spans="2:3" ht="13.8" x14ac:dyDescent="0.3">
      <c r="B1000" s="28"/>
      <c r="C1000" s="28"/>
    </row>
  </sheetData>
  <autoFilter ref="A1:O493" xr:uid="{00000000-0009-0000-0000-000000000000}">
    <filterColumn colId="4">
      <filters>
        <filter val="Q102290885"/>
        <filter val="Q10354059"/>
        <filter val="Q104710367"/>
        <filter val="Q109045666"/>
        <filter val="Q109973948"/>
        <filter val="Q1134755"/>
        <filter val="Q114513068"/>
        <filter val="Q1173443"/>
        <filter val="Q121433935"/>
        <filter val="Q12767426"/>
        <filter val="Q12797946"/>
        <filter val="Q132011441"/>
        <filter val="Q132167558"/>
        <filter val="Q135402362"/>
        <filter val="Q136822"/>
        <filter val="Q142"/>
        <filter val="Q1430172"/>
        <filter val="Q1480072"/>
        <filter val="Q1553864"/>
        <filter val="Q1666167"/>
        <filter val="Q18160196"/>
        <filter val="Q188224"/>
        <filter val="Q192060"/>
        <filter val="Q19269381"/>
        <filter val="Q1979901"/>
        <filter val="Q206008"/>
        <filter val="Q2069823"/>
        <filter val="Q21027408"/>
        <filter val="Q2290699"/>
        <filter val="Q23862351"/>
        <filter val="Q255144"/>
        <filter val="Q2586354"/>
        <filter val="Q2665454"/>
        <filter val="Q267236"/>
        <filter val="Q27762482"/>
        <filter val="Q2920538"/>
        <filter val="Q3008476"/>
        <filter val="Q3268047"/>
        <filter val="Q3566673"/>
        <filter val="Q3710682"/>
        <filter val="Q3796664"/>
        <filter val="Q3918"/>
        <filter val="Q4539"/>
        <filter val="Q5145794"/>
        <filter val="Q5160117"/>
        <filter val="Q54754579"/>
        <filter val="Q55405540"/>
        <filter val="Q570018"/>
        <filter val="Q6706449"/>
        <filter val="Q71248244"/>
        <filter val="Q7257614"/>
        <filter val="Q733968"/>
        <filter val="Q743861"/>
        <filter val="Q75488338"/>
        <filter val="Q7595719"/>
      </filters>
    </filterColumn>
  </autoFilter>
  <mergeCells count="5">
    <mergeCell ref="O225:O253"/>
    <mergeCell ref="O257:O285"/>
    <mergeCell ref="O294:O316"/>
    <mergeCell ref="O339:O360"/>
    <mergeCell ref="O403:O406"/>
  </mergeCells>
  <hyperlinks>
    <hyperlink ref="O189" r:id="rId1" xr:uid="{2FD7C283-3165-4C9A-BCB5-8E4CF4B14930}"/>
    <hyperlink ref="O197" r:id="rId2" xr:uid="{5EA745DE-6620-4F6B-9765-3DFD6DAB7E15}"/>
    <hyperlink ref="O225" r:id="rId3" xr:uid="{A8B62E3A-0EC9-4884-9557-6C235C40CD94}"/>
    <hyperlink ref="O257" r:id="rId4" xr:uid="{D9CC76FF-77A4-482B-B5C5-28A81669BB82}"/>
  </hyperlinks>
  <pageMargins left="0.7" right="0.7" top="0.75" bottom="0.75" header="0.3" footer="0.3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�� 
</file>

<file path=customXml/itemProps1.xml><?xml version="1.0" encoding="utf-8"?>
<ds:datastoreItem xmlns:ds="http://schemas.openxmlformats.org/officeDocument/2006/customXml" ds:itemID="{71DC1C6B-0958-4D82-AE72-051976187DB4}">
  <ds:schemaRefs>
    <ds:schemaRef ds:uri="http://schemas.microsoft.com/DataMashup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9</vt:i4>
      </vt:variant>
    </vt:vector>
  </HeadingPairs>
  <TitlesOfParts>
    <vt:vector size="9" baseType="lpstr">
      <vt:lpstr>Summary</vt:lpstr>
      <vt:lpstr>Wikidata_upec_chemical_20</vt:lpstr>
      <vt:lpstr>Wikidata_upec_civil_20</vt:lpstr>
      <vt:lpstr>Wikidata_upec_civil_20_part2</vt:lpstr>
      <vt:lpstr>Sheet1</vt:lpstr>
      <vt:lpstr>Wikidata_upec_computer_20</vt:lpstr>
      <vt:lpstr>Wikidata_upec_computer_20_check</vt:lpstr>
      <vt:lpstr>Wikidata_upec_political_20</vt:lpstr>
      <vt:lpstr>Wikidata_upec_marketing_20.csv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cp:lastModifiedBy>Maria Sandate Trejo</cp:lastModifiedBy>
  <dcterms:created xsi:type="dcterms:W3CDTF">2025-10-29T03:57:26Z</dcterms:created>
  <dcterms:modified xsi:type="dcterms:W3CDTF">2025-11-05T03:56:21Z</dcterms:modified>
</cp:coreProperties>
</file>