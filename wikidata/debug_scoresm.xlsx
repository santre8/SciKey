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a\Documents\Langara_College\DANA-4850-001-Capstone_Project\hall-api-test-db-mysql\wikidata\"/>
    </mc:Choice>
  </mc:AlternateContent>
  <xr:revisionPtr revIDLastSave="0" documentId="13_ncr:9_{45C6590D-26C5-4020-B7A3-7B02381C855C}" xr6:coauthVersionLast="47" xr6:coauthVersionMax="47" xr10:uidLastSave="{00000000-0000-0000-0000-000000000000}"/>
  <bookViews>
    <workbookView xWindow="-108" yWindow="-108" windowWidth="23256" windowHeight="12456" xr2:uid="{D074A77E-DBE1-4A28-AFAE-B1CC699DD543}"/>
  </bookViews>
  <sheets>
    <sheet name="debug_scores" sheetId="1" r:id="rId1"/>
  </sheets>
  <definedNames>
    <definedName name="_xlnm._FilterDatabase" localSheetId="0" hidden="1">debug_scores!$A$2:$K$324</definedName>
    <definedName name="solver_adj" localSheetId="0" hidden="1">debug_scores!$M$2,debug_scores!$O$2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debug_scores!$M$328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-0.1</definedName>
    <definedName name="solver_ver" localSheetId="0" hidden="1">3</definedName>
  </definedNames>
  <calcPr calcId="0"/>
</workbook>
</file>

<file path=xl/calcChain.xml><?xml version="1.0" encoding="utf-8"?>
<calcChain xmlns="http://schemas.openxmlformats.org/spreadsheetml/2006/main">
  <c r="P209" i="1" l="1"/>
  <c r="O209" i="1"/>
  <c r="N209" i="1"/>
  <c r="M209" i="1"/>
  <c r="L209" i="1" s="1"/>
  <c r="T209" i="1" s="1"/>
  <c r="P210" i="1"/>
  <c r="O210" i="1"/>
  <c r="N210" i="1"/>
  <c r="M210" i="1"/>
  <c r="P224" i="1"/>
  <c r="O224" i="1"/>
  <c r="N224" i="1"/>
  <c r="M224" i="1"/>
  <c r="L224" i="1" s="1"/>
  <c r="T224" i="1" s="1"/>
  <c r="P228" i="1"/>
  <c r="O228" i="1"/>
  <c r="N228" i="1"/>
  <c r="M228" i="1"/>
  <c r="L228" i="1" s="1"/>
  <c r="T228" i="1" s="1"/>
  <c r="P205" i="1"/>
  <c r="O205" i="1"/>
  <c r="N205" i="1"/>
  <c r="M205" i="1"/>
  <c r="P204" i="1"/>
  <c r="O204" i="1"/>
  <c r="N204" i="1"/>
  <c r="M204" i="1"/>
  <c r="L204" i="1" s="1"/>
  <c r="T204" i="1" s="1"/>
  <c r="P203" i="1"/>
  <c r="O203" i="1"/>
  <c r="N203" i="1"/>
  <c r="M203" i="1"/>
  <c r="L203" i="1" s="1"/>
  <c r="T203" i="1" s="1"/>
  <c r="P92" i="1"/>
  <c r="O92" i="1"/>
  <c r="N92" i="1"/>
  <c r="M92" i="1"/>
  <c r="P58" i="1"/>
  <c r="O58" i="1"/>
  <c r="N58" i="1"/>
  <c r="M58" i="1"/>
  <c r="L58" i="1" s="1"/>
  <c r="T58" i="1" s="1"/>
  <c r="P196" i="1"/>
  <c r="O196" i="1"/>
  <c r="N196" i="1"/>
  <c r="M196" i="1"/>
  <c r="P194" i="1"/>
  <c r="O194" i="1"/>
  <c r="N194" i="1"/>
  <c r="M194" i="1"/>
  <c r="P108" i="1"/>
  <c r="O108" i="1"/>
  <c r="N108" i="1"/>
  <c r="M108" i="1"/>
  <c r="P104" i="1"/>
  <c r="O104" i="1"/>
  <c r="N104" i="1"/>
  <c r="M104" i="1"/>
  <c r="P101" i="1"/>
  <c r="O101" i="1"/>
  <c r="N101" i="1"/>
  <c r="M101" i="1"/>
  <c r="P100" i="1"/>
  <c r="O100" i="1"/>
  <c r="N100" i="1"/>
  <c r="M100" i="1"/>
  <c r="P99" i="1"/>
  <c r="O99" i="1"/>
  <c r="N99" i="1"/>
  <c r="M99" i="1"/>
  <c r="P48" i="1"/>
  <c r="O48" i="1"/>
  <c r="N48" i="1"/>
  <c r="M48" i="1"/>
  <c r="P33" i="1"/>
  <c r="O33" i="1"/>
  <c r="N33" i="1"/>
  <c r="M33" i="1"/>
  <c r="P15" i="1"/>
  <c r="O15" i="1"/>
  <c r="N15" i="1"/>
  <c r="M15" i="1"/>
  <c r="P8" i="1"/>
  <c r="O8" i="1"/>
  <c r="N8" i="1"/>
  <c r="M8" i="1"/>
  <c r="M7" i="1"/>
  <c r="O7" i="1"/>
  <c r="P7" i="1"/>
  <c r="N7" i="1"/>
  <c r="M4" i="1"/>
  <c r="N4" i="1"/>
  <c r="O4" i="1"/>
  <c r="P4" i="1"/>
  <c r="M5" i="1"/>
  <c r="N5" i="1"/>
  <c r="O5" i="1"/>
  <c r="P5" i="1"/>
  <c r="M6" i="1"/>
  <c r="N6" i="1"/>
  <c r="O6" i="1"/>
  <c r="P6" i="1"/>
  <c r="M9" i="1"/>
  <c r="N9" i="1"/>
  <c r="O9" i="1"/>
  <c r="P9" i="1"/>
  <c r="M10" i="1"/>
  <c r="N10" i="1"/>
  <c r="O10" i="1"/>
  <c r="P10" i="1"/>
  <c r="M11" i="1"/>
  <c r="N11" i="1"/>
  <c r="O11" i="1"/>
  <c r="P11" i="1"/>
  <c r="M12" i="1"/>
  <c r="N12" i="1"/>
  <c r="O12" i="1"/>
  <c r="P12" i="1"/>
  <c r="M13" i="1"/>
  <c r="N13" i="1"/>
  <c r="O13" i="1"/>
  <c r="P13" i="1"/>
  <c r="M14" i="1"/>
  <c r="N14" i="1"/>
  <c r="O14" i="1"/>
  <c r="P14" i="1"/>
  <c r="M16" i="1"/>
  <c r="N16" i="1"/>
  <c r="O16" i="1"/>
  <c r="P16" i="1"/>
  <c r="M17" i="1"/>
  <c r="N17" i="1"/>
  <c r="O17" i="1"/>
  <c r="P17" i="1"/>
  <c r="M18" i="1"/>
  <c r="N18" i="1"/>
  <c r="O18" i="1"/>
  <c r="P18" i="1"/>
  <c r="M19" i="1"/>
  <c r="N19" i="1"/>
  <c r="O19" i="1"/>
  <c r="P19" i="1"/>
  <c r="M20" i="1"/>
  <c r="N20" i="1"/>
  <c r="O20" i="1"/>
  <c r="P20" i="1"/>
  <c r="M21" i="1"/>
  <c r="N21" i="1"/>
  <c r="O21" i="1"/>
  <c r="P21" i="1"/>
  <c r="M22" i="1"/>
  <c r="N22" i="1"/>
  <c r="O22" i="1"/>
  <c r="P22" i="1"/>
  <c r="M23" i="1"/>
  <c r="N23" i="1"/>
  <c r="O23" i="1"/>
  <c r="P23" i="1"/>
  <c r="M24" i="1"/>
  <c r="N24" i="1"/>
  <c r="O24" i="1"/>
  <c r="P24" i="1"/>
  <c r="M25" i="1"/>
  <c r="N25" i="1"/>
  <c r="O25" i="1"/>
  <c r="P25" i="1"/>
  <c r="M26" i="1"/>
  <c r="N26" i="1"/>
  <c r="O26" i="1"/>
  <c r="P26" i="1"/>
  <c r="M27" i="1"/>
  <c r="N27" i="1"/>
  <c r="O27" i="1"/>
  <c r="P27" i="1"/>
  <c r="M28" i="1"/>
  <c r="N28" i="1"/>
  <c r="O28" i="1"/>
  <c r="P28" i="1"/>
  <c r="M29" i="1"/>
  <c r="N29" i="1"/>
  <c r="O29" i="1"/>
  <c r="P29" i="1"/>
  <c r="M30" i="1"/>
  <c r="N30" i="1"/>
  <c r="O30" i="1"/>
  <c r="P30" i="1"/>
  <c r="M31" i="1"/>
  <c r="N31" i="1"/>
  <c r="O31" i="1"/>
  <c r="P31" i="1"/>
  <c r="M32" i="1"/>
  <c r="N32" i="1"/>
  <c r="O32" i="1"/>
  <c r="P32" i="1"/>
  <c r="M34" i="1"/>
  <c r="N34" i="1"/>
  <c r="O34" i="1"/>
  <c r="P34" i="1"/>
  <c r="M35" i="1"/>
  <c r="N35" i="1"/>
  <c r="O35" i="1"/>
  <c r="P35" i="1"/>
  <c r="M36" i="1"/>
  <c r="N36" i="1"/>
  <c r="O36" i="1"/>
  <c r="P36" i="1"/>
  <c r="M37" i="1"/>
  <c r="N37" i="1"/>
  <c r="O37" i="1"/>
  <c r="P37" i="1"/>
  <c r="M38" i="1"/>
  <c r="N38" i="1"/>
  <c r="O38" i="1"/>
  <c r="P38" i="1"/>
  <c r="M39" i="1"/>
  <c r="N39" i="1"/>
  <c r="O39" i="1"/>
  <c r="P39" i="1"/>
  <c r="M40" i="1"/>
  <c r="N40" i="1"/>
  <c r="O40" i="1"/>
  <c r="P40" i="1"/>
  <c r="M41" i="1"/>
  <c r="N41" i="1"/>
  <c r="O41" i="1"/>
  <c r="P41" i="1"/>
  <c r="M42" i="1"/>
  <c r="N42" i="1"/>
  <c r="O42" i="1"/>
  <c r="P42" i="1"/>
  <c r="M43" i="1"/>
  <c r="N43" i="1"/>
  <c r="O43" i="1"/>
  <c r="P43" i="1"/>
  <c r="M44" i="1"/>
  <c r="N44" i="1"/>
  <c r="O44" i="1"/>
  <c r="P44" i="1"/>
  <c r="M45" i="1"/>
  <c r="N45" i="1"/>
  <c r="O45" i="1"/>
  <c r="P45" i="1"/>
  <c r="M46" i="1"/>
  <c r="N46" i="1"/>
  <c r="O46" i="1"/>
  <c r="P46" i="1"/>
  <c r="M47" i="1"/>
  <c r="N47" i="1"/>
  <c r="O47" i="1"/>
  <c r="P47" i="1"/>
  <c r="M49" i="1"/>
  <c r="N49" i="1"/>
  <c r="O49" i="1"/>
  <c r="P49" i="1"/>
  <c r="M50" i="1"/>
  <c r="N50" i="1"/>
  <c r="O50" i="1"/>
  <c r="P50" i="1"/>
  <c r="M51" i="1"/>
  <c r="N51" i="1"/>
  <c r="O51" i="1"/>
  <c r="P51" i="1"/>
  <c r="M52" i="1"/>
  <c r="N52" i="1"/>
  <c r="O52" i="1"/>
  <c r="P52" i="1"/>
  <c r="M53" i="1"/>
  <c r="N53" i="1"/>
  <c r="O53" i="1"/>
  <c r="P53" i="1"/>
  <c r="M54" i="1"/>
  <c r="N54" i="1"/>
  <c r="O54" i="1"/>
  <c r="P54" i="1"/>
  <c r="M55" i="1"/>
  <c r="N55" i="1"/>
  <c r="O55" i="1"/>
  <c r="P55" i="1"/>
  <c r="M56" i="1"/>
  <c r="N56" i="1"/>
  <c r="O56" i="1"/>
  <c r="P56" i="1"/>
  <c r="M57" i="1"/>
  <c r="N57" i="1"/>
  <c r="O57" i="1"/>
  <c r="P57" i="1"/>
  <c r="M59" i="1"/>
  <c r="N59" i="1"/>
  <c r="O59" i="1"/>
  <c r="P59" i="1"/>
  <c r="M60" i="1"/>
  <c r="N60" i="1"/>
  <c r="O60" i="1"/>
  <c r="P60" i="1"/>
  <c r="M61" i="1"/>
  <c r="N61" i="1"/>
  <c r="O61" i="1"/>
  <c r="P61" i="1"/>
  <c r="M62" i="1"/>
  <c r="N62" i="1"/>
  <c r="O62" i="1"/>
  <c r="P62" i="1"/>
  <c r="M63" i="1"/>
  <c r="N63" i="1"/>
  <c r="O63" i="1"/>
  <c r="P63" i="1"/>
  <c r="M64" i="1"/>
  <c r="N64" i="1"/>
  <c r="O64" i="1"/>
  <c r="P64" i="1"/>
  <c r="M65" i="1"/>
  <c r="N65" i="1"/>
  <c r="O65" i="1"/>
  <c r="P65" i="1"/>
  <c r="M66" i="1"/>
  <c r="N66" i="1"/>
  <c r="O66" i="1"/>
  <c r="P66" i="1"/>
  <c r="M67" i="1"/>
  <c r="N67" i="1"/>
  <c r="O67" i="1"/>
  <c r="P67" i="1"/>
  <c r="M68" i="1"/>
  <c r="N68" i="1"/>
  <c r="O68" i="1"/>
  <c r="P68" i="1"/>
  <c r="M69" i="1"/>
  <c r="N69" i="1"/>
  <c r="O69" i="1"/>
  <c r="P69" i="1"/>
  <c r="M70" i="1"/>
  <c r="N70" i="1"/>
  <c r="O70" i="1"/>
  <c r="P70" i="1"/>
  <c r="M71" i="1"/>
  <c r="N71" i="1"/>
  <c r="O71" i="1"/>
  <c r="P71" i="1"/>
  <c r="M72" i="1"/>
  <c r="N72" i="1"/>
  <c r="O72" i="1"/>
  <c r="P72" i="1"/>
  <c r="M73" i="1"/>
  <c r="N73" i="1"/>
  <c r="O73" i="1"/>
  <c r="P73" i="1"/>
  <c r="M74" i="1"/>
  <c r="N74" i="1"/>
  <c r="O74" i="1"/>
  <c r="P74" i="1"/>
  <c r="M75" i="1"/>
  <c r="N75" i="1"/>
  <c r="O75" i="1"/>
  <c r="P75" i="1"/>
  <c r="M76" i="1"/>
  <c r="N76" i="1"/>
  <c r="O76" i="1"/>
  <c r="P76" i="1"/>
  <c r="M77" i="1"/>
  <c r="N77" i="1"/>
  <c r="O77" i="1"/>
  <c r="P77" i="1"/>
  <c r="M78" i="1"/>
  <c r="N78" i="1"/>
  <c r="O78" i="1"/>
  <c r="P78" i="1"/>
  <c r="M79" i="1"/>
  <c r="N79" i="1"/>
  <c r="O79" i="1"/>
  <c r="P79" i="1"/>
  <c r="M80" i="1"/>
  <c r="N80" i="1"/>
  <c r="O80" i="1"/>
  <c r="P80" i="1"/>
  <c r="M81" i="1"/>
  <c r="N81" i="1"/>
  <c r="O81" i="1"/>
  <c r="P81" i="1"/>
  <c r="M82" i="1"/>
  <c r="N82" i="1"/>
  <c r="O82" i="1"/>
  <c r="P82" i="1"/>
  <c r="M83" i="1"/>
  <c r="N83" i="1"/>
  <c r="O83" i="1"/>
  <c r="P83" i="1"/>
  <c r="M84" i="1"/>
  <c r="N84" i="1"/>
  <c r="O84" i="1"/>
  <c r="P84" i="1"/>
  <c r="M85" i="1"/>
  <c r="N85" i="1"/>
  <c r="O85" i="1"/>
  <c r="P85" i="1"/>
  <c r="M86" i="1"/>
  <c r="N86" i="1"/>
  <c r="O86" i="1"/>
  <c r="P86" i="1"/>
  <c r="M87" i="1"/>
  <c r="N87" i="1"/>
  <c r="O87" i="1"/>
  <c r="P87" i="1"/>
  <c r="M88" i="1"/>
  <c r="N88" i="1"/>
  <c r="O88" i="1"/>
  <c r="P88" i="1"/>
  <c r="M89" i="1"/>
  <c r="N89" i="1"/>
  <c r="O89" i="1"/>
  <c r="P89" i="1"/>
  <c r="M90" i="1"/>
  <c r="N90" i="1"/>
  <c r="O90" i="1"/>
  <c r="P90" i="1"/>
  <c r="M91" i="1"/>
  <c r="N91" i="1"/>
  <c r="O91" i="1"/>
  <c r="P91" i="1"/>
  <c r="M93" i="1"/>
  <c r="N93" i="1"/>
  <c r="O93" i="1"/>
  <c r="P93" i="1"/>
  <c r="M94" i="1"/>
  <c r="N94" i="1"/>
  <c r="O94" i="1"/>
  <c r="P94" i="1"/>
  <c r="M95" i="1"/>
  <c r="N95" i="1"/>
  <c r="O95" i="1"/>
  <c r="P95" i="1"/>
  <c r="M96" i="1"/>
  <c r="N96" i="1"/>
  <c r="O96" i="1"/>
  <c r="P96" i="1"/>
  <c r="M97" i="1"/>
  <c r="N97" i="1"/>
  <c r="O97" i="1"/>
  <c r="P97" i="1"/>
  <c r="M98" i="1"/>
  <c r="N98" i="1"/>
  <c r="O98" i="1"/>
  <c r="P98" i="1"/>
  <c r="M102" i="1"/>
  <c r="N102" i="1"/>
  <c r="O102" i="1"/>
  <c r="P102" i="1"/>
  <c r="M103" i="1"/>
  <c r="N103" i="1"/>
  <c r="O103" i="1"/>
  <c r="P103" i="1"/>
  <c r="M105" i="1"/>
  <c r="N105" i="1"/>
  <c r="O105" i="1"/>
  <c r="P105" i="1"/>
  <c r="M106" i="1"/>
  <c r="N106" i="1"/>
  <c r="O106" i="1"/>
  <c r="P106" i="1"/>
  <c r="M107" i="1"/>
  <c r="N107" i="1"/>
  <c r="O107" i="1"/>
  <c r="P107" i="1"/>
  <c r="M109" i="1"/>
  <c r="N109" i="1"/>
  <c r="O109" i="1"/>
  <c r="P109" i="1"/>
  <c r="M110" i="1"/>
  <c r="N110" i="1"/>
  <c r="O110" i="1"/>
  <c r="P110" i="1"/>
  <c r="M111" i="1"/>
  <c r="N111" i="1"/>
  <c r="O111" i="1"/>
  <c r="P111" i="1"/>
  <c r="M112" i="1"/>
  <c r="N112" i="1"/>
  <c r="O112" i="1"/>
  <c r="P112" i="1"/>
  <c r="M113" i="1"/>
  <c r="N113" i="1"/>
  <c r="O113" i="1"/>
  <c r="P113" i="1"/>
  <c r="M114" i="1"/>
  <c r="N114" i="1"/>
  <c r="O114" i="1"/>
  <c r="P114" i="1"/>
  <c r="M115" i="1"/>
  <c r="N115" i="1"/>
  <c r="O115" i="1"/>
  <c r="P115" i="1"/>
  <c r="M116" i="1"/>
  <c r="N116" i="1"/>
  <c r="O116" i="1"/>
  <c r="P116" i="1"/>
  <c r="M117" i="1"/>
  <c r="N117" i="1"/>
  <c r="O117" i="1"/>
  <c r="P117" i="1"/>
  <c r="M118" i="1"/>
  <c r="N118" i="1"/>
  <c r="O118" i="1"/>
  <c r="P118" i="1"/>
  <c r="M119" i="1"/>
  <c r="N119" i="1"/>
  <c r="O119" i="1"/>
  <c r="P119" i="1"/>
  <c r="M120" i="1"/>
  <c r="N120" i="1"/>
  <c r="O120" i="1"/>
  <c r="P120" i="1"/>
  <c r="M121" i="1"/>
  <c r="N121" i="1"/>
  <c r="O121" i="1"/>
  <c r="P121" i="1"/>
  <c r="M122" i="1"/>
  <c r="N122" i="1"/>
  <c r="O122" i="1"/>
  <c r="P122" i="1"/>
  <c r="M123" i="1"/>
  <c r="N123" i="1"/>
  <c r="O123" i="1"/>
  <c r="P123" i="1"/>
  <c r="M124" i="1"/>
  <c r="N124" i="1"/>
  <c r="O124" i="1"/>
  <c r="P124" i="1"/>
  <c r="M125" i="1"/>
  <c r="N125" i="1"/>
  <c r="O125" i="1"/>
  <c r="P125" i="1"/>
  <c r="M126" i="1"/>
  <c r="N126" i="1"/>
  <c r="O126" i="1"/>
  <c r="P126" i="1"/>
  <c r="M127" i="1"/>
  <c r="N127" i="1"/>
  <c r="O127" i="1"/>
  <c r="P127" i="1"/>
  <c r="M128" i="1"/>
  <c r="N128" i="1"/>
  <c r="O128" i="1"/>
  <c r="P128" i="1"/>
  <c r="M129" i="1"/>
  <c r="N129" i="1"/>
  <c r="O129" i="1"/>
  <c r="P129" i="1"/>
  <c r="M130" i="1"/>
  <c r="N130" i="1"/>
  <c r="O130" i="1"/>
  <c r="P130" i="1"/>
  <c r="M131" i="1"/>
  <c r="N131" i="1"/>
  <c r="O131" i="1"/>
  <c r="P131" i="1"/>
  <c r="M132" i="1"/>
  <c r="N132" i="1"/>
  <c r="O132" i="1"/>
  <c r="P132" i="1"/>
  <c r="M133" i="1"/>
  <c r="N133" i="1"/>
  <c r="O133" i="1"/>
  <c r="P133" i="1"/>
  <c r="M134" i="1"/>
  <c r="N134" i="1"/>
  <c r="O134" i="1"/>
  <c r="P134" i="1"/>
  <c r="M135" i="1"/>
  <c r="N135" i="1"/>
  <c r="O135" i="1"/>
  <c r="P135" i="1"/>
  <c r="M136" i="1"/>
  <c r="N136" i="1"/>
  <c r="O136" i="1"/>
  <c r="P136" i="1"/>
  <c r="M137" i="1"/>
  <c r="N137" i="1"/>
  <c r="O137" i="1"/>
  <c r="P137" i="1"/>
  <c r="M138" i="1"/>
  <c r="N138" i="1"/>
  <c r="O138" i="1"/>
  <c r="P138" i="1"/>
  <c r="M139" i="1"/>
  <c r="N139" i="1"/>
  <c r="O139" i="1"/>
  <c r="P139" i="1"/>
  <c r="M140" i="1"/>
  <c r="N140" i="1"/>
  <c r="O140" i="1"/>
  <c r="P140" i="1"/>
  <c r="M141" i="1"/>
  <c r="N141" i="1"/>
  <c r="O141" i="1"/>
  <c r="P141" i="1"/>
  <c r="M142" i="1"/>
  <c r="N142" i="1"/>
  <c r="O142" i="1"/>
  <c r="P142" i="1"/>
  <c r="M143" i="1"/>
  <c r="N143" i="1"/>
  <c r="O143" i="1"/>
  <c r="P143" i="1"/>
  <c r="M144" i="1"/>
  <c r="N144" i="1"/>
  <c r="O144" i="1"/>
  <c r="P144" i="1"/>
  <c r="M145" i="1"/>
  <c r="N145" i="1"/>
  <c r="O145" i="1"/>
  <c r="P145" i="1"/>
  <c r="M146" i="1"/>
  <c r="N146" i="1"/>
  <c r="O146" i="1"/>
  <c r="P146" i="1"/>
  <c r="M147" i="1"/>
  <c r="N147" i="1"/>
  <c r="O147" i="1"/>
  <c r="P147" i="1"/>
  <c r="M148" i="1"/>
  <c r="N148" i="1"/>
  <c r="O148" i="1"/>
  <c r="P148" i="1"/>
  <c r="M149" i="1"/>
  <c r="N149" i="1"/>
  <c r="O149" i="1"/>
  <c r="P149" i="1"/>
  <c r="M150" i="1"/>
  <c r="N150" i="1"/>
  <c r="O150" i="1"/>
  <c r="P150" i="1"/>
  <c r="M151" i="1"/>
  <c r="N151" i="1"/>
  <c r="O151" i="1"/>
  <c r="P151" i="1"/>
  <c r="M152" i="1"/>
  <c r="N152" i="1"/>
  <c r="O152" i="1"/>
  <c r="P152" i="1"/>
  <c r="M153" i="1"/>
  <c r="N153" i="1"/>
  <c r="O153" i="1"/>
  <c r="P153" i="1"/>
  <c r="M154" i="1"/>
  <c r="N154" i="1"/>
  <c r="O154" i="1"/>
  <c r="P154" i="1"/>
  <c r="M155" i="1"/>
  <c r="N155" i="1"/>
  <c r="O155" i="1"/>
  <c r="P155" i="1"/>
  <c r="M156" i="1"/>
  <c r="N156" i="1"/>
  <c r="O156" i="1"/>
  <c r="P156" i="1"/>
  <c r="M157" i="1"/>
  <c r="N157" i="1"/>
  <c r="O157" i="1"/>
  <c r="P157" i="1"/>
  <c r="M158" i="1"/>
  <c r="N158" i="1"/>
  <c r="O158" i="1"/>
  <c r="P158" i="1"/>
  <c r="M159" i="1"/>
  <c r="N159" i="1"/>
  <c r="O159" i="1"/>
  <c r="P159" i="1"/>
  <c r="M160" i="1"/>
  <c r="N160" i="1"/>
  <c r="O160" i="1"/>
  <c r="P160" i="1"/>
  <c r="M161" i="1"/>
  <c r="N161" i="1"/>
  <c r="O161" i="1"/>
  <c r="P161" i="1"/>
  <c r="M162" i="1"/>
  <c r="N162" i="1"/>
  <c r="O162" i="1"/>
  <c r="P162" i="1"/>
  <c r="M163" i="1"/>
  <c r="N163" i="1"/>
  <c r="O163" i="1"/>
  <c r="P163" i="1"/>
  <c r="M164" i="1"/>
  <c r="N164" i="1"/>
  <c r="O164" i="1"/>
  <c r="P164" i="1"/>
  <c r="M165" i="1"/>
  <c r="N165" i="1"/>
  <c r="O165" i="1"/>
  <c r="P165" i="1"/>
  <c r="M166" i="1"/>
  <c r="N166" i="1"/>
  <c r="O166" i="1"/>
  <c r="P166" i="1"/>
  <c r="M167" i="1"/>
  <c r="N167" i="1"/>
  <c r="O167" i="1"/>
  <c r="P167" i="1"/>
  <c r="M168" i="1"/>
  <c r="N168" i="1"/>
  <c r="O168" i="1"/>
  <c r="P168" i="1"/>
  <c r="M169" i="1"/>
  <c r="N169" i="1"/>
  <c r="O169" i="1"/>
  <c r="P169" i="1"/>
  <c r="M170" i="1"/>
  <c r="N170" i="1"/>
  <c r="O170" i="1"/>
  <c r="P170" i="1"/>
  <c r="M171" i="1"/>
  <c r="N171" i="1"/>
  <c r="O171" i="1"/>
  <c r="P171" i="1"/>
  <c r="M172" i="1"/>
  <c r="N172" i="1"/>
  <c r="O172" i="1"/>
  <c r="P172" i="1"/>
  <c r="M173" i="1"/>
  <c r="N173" i="1"/>
  <c r="O173" i="1"/>
  <c r="P173" i="1"/>
  <c r="M174" i="1"/>
  <c r="N174" i="1"/>
  <c r="O174" i="1"/>
  <c r="P174" i="1"/>
  <c r="M175" i="1"/>
  <c r="N175" i="1"/>
  <c r="O175" i="1"/>
  <c r="P175" i="1"/>
  <c r="M176" i="1"/>
  <c r="N176" i="1"/>
  <c r="O176" i="1"/>
  <c r="P176" i="1"/>
  <c r="M177" i="1"/>
  <c r="N177" i="1"/>
  <c r="O177" i="1"/>
  <c r="P177" i="1"/>
  <c r="M178" i="1"/>
  <c r="N178" i="1"/>
  <c r="O178" i="1"/>
  <c r="P178" i="1"/>
  <c r="M179" i="1"/>
  <c r="N179" i="1"/>
  <c r="O179" i="1"/>
  <c r="P179" i="1"/>
  <c r="M180" i="1"/>
  <c r="N180" i="1"/>
  <c r="O180" i="1"/>
  <c r="P180" i="1"/>
  <c r="M181" i="1"/>
  <c r="N181" i="1"/>
  <c r="O181" i="1"/>
  <c r="P181" i="1"/>
  <c r="M182" i="1"/>
  <c r="N182" i="1"/>
  <c r="O182" i="1"/>
  <c r="P182" i="1"/>
  <c r="M183" i="1"/>
  <c r="N183" i="1"/>
  <c r="O183" i="1"/>
  <c r="P183" i="1"/>
  <c r="M184" i="1"/>
  <c r="N184" i="1"/>
  <c r="O184" i="1"/>
  <c r="P184" i="1"/>
  <c r="M185" i="1"/>
  <c r="N185" i="1"/>
  <c r="O185" i="1"/>
  <c r="P185" i="1"/>
  <c r="M186" i="1"/>
  <c r="N186" i="1"/>
  <c r="O186" i="1"/>
  <c r="P186" i="1"/>
  <c r="M187" i="1"/>
  <c r="N187" i="1"/>
  <c r="O187" i="1"/>
  <c r="P187" i="1"/>
  <c r="M188" i="1"/>
  <c r="N188" i="1"/>
  <c r="O188" i="1"/>
  <c r="P188" i="1"/>
  <c r="M189" i="1"/>
  <c r="N189" i="1"/>
  <c r="O189" i="1"/>
  <c r="P189" i="1"/>
  <c r="M190" i="1"/>
  <c r="N190" i="1"/>
  <c r="O190" i="1"/>
  <c r="P190" i="1"/>
  <c r="M191" i="1"/>
  <c r="N191" i="1"/>
  <c r="O191" i="1"/>
  <c r="P191" i="1"/>
  <c r="M192" i="1"/>
  <c r="N192" i="1"/>
  <c r="O192" i="1"/>
  <c r="P192" i="1"/>
  <c r="M193" i="1"/>
  <c r="N193" i="1"/>
  <c r="O193" i="1"/>
  <c r="P193" i="1"/>
  <c r="M195" i="1"/>
  <c r="N195" i="1"/>
  <c r="O195" i="1"/>
  <c r="P195" i="1"/>
  <c r="M197" i="1"/>
  <c r="N197" i="1"/>
  <c r="O197" i="1"/>
  <c r="P197" i="1"/>
  <c r="M198" i="1"/>
  <c r="N198" i="1"/>
  <c r="O198" i="1"/>
  <c r="P198" i="1"/>
  <c r="M199" i="1"/>
  <c r="N199" i="1"/>
  <c r="O199" i="1"/>
  <c r="P199" i="1"/>
  <c r="M200" i="1"/>
  <c r="N200" i="1"/>
  <c r="O200" i="1"/>
  <c r="P200" i="1"/>
  <c r="M201" i="1"/>
  <c r="N201" i="1"/>
  <c r="O201" i="1"/>
  <c r="P201" i="1"/>
  <c r="M202" i="1"/>
  <c r="N202" i="1"/>
  <c r="O202" i="1"/>
  <c r="P202" i="1"/>
  <c r="M206" i="1"/>
  <c r="N206" i="1"/>
  <c r="O206" i="1"/>
  <c r="P206" i="1"/>
  <c r="M207" i="1"/>
  <c r="N207" i="1"/>
  <c r="O207" i="1"/>
  <c r="P207" i="1"/>
  <c r="M208" i="1"/>
  <c r="N208" i="1"/>
  <c r="O208" i="1"/>
  <c r="P208" i="1"/>
  <c r="M211" i="1"/>
  <c r="N211" i="1"/>
  <c r="O211" i="1"/>
  <c r="P211" i="1"/>
  <c r="M212" i="1"/>
  <c r="N212" i="1"/>
  <c r="O212" i="1"/>
  <c r="P212" i="1"/>
  <c r="M213" i="1"/>
  <c r="N213" i="1"/>
  <c r="O213" i="1"/>
  <c r="P213" i="1"/>
  <c r="M214" i="1"/>
  <c r="N214" i="1"/>
  <c r="O214" i="1"/>
  <c r="P214" i="1"/>
  <c r="M215" i="1"/>
  <c r="N215" i="1"/>
  <c r="O215" i="1"/>
  <c r="P215" i="1"/>
  <c r="M216" i="1"/>
  <c r="N216" i="1"/>
  <c r="O216" i="1"/>
  <c r="P216" i="1"/>
  <c r="M217" i="1"/>
  <c r="N217" i="1"/>
  <c r="O217" i="1"/>
  <c r="P217" i="1"/>
  <c r="M218" i="1"/>
  <c r="N218" i="1"/>
  <c r="O218" i="1"/>
  <c r="P218" i="1"/>
  <c r="M219" i="1"/>
  <c r="N219" i="1"/>
  <c r="O219" i="1"/>
  <c r="P219" i="1"/>
  <c r="M220" i="1"/>
  <c r="N220" i="1"/>
  <c r="O220" i="1"/>
  <c r="P220" i="1"/>
  <c r="M221" i="1"/>
  <c r="N221" i="1"/>
  <c r="O221" i="1"/>
  <c r="P221" i="1"/>
  <c r="M222" i="1"/>
  <c r="N222" i="1"/>
  <c r="O222" i="1"/>
  <c r="P222" i="1"/>
  <c r="M223" i="1"/>
  <c r="N223" i="1"/>
  <c r="O223" i="1"/>
  <c r="P223" i="1"/>
  <c r="M225" i="1"/>
  <c r="N225" i="1"/>
  <c r="O225" i="1"/>
  <c r="P225" i="1"/>
  <c r="M226" i="1"/>
  <c r="N226" i="1"/>
  <c r="O226" i="1"/>
  <c r="P226" i="1"/>
  <c r="M227" i="1"/>
  <c r="N227" i="1"/>
  <c r="O227" i="1"/>
  <c r="P227" i="1"/>
  <c r="M229" i="1"/>
  <c r="N229" i="1"/>
  <c r="O229" i="1"/>
  <c r="P229" i="1"/>
  <c r="M230" i="1"/>
  <c r="N230" i="1"/>
  <c r="O230" i="1"/>
  <c r="P230" i="1"/>
  <c r="M231" i="1"/>
  <c r="N231" i="1"/>
  <c r="O231" i="1"/>
  <c r="P231" i="1"/>
  <c r="M232" i="1"/>
  <c r="N232" i="1"/>
  <c r="O232" i="1"/>
  <c r="P232" i="1"/>
  <c r="M233" i="1"/>
  <c r="N233" i="1"/>
  <c r="O233" i="1"/>
  <c r="P233" i="1"/>
  <c r="M234" i="1"/>
  <c r="N234" i="1"/>
  <c r="O234" i="1"/>
  <c r="P234" i="1"/>
  <c r="M235" i="1"/>
  <c r="N235" i="1"/>
  <c r="O235" i="1"/>
  <c r="P235" i="1"/>
  <c r="M236" i="1"/>
  <c r="N236" i="1"/>
  <c r="O236" i="1"/>
  <c r="P236" i="1"/>
  <c r="M237" i="1"/>
  <c r="N237" i="1"/>
  <c r="O237" i="1"/>
  <c r="P237" i="1"/>
  <c r="M238" i="1"/>
  <c r="N238" i="1"/>
  <c r="O238" i="1"/>
  <c r="P238" i="1"/>
  <c r="M239" i="1"/>
  <c r="N239" i="1"/>
  <c r="O239" i="1"/>
  <c r="P239" i="1"/>
  <c r="M240" i="1"/>
  <c r="N240" i="1"/>
  <c r="O240" i="1"/>
  <c r="P240" i="1"/>
  <c r="M241" i="1"/>
  <c r="N241" i="1"/>
  <c r="O241" i="1"/>
  <c r="P241" i="1"/>
  <c r="M242" i="1"/>
  <c r="N242" i="1"/>
  <c r="O242" i="1"/>
  <c r="P242" i="1"/>
  <c r="M243" i="1"/>
  <c r="N243" i="1"/>
  <c r="O243" i="1"/>
  <c r="P243" i="1"/>
  <c r="M244" i="1"/>
  <c r="N244" i="1"/>
  <c r="O244" i="1"/>
  <c r="P244" i="1"/>
  <c r="M245" i="1"/>
  <c r="N245" i="1"/>
  <c r="O245" i="1"/>
  <c r="P245" i="1"/>
  <c r="M246" i="1"/>
  <c r="N246" i="1"/>
  <c r="O246" i="1"/>
  <c r="P246" i="1"/>
  <c r="M247" i="1"/>
  <c r="N247" i="1"/>
  <c r="O247" i="1"/>
  <c r="P247" i="1"/>
  <c r="M248" i="1"/>
  <c r="N248" i="1"/>
  <c r="O248" i="1"/>
  <c r="P248" i="1"/>
  <c r="M249" i="1"/>
  <c r="N249" i="1"/>
  <c r="O249" i="1"/>
  <c r="P249" i="1"/>
  <c r="M250" i="1"/>
  <c r="N250" i="1"/>
  <c r="O250" i="1"/>
  <c r="P250" i="1"/>
  <c r="M251" i="1"/>
  <c r="N251" i="1"/>
  <c r="O251" i="1"/>
  <c r="P251" i="1"/>
  <c r="M252" i="1"/>
  <c r="N252" i="1"/>
  <c r="O252" i="1"/>
  <c r="P252" i="1"/>
  <c r="M253" i="1"/>
  <c r="N253" i="1"/>
  <c r="O253" i="1"/>
  <c r="P253" i="1"/>
  <c r="M254" i="1"/>
  <c r="N254" i="1"/>
  <c r="O254" i="1"/>
  <c r="P254" i="1"/>
  <c r="M255" i="1"/>
  <c r="N255" i="1"/>
  <c r="O255" i="1"/>
  <c r="P255" i="1"/>
  <c r="M256" i="1"/>
  <c r="N256" i="1"/>
  <c r="O256" i="1"/>
  <c r="P256" i="1"/>
  <c r="M257" i="1"/>
  <c r="N257" i="1"/>
  <c r="O257" i="1"/>
  <c r="P257" i="1"/>
  <c r="M258" i="1"/>
  <c r="N258" i="1"/>
  <c r="O258" i="1"/>
  <c r="P258" i="1"/>
  <c r="M259" i="1"/>
  <c r="N259" i="1"/>
  <c r="O259" i="1"/>
  <c r="P259" i="1"/>
  <c r="M260" i="1"/>
  <c r="N260" i="1"/>
  <c r="O260" i="1"/>
  <c r="P260" i="1"/>
  <c r="M261" i="1"/>
  <c r="N261" i="1"/>
  <c r="O261" i="1"/>
  <c r="P261" i="1"/>
  <c r="M262" i="1"/>
  <c r="N262" i="1"/>
  <c r="O262" i="1"/>
  <c r="P262" i="1"/>
  <c r="M263" i="1"/>
  <c r="N263" i="1"/>
  <c r="O263" i="1"/>
  <c r="P263" i="1"/>
  <c r="M264" i="1"/>
  <c r="N264" i="1"/>
  <c r="O264" i="1"/>
  <c r="P264" i="1"/>
  <c r="M265" i="1"/>
  <c r="N265" i="1"/>
  <c r="O265" i="1"/>
  <c r="P265" i="1"/>
  <c r="M266" i="1"/>
  <c r="N266" i="1"/>
  <c r="O266" i="1"/>
  <c r="P266" i="1"/>
  <c r="M267" i="1"/>
  <c r="N267" i="1"/>
  <c r="O267" i="1"/>
  <c r="P267" i="1"/>
  <c r="M268" i="1"/>
  <c r="N268" i="1"/>
  <c r="O268" i="1"/>
  <c r="P268" i="1"/>
  <c r="M269" i="1"/>
  <c r="N269" i="1"/>
  <c r="O269" i="1"/>
  <c r="P269" i="1"/>
  <c r="M270" i="1"/>
  <c r="N270" i="1"/>
  <c r="O270" i="1"/>
  <c r="P270" i="1"/>
  <c r="M271" i="1"/>
  <c r="N271" i="1"/>
  <c r="O271" i="1"/>
  <c r="P271" i="1"/>
  <c r="M272" i="1"/>
  <c r="N272" i="1"/>
  <c r="O272" i="1"/>
  <c r="P272" i="1"/>
  <c r="M273" i="1"/>
  <c r="N273" i="1"/>
  <c r="O273" i="1"/>
  <c r="P273" i="1"/>
  <c r="M274" i="1"/>
  <c r="N274" i="1"/>
  <c r="O274" i="1"/>
  <c r="P274" i="1"/>
  <c r="M275" i="1"/>
  <c r="N275" i="1"/>
  <c r="O275" i="1"/>
  <c r="P275" i="1"/>
  <c r="M276" i="1"/>
  <c r="N276" i="1"/>
  <c r="O276" i="1"/>
  <c r="P276" i="1"/>
  <c r="M277" i="1"/>
  <c r="N277" i="1"/>
  <c r="O277" i="1"/>
  <c r="P277" i="1"/>
  <c r="M278" i="1"/>
  <c r="N278" i="1"/>
  <c r="O278" i="1"/>
  <c r="P278" i="1"/>
  <c r="M279" i="1"/>
  <c r="N279" i="1"/>
  <c r="O279" i="1"/>
  <c r="P279" i="1"/>
  <c r="M280" i="1"/>
  <c r="N280" i="1"/>
  <c r="O280" i="1"/>
  <c r="P280" i="1"/>
  <c r="M281" i="1"/>
  <c r="N281" i="1"/>
  <c r="O281" i="1"/>
  <c r="P281" i="1"/>
  <c r="M282" i="1"/>
  <c r="N282" i="1"/>
  <c r="O282" i="1"/>
  <c r="P282" i="1"/>
  <c r="M283" i="1"/>
  <c r="N283" i="1"/>
  <c r="O283" i="1"/>
  <c r="P283" i="1"/>
  <c r="M284" i="1"/>
  <c r="N284" i="1"/>
  <c r="O284" i="1"/>
  <c r="P284" i="1"/>
  <c r="M285" i="1"/>
  <c r="N285" i="1"/>
  <c r="O285" i="1"/>
  <c r="P285" i="1"/>
  <c r="M286" i="1"/>
  <c r="N286" i="1"/>
  <c r="O286" i="1"/>
  <c r="P286" i="1"/>
  <c r="M287" i="1"/>
  <c r="N287" i="1"/>
  <c r="O287" i="1"/>
  <c r="P287" i="1"/>
  <c r="M288" i="1"/>
  <c r="N288" i="1"/>
  <c r="O288" i="1"/>
  <c r="P288" i="1"/>
  <c r="M289" i="1"/>
  <c r="N289" i="1"/>
  <c r="O289" i="1"/>
  <c r="P289" i="1"/>
  <c r="M290" i="1"/>
  <c r="N290" i="1"/>
  <c r="O290" i="1"/>
  <c r="P290" i="1"/>
  <c r="M291" i="1"/>
  <c r="N291" i="1"/>
  <c r="O291" i="1"/>
  <c r="P291" i="1"/>
  <c r="M292" i="1"/>
  <c r="N292" i="1"/>
  <c r="O292" i="1"/>
  <c r="P292" i="1"/>
  <c r="M293" i="1"/>
  <c r="N293" i="1"/>
  <c r="O293" i="1"/>
  <c r="P293" i="1"/>
  <c r="M294" i="1"/>
  <c r="N294" i="1"/>
  <c r="O294" i="1"/>
  <c r="P294" i="1"/>
  <c r="M295" i="1"/>
  <c r="N295" i="1"/>
  <c r="O295" i="1"/>
  <c r="P295" i="1"/>
  <c r="M296" i="1"/>
  <c r="N296" i="1"/>
  <c r="O296" i="1"/>
  <c r="P296" i="1"/>
  <c r="M297" i="1"/>
  <c r="N297" i="1"/>
  <c r="O297" i="1"/>
  <c r="P297" i="1"/>
  <c r="M298" i="1"/>
  <c r="N298" i="1"/>
  <c r="O298" i="1"/>
  <c r="P298" i="1"/>
  <c r="M299" i="1"/>
  <c r="N299" i="1"/>
  <c r="O299" i="1"/>
  <c r="P299" i="1"/>
  <c r="M300" i="1"/>
  <c r="N300" i="1"/>
  <c r="O300" i="1"/>
  <c r="P300" i="1"/>
  <c r="M301" i="1"/>
  <c r="N301" i="1"/>
  <c r="O301" i="1"/>
  <c r="P301" i="1"/>
  <c r="M302" i="1"/>
  <c r="N302" i="1"/>
  <c r="O302" i="1"/>
  <c r="P302" i="1"/>
  <c r="M303" i="1"/>
  <c r="N303" i="1"/>
  <c r="O303" i="1"/>
  <c r="P303" i="1"/>
  <c r="M304" i="1"/>
  <c r="N304" i="1"/>
  <c r="O304" i="1"/>
  <c r="P304" i="1"/>
  <c r="M305" i="1"/>
  <c r="N305" i="1"/>
  <c r="O305" i="1"/>
  <c r="P305" i="1"/>
  <c r="M306" i="1"/>
  <c r="N306" i="1"/>
  <c r="O306" i="1"/>
  <c r="P306" i="1"/>
  <c r="M307" i="1"/>
  <c r="N307" i="1"/>
  <c r="O307" i="1"/>
  <c r="P307" i="1"/>
  <c r="M308" i="1"/>
  <c r="N308" i="1"/>
  <c r="O308" i="1"/>
  <c r="P308" i="1"/>
  <c r="M309" i="1"/>
  <c r="N309" i="1"/>
  <c r="O309" i="1"/>
  <c r="P309" i="1"/>
  <c r="M310" i="1"/>
  <c r="N310" i="1"/>
  <c r="O310" i="1"/>
  <c r="P310" i="1"/>
  <c r="M311" i="1"/>
  <c r="N311" i="1"/>
  <c r="O311" i="1"/>
  <c r="P311" i="1"/>
  <c r="M312" i="1"/>
  <c r="N312" i="1"/>
  <c r="O312" i="1"/>
  <c r="P312" i="1"/>
  <c r="M313" i="1"/>
  <c r="N313" i="1"/>
  <c r="O313" i="1"/>
  <c r="P313" i="1"/>
  <c r="M314" i="1"/>
  <c r="N314" i="1"/>
  <c r="O314" i="1"/>
  <c r="P314" i="1"/>
  <c r="M315" i="1"/>
  <c r="N315" i="1"/>
  <c r="O315" i="1"/>
  <c r="P315" i="1"/>
  <c r="M316" i="1"/>
  <c r="N316" i="1"/>
  <c r="O316" i="1"/>
  <c r="P316" i="1"/>
  <c r="M317" i="1"/>
  <c r="N317" i="1"/>
  <c r="O317" i="1"/>
  <c r="P317" i="1"/>
  <c r="M318" i="1"/>
  <c r="N318" i="1"/>
  <c r="O318" i="1"/>
  <c r="P318" i="1"/>
  <c r="M319" i="1"/>
  <c r="N319" i="1"/>
  <c r="O319" i="1"/>
  <c r="P319" i="1"/>
  <c r="M320" i="1"/>
  <c r="N320" i="1"/>
  <c r="O320" i="1"/>
  <c r="P320" i="1"/>
  <c r="M321" i="1"/>
  <c r="N321" i="1"/>
  <c r="O321" i="1"/>
  <c r="P321" i="1"/>
  <c r="M322" i="1"/>
  <c r="N322" i="1"/>
  <c r="O322" i="1"/>
  <c r="P322" i="1"/>
  <c r="M323" i="1"/>
  <c r="N323" i="1"/>
  <c r="O323" i="1"/>
  <c r="P323" i="1"/>
  <c r="M324" i="1"/>
  <c r="N324" i="1"/>
  <c r="O324" i="1"/>
  <c r="P324" i="1"/>
  <c r="M3" i="1"/>
  <c r="N3" i="1"/>
  <c r="O3" i="1"/>
  <c r="P3" i="1"/>
  <c r="L92" i="1" l="1"/>
  <c r="T92" i="1" s="1"/>
  <c r="L104" i="1"/>
  <c r="T104" i="1" s="1"/>
  <c r="L196" i="1"/>
  <c r="L15" i="1"/>
  <c r="T15" i="1" s="1"/>
  <c r="L99" i="1"/>
  <c r="T99" i="1" s="1"/>
  <c r="L98" i="1"/>
  <c r="L8" i="1"/>
  <c r="T8" i="1" s="1"/>
  <c r="L101" i="1"/>
  <c r="T101" i="1" s="1"/>
  <c r="L7" i="1"/>
  <c r="T7" i="1" s="1"/>
  <c r="L108" i="1"/>
  <c r="T108" i="1" s="1"/>
  <c r="L33" i="1"/>
  <c r="T33" i="1" s="1"/>
  <c r="L100" i="1"/>
  <c r="T100" i="1" s="1"/>
  <c r="L48" i="1"/>
  <c r="T48" i="1" s="1"/>
  <c r="L194" i="1"/>
  <c r="T194" i="1" s="1"/>
  <c r="L47" i="1"/>
  <c r="L205" i="1"/>
  <c r="T205" i="1" s="1"/>
  <c r="L210" i="1"/>
  <c r="T210" i="1" s="1"/>
  <c r="L238" i="1"/>
  <c r="L232" i="1"/>
  <c r="L206" i="1"/>
  <c r="L50" i="1"/>
  <c r="L266" i="1"/>
  <c r="L254" i="1"/>
  <c r="L251" i="1"/>
  <c r="L170" i="1"/>
  <c r="L158" i="1"/>
  <c r="L155" i="1"/>
  <c r="L122" i="1"/>
  <c r="L86" i="1"/>
  <c r="L311" i="1"/>
  <c r="L119" i="1"/>
  <c r="L35" i="1"/>
  <c r="L23" i="1"/>
  <c r="L273" i="1"/>
  <c r="L189" i="1"/>
  <c r="L177" i="1"/>
  <c r="L229" i="1"/>
  <c r="L213" i="1"/>
  <c r="L105" i="1"/>
  <c r="L248" i="1"/>
  <c r="L239" i="1"/>
  <c r="L227" i="1"/>
  <c r="L200" i="1"/>
  <c r="L197" i="1"/>
  <c r="L191" i="1"/>
  <c r="L179" i="1"/>
  <c r="L26" i="1"/>
  <c r="L14" i="1"/>
  <c r="L167" i="1"/>
  <c r="L143" i="1"/>
  <c r="L131" i="1"/>
  <c r="L323" i="1"/>
  <c r="L81" i="1"/>
  <c r="L263" i="1"/>
  <c r="L245" i="1"/>
  <c r="L45" i="1"/>
  <c r="L21" i="1"/>
  <c r="L274" i="1"/>
  <c r="L107" i="1"/>
  <c r="L95" i="1"/>
  <c r="L83" i="1"/>
  <c r="L80" i="1"/>
  <c r="L77" i="1"/>
  <c r="L71" i="1"/>
  <c r="L59" i="1"/>
  <c r="L11" i="1"/>
  <c r="L321" i="1"/>
  <c r="L318" i="1"/>
  <c r="L315" i="1"/>
  <c r="L312" i="1"/>
  <c r="L148" i="1"/>
  <c r="L145" i="1"/>
  <c r="L4" i="1"/>
  <c r="L174" i="1"/>
  <c r="L171" i="1"/>
  <c r="L168" i="1"/>
  <c r="L165" i="1"/>
  <c r="L153" i="1"/>
  <c r="L126" i="1"/>
  <c r="L123" i="1"/>
  <c r="L84" i="1"/>
  <c r="L308" i="1"/>
  <c r="L305" i="1"/>
  <c r="L299" i="1"/>
  <c r="L287" i="1"/>
  <c r="L275" i="1"/>
  <c r="L215" i="1"/>
  <c r="L117" i="1"/>
  <c r="L93" i="1"/>
  <c r="L69" i="1"/>
  <c r="L54" i="1"/>
  <c r="L51" i="1"/>
  <c r="L178" i="1"/>
  <c r="L91" i="1"/>
  <c r="L314" i="1"/>
  <c r="L129" i="1"/>
  <c r="L97" i="1"/>
  <c r="L70" i="1"/>
  <c r="L270" i="1"/>
  <c r="L267" i="1"/>
  <c r="L264" i="1"/>
  <c r="L261" i="1"/>
  <c r="L207" i="1"/>
  <c r="L57" i="1"/>
  <c r="L31" i="1"/>
  <c r="L28" i="1"/>
  <c r="L25" i="1"/>
  <c r="L293" i="1"/>
  <c r="L211" i="1"/>
  <c r="L142" i="1"/>
  <c r="L136" i="1"/>
  <c r="L127" i="1"/>
  <c r="L116" i="1"/>
  <c r="L87" i="1"/>
  <c r="L67" i="1"/>
  <c r="L61" i="1"/>
  <c r="L41" i="1"/>
  <c r="L3" i="1"/>
  <c r="L284" i="1"/>
  <c r="L255" i="1"/>
  <c r="L199" i="1"/>
  <c r="L185" i="1"/>
  <c r="L162" i="1"/>
  <c r="L159" i="1"/>
  <c r="L72" i="1"/>
  <c r="L6" i="1"/>
  <c r="L322" i="1"/>
  <c r="L313" i="1"/>
  <c r="L246" i="1"/>
  <c r="L243" i="1"/>
  <c r="L240" i="1"/>
  <c r="L208" i="1"/>
  <c r="L144" i="1"/>
  <c r="L124" i="1"/>
  <c r="L121" i="1"/>
  <c r="L115" i="1"/>
  <c r="L78" i="1"/>
  <c r="L75" i="1"/>
  <c r="L55" i="1"/>
  <c r="L52" i="1"/>
  <c r="L49" i="1"/>
  <c r="L32" i="1"/>
  <c r="L29" i="1"/>
  <c r="L310" i="1"/>
  <c r="L304" i="1"/>
  <c r="L301" i="1"/>
  <c r="L283" i="1"/>
  <c r="L272" i="1"/>
  <c r="L269" i="1"/>
  <c r="L242" i="1"/>
  <c r="L237" i="1"/>
  <c r="L234" i="1"/>
  <c r="L298" i="1"/>
  <c r="L292" i="1"/>
  <c r="L289" i="1"/>
  <c r="L230" i="1"/>
  <c r="L225" i="1"/>
  <c r="L222" i="1"/>
  <c r="L219" i="1"/>
  <c r="L216" i="1"/>
  <c r="L190" i="1"/>
  <c r="L146" i="1"/>
  <c r="L141" i="1"/>
  <c r="L138" i="1"/>
  <c r="L135" i="1"/>
  <c r="L112" i="1"/>
  <c r="L109" i="1"/>
  <c r="L103" i="1"/>
  <c r="L89" i="1"/>
  <c r="L66" i="1"/>
  <c r="L63" i="1"/>
  <c r="L43" i="1"/>
  <c r="L40" i="1"/>
  <c r="L37" i="1"/>
  <c r="L20" i="1"/>
  <c r="L17" i="1"/>
  <c r="L231" i="1"/>
  <c r="L202" i="1"/>
  <c r="L193" i="1"/>
  <c r="L187" i="1"/>
  <c r="L176" i="1"/>
  <c r="L173" i="1"/>
  <c r="L150" i="1"/>
  <c r="L147" i="1"/>
  <c r="L132" i="1"/>
  <c r="L118" i="1"/>
  <c r="L74" i="1"/>
  <c r="L60" i="1"/>
  <c r="L46" i="1"/>
  <c r="L324" i="1"/>
  <c r="L286" i="1"/>
  <c r="L280" i="1"/>
  <c r="L277" i="1"/>
  <c r="L271" i="1"/>
  <c r="L260" i="1"/>
  <c r="L257" i="1"/>
  <c r="L218" i="1"/>
  <c r="L184" i="1"/>
  <c r="L181" i="1"/>
  <c r="L175" i="1"/>
  <c r="L164" i="1"/>
  <c r="L161" i="1"/>
  <c r="L134" i="1"/>
  <c r="L120" i="1"/>
  <c r="L106" i="1"/>
  <c r="L62" i="1"/>
  <c r="L34" i="1"/>
  <c r="L5" i="1"/>
  <c r="L319" i="1"/>
  <c r="L220" i="1"/>
  <c r="L12" i="1"/>
  <c r="L309" i="1"/>
  <c r="L303" i="1"/>
  <c r="L268" i="1"/>
  <c r="L259" i="1"/>
  <c r="L233" i="1"/>
  <c r="L201" i="1"/>
  <c r="L195" i="1"/>
  <c r="L172" i="1"/>
  <c r="L163" i="1"/>
  <c r="L152" i="1"/>
  <c r="L36" i="1"/>
  <c r="L22" i="1"/>
  <c r="L302" i="1"/>
  <c r="L297" i="1"/>
  <c r="L294" i="1"/>
  <c r="L291" i="1"/>
  <c r="L288" i="1"/>
  <c r="L262" i="1"/>
  <c r="L247" i="1"/>
  <c r="L221" i="1"/>
  <c r="L166" i="1"/>
  <c r="L140" i="1"/>
  <c r="L137" i="1"/>
  <c r="L114" i="1"/>
  <c r="L111" i="1"/>
  <c r="L88" i="1"/>
  <c r="L85" i="1"/>
  <c r="L79" i="1"/>
  <c r="L68" i="1"/>
  <c r="L65" i="1"/>
  <c r="L42" i="1"/>
  <c r="L39" i="1"/>
  <c r="L19" i="1"/>
  <c r="L16" i="1"/>
  <c r="L13" i="1"/>
  <c r="L296" i="1"/>
  <c r="L226" i="1"/>
  <c r="L217" i="1"/>
  <c r="L133" i="1"/>
  <c r="L113" i="1"/>
  <c r="L90" i="1"/>
  <c r="L64" i="1"/>
  <c r="L44" i="1"/>
  <c r="L18" i="1"/>
  <c r="L307" i="1"/>
  <c r="L281" i="1"/>
  <c r="L258" i="1"/>
  <c r="L252" i="1"/>
  <c r="L214" i="1"/>
  <c r="L188" i="1"/>
  <c r="L156" i="1"/>
  <c r="L130" i="1"/>
  <c r="L9" i="1"/>
  <c r="L316" i="1"/>
  <c r="L295" i="1"/>
  <c r="L249" i="1"/>
  <c r="L306" i="1"/>
  <c r="L300" i="1"/>
  <c r="L265" i="1"/>
  <c r="L236" i="1"/>
  <c r="L198" i="1"/>
  <c r="L192" i="1"/>
  <c r="L169" i="1"/>
  <c r="L149" i="1"/>
  <c r="L94" i="1"/>
  <c r="L290" i="1"/>
  <c r="L285" i="1"/>
  <c r="L282" i="1"/>
  <c r="L279" i="1"/>
  <c r="L276" i="1"/>
  <c r="L256" i="1"/>
  <c r="L253" i="1"/>
  <c r="L235" i="1"/>
  <c r="L186" i="1"/>
  <c r="L183" i="1"/>
  <c r="L180" i="1"/>
  <c r="L160" i="1"/>
  <c r="L157" i="1"/>
  <c r="L151" i="1"/>
  <c r="L110" i="1"/>
  <c r="L96" i="1"/>
  <c r="L82" i="1"/>
  <c r="L38" i="1"/>
  <c r="L24" i="1"/>
  <c r="L10" i="1"/>
  <c r="L320" i="1"/>
  <c r="L317" i="1"/>
  <c r="L278" i="1"/>
  <c r="L250" i="1"/>
  <c r="L244" i="1"/>
  <c r="L241" i="1"/>
  <c r="L223" i="1"/>
  <c r="L212" i="1"/>
  <c r="L182" i="1"/>
  <c r="L154" i="1"/>
  <c r="L139" i="1"/>
  <c r="L128" i="1"/>
  <c r="L125" i="1"/>
  <c r="L102" i="1"/>
  <c r="L76" i="1"/>
  <c r="L73" i="1"/>
  <c r="L56" i="1"/>
  <c r="L53" i="1"/>
  <c r="L30" i="1"/>
  <c r="L27" i="1"/>
  <c r="T196" i="1" l="1"/>
  <c r="M328" i="1"/>
  <c r="M327" i="1"/>
  <c r="M326" i="1"/>
</calcChain>
</file>

<file path=xl/sharedStrings.xml><?xml version="1.0" encoding="utf-8"?>
<sst xmlns="http://schemas.openxmlformats.org/spreadsheetml/2006/main" count="980" uniqueCount="604">
  <si>
    <t>kw_norm</t>
  </si>
  <si>
    <t>qid</t>
  </si>
  <si>
    <t>label</t>
  </si>
  <si>
    <t>ctx_sim</t>
  </si>
  <si>
    <t>lbl_sim</t>
  </si>
  <si>
    <t>canon</t>
  </si>
  <si>
    <t>alias_exact_flag</t>
  </si>
  <si>
    <t>penalty</t>
  </si>
  <si>
    <t>exact_bonus</t>
  </si>
  <si>
    <t>alias_bonus</t>
  </si>
  <si>
    <t>total</t>
  </si>
  <si>
    <t>mixed convection</t>
  </si>
  <si>
    <t>Q97612642</t>
  </si>
  <si>
    <t>mixed-convection instabilities in chemical vapor deposition reactors</t>
  </si>
  <si>
    <t>convective instability</t>
  </si>
  <si>
    <t>Q3268911</t>
  </si>
  <si>
    <t>cvd</t>
  </si>
  <si>
    <t>Q389735</t>
  </si>
  <si>
    <t>cardiovascular disease</t>
  </si>
  <si>
    <t>Q505668</t>
  </si>
  <si>
    <t>chemical vapor deposition</t>
  </si>
  <si>
    <t>Q17928815</t>
  </si>
  <si>
    <t>flna</t>
  </si>
  <si>
    <t>Q5692507</t>
  </si>
  <si>
    <t>heart valve dysplasia</t>
  </si>
  <si>
    <t>Q18030587</t>
  </si>
  <si>
    <t>pld1</t>
  </si>
  <si>
    <t>Q102459691</t>
  </si>
  <si>
    <t>cardiovascular digital health journal</t>
  </si>
  <si>
    <t>Q55118269</t>
  </si>
  <si>
    <t>cardiovascular disease ontology</t>
  </si>
  <si>
    <t>Q65391441</t>
  </si>
  <si>
    <t>cvd 909 vi prime boost study</t>
  </si>
  <si>
    <t>Q100262880</t>
  </si>
  <si>
    <t>clean vehicles directive</t>
  </si>
  <si>
    <t>Q63394690</t>
  </si>
  <si>
    <t>cvd nutrition education for low literacy esl students</t>
  </si>
  <si>
    <t>Q66065283</t>
  </si>
  <si>
    <t>cvd 37000: immunity and microbiome studies at intestinal and systemic sites in ty21a vaccinated adults</t>
  </si>
  <si>
    <t>Q63599804</t>
  </si>
  <si>
    <t>cvd 38000: study of responses to vaccination with typhoid and/or cholera</t>
  </si>
  <si>
    <t>Q62054033</t>
  </si>
  <si>
    <t>cvd nutrition education</t>
  </si>
  <si>
    <t>Q65382839</t>
  </si>
  <si>
    <t>cvd risk reduction trial</t>
  </si>
  <si>
    <t>Q96052471</t>
  </si>
  <si>
    <t>cockpit voice and data recorder</t>
  </si>
  <si>
    <t>Q63805151</t>
  </si>
  <si>
    <t>cvd risk factor knowledge across age groups</t>
  </si>
  <si>
    <t>Q66061699</t>
  </si>
  <si>
    <t>cvd risk and health in postmenopausal phytoestrogen users</t>
  </si>
  <si>
    <t>Q97615288</t>
  </si>
  <si>
    <t>cvd techniques for the synthesis or modification of porous ceramics</t>
  </si>
  <si>
    <t>Q130882675</t>
  </si>
  <si>
    <t>cardiovascular diseases research institute</t>
  </si>
  <si>
    <t>Q126392607</t>
  </si>
  <si>
    <t>cvd coated cutting tool</t>
  </si>
  <si>
    <t>Q126392874</t>
  </si>
  <si>
    <t>Q66036763</t>
  </si>
  <si>
    <t>cvd risk factors and sexual identity in women</t>
  </si>
  <si>
    <t>Q106641023</t>
  </si>
  <si>
    <t>cvd-0013943</t>
  </si>
  <si>
    <t>Q105699400</t>
  </si>
  <si>
    <t>computer vision meets databases</t>
  </si>
  <si>
    <t>Q66060160</t>
  </si>
  <si>
    <t>cvd nutrition modules tailored to low literacy skills</t>
  </si>
  <si>
    <t>Q559486</t>
  </si>
  <si>
    <t>cycle de dÃ©veloppement</t>
  </si>
  <si>
    <t>Q188722</t>
  </si>
  <si>
    <t>cqfd</t>
  </si>
  <si>
    <t>Q105427364</t>
  </si>
  <si>
    <t>king's commissioner of drenthe</t>
  </si>
  <si>
    <t>Q2610633</t>
  </si>
  <si>
    <t>commissariaat voor de media</t>
  </si>
  <si>
    <t>Q27516596</t>
  </si>
  <si>
    <t>king's commissioner of north holland</t>
  </si>
  <si>
    <t>Q28530179</t>
  </si>
  <si>
    <t>king's commissioner of gelderland</t>
  </si>
  <si>
    <t>Q28801911</t>
  </si>
  <si>
    <t>king's commissioner of limburg</t>
  </si>
  <si>
    <t>Q105427365</t>
  </si>
  <si>
    <t>king's commissioner of overijssel</t>
  </si>
  <si>
    <t>Q27531658</t>
  </si>
  <si>
    <t>king's commissioner of south holland</t>
  </si>
  <si>
    <t>Q105427369</t>
  </si>
  <si>
    <t>king's commissioner of north brabant</t>
  </si>
  <si>
    <t>Q27650822</t>
  </si>
  <si>
    <t>king's commissioner of utrecht</t>
  </si>
  <si>
    <t>Q110599030</t>
  </si>
  <si>
    <t>cimetiÃ¨re de vieux doulon</t>
  </si>
  <si>
    <t>Q105427368</t>
  </si>
  <si>
    <t>king's commissioner of zeeland</t>
  </si>
  <si>
    <t>Q105427363</t>
  </si>
  <si>
    <t>king's commissioner of friesland</t>
  </si>
  <si>
    <t>Q105427362</t>
  </si>
  <si>
    <t>commissaire du roi Ã  groningue</t>
  </si>
  <si>
    <t>Q105427367</t>
  </si>
  <si>
    <t>commissaire du roi au flevoland</t>
  </si>
  <si>
    <t>Q1068846</t>
  </si>
  <si>
    <t>cheerleadervereinigung deutschland</t>
  </si>
  <si>
    <t>Q104970676</t>
  </si>
  <si>
    <t>cvdqdossutxmst-cywwhkobsa-n</t>
  </si>
  <si>
    <t>Q104970674</t>
  </si>
  <si>
    <t>cvdbemjtpgtiid-jfvxfanosa-n</t>
  </si>
  <si>
    <t>Q104970678</t>
  </si>
  <si>
    <t>cvdqdossutxmst-uhfffaoysa-n</t>
  </si>
  <si>
    <t>Q104970677</t>
  </si>
  <si>
    <t>cvdqdossutxmst-nhzfslkxsa-n</t>
  </si>
  <si>
    <t>design of experiments</t>
  </si>
  <si>
    <t>Q2334061</t>
  </si>
  <si>
    <t>Q123751201</t>
  </si>
  <si>
    <t>design of experiments for reliability achievement</t>
  </si>
  <si>
    <t>Q136131533</t>
  </si>
  <si>
    <t>design of experiments for locally weighted regression</t>
  </si>
  <si>
    <t>corrosion</t>
  </si>
  <si>
    <t>Q137056</t>
  </si>
  <si>
    <t>Q111366900</t>
  </si>
  <si>
    <t>corrosion inhibition</t>
  </si>
  <si>
    <t>Q51843949</t>
  </si>
  <si>
    <t>ghs05: corrosion</t>
  </si>
  <si>
    <t>Q1135391</t>
  </si>
  <si>
    <t>corrosion of conformity</t>
  </si>
  <si>
    <t>Q56737144</t>
  </si>
  <si>
    <t>Q2468815</t>
  </si>
  <si>
    <t>corrosion inhibitor</t>
  </si>
  <si>
    <t>Q1550776</t>
  </si>
  <si>
    <t>korroziya metalla</t>
  </si>
  <si>
    <t>Q55830125</t>
  </si>
  <si>
    <t>corrosion resistance</t>
  </si>
  <si>
    <t>Q5173034</t>
  </si>
  <si>
    <t>corrosion fatigue</t>
  </si>
  <si>
    <t>Q13405532</t>
  </si>
  <si>
    <t>anti-corrosion treatment</t>
  </si>
  <si>
    <t>Q3511129</t>
  </si>
  <si>
    <t>corrosion engineering</t>
  </si>
  <si>
    <t>Q1469751</t>
  </si>
  <si>
    <t>corrosion protection medium</t>
  </si>
  <si>
    <t>Q113131132</t>
  </si>
  <si>
    <t>corrosion engineer</t>
  </si>
  <si>
    <t>Q101149215</t>
  </si>
  <si>
    <t>corrosion of conformity's albums in chronological order</t>
  </si>
  <si>
    <t>Q65929600</t>
  </si>
  <si>
    <t>corrosion test</t>
  </si>
  <si>
    <t>Q101149183</t>
  </si>
  <si>
    <t>corrosion of conformity discography</t>
  </si>
  <si>
    <t>Q63368467</t>
  </si>
  <si>
    <t>corrosion prediction in residual co2 streams: shifting the paradigm</t>
  </si>
  <si>
    <t>Q26377383</t>
  </si>
  <si>
    <t>corrosion of commercial alloys in a chlorine-sulfur atmosphere at high temperatures</t>
  </si>
  <si>
    <t>Q26359712</t>
  </si>
  <si>
    <t>corrosion studies in brines of the salton sea geothermal field</t>
  </si>
  <si>
    <t>Q56613802</t>
  </si>
  <si>
    <t>corrosion processes and mechanisms in the presence of monoethylene glycol (meg)</t>
  </si>
  <si>
    <t>Q26369592</t>
  </si>
  <si>
    <t>corrosion in geothermal brines of the salton sea known geothermal resource area</t>
  </si>
  <si>
    <t>Q68749726</t>
  </si>
  <si>
    <t>corrosion and environmental degradation ii</t>
  </si>
  <si>
    <t>Q58460224</t>
  </si>
  <si>
    <t>corrosion and erosion-corrosion processes of metal matrix composites in slurry conditions for oilsands application</t>
  </si>
  <si>
    <t>Q97612918</t>
  </si>
  <si>
    <t>corrosion fatigue of structural steel in seawater</t>
  </si>
  <si>
    <t>Q27219557</t>
  </si>
  <si>
    <t>Q56612978</t>
  </si>
  <si>
    <t>corrosion and erosion-corrosion behaviour of lean duplex stainless steels in marine and oilfield environments</t>
  </si>
  <si>
    <t>Q112836283</t>
  </si>
  <si>
    <t>corrosion fatigue of 2024-t4 aluminium alloy in contact with superphosphate fertilizer</t>
  </si>
  <si>
    <t>Q11743785</t>
  </si>
  <si>
    <t>corrosion of metals</t>
  </si>
  <si>
    <t>Q16919268</t>
  </si>
  <si>
    <t>corrosion under insulation</t>
  </si>
  <si>
    <t>Q5173030</t>
  </si>
  <si>
    <t>corrosion in space</t>
  </si>
  <si>
    <t>Q12623189</t>
  </si>
  <si>
    <t>corrosion science society of korea</t>
  </si>
  <si>
    <t>Q122761132</t>
  </si>
  <si>
    <t>corrosion inhibitor composition and methods of inhibiting corrosion during acid pickling</t>
  </si>
  <si>
    <t>Q585977</t>
  </si>
  <si>
    <t>corrosion sous contrainte</t>
  </si>
  <si>
    <t>Q1493450</t>
  </si>
  <si>
    <t>corrosion Ã  haute tempÃ©rature</t>
  </si>
  <si>
    <t>Q1272537</t>
  </si>
  <si>
    <t>corrosion des aciers dans le bÃ©ton</t>
  </si>
  <si>
    <t>Q2367906</t>
  </si>
  <si>
    <t>galvanic corrosion</t>
  </si>
  <si>
    <t>Q351261</t>
  </si>
  <si>
    <t>eau d'alimentation de chaudiÃ¨re</t>
  </si>
  <si>
    <t>Q1417876</t>
  </si>
  <si>
    <t>glass disease</t>
  </si>
  <si>
    <t>Q56614267</t>
  </si>
  <si>
    <t>corrosion behaviour of x65 carbon steel under flowing conditions</t>
  </si>
  <si>
    <t>Q60349014</t>
  </si>
  <si>
    <t>corrosion and tribo-corrosion behaviour of metallic orthopaedic implant materials</t>
  </si>
  <si>
    <t>tem</t>
  </si>
  <si>
    <t>Q29023906</t>
  </si>
  <si>
    <t>temporary exhibition</t>
  </si>
  <si>
    <t>Q616667</t>
  </si>
  <si>
    <t>temporal lobe epilepsy</t>
  </si>
  <si>
    <t>Q19887878</t>
  </si>
  <si>
    <t>wikimedia infobox template</t>
  </si>
  <si>
    <t>Q877647</t>
  </si>
  <si>
    <t>european route e80</t>
  </si>
  <si>
    <t>Q17911655</t>
  </si>
  <si>
    <t>cyld</t>
  </si>
  <si>
    <t>Q744818</t>
  </si>
  <si>
    <t>transmission electron microscope</t>
  </si>
  <si>
    <t>Q132931</t>
  </si>
  <si>
    <t>buynaksk</t>
  </si>
  <si>
    <t>Q36531</t>
  </si>
  <si>
    <t>Q21113782</t>
  </si>
  <si>
    <t>tetraspanin-enriched microdomain</t>
  </si>
  <si>
    <t>Q1756116</t>
  </si>
  <si>
    <t>temnora</t>
  </si>
  <si>
    <t>Q492419</t>
  </si>
  <si>
    <t>fcr 2001 duisburg</t>
  </si>
  <si>
    <t>Q7698689</t>
  </si>
  <si>
    <t>temple university beasley school of law</t>
  </si>
  <si>
    <t>Q110779037</t>
  </si>
  <si>
    <t>transmission electron microscopy</t>
  </si>
  <si>
    <t>Q43018</t>
  </si>
  <si>
    <t>temple of ephesian artemis</t>
  </si>
  <si>
    <t>Q6811189</t>
  </si>
  <si>
    <t>template:infobox character</t>
  </si>
  <si>
    <t>Q5830052</t>
  </si>
  <si>
    <t>template:infobox officeholder</t>
  </si>
  <si>
    <t>Q6919004</t>
  </si>
  <si>
    <t>template:merge</t>
  </si>
  <si>
    <t>Q603255</t>
  </si>
  <si>
    <t>percichthyidae</t>
  </si>
  <si>
    <t>Q739827</t>
  </si>
  <si>
    <t>tÃ©m</t>
  </si>
  <si>
    <t>Q7444259</t>
  </si>
  <si>
    <t>template:compact toc</t>
  </si>
  <si>
    <t>Q1053973</t>
  </si>
  <si>
    <t>temptation</t>
  </si>
  <si>
    <t>Q19281</t>
  </si>
  <si>
    <t>Q13384512</t>
  </si>
  <si>
    <t>template:infobox lighthouse</t>
  </si>
  <si>
    <t>Q1517587</t>
  </si>
  <si>
    <t>tÃ©miscouata</t>
  </si>
  <si>
    <t>Q999473</t>
  </si>
  <si>
    <t>temora</t>
  </si>
  <si>
    <t>Q18047858</t>
  </si>
  <si>
    <t>plxdc2</t>
  </si>
  <si>
    <t>Q5461410</t>
  </si>
  <si>
    <t>template:wikisource</t>
  </si>
  <si>
    <t>Q14888544</t>
  </si>
  <si>
    <t>temperature homeostasis</t>
  </si>
  <si>
    <t>Q68816637</t>
  </si>
  <si>
    <t>temple</t>
  </si>
  <si>
    <t>Q6117427</t>
  </si>
  <si>
    <t>template:multicol-end</t>
  </si>
  <si>
    <t>Q5547386</t>
  </si>
  <si>
    <t>template:user de-2</t>
  </si>
  <si>
    <t>Q5829701</t>
  </si>
  <si>
    <t>template:country data venezuela</t>
  </si>
  <si>
    <t>Q7000262</t>
  </si>
  <si>
    <t>template:country data mauritania</t>
  </si>
  <si>
    <t>Q842400</t>
  </si>
  <si>
    <t>temples of kwan tai</t>
  </si>
  <si>
    <t>Q5832631</t>
  </si>
  <si>
    <t>template:country data european union</t>
  </si>
  <si>
    <t>Q5621415</t>
  </si>
  <si>
    <t>template:country data austria</t>
  </si>
  <si>
    <t>Q18615962</t>
  </si>
  <si>
    <t>temnaspis</t>
  </si>
  <si>
    <t>Q6602990</t>
  </si>
  <si>
    <t>template:spaces</t>
  </si>
  <si>
    <t>Q5621848</t>
  </si>
  <si>
    <t>template:str left</t>
  </si>
  <si>
    <t>Q5618588</t>
  </si>
  <si>
    <t>template:hide in print</t>
  </si>
  <si>
    <t>Q6091158</t>
  </si>
  <si>
    <t>template:days of the week</t>
  </si>
  <si>
    <t>Q6021960</t>
  </si>
  <si>
    <t>template:smiley</t>
  </si>
  <si>
    <t>Q622088</t>
  </si>
  <si>
    <t>temnitztal</t>
  </si>
  <si>
    <t>Q7670676</t>
  </si>
  <si>
    <t>template:country data singapore</t>
  </si>
  <si>
    <t>Q7169254</t>
  </si>
  <si>
    <t>template:bcdb title</t>
  </si>
  <si>
    <t>Q7668142</t>
  </si>
  <si>
    <t>template:country data oman</t>
  </si>
  <si>
    <t>Q6271187</t>
  </si>
  <si>
    <t>template:convert</t>
  </si>
  <si>
    <t>Q5851699</t>
  </si>
  <si>
    <t>template:country data nigeria</t>
  </si>
  <si>
    <t>Q16970</t>
  </si>
  <si>
    <t>Ã©glise</t>
  </si>
  <si>
    <t>Q842402</t>
  </si>
  <si>
    <t>mandir</t>
  </si>
  <si>
    <t>Q44539</t>
  </si>
  <si>
    <t>Q34627</t>
  </si>
  <si>
    <t>synagogue</t>
  </si>
  <si>
    <t>Q175166</t>
  </si>
  <si>
    <t>tempera</t>
  </si>
  <si>
    <t>Q5393308</t>
  </si>
  <si>
    <t>temple bouddhiste</t>
  </si>
  <si>
    <t>Q425088</t>
  </si>
  <si>
    <t>tÃ©mozolomide</t>
  </si>
  <si>
    <t>Q83404</t>
  </si>
  <si>
    <t>timiÈ™oara</t>
  </si>
  <si>
    <t>Q1420239</t>
  </si>
  <si>
    <t>universitÃ© temple</t>
  </si>
  <si>
    <t>Q2635276</t>
  </si>
  <si>
    <t>temps immÃ©morial</t>
  </si>
  <si>
    <t>Q11471</t>
  </si>
  <si>
    <t>temps</t>
  </si>
  <si>
    <t>Q158106</t>
  </si>
  <si>
    <t>arrondissement de tempelhof-schÃ¶neberg</t>
  </si>
  <si>
    <t>Q929313</t>
  </si>
  <si>
    <t>temponade cardiaque</t>
  </si>
  <si>
    <t>Q3517772</t>
  </si>
  <si>
    <t>temps des fÃªtes</t>
  </si>
  <si>
    <t>Q408265</t>
  </si>
  <si>
    <t>lorazÃ©pam</t>
  </si>
  <si>
    <t>Q81054</t>
  </si>
  <si>
    <t>tempÃªte</t>
  </si>
  <si>
    <t>Q184872</t>
  </si>
  <si>
    <t>loisir</t>
  </si>
  <si>
    <t>Q30192</t>
  </si>
  <si>
    <t>temps moyen de greenwich</t>
  </si>
  <si>
    <t>Q849737</t>
  </si>
  <si>
    <t>tomographie d'Ã©mission monophotonique</t>
  </si>
  <si>
    <t>Q11663</t>
  </si>
  <si>
    <t>Q1144385</t>
  </si>
  <si>
    <t>taux de prothrombine</t>
  </si>
  <si>
    <t>Q182878</t>
  </si>
  <si>
    <t>tempÃªte de sable</t>
  </si>
  <si>
    <t>Q28130149</t>
  </si>
  <si>
    <t>temps-Ã©cran</t>
  </si>
  <si>
    <t>Q31621</t>
  </si>
  <si>
    <t>coenraad jacob temminck</t>
  </si>
  <si>
    <t>Q1536</t>
  </si>
  <si>
    <t>temps universel coordonnÃ©</t>
  </si>
  <si>
    <t>Q3281534</t>
  </si>
  <si>
    <t>histoire moderne</t>
  </si>
  <si>
    <t>Q21196</t>
  </si>
  <si>
    <t>pÃ¢ques</t>
  </si>
  <si>
    <t>Q1755136</t>
  </si>
  <si>
    <t>temps de cÃ©phaline activÃ©e</t>
  </si>
  <si>
    <t>Q185586</t>
  </si>
  <si>
    <t>timiÈ™</t>
  </si>
  <si>
    <t>Q519157</t>
  </si>
  <si>
    <t>templin</t>
  </si>
  <si>
    <t>Q2680845</t>
  </si>
  <si>
    <t>temple chinois</t>
  </si>
  <si>
    <t>Q51685</t>
  </si>
  <si>
    <t>tempe</t>
  </si>
  <si>
    <t>Q130011</t>
  </si>
  <si>
    <t>orage magnÃ©tique</t>
  </si>
  <si>
    <t>Q260732</t>
  </si>
  <si>
    <t>temps de travail</t>
  </si>
  <si>
    <t>Q3157041</t>
  </si>
  <si>
    <t>tempÃªte tropicale</t>
  </si>
  <si>
    <t>Q6807904</t>
  </si>
  <si>
    <t>maison d'assemblÃ©e</t>
  </si>
  <si>
    <t>Q1076369</t>
  </si>
  <si>
    <t>choc cytokinique</t>
  </si>
  <si>
    <t>Q82128</t>
  </si>
  <si>
    <t>temuco</t>
  </si>
  <si>
    <t>Q11466</t>
  </si>
  <si>
    <t>tempÃ©rature</t>
  </si>
  <si>
    <t>Q1136687</t>
  </si>
  <si>
    <t>temple de la renommÃ©e du hockey</t>
  </si>
  <si>
    <t>Q196939</t>
  </si>
  <si>
    <t>tÃ©moin</t>
  </si>
  <si>
    <t>Q1454583</t>
  </si>
  <si>
    <t>temple maÃ§onnique</t>
  </si>
  <si>
    <t>Q663272</t>
  </si>
  <si>
    <t>expert ou experte judiciaire</t>
  </si>
  <si>
    <t>Q1046088</t>
  </si>
  <si>
    <t>temple de la renommÃ©e</t>
  </si>
  <si>
    <t>Q414796</t>
  </si>
  <si>
    <t>tÃ©mazÃ©pam</t>
  </si>
  <si>
    <t>Q1997676</t>
  </si>
  <si>
    <t>tempoal</t>
  </si>
  <si>
    <t>Q1196258</t>
  </si>
  <si>
    <t>tÃ©moignage</t>
  </si>
  <si>
    <t>Q720</t>
  </si>
  <si>
    <t>gengis khan</t>
  </si>
  <si>
    <t>Q363830</t>
  </si>
  <si>
    <t>tempelhof</t>
  </si>
  <si>
    <t>Q4050817</t>
  </si>
  <si>
    <t>temnothorax</t>
  </si>
  <si>
    <t>nsfc</t>
  </si>
  <si>
    <t>Q4501917</t>
  </si>
  <si>
    <t>national natural science foundation of china</t>
  </si>
  <si>
    <t>Q21866939</t>
  </si>
  <si>
    <t>national society of film critics award</t>
  </si>
  <si>
    <t>Q1206671</t>
  </si>
  <si>
    <t>national society of film critics</t>
  </si>
  <si>
    <t>Q52217896</t>
  </si>
  <si>
    <t>national natural science foundation of china open access policy</t>
  </si>
  <si>
    <t>long range interactions</t>
  </si>
  <si>
    <t>Q59623883</t>
  </si>
  <si>
    <t>long range interactions regulate v(d)j recombination at the murine immunoglobulin lambda locus</t>
  </si>
  <si>
    <t>ab-initio calculations</t>
  </si>
  <si>
    <t>Q112880948</t>
  </si>
  <si>
    <t>ab initio calculations of water and ice : structural, electronic and optical properties</t>
  </si>
  <si>
    <t>Q97611808</t>
  </si>
  <si>
    <t>ab initio calculations in scintillator research</t>
  </si>
  <si>
    <t>hydrogen halides</t>
  </si>
  <si>
    <t>Q1572088</t>
  </si>
  <si>
    <t>hydrogen halide</t>
  </si>
  <si>
    <t>clouds</t>
  </si>
  <si>
    <t>Q8074</t>
  </si>
  <si>
    <t>cloud</t>
  </si>
  <si>
    <t>Q868447</t>
  </si>
  <si>
    <t>the clouds</t>
  </si>
  <si>
    <t>Q203247</t>
  </si>
  <si>
    <t>nuages</t>
  </si>
  <si>
    <t>Q2111939</t>
  </si>
  <si>
    <t>Q18676757</t>
  </si>
  <si>
    <t>Q20174091</t>
  </si>
  <si>
    <t>Q7723503</t>
  </si>
  <si>
    <t>Q21198594</t>
  </si>
  <si>
    <t>les nuÃ©es</t>
  </si>
  <si>
    <t>Q100937286</t>
  </si>
  <si>
    <t>Q50947865</t>
  </si>
  <si>
    <t>Q20634460</t>
  </si>
  <si>
    <t>Q21620788</t>
  </si>
  <si>
    <t>Q28039548</t>
  </si>
  <si>
    <t>Q19888744</t>
  </si>
  <si>
    <t>Q98706478</t>
  </si>
  <si>
    <t>Q20421180</t>
  </si>
  <si>
    <t>Q5135768</t>
  </si>
  <si>
    <t>clouds house</t>
  </si>
  <si>
    <t>Q1102640</t>
  </si>
  <si>
    <t>cloudesley shovell</t>
  </si>
  <si>
    <t>Q106566827</t>
  </si>
  <si>
    <t>Q100367914</t>
  </si>
  <si>
    <t>Q113723376</t>
  </si>
  <si>
    <t>Q20087051</t>
  </si>
  <si>
    <t>cloud towers</t>
  </si>
  <si>
    <t>Q24055379</t>
  </si>
  <si>
    <t>Q96000175</t>
  </si>
  <si>
    <t>Q1228867</t>
  </si>
  <si>
    <t>clouds of witness</t>
  </si>
  <si>
    <t>Q19082498</t>
  </si>
  <si>
    <t>Q16155561</t>
  </si>
  <si>
    <t>Q5135764</t>
  </si>
  <si>
    <t>Q79288279</t>
  </si>
  <si>
    <t>Q79291843</t>
  </si>
  <si>
    <t>Q79288389</t>
  </si>
  <si>
    <t>Q79294867</t>
  </si>
  <si>
    <t>Q18563217</t>
  </si>
  <si>
    <t>Q79288341</t>
  </si>
  <si>
    <t>Q102080180</t>
  </si>
  <si>
    <t>Q79294053</t>
  </si>
  <si>
    <t>Q110218463</t>
  </si>
  <si>
    <t>Q79288240</t>
  </si>
  <si>
    <t>Q110548120</t>
  </si>
  <si>
    <t>Q112635406</t>
  </si>
  <si>
    <t>Q616706</t>
  </si>
  <si>
    <t>apache derby</t>
  </si>
  <si>
    <t>Q391351</t>
  </si>
  <si>
    <t>clouds rest</t>
  </si>
  <si>
    <t>Q1102652</t>
  </si>
  <si>
    <t>cloudscape</t>
  </si>
  <si>
    <t>Q59506817</t>
  </si>
  <si>
    <t>Q2496860</t>
  </si>
  <si>
    <t>apache cloudstack</t>
  </si>
  <si>
    <t>Q49397</t>
  </si>
  <si>
    <t>cloudsat</t>
  </si>
  <si>
    <t>Q4042322</t>
  </si>
  <si>
    <t>cloudstore</t>
  </si>
  <si>
    <t>Q20900263</t>
  </si>
  <si>
    <t>cloudsley louis rutter</t>
  </si>
  <si>
    <t>Q22095616</t>
  </si>
  <si>
    <t>cloudsim</t>
  </si>
  <si>
    <t>Q5135766</t>
  </si>
  <si>
    <t>clouds across the moon</t>
  </si>
  <si>
    <t>Q19461057</t>
  </si>
  <si>
    <t>clouds hill</t>
  </si>
  <si>
    <t>Q107123053</t>
  </si>
  <si>
    <t>Q104765433</t>
  </si>
  <si>
    <t>nuages en finlande</t>
  </si>
  <si>
    <t>Q5135617</t>
  </si>
  <si>
    <t>cloudsnap</t>
  </si>
  <si>
    <t>Q59497131</t>
  </si>
  <si>
    <t>clouds and black hills</t>
  </si>
  <si>
    <t>Q107385682</t>
  </si>
  <si>
    <t>cloudscraper</t>
  </si>
  <si>
    <t>Q24469</t>
  </si>
  <si>
    <t>ceinture de gould</t>
  </si>
  <si>
    <t>Q5534660</t>
  </si>
  <si>
    <t>geoffrey hendricks</t>
  </si>
  <si>
    <t>Q3399465</t>
  </si>
  <si>
    <t>Q5135780</t>
  </si>
  <si>
    <t>cloudstreet</t>
  </si>
  <si>
    <t>Q124316328</t>
  </si>
  <si>
    <t>cloudsurfers</t>
  </si>
  <si>
    <t>Q483639</t>
  </si>
  <si>
    <t>cloud computing</t>
  </si>
  <si>
    <t>Q914359</t>
  </si>
  <si>
    <t>cloud storage</t>
  </si>
  <si>
    <t>Q160092</t>
  </si>
  <si>
    <t>rubus chamaemorus</t>
  </si>
  <si>
    <t>Q4817119</t>
  </si>
  <si>
    <t>atmospheric river</t>
  </si>
  <si>
    <t>Q5135629</t>
  </si>
  <si>
    <t>Q35494</t>
  </si>
  <si>
    <t>calipso</t>
  </si>
  <si>
    <t>Q1343205</t>
  </si>
  <si>
    <t>file-hosting service</t>
  </si>
  <si>
    <t>Q36135</t>
  </si>
  <si>
    <t>clouded leopard</t>
  </si>
  <si>
    <t>Q376353</t>
  </si>
  <si>
    <t>cloud county</t>
  </si>
  <si>
    <t>Q1346018</t>
  </si>
  <si>
    <t>infrastructure as a service</t>
  </si>
  <si>
    <t>Q1798592</t>
  </si>
  <si>
    <t>cloud strife</t>
  </si>
  <si>
    <t>Q30665</t>
  </si>
  <si>
    <t>clouded apollo</t>
  </si>
  <si>
    <t>Q214469</t>
  </si>
  <si>
    <t>cloud forest</t>
  </si>
  <si>
    <t>Q113100</t>
  </si>
  <si>
    <t>Q180382</t>
  </si>
  <si>
    <t>cloud burst</t>
  </si>
  <si>
    <t>Q4778915</t>
  </si>
  <si>
    <t>cloudflare</t>
  </si>
  <si>
    <t>Q16829781</t>
  </si>
  <si>
    <t>cloud rap</t>
  </si>
  <si>
    <t>Q664424</t>
  </si>
  <si>
    <t>Q110160416</t>
  </si>
  <si>
    <t>cloud region</t>
  </si>
  <si>
    <t>Q2553613</t>
  </si>
  <si>
    <t>internet video</t>
  </si>
  <si>
    <t>Q2592476</t>
  </si>
  <si>
    <t>Q1055865</t>
  </si>
  <si>
    <t>overcast</t>
  </si>
  <si>
    <t>Q105071964</t>
  </si>
  <si>
    <t>Q637169</t>
  </si>
  <si>
    <t>cloudy with a chance of meatballs</t>
  </si>
  <si>
    <t>Q19827848</t>
  </si>
  <si>
    <t>cloud9</t>
  </si>
  <si>
    <t>Q12108188</t>
  </si>
  <si>
    <t>cloud 9</t>
  </si>
  <si>
    <t>Q5135628</t>
  </si>
  <si>
    <t>Q277157</t>
  </si>
  <si>
    <t>cloudy with a chance of meatballs 2</t>
  </si>
  <si>
    <t>Q13479680</t>
  </si>
  <si>
    <t>cloud species</t>
  </si>
  <si>
    <t>Q85632250</t>
  </si>
  <si>
    <t>cloud gaming service</t>
  </si>
  <si>
    <t>Q2024390</t>
  </si>
  <si>
    <t>remote backup service</t>
  </si>
  <si>
    <t>Q520871</t>
  </si>
  <si>
    <t>colias croceus</t>
  </si>
  <si>
    <t>Q830457</t>
  </si>
  <si>
    <t>cloud cover</t>
  </si>
  <si>
    <t>Q77977294</t>
  </si>
  <si>
    <t>Q105692813</t>
  </si>
  <si>
    <t>ieee international conference on cloud computing</t>
  </si>
  <si>
    <t>Q50889494</t>
  </si>
  <si>
    <t>Q18615484</t>
  </si>
  <si>
    <t>Q432556</t>
  </si>
  <si>
    <t>cloudcroft</t>
  </si>
  <si>
    <t>Q1064312</t>
  </si>
  <si>
    <t>cloud cult</t>
  </si>
  <si>
    <t>Q2499178</t>
  </si>
  <si>
    <t>cloud database</t>
  </si>
  <si>
    <t>Q87526641</t>
  </si>
  <si>
    <t>â˜</t>
  </si>
  <si>
    <t>Q11193408</t>
  </si>
  <si>
    <t>Q3548033</t>
  </si>
  <si>
    <t>Q589099</t>
  </si>
  <si>
    <t>cloud gate</t>
  </si>
  <si>
    <t>Q2979728</t>
  </si>
  <si>
    <t>cloudera</t>
  </si>
  <si>
    <t>Q40205</t>
  </si>
  <si>
    <t>cartographie des nuages</t>
  </si>
  <si>
    <t>Q93133342</t>
  </si>
  <si>
    <t>cloudpunk</t>
  </si>
  <si>
    <t>Q1102629</t>
  </si>
  <si>
    <t>jeu Ã  la demande</t>
  </si>
  <si>
    <t>Q1102645</t>
  </si>
  <si>
    <t>cloud nothings</t>
  </si>
  <si>
    <t>Q16540469</t>
  </si>
  <si>
    <t>cloud imperium games</t>
  </si>
  <si>
    <t>Q5135728</t>
  </si>
  <si>
    <t>cloudberry kingdom</t>
  </si>
  <si>
    <t>Q5135791</t>
  </si>
  <si>
    <t>Q50866964</t>
  </si>
  <si>
    <t>cloud native computing foundation</t>
  </si>
  <si>
    <t>Q4036320</t>
  </si>
  <si>
    <t>Q5135655</t>
  </si>
  <si>
    <t>cloud county community college</t>
  </si>
  <si>
    <t>Q3681214</t>
  </si>
  <si>
    <t>cloudkicker</t>
  </si>
  <si>
    <t>Q2162831</t>
  </si>
  <si>
    <t>cloud nine</t>
  </si>
  <si>
    <t>Q509074</t>
  </si>
  <si>
    <t>cloudina</t>
  </si>
  <si>
    <t>Q111854927</t>
  </si>
  <si>
    <t>cloud m1</t>
  </si>
  <si>
    <t>Q28974776</t>
  </si>
  <si>
    <t>cloud-init</t>
  </si>
  <si>
    <t>Q29186572</t>
  </si>
  <si>
    <t>cloudesley brereton</t>
  </si>
  <si>
    <t>Ok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</si>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</sst>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0" fillId="33" borderId="0" xfId="0" applyFill="1"/>
    <xf numFmtId="0" fontId="0" fillId="34" borderId="0" xfId="0" applyFill="1"/>
    <xf numFmtId="164" fontId="0" fillId="34" borderId="0" xfId="0" applyNumberFormat="1" applyFill="1"/>
    <xf numFmtId="0" fontId="0" fillId="0" borderId="0" xfId="0" applyFill="1"/>
    <xf numFmtId="164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C0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DDFC2-45D0-42C3-82A8-06D727629E45}">
  <sheetPr filterMode="1"/>
  <dimension ref="A1:T328"/>
  <sheetViews>
    <sheetView tabSelected="1" workbookViewId="0">
      <selection activeCell="C334" sqref="C334"/>
    </sheetView>
  </sheetViews>
  <sheetFormatPr defaultRowHeight="14.4" x14ac:dyDescent="0.3"/>
  <cols>
    <col min="1" max="1" width="16.109375" customWidth="1"/>
    <col min="2" max="2" width="19" customWidth="1"/>
    <col min="3" max="3" width="46.77734375" customWidth="1"/>
  </cols>
  <sheetData>
    <row r="1" spans="1:20" x14ac:dyDescent="0.3">
      <c r="M1">
        <v>2</v>
      </c>
      <c r="N1">
        <v>0.4</v>
      </c>
      <c r="O1">
        <v>3</v>
      </c>
      <c r="P1">
        <v>1</v>
      </c>
    </row>
    <row r="2" spans="1:2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M2">
        <v>4.0000067963036588E-2</v>
      </c>
      <c r="N2">
        <v>0.4</v>
      </c>
      <c r="O2">
        <v>0</v>
      </c>
      <c r="P2">
        <v>2</v>
      </c>
    </row>
    <row r="3" spans="1:20" hidden="1" x14ac:dyDescent="0.3">
      <c r="A3" t="s">
        <v>11</v>
      </c>
      <c r="B3" t="s">
        <v>12</v>
      </c>
      <c r="C3" t="s">
        <v>13</v>
      </c>
      <c r="D3">
        <v>65.900000000000006</v>
      </c>
      <c r="E3">
        <v>35.700000000000003</v>
      </c>
      <c r="F3">
        <v>0</v>
      </c>
      <c r="G3" t="b">
        <v>0</v>
      </c>
      <c r="H3">
        <v>6</v>
      </c>
      <c r="I3">
        <v>0</v>
      </c>
      <c r="J3">
        <v>0</v>
      </c>
      <c r="K3">
        <v>140.1</v>
      </c>
      <c r="L3">
        <f t="shared" ref="L3" si="0">SUM(M3:Q3)</f>
        <v>16.916004478764112</v>
      </c>
      <c r="M3">
        <f>D3*$M$2</f>
        <v>2.6360044787641113</v>
      </c>
      <c r="N3">
        <f t="shared" ref="N3" si="1">E3*0.4</f>
        <v>14.280000000000001</v>
      </c>
      <c r="O3">
        <f>F3*$O$2</f>
        <v>0</v>
      </c>
      <c r="P3">
        <f t="shared" ref="P3" si="2">J3*2</f>
        <v>0</v>
      </c>
    </row>
    <row r="4" spans="1:20" hidden="1" x14ac:dyDescent="0.3">
      <c r="A4" t="s">
        <v>14</v>
      </c>
      <c r="B4" t="s">
        <v>15</v>
      </c>
      <c r="C4" t="s">
        <v>14</v>
      </c>
      <c r="D4">
        <v>35.1</v>
      </c>
      <c r="E4">
        <v>100</v>
      </c>
      <c r="F4">
        <v>8.6999999999999993</v>
      </c>
      <c r="G4" t="b">
        <v>0</v>
      </c>
      <c r="H4">
        <v>0</v>
      </c>
      <c r="I4">
        <v>1</v>
      </c>
      <c r="J4">
        <v>0</v>
      </c>
      <c r="K4">
        <v>137.1</v>
      </c>
      <c r="L4">
        <f t="shared" ref="L4:L67" si="3">SUM(M4:Q4)</f>
        <v>41.404002385502586</v>
      </c>
      <c r="M4">
        <f t="shared" ref="M4:M67" si="4">D4*$M$2</f>
        <v>1.4040023855025843</v>
      </c>
      <c r="N4">
        <f t="shared" ref="N4:N67" si="5">E4*0.4</f>
        <v>40</v>
      </c>
      <c r="O4">
        <f t="shared" ref="O4:O67" si="6">F4*$O$2</f>
        <v>0</v>
      </c>
      <c r="P4">
        <f t="shared" ref="P4:P67" si="7">J4*2</f>
        <v>0</v>
      </c>
    </row>
    <row r="5" spans="1:20" hidden="1" x14ac:dyDescent="0.3">
      <c r="A5" t="s">
        <v>11</v>
      </c>
      <c r="B5" t="s">
        <v>12</v>
      </c>
      <c r="C5" t="s">
        <v>13</v>
      </c>
      <c r="D5">
        <v>65.900000000000006</v>
      </c>
      <c r="E5">
        <v>35.700000000000003</v>
      </c>
      <c r="F5">
        <v>0</v>
      </c>
      <c r="G5" t="b">
        <v>0</v>
      </c>
      <c r="H5">
        <v>6</v>
      </c>
      <c r="I5">
        <v>0</v>
      </c>
      <c r="J5">
        <v>0</v>
      </c>
      <c r="K5">
        <v>140.1</v>
      </c>
      <c r="L5">
        <f t="shared" si="3"/>
        <v>16.916004478764112</v>
      </c>
      <c r="M5">
        <f t="shared" si="4"/>
        <v>2.6360044787641113</v>
      </c>
      <c r="N5">
        <f t="shared" si="5"/>
        <v>14.280000000000001</v>
      </c>
      <c r="O5">
        <f t="shared" si="6"/>
        <v>0</v>
      </c>
      <c r="P5">
        <f t="shared" si="7"/>
        <v>0</v>
      </c>
    </row>
    <row r="6" spans="1:20" hidden="1" x14ac:dyDescent="0.3">
      <c r="A6" t="s">
        <v>14</v>
      </c>
      <c r="B6" t="s">
        <v>15</v>
      </c>
      <c r="C6" t="s">
        <v>14</v>
      </c>
      <c r="D6">
        <v>35.1</v>
      </c>
      <c r="E6">
        <v>100</v>
      </c>
      <c r="F6">
        <v>8.6999999999999993</v>
      </c>
      <c r="G6" t="b">
        <v>0</v>
      </c>
      <c r="H6">
        <v>0</v>
      </c>
      <c r="I6">
        <v>1</v>
      </c>
      <c r="J6">
        <v>0</v>
      </c>
      <c r="K6">
        <v>137.1</v>
      </c>
      <c r="L6">
        <f t="shared" si="3"/>
        <v>41.404002385502586</v>
      </c>
      <c r="M6">
        <f t="shared" si="4"/>
        <v>1.4040023855025843</v>
      </c>
      <c r="N6">
        <f t="shared" si="5"/>
        <v>40</v>
      </c>
      <c r="O6">
        <f t="shared" si="6"/>
        <v>0</v>
      </c>
      <c r="P6">
        <f t="shared" si="7"/>
        <v>0</v>
      </c>
    </row>
    <row r="7" spans="1:20" hidden="1" x14ac:dyDescent="0.3">
      <c r="A7" t="s">
        <v>16</v>
      </c>
      <c r="B7" t="s">
        <v>17</v>
      </c>
      <c r="C7" t="s">
        <v>18</v>
      </c>
      <c r="D7">
        <v>35.299999999999997</v>
      </c>
      <c r="E7">
        <v>100</v>
      </c>
      <c r="F7">
        <v>15.9</v>
      </c>
      <c r="G7" t="b">
        <v>1</v>
      </c>
      <c r="H7">
        <v>0</v>
      </c>
      <c r="I7">
        <v>0</v>
      </c>
      <c r="J7">
        <v>1</v>
      </c>
      <c r="K7">
        <v>99.3</v>
      </c>
      <c r="L7">
        <f>SUM(M7:P7)</f>
        <v>43.412002399095194</v>
      </c>
      <c r="M7">
        <f>D7*$M$2</f>
        <v>1.4120023990951915</v>
      </c>
      <c r="N7">
        <f>E7*$N$2</f>
        <v>40</v>
      </c>
      <c r="O7">
        <f>F7*$O$2</f>
        <v>0</v>
      </c>
      <c r="P7">
        <f>J7*$P$2</f>
        <v>2</v>
      </c>
      <c r="T7" s="1">
        <f>L7-K7</f>
        <v>-55.887997600904804</v>
      </c>
    </row>
    <row r="8" spans="1:20" hidden="1" x14ac:dyDescent="0.3">
      <c r="A8" t="s">
        <v>16</v>
      </c>
      <c r="B8" t="s">
        <v>19</v>
      </c>
      <c r="C8" t="s">
        <v>20</v>
      </c>
      <c r="D8">
        <v>71.400000000000006</v>
      </c>
      <c r="E8">
        <v>100</v>
      </c>
      <c r="F8">
        <v>13.1</v>
      </c>
      <c r="G8" t="b">
        <v>1</v>
      </c>
      <c r="H8">
        <v>0</v>
      </c>
      <c r="I8">
        <v>0</v>
      </c>
      <c r="J8">
        <v>1</v>
      </c>
      <c r="K8">
        <v>144.30000000000001</v>
      </c>
      <c r="L8" s="3">
        <f>SUM(M8:P8)</f>
        <v>44.856004852560815</v>
      </c>
      <c r="M8">
        <f>D8*$M$2</f>
        <v>2.8560048525608126</v>
      </c>
      <c r="N8">
        <f>E8*$N$2</f>
        <v>40</v>
      </c>
      <c r="O8">
        <f>F8*$O$2</f>
        <v>0</v>
      </c>
      <c r="P8">
        <f>J8*$P$2</f>
        <v>2</v>
      </c>
      <c r="Q8" t="s">
        <v>602</v>
      </c>
      <c r="T8" s="1">
        <f>L8-K8</f>
        <v>-99.443995147439196</v>
      </c>
    </row>
    <row r="9" spans="1:20" hidden="1" x14ac:dyDescent="0.3">
      <c r="A9" t="s">
        <v>16</v>
      </c>
      <c r="B9" t="s">
        <v>21</v>
      </c>
      <c r="C9" t="s">
        <v>22</v>
      </c>
      <c r="D9">
        <v>19</v>
      </c>
      <c r="E9">
        <v>85.7</v>
      </c>
      <c r="F9">
        <v>8.4</v>
      </c>
      <c r="G9" t="b">
        <v>0</v>
      </c>
      <c r="H9">
        <v>3</v>
      </c>
      <c r="I9">
        <v>0</v>
      </c>
      <c r="J9">
        <v>0</v>
      </c>
      <c r="K9">
        <v>94.6</v>
      </c>
      <c r="L9">
        <f t="shared" si="3"/>
        <v>35.040001291297699</v>
      </c>
      <c r="M9">
        <f t="shared" si="4"/>
        <v>0.76000129129769523</v>
      </c>
      <c r="N9">
        <f t="shared" si="5"/>
        <v>34.28</v>
      </c>
      <c r="O9">
        <f t="shared" si="6"/>
        <v>0</v>
      </c>
      <c r="P9">
        <f t="shared" si="7"/>
        <v>0</v>
      </c>
    </row>
    <row r="10" spans="1:20" hidden="1" x14ac:dyDescent="0.3">
      <c r="A10" t="s">
        <v>16</v>
      </c>
      <c r="B10" t="s">
        <v>23</v>
      </c>
      <c r="C10" t="s">
        <v>24</v>
      </c>
      <c r="D10">
        <v>5.4</v>
      </c>
      <c r="E10">
        <v>85.7</v>
      </c>
      <c r="F10">
        <v>7.8</v>
      </c>
      <c r="G10" t="b">
        <v>0</v>
      </c>
      <c r="H10">
        <v>6</v>
      </c>
      <c r="I10">
        <v>0</v>
      </c>
      <c r="J10">
        <v>0</v>
      </c>
      <c r="K10">
        <v>62.4</v>
      </c>
      <c r="L10">
        <f t="shared" si="3"/>
        <v>34.496000367000399</v>
      </c>
      <c r="M10">
        <f t="shared" si="4"/>
        <v>0.2160003670003976</v>
      </c>
      <c r="N10">
        <f t="shared" si="5"/>
        <v>34.28</v>
      </c>
      <c r="O10">
        <f t="shared" si="6"/>
        <v>0</v>
      </c>
      <c r="P10">
        <f t="shared" si="7"/>
        <v>0</v>
      </c>
    </row>
    <row r="11" spans="1:20" hidden="1" x14ac:dyDescent="0.3">
      <c r="A11" t="s">
        <v>16</v>
      </c>
      <c r="B11" t="s">
        <v>25</v>
      </c>
      <c r="C11" t="s">
        <v>26</v>
      </c>
      <c r="D11">
        <v>19</v>
      </c>
      <c r="E11">
        <v>85.7</v>
      </c>
      <c r="F11">
        <v>6.5</v>
      </c>
      <c r="G11" t="b">
        <v>0</v>
      </c>
      <c r="H11">
        <v>3</v>
      </c>
      <c r="I11">
        <v>0</v>
      </c>
      <c r="J11">
        <v>0</v>
      </c>
      <c r="K11">
        <v>88.7</v>
      </c>
      <c r="L11">
        <f t="shared" si="3"/>
        <v>35.040001291297699</v>
      </c>
      <c r="M11">
        <f t="shared" si="4"/>
        <v>0.76000129129769523</v>
      </c>
      <c r="N11">
        <f t="shared" si="5"/>
        <v>34.28</v>
      </c>
      <c r="O11">
        <f t="shared" si="6"/>
        <v>0</v>
      </c>
      <c r="P11">
        <f t="shared" si="7"/>
        <v>0</v>
      </c>
    </row>
    <row r="12" spans="1:20" hidden="1" x14ac:dyDescent="0.3">
      <c r="A12" t="s">
        <v>16</v>
      </c>
      <c r="B12" t="s">
        <v>27</v>
      </c>
      <c r="C12" t="s">
        <v>28</v>
      </c>
      <c r="D12">
        <v>6.5</v>
      </c>
      <c r="E12">
        <v>40</v>
      </c>
      <c r="F12">
        <v>0</v>
      </c>
      <c r="G12" t="b">
        <v>0</v>
      </c>
      <c r="H12">
        <v>6</v>
      </c>
      <c r="I12">
        <v>0</v>
      </c>
      <c r="J12">
        <v>0</v>
      </c>
      <c r="K12">
        <v>23.1</v>
      </c>
      <c r="L12">
        <f t="shared" si="3"/>
        <v>16.260000441759736</v>
      </c>
      <c r="M12">
        <f t="shared" si="4"/>
        <v>0.2600004417597378</v>
      </c>
      <c r="N12">
        <f t="shared" si="5"/>
        <v>16</v>
      </c>
      <c r="O12">
        <f t="shared" si="6"/>
        <v>0</v>
      </c>
      <c r="P12">
        <f t="shared" si="7"/>
        <v>0</v>
      </c>
    </row>
    <row r="13" spans="1:20" hidden="1" x14ac:dyDescent="0.3">
      <c r="A13" t="s">
        <v>16</v>
      </c>
      <c r="B13" t="s">
        <v>29</v>
      </c>
      <c r="C13" t="s">
        <v>30</v>
      </c>
      <c r="D13">
        <v>4.8</v>
      </c>
      <c r="E13">
        <v>85.7</v>
      </c>
      <c r="F13">
        <v>0</v>
      </c>
      <c r="G13" t="b">
        <v>0</v>
      </c>
      <c r="H13">
        <v>6</v>
      </c>
      <c r="I13">
        <v>0</v>
      </c>
      <c r="J13">
        <v>0</v>
      </c>
      <c r="K13">
        <v>38</v>
      </c>
      <c r="L13">
        <f t="shared" si="3"/>
        <v>34.472000326222577</v>
      </c>
      <c r="M13">
        <f t="shared" si="4"/>
        <v>0.19200032622257562</v>
      </c>
      <c r="N13">
        <f t="shared" si="5"/>
        <v>34.28</v>
      </c>
      <c r="O13">
        <f t="shared" si="6"/>
        <v>0</v>
      </c>
      <c r="P13">
        <f t="shared" si="7"/>
        <v>0</v>
      </c>
    </row>
    <row r="14" spans="1:20" hidden="1" x14ac:dyDescent="0.3">
      <c r="A14" t="s">
        <v>16</v>
      </c>
      <c r="B14" t="s">
        <v>31</v>
      </c>
      <c r="C14" t="s">
        <v>32</v>
      </c>
      <c r="D14">
        <v>13</v>
      </c>
      <c r="E14">
        <v>19.399999999999999</v>
      </c>
      <c r="F14">
        <v>0</v>
      </c>
      <c r="G14" t="b">
        <v>0</v>
      </c>
      <c r="H14">
        <v>6</v>
      </c>
      <c r="I14">
        <v>0</v>
      </c>
      <c r="J14">
        <v>0</v>
      </c>
      <c r="K14">
        <v>27.8</v>
      </c>
      <c r="L14">
        <f t="shared" si="3"/>
        <v>8.2800008835194756</v>
      </c>
      <c r="M14">
        <f t="shared" si="4"/>
        <v>0.5200008835194756</v>
      </c>
      <c r="N14">
        <f t="shared" si="5"/>
        <v>7.76</v>
      </c>
      <c r="O14">
        <f t="shared" si="6"/>
        <v>0</v>
      </c>
      <c r="P14">
        <f t="shared" si="7"/>
        <v>0</v>
      </c>
    </row>
    <row r="15" spans="1:20" hidden="1" x14ac:dyDescent="0.3">
      <c r="A15" t="s">
        <v>16</v>
      </c>
      <c r="B15" t="s">
        <v>33</v>
      </c>
      <c r="C15" t="s">
        <v>34</v>
      </c>
      <c r="D15">
        <v>10.199999999999999</v>
      </c>
      <c r="E15">
        <v>100</v>
      </c>
      <c r="F15">
        <v>2.2000000000000002</v>
      </c>
      <c r="G15" t="b">
        <v>1</v>
      </c>
      <c r="H15">
        <v>0</v>
      </c>
      <c r="I15">
        <v>0</v>
      </c>
      <c r="J15">
        <v>1</v>
      </c>
      <c r="K15">
        <v>56.8</v>
      </c>
      <c r="L15">
        <f>SUM(M15:P15)</f>
        <v>42.408000693222974</v>
      </c>
      <c r="M15">
        <f>D15*$M$2</f>
        <v>0.40800069322297317</v>
      </c>
      <c r="N15">
        <f>E15*$N$2</f>
        <v>40</v>
      </c>
      <c r="O15">
        <f>F15*$O$2</f>
        <v>0</v>
      </c>
      <c r="P15">
        <f>J15*$P$2</f>
        <v>2</v>
      </c>
      <c r="T15" s="1">
        <f>L15-K15</f>
        <v>-14.391999306777024</v>
      </c>
    </row>
    <row r="16" spans="1:20" hidden="1" x14ac:dyDescent="0.3">
      <c r="A16" t="s">
        <v>16</v>
      </c>
      <c r="B16" t="s">
        <v>35</v>
      </c>
      <c r="C16" t="s">
        <v>36</v>
      </c>
      <c r="D16">
        <v>27.8</v>
      </c>
      <c r="E16">
        <v>10.7</v>
      </c>
      <c r="F16">
        <v>0</v>
      </c>
      <c r="G16" t="b">
        <v>0</v>
      </c>
      <c r="H16">
        <v>6</v>
      </c>
      <c r="I16">
        <v>0</v>
      </c>
      <c r="J16">
        <v>0</v>
      </c>
      <c r="K16">
        <v>54</v>
      </c>
      <c r="L16">
        <f t="shared" si="3"/>
        <v>5.392001889372418</v>
      </c>
      <c r="M16">
        <f t="shared" si="4"/>
        <v>1.1120018893724173</v>
      </c>
      <c r="N16">
        <f t="shared" si="5"/>
        <v>4.28</v>
      </c>
      <c r="O16">
        <f t="shared" si="6"/>
        <v>0</v>
      </c>
      <c r="P16">
        <f t="shared" si="7"/>
        <v>0</v>
      </c>
    </row>
    <row r="17" spans="1:16" hidden="1" x14ac:dyDescent="0.3">
      <c r="A17" t="s">
        <v>16</v>
      </c>
      <c r="B17" t="s">
        <v>37</v>
      </c>
      <c r="C17" t="s">
        <v>38</v>
      </c>
      <c r="D17">
        <v>20.6</v>
      </c>
      <c r="E17">
        <v>5.7</v>
      </c>
      <c r="F17">
        <v>0</v>
      </c>
      <c r="G17" t="b">
        <v>0</v>
      </c>
      <c r="H17">
        <v>6</v>
      </c>
      <c r="I17">
        <v>0</v>
      </c>
      <c r="J17">
        <v>0</v>
      </c>
      <c r="K17">
        <v>37.6</v>
      </c>
      <c r="L17">
        <f t="shared" si="3"/>
        <v>3.1040014000385541</v>
      </c>
      <c r="M17">
        <f t="shared" si="4"/>
        <v>0.82400140003855382</v>
      </c>
      <c r="N17">
        <f t="shared" si="5"/>
        <v>2.2800000000000002</v>
      </c>
      <c r="O17">
        <f t="shared" si="6"/>
        <v>0</v>
      </c>
      <c r="P17">
        <f t="shared" si="7"/>
        <v>0</v>
      </c>
    </row>
    <row r="18" spans="1:16" hidden="1" x14ac:dyDescent="0.3">
      <c r="A18" t="s">
        <v>16</v>
      </c>
      <c r="B18" t="s">
        <v>39</v>
      </c>
      <c r="C18" t="s">
        <v>40</v>
      </c>
      <c r="D18">
        <v>38.9</v>
      </c>
      <c r="E18">
        <v>8</v>
      </c>
      <c r="F18">
        <v>0</v>
      </c>
      <c r="G18" t="b">
        <v>0</v>
      </c>
      <c r="H18">
        <v>6</v>
      </c>
      <c r="I18">
        <v>0</v>
      </c>
      <c r="J18">
        <v>0</v>
      </c>
      <c r="K18">
        <v>75</v>
      </c>
      <c r="L18">
        <f t="shared" si="3"/>
        <v>4.7560026437621232</v>
      </c>
      <c r="M18">
        <f t="shared" si="4"/>
        <v>1.5560026437621233</v>
      </c>
      <c r="N18">
        <f t="shared" si="5"/>
        <v>3.2</v>
      </c>
      <c r="O18">
        <f t="shared" si="6"/>
        <v>0</v>
      </c>
      <c r="P18">
        <f t="shared" si="7"/>
        <v>0</v>
      </c>
    </row>
    <row r="19" spans="1:16" hidden="1" x14ac:dyDescent="0.3">
      <c r="A19" t="s">
        <v>16</v>
      </c>
      <c r="B19" t="s">
        <v>41</v>
      </c>
      <c r="C19" t="s">
        <v>42</v>
      </c>
      <c r="D19">
        <v>14.6</v>
      </c>
      <c r="E19">
        <v>23.1</v>
      </c>
      <c r="F19">
        <v>0</v>
      </c>
      <c r="G19" t="b">
        <v>0</v>
      </c>
      <c r="H19">
        <v>6</v>
      </c>
      <c r="I19">
        <v>0</v>
      </c>
      <c r="J19">
        <v>0</v>
      </c>
      <c r="K19">
        <v>32.5</v>
      </c>
      <c r="L19">
        <f t="shared" si="3"/>
        <v>9.8240009922603342</v>
      </c>
      <c r="M19">
        <f t="shared" si="4"/>
        <v>0.5840009922603342</v>
      </c>
      <c r="N19">
        <f t="shared" si="5"/>
        <v>9.24</v>
      </c>
      <c r="O19">
        <f t="shared" si="6"/>
        <v>0</v>
      </c>
      <c r="P19">
        <f t="shared" si="7"/>
        <v>0</v>
      </c>
    </row>
    <row r="20" spans="1:16" hidden="1" x14ac:dyDescent="0.3">
      <c r="A20" t="s">
        <v>16</v>
      </c>
      <c r="B20" t="s">
        <v>43</v>
      </c>
      <c r="C20" t="s">
        <v>44</v>
      </c>
      <c r="D20">
        <v>16.7</v>
      </c>
      <c r="E20">
        <v>22.2</v>
      </c>
      <c r="F20">
        <v>0</v>
      </c>
      <c r="G20" t="b">
        <v>0</v>
      </c>
      <c r="H20">
        <v>6</v>
      </c>
      <c r="I20">
        <v>0</v>
      </c>
      <c r="J20">
        <v>0</v>
      </c>
      <c r="K20">
        <v>36.200000000000003</v>
      </c>
      <c r="L20">
        <f t="shared" si="3"/>
        <v>9.5480011349827123</v>
      </c>
      <c r="M20">
        <f t="shared" si="4"/>
        <v>0.66800113498271096</v>
      </c>
      <c r="N20">
        <f t="shared" si="5"/>
        <v>8.8800000000000008</v>
      </c>
      <c r="O20">
        <f t="shared" si="6"/>
        <v>0</v>
      </c>
      <c r="P20">
        <f t="shared" si="7"/>
        <v>0</v>
      </c>
    </row>
    <row r="21" spans="1:16" hidden="1" x14ac:dyDescent="0.3">
      <c r="A21" t="s">
        <v>16</v>
      </c>
      <c r="B21" t="s">
        <v>45</v>
      </c>
      <c r="C21" t="s">
        <v>46</v>
      </c>
      <c r="D21">
        <v>15.4</v>
      </c>
      <c r="E21">
        <v>85.7</v>
      </c>
      <c r="F21">
        <v>2</v>
      </c>
      <c r="G21" t="b">
        <v>0</v>
      </c>
      <c r="H21">
        <v>6</v>
      </c>
      <c r="I21">
        <v>0</v>
      </c>
      <c r="J21">
        <v>0</v>
      </c>
      <c r="K21">
        <v>65.099999999999994</v>
      </c>
      <c r="L21">
        <f t="shared" si="3"/>
        <v>34.896001046630765</v>
      </c>
      <c r="M21">
        <f t="shared" si="4"/>
        <v>0.61600104663076349</v>
      </c>
      <c r="N21">
        <f t="shared" si="5"/>
        <v>34.28</v>
      </c>
      <c r="O21">
        <f t="shared" si="6"/>
        <v>0</v>
      </c>
      <c r="P21">
        <f t="shared" si="7"/>
        <v>0</v>
      </c>
    </row>
    <row r="22" spans="1:16" hidden="1" x14ac:dyDescent="0.3">
      <c r="A22" t="s">
        <v>16</v>
      </c>
      <c r="B22" t="s">
        <v>47</v>
      </c>
      <c r="C22" t="s">
        <v>48</v>
      </c>
      <c r="D22">
        <v>9.8000000000000007</v>
      </c>
      <c r="E22">
        <v>13</v>
      </c>
      <c r="F22">
        <v>0</v>
      </c>
      <c r="G22" t="b">
        <v>0</v>
      </c>
      <c r="H22">
        <v>6</v>
      </c>
      <c r="I22">
        <v>0</v>
      </c>
      <c r="J22">
        <v>0</v>
      </c>
      <c r="K22">
        <v>18.899999999999999</v>
      </c>
      <c r="L22">
        <f t="shared" si="3"/>
        <v>5.5920006660377588</v>
      </c>
      <c r="M22">
        <f t="shared" si="4"/>
        <v>0.39200066603775857</v>
      </c>
      <c r="N22">
        <f t="shared" si="5"/>
        <v>5.2</v>
      </c>
      <c r="O22">
        <f t="shared" si="6"/>
        <v>0</v>
      </c>
      <c r="P22">
        <f t="shared" si="7"/>
        <v>0</v>
      </c>
    </row>
    <row r="23" spans="1:16" hidden="1" x14ac:dyDescent="0.3">
      <c r="A23" t="s">
        <v>16</v>
      </c>
      <c r="B23" t="s">
        <v>49</v>
      </c>
      <c r="C23" t="s">
        <v>50</v>
      </c>
      <c r="D23">
        <v>24.4</v>
      </c>
      <c r="E23">
        <v>10</v>
      </c>
      <c r="F23">
        <v>0</v>
      </c>
      <c r="G23" t="b">
        <v>0</v>
      </c>
      <c r="H23">
        <v>6</v>
      </c>
      <c r="I23">
        <v>0</v>
      </c>
      <c r="J23">
        <v>0</v>
      </c>
      <c r="K23">
        <v>46.8</v>
      </c>
      <c r="L23">
        <f t="shared" si="3"/>
        <v>4.9760016582980926</v>
      </c>
      <c r="M23">
        <f t="shared" si="4"/>
        <v>0.97600165829809271</v>
      </c>
      <c r="N23">
        <f t="shared" si="5"/>
        <v>4</v>
      </c>
      <c r="O23">
        <f t="shared" si="6"/>
        <v>0</v>
      </c>
      <c r="P23">
        <f t="shared" si="7"/>
        <v>0</v>
      </c>
    </row>
    <row r="24" spans="1:16" hidden="1" x14ac:dyDescent="0.3">
      <c r="A24" t="s">
        <v>16</v>
      </c>
      <c r="B24" t="s">
        <v>51</v>
      </c>
      <c r="C24" t="s">
        <v>52</v>
      </c>
      <c r="D24">
        <v>31.9</v>
      </c>
      <c r="E24">
        <v>8.6</v>
      </c>
      <c r="F24">
        <v>0</v>
      </c>
      <c r="G24" t="b">
        <v>0</v>
      </c>
      <c r="H24">
        <v>6</v>
      </c>
      <c r="I24">
        <v>0</v>
      </c>
      <c r="J24">
        <v>0</v>
      </c>
      <c r="K24">
        <v>61.2</v>
      </c>
      <c r="L24">
        <f t="shared" si="3"/>
        <v>4.716002168020867</v>
      </c>
      <c r="M24">
        <f t="shared" si="4"/>
        <v>1.2760021680208671</v>
      </c>
      <c r="N24">
        <f t="shared" si="5"/>
        <v>3.44</v>
      </c>
      <c r="O24">
        <f t="shared" si="6"/>
        <v>0</v>
      </c>
      <c r="P24">
        <f t="shared" si="7"/>
        <v>0</v>
      </c>
    </row>
    <row r="25" spans="1:16" hidden="1" x14ac:dyDescent="0.3">
      <c r="A25" t="s">
        <v>16</v>
      </c>
      <c r="B25" t="s">
        <v>53</v>
      </c>
      <c r="C25" t="s">
        <v>54</v>
      </c>
      <c r="D25">
        <v>9.4</v>
      </c>
      <c r="E25">
        <v>75</v>
      </c>
      <c r="F25">
        <v>0</v>
      </c>
      <c r="G25" t="b">
        <v>0</v>
      </c>
      <c r="H25">
        <v>6</v>
      </c>
      <c r="I25">
        <v>0</v>
      </c>
      <c r="J25">
        <v>0</v>
      </c>
      <c r="K25">
        <v>42.9</v>
      </c>
      <c r="L25">
        <f t="shared" si="3"/>
        <v>30.376000638852545</v>
      </c>
      <c r="M25">
        <f t="shared" si="4"/>
        <v>0.37600063885254392</v>
      </c>
      <c r="N25">
        <f t="shared" si="5"/>
        <v>30</v>
      </c>
      <c r="O25">
        <f t="shared" si="6"/>
        <v>0</v>
      </c>
      <c r="P25">
        <f t="shared" si="7"/>
        <v>0</v>
      </c>
    </row>
    <row r="26" spans="1:16" hidden="1" x14ac:dyDescent="0.3">
      <c r="A26" t="s">
        <v>16</v>
      </c>
      <c r="B26" t="s">
        <v>55</v>
      </c>
      <c r="C26" t="s">
        <v>56</v>
      </c>
      <c r="D26">
        <v>13.3</v>
      </c>
      <c r="E26">
        <v>23.1</v>
      </c>
      <c r="F26">
        <v>0</v>
      </c>
      <c r="G26" t="b">
        <v>0</v>
      </c>
      <c r="H26">
        <v>6</v>
      </c>
      <c r="I26">
        <v>0</v>
      </c>
      <c r="J26">
        <v>0</v>
      </c>
      <c r="K26">
        <v>29.9</v>
      </c>
      <c r="L26">
        <f t="shared" si="3"/>
        <v>9.7720009039083866</v>
      </c>
      <c r="M26">
        <f t="shared" si="4"/>
        <v>0.53200090390838661</v>
      </c>
      <c r="N26">
        <f t="shared" si="5"/>
        <v>9.24</v>
      </c>
      <c r="O26">
        <f t="shared" si="6"/>
        <v>0</v>
      </c>
      <c r="P26">
        <f t="shared" si="7"/>
        <v>0</v>
      </c>
    </row>
    <row r="27" spans="1:16" hidden="1" x14ac:dyDescent="0.3">
      <c r="A27" t="s">
        <v>16</v>
      </c>
      <c r="B27" t="s">
        <v>57</v>
      </c>
      <c r="C27" t="s">
        <v>56</v>
      </c>
      <c r="D27">
        <v>13.3</v>
      </c>
      <c r="E27">
        <v>23.1</v>
      </c>
      <c r="F27">
        <v>0</v>
      </c>
      <c r="G27" t="b">
        <v>0</v>
      </c>
      <c r="H27">
        <v>6</v>
      </c>
      <c r="I27">
        <v>0</v>
      </c>
      <c r="J27">
        <v>0</v>
      </c>
      <c r="K27">
        <v>29.9</v>
      </c>
      <c r="L27">
        <f t="shared" si="3"/>
        <v>9.7720009039083866</v>
      </c>
      <c r="M27">
        <f t="shared" si="4"/>
        <v>0.53200090390838661</v>
      </c>
      <c r="N27">
        <f t="shared" si="5"/>
        <v>9.24</v>
      </c>
      <c r="O27">
        <f t="shared" si="6"/>
        <v>0</v>
      </c>
      <c r="P27">
        <f t="shared" si="7"/>
        <v>0</v>
      </c>
    </row>
    <row r="28" spans="1:16" hidden="1" x14ac:dyDescent="0.3">
      <c r="A28" t="s">
        <v>16</v>
      </c>
      <c r="B28" t="s">
        <v>58</v>
      </c>
      <c r="C28" t="s">
        <v>59</v>
      </c>
      <c r="D28">
        <v>28.6</v>
      </c>
      <c r="E28">
        <v>12.5</v>
      </c>
      <c r="F28">
        <v>0</v>
      </c>
      <c r="G28" t="b">
        <v>0</v>
      </c>
      <c r="H28">
        <v>6</v>
      </c>
      <c r="I28">
        <v>0</v>
      </c>
      <c r="J28">
        <v>0</v>
      </c>
      <c r="K28">
        <v>56.1</v>
      </c>
      <c r="L28">
        <f t="shared" si="3"/>
        <v>6.1440019437428468</v>
      </c>
      <c r="M28">
        <f t="shared" si="4"/>
        <v>1.1440019437428466</v>
      </c>
      <c r="N28">
        <f t="shared" si="5"/>
        <v>5</v>
      </c>
      <c r="O28">
        <f t="shared" si="6"/>
        <v>0</v>
      </c>
      <c r="P28">
        <f t="shared" si="7"/>
        <v>0</v>
      </c>
    </row>
    <row r="29" spans="1:16" hidden="1" x14ac:dyDescent="0.3">
      <c r="A29" t="s">
        <v>16</v>
      </c>
      <c r="B29" t="s">
        <v>60</v>
      </c>
      <c r="C29" t="s">
        <v>61</v>
      </c>
      <c r="D29">
        <v>43.2</v>
      </c>
      <c r="E29">
        <v>42.9</v>
      </c>
      <c r="F29">
        <v>2</v>
      </c>
      <c r="G29" t="b">
        <v>0</v>
      </c>
      <c r="H29">
        <v>3</v>
      </c>
      <c r="I29">
        <v>0</v>
      </c>
      <c r="J29">
        <v>0</v>
      </c>
      <c r="K29">
        <v>106.7</v>
      </c>
      <c r="L29">
        <f t="shared" si="3"/>
        <v>18.888002936003183</v>
      </c>
      <c r="M29">
        <f t="shared" si="4"/>
        <v>1.7280029360031808</v>
      </c>
      <c r="N29">
        <f t="shared" si="5"/>
        <v>17.16</v>
      </c>
      <c r="O29">
        <f t="shared" si="6"/>
        <v>0</v>
      </c>
      <c r="P29">
        <f t="shared" si="7"/>
        <v>0</v>
      </c>
    </row>
    <row r="30" spans="1:16" hidden="1" x14ac:dyDescent="0.3">
      <c r="A30" t="s">
        <v>16</v>
      </c>
      <c r="B30" t="s">
        <v>62</v>
      </c>
      <c r="C30" t="s">
        <v>63</v>
      </c>
      <c r="D30">
        <v>7.2</v>
      </c>
      <c r="E30">
        <v>85.7</v>
      </c>
      <c r="F30">
        <v>0</v>
      </c>
      <c r="G30" t="b">
        <v>0</v>
      </c>
      <c r="H30">
        <v>6</v>
      </c>
      <c r="I30">
        <v>0</v>
      </c>
      <c r="J30">
        <v>0</v>
      </c>
      <c r="K30">
        <v>42.6</v>
      </c>
      <c r="L30">
        <f t="shared" si="3"/>
        <v>34.568000489333862</v>
      </c>
      <c r="M30">
        <f t="shared" si="4"/>
        <v>0.28800048933386346</v>
      </c>
      <c r="N30">
        <f t="shared" si="5"/>
        <v>34.28</v>
      </c>
      <c r="O30">
        <f t="shared" si="6"/>
        <v>0</v>
      </c>
      <c r="P30">
        <f t="shared" si="7"/>
        <v>0</v>
      </c>
    </row>
    <row r="31" spans="1:16" hidden="1" x14ac:dyDescent="0.3">
      <c r="A31" t="s">
        <v>16</v>
      </c>
      <c r="B31" t="s">
        <v>64</v>
      </c>
      <c r="C31" t="s">
        <v>65</v>
      </c>
      <c r="D31">
        <v>25.6</v>
      </c>
      <c r="E31">
        <v>10.7</v>
      </c>
      <c r="F31">
        <v>0</v>
      </c>
      <c r="G31" t="b">
        <v>0</v>
      </c>
      <c r="H31">
        <v>6</v>
      </c>
      <c r="I31">
        <v>0</v>
      </c>
      <c r="J31">
        <v>0</v>
      </c>
      <c r="K31">
        <v>49.6</v>
      </c>
      <c r="L31">
        <f t="shared" si="3"/>
        <v>5.3040017398537369</v>
      </c>
      <c r="M31">
        <f t="shared" si="4"/>
        <v>1.0240017398537367</v>
      </c>
      <c r="N31">
        <f t="shared" si="5"/>
        <v>4.28</v>
      </c>
      <c r="O31">
        <f t="shared" si="6"/>
        <v>0</v>
      </c>
      <c r="P31">
        <f t="shared" si="7"/>
        <v>0</v>
      </c>
    </row>
    <row r="32" spans="1:16" hidden="1" x14ac:dyDescent="0.3">
      <c r="A32" t="s">
        <v>16</v>
      </c>
      <c r="B32" t="s">
        <v>66</v>
      </c>
      <c r="C32" t="s">
        <v>67</v>
      </c>
      <c r="D32">
        <v>15.9</v>
      </c>
      <c r="E32">
        <v>85.7</v>
      </c>
      <c r="F32">
        <v>12.6</v>
      </c>
      <c r="G32" t="b">
        <v>0</v>
      </c>
      <c r="H32">
        <v>6</v>
      </c>
      <c r="I32">
        <v>0</v>
      </c>
      <c r="J32">
        <v>0</v>
      </c>
      <c r="K32">
        <v>97.8</v>
      </c>
      <c r="L32">
        <f t="shared" si="3"/>
        <v>34.916001080612283</v>
      </c>
      <c r="M32">
        <f t="shared" si="4"/>
        <v>0.63600108061228178</v>
      </c>
      <c r="N32">
        <f t="shared" si="5"/>
        <v>34.28</v>
      </c>
      <c r="O32">
        <f t="shared" si="6"/>
        <v>0</v>
      </c>
      <c r="P32">
        <f t="shared" si="7"/>
        <v>0</v>
      </c>
    </row>
    <row r="33" spans="1:20" hidden="1" x14ac:dyDescent="0.3">
      <c r="A33" t="s">
        <v>16</v>
      </c>
      <c r="B33" t="s">
        <v>68</v>
      </c>
      <c r="C33" t="s">
        <v>69</v>
      </c>
      <c r="D33">
        <v>9.1999999999999993</v>
      </c>
      <c r="E33">
        <v>100</v>
      </c>
      <c r="F33">
        <v>12.4</v>
      </c>
      <c r="G33" t="b">
        <v>1</v>
      </c>
      <c r="H33">
        <v>0</v>
      </c>
      <c r="I33">
        <v>0</v>
      </c>
      <c r="J33">
        <v>1</v>
      </c>
      <c r="K33">
        <v>62.9</v>
      </c>
      <c r="L33">
        <f>SUM(M33:P33)</f>
        <v>42.368000625259938</v>
      </c>
      <c r="M33">
        <f>D33*$M$2</f>
        <v>0.3680006252599366</v>
      </c>
      <c r="N33">
        <f>E33*$N$2</f>
        <v>40</v>
      </c>
      <c r="O33">
        <f>F33*$O$2</f>
        <v>0</v>
      </c>
      <c r="P33">
        <f>J33*$P$2</f>
        <v>2</v>
      </c>
      <c r="T33" s="1">
        <f>L33-K33</f>
        <v>-20.53199937474006</v>
      </c>
    </row>
    <row r="34" spans="1:20" hidden="1" x14ac:dyDescent="0.3">
      <c r="A34" t="s">
        <v>16</v>
      </c>
      <c r="B34" t="s">
        <v>70</v>
      </c>
      <c r="C34" t="s">
        <v>71</v>
      </c>
      <c r="D34">
        <v>9.8000000000000007</v>
      </c>
      <c r="E34">
        <v>31.6</v>
      </c>
      <c r="F34">
        <v>2</v>
      </c>
      <c r="G34" t="b">
        <v>0</v>
      </c>
      <c r="H34">
        <v>6</v>
      </c>
      <c r="I34">
        <v>0</v>
      </c>
      <c r="J34">
        <v>0</v>
      </c>
      <c r="K34">
        <v>32.200000000000003</v>
      </c>
      <c r="L34">
        <f t="shared" si="3"/>
        <v>13.032000666037758</v>
      </c>
      <c r="M34">
        <f t="shared" si="4"/>
        <v>0.39200066603775857</v>
      </c>
      <c r="N34">
        <f t="shared" si="5"/>
        <v>12.64</v>
      </c>
      <c r="O34">
        <f t="shared" si="6"/>
        <v>0</v>
      </c>
      <c r="P34">
        <f t="shared" si="7"/>
        <v>0</v>
      </c>
    </row>
    <row r="35" spans="1:20" hidden="1" x14ac:dyDescent="0.3">
      <c r="A35" t="s">
        <v>16</v>
      </c>
      <c r="B35" t="s">
        <v>72</v>
      </c>
      <c r="C35" t="s">
        <v>73</v>
      </c>
      <c r="D35">
        <v>4.3</v>
      </c>
      <c r="E35">
        <v>85.7</v>
      </c>
      <c r="F35">
        <v>3.5</v>
      </c>
      <c r="G35" t="b">
        <v>0</v>
      </c>
      <c r="H35">
        <v>6</v>
      </c>
      <c r="I35">
        <v>0</v>
      </c>
      <c r="J35">
        <v>0</v>
      </c>
      <c r="K35">
        <v>47.5</v>
      </c>
      <c r="L35">
        <f t="shared" si="3"/>
        <v>34.45200029224106</v>
      </c>
      <c r="M35">
        <f t="shared" si="4"/>
        <v>0.17200029224105731</v>
      </c>
      <c r="N35">
        <f t="shared" si="5"/>
        <v>34.28</v>
      </c>
      <c r="O35">
        <f t="shared" si="6"/>
        <v>0</v>
      </c>
      <c r="P35">
        <f t="shared" si="7"/>
        <v>0</v>
      </c>
    </row>
    <row r="36" spans="1:20" hidden="1" x14ac:dyDescent="0.3">
      <c r="A36" t="s">
        <v>16</v>
      </c>
      <c r="B36" t="s">
        <v>74</v>
      </c>
      <c r="C36" t="s">
        <v>75</v>
      </c>
      <c r="D36">
        <v>7.4</v>
      </c>
      <c r="E36">
        <v>24</v>
      </c>
      <c r="F36">
        <v>2</v>
      </c>
      <c r="G36" t="b">
        <v>0</v>
      </c>
      <c r="H36">
        <v>6</v>
      </c>
      <c r="I36">
        <v>0</v>
      </c>
      <c r="J36">
        <v>0</v>
      </c>
      <c r="K36">
        <v>24.4</v>
      </c>
      <c r="L36">
        <f t="shared" si="3"/>
        <v>9.8960005029264728</v>
      </c>
      <c r="M36">
        <f t="shared" si="4"/>
        <v>0.29600050292647079</v>
      </c>
      <c r="N36">
        <f t="shared" si="5"/>
        <v>9.6000000000000014</v>
      </c>
      <c r="O36">
        <f t="shared" si="6"/>
        <v>0</v>
      </c>
      <c r="P36">
        <f t="shared" si="7"/>
        <v>0</v>
      </c>
    </row>
    <row r="37" spans="1:20" hidden="1" x14ac:dyDescent="0.3">
      <c r="A37" t="s">
        <v>16</v>
      </c>
      <c r="B37" t="s">
        <v>76</v>
      </c>
      <c r="C37" t="s">
        <v>77</v>
      </c>
      <c r="D37">
        <v>9.1</v>
      </c>
      <c r="E37">
        <v>27.3</v>
      </c>
      <c r="F37">
        <v>2</v>
      </c>
      <c r="G37" t="b">
        <v>0</v>
      </c>
      <c r="H37">
        <v>6</v>
      </c>
      <c r="I37">
        <v>0</v>
      </c>
      <c r="J37">
        <v>0</v>
      </c>
      <c r="K37">
        <v>29.1</v>
      </c>
      <c r="L37">
        <f t="shared" si="3"/>
        <v>11.284000618463635</v>
      </c>
      <c r="M37">
        <f t="shared" si="4"/>
        <v>0.36400061846363296</v>
      </c>
      <c r="N37">
        <f t="shared" si="5"/>
        <v>10.920000000000002</v>
      </c>
      <c r="O37">
        <f t="shared" si="6"/>
        <v>0</v>
      </c>
      <c r="P37">
        <f t="shared" si="7"/>
        <v>0</v>
      </c>
    </row>
    <row r="38" spans="1:20" hidden="1" x14ac:dyDescent="0.3">
      <c r="A38" t="s">
        <v>16</v>
      </c>
      <c r="B38" t="s">
        <v>78</v>
      </c>
      <c r="C38" t="s">
        <v>79</v>
      </c>
      <c r="D38">
        <v>9.8000000000000007</v>
      </c>
      <c r="E38">
        <v>31.6</v>
      </c>
      <c r="F38">
        <v>2</v>
      </c>
      <c r="G38" t="b">
        <v>0</v>
      </c>
      <c r="H38">
        <v>6</v>
      </c>
      <c r="I38">
        <v>0</v>
      </c>
      <c r="J38">
        <v>0</v>
      </c>
      <c r="K38">
        <v>32.200000000000003</v>
      </c>
      <c r="L38">
        <f t="shared" si="3"/>
        <v>13.032000666037758</v>
      </c>
      <c r="M38">
        <f t="shared" si="4"/>
        <v>0.39200066603775857</v>
      </c>
      <c r="N38">
        <f t="shared" si="5"/>
        <v>12.64</v>
      </c>
      <c r="O38">
        <f t="shared" si="6"/>
        <v>0</v>
      </c>
      <c r="P38">
        <f t="shared" si="7"/>
        <v>0</v>
      </c>
    </row>
    <row r="39" spans="1:20" hidden="1" x14ac:dyDescent="0.3">
      <c r="A39" t="s">
        <v>16</v>
      </c>
      <c r="B39" t="s">
        <v>80</v>
      </c>
      <c r="C39" t="s">
        <v>81</v>
      </c>
      <c r="D39">
        <v>9.1</v>
      </c>
      <c r="E39">
        <v>27.3</v>
      </c>
      <c r="F39">
        <v>2</v>
      </c>
      <c r="G39" t="b">
        <v>0</v>
      </c>
      <c r="H39">
        <v>6</v>
      </c>
      <c r="I39">
        <v>0</v>
      </c>
      <c r="J39">
        <v>0</v>
      </c>
      <c r="K39">
        <v>29.1</v>
      </c>
      <c r="L39">
        <f t="shared" si="3"/>
        <v>11.284000618463635</v>
      </c>
      <c r="M39">
        <f t="shared" si="4"/>
        <v>0.36400061846363296</v>
      </c>
      <c r="N39">
        <f t="shared" si="5"/>
        <v>10.920000000000002</v>
      </c>
      <c r="O39">
        <f t="shared" si="6"/>
        <v>0</v>
      </c>
      <c r="P39">
        <f t="shared" si="7"/>
        <v>0</v>
      </c>
    </row>
    <row r="40" spans="1:20" hidden="1" x14ac:dyDescent="0.3">
      <c r="A40" t="s">
        <v>16</v>
      </c>
      <c r="B40" t="s">
        <v>82</v>
      </c>
      <c r="C40" t="s">
        <v>83</v>
      </c>
      <c r="D40">
        <v>6.9</v>
      </c>
      <c r="E40">
        <v>25</v>
      </c>
      <c r="F40">
        <v>2</v>
      </c>
      <c r="G40" t="b">
        <v>0</v>
      </c>
      <c r="H40">
        <v>6</v>
      </c>
      <c r="I40">
        <v>0</v>
      </c>
      <c r="J40">
        <v>0</v>
      </c>
      <c r="K40">
        <v>23.8</v>
      </c>
      <c r="L40">
        <f t="shared" si="3"/>
        <v>10.276000468944952</v>
      </c>
      <c r="M40">
        <f t="shared" si="4"/>
        <v>0.27600046894495245</v>
      </c>
      <c r="N40">
        <f t="shared" si="5"/>
        <v>10</v>
      </c>
      <c r="O40">
        <f t="shared" si="6"/>
        <v>0</v>
      </c>
      <c r="P40">
        <f t="shared" si="7"/>
        <v>0</v>
      </c>
    </row>
    <row r="41" spans="1:20" hidden="1" x14ac:dyDescent="0.3">
      <c r="A41" t="s">
        <v>16</v>
      </c>
      <c r="B41" t="s">
        <v>84</v>
      </c>
      <c r="C41" t="s">
        <v>85</v>
      </c>
      <c r="D41">
        <v>7.3</v>
      </c>
      <c r="E41">
        <v>24</v>
      </c>
      <c r="F41">
        <v>2</v>
      </c>
      <c r="G41" t="b">
        <v>0</v>
      </c>
      <c r="H41">
        <v>6</v>
      </c>
      <c r="I41">
        <v>0</v>
      </c>
      <c r="J41">
        <v>0</v>
      </c>
      <c r="K41">
        <v>24.2</v>
      </c>
      <c r="L41">
        <f t="shared" si="3"/>
        <v>9.8920004961301693</v>
      </c>
      <c r="M41">
        <f t="shared" si="4"/>
        <v>0.2920004961301671</v>
      </c>
      <c r="N41">
        <f t="shared" si="5"/>
        <v>9.6000000000000014</v>
      </c>
      <c r="O41">
        <f t="shared" si="6"/>
        <v>0</v>
      </c>
      <c r="P41">
        <f t="shared" si="7"/>
        <v>0</v>
      </c>
    </row>
    <row r="42" spans="1:20" hidden="1" x14ac:dyDescent="0.3">
      <c r="A42" t="s">
        <v>16</v>
      </c>
      <c r="B42" t="s">
        <v>86</v>
      </c>
      <c r="C42" t="s">
        <v>87</v>
      </c>
      <c r="D42">
        <v>9.8000000000000007</v>
      </c>
      <c r="E42">
        <v>31.6</v>
      </c>
      <c r="F42">
        <v>2</v>
      </c>
      <c r="G42" t="b">
        <v>0</v>
      </c>
      <c r="H42">
        <v>6</v>
      </c>
      <c r="I42">
        <v>0</v>
      </c>
      <c r="J42">
        <v>0</v>
      </c>
      <c r="K42">
        <v>32.200000000000003</v>
      </c>
      <c r="L42">
        <f t="shared" si="3"/>
        <v>13.032000666037758</v>
      </c>
      <c r="M42">
        <f t="shared" si="4"/>
        <v>0.39200066603775857</v>
      </c>
      <c r="N42">
        <f t="shared" si="5"/>
        <v>12.64</v>
      </c>
      <c r="O42">
        <f t="shared" si="6"/>
        <v>0</v>
      </c>
      <c r="P42">
        <f t="shared" si="7"/>
        <v>0</v>
      </c>
    </row>
    <row r="43" spans="1:20" hidden="1" x14ac:dyDescent="0.3">
      <c r="A43" t="s">
        <v>16</v>
      </c>
      <c r="B43" t="s">
        <v>88</v>
      </c>
      <c r="C43" t="s">
        <v>89</v>
      </c>
      <c r="D43">
        <v>9.1999999999999993</v>
      </c>
      <c r="E43">
        <v>85.7</v>
      </c>
      <c r="F43">
        <v>0</v>
      </c>
      <c r="G43" t="b">
        <v>0</v>
      </c>
      <c r="H43">
        <v>6</v>
      </c>
      <c r="I43">
        <v>0</v>
      </c>
      <c r="J43">
        <v>0</v>
      </c>
      <c r="K43">
        <v>46.7</v>
      </c>
      <c r="L43">
        <f t="shared" si="3"/>
        <v>34.64800062525994</v>
      </c>
      <c r="M43">
        <f t="shared" si="4"/>
        <v>0.3680006252599366</v>
      </c>
      <c r="N43">
        <f t="shared" si="5"/>
        <v>34.28</v>
      </c>
      <c r="O43">
        <f t="shared" si="6"/>
        <v>0</v>
      </c>
      <c r="P43">
        <f t="shared" si="7"/>
        <v>0</v>
      </c>
    </row>
    <row r="44" spans="1:20" hidden="1" x14ac:dyDescent="0.3">
      <c r="A44" t="s">
        <v>16</v>
      </c>
      <c r="B44" t="s">
        <v>90</v>
      </c>
      <c r="C44" t="s">
        <v>91</v>
      </c>
      <c r="D44">
        <v>9.8000000000000007</v>
      </c>
      <c r="E44">
        <v>31.6</v>
      </c>
      <c r="F44">
        <v>2</v>
      </c>
      <c r="G44" t="b">
        <v>0</v>
      </c>
      <c r="H44">
        <v>6</v>
      </c>
      <c r="I44">
        <v>0</v>
      </c>
      <c r="J44">
        <v>0</v>
      </c>
      <c r="K44">
        <v>32.200000000000003</v>
      </c>
      <c r="L44">
        <f t="shared" si="3"/>
        <v>13.032000666037758</v>
      </c>
      <c r="M44">
        <f t="shared" si="4"/>
        <v>0.39200066603775857</v>
      </c>
      <c r="N44">
        <f t="shared" si="5"/>
        <v>12.64</v>
      </c>
      <c r="O44">
        <f t="shared" si="6"/>
        <v>0</v>
      </c>
      <c r="P44">
        <f t="shared" si="7"/>
        <v>0</v>
      </c>
    </row>
    <row r="45" spans="1:20" hidden="1" x14ac:dyDescent="0.3">
      <c r="A45" t="s">
        <v>16</v>
      </c>
      <c r="B45" t="s">
        <v>92</v>
      </c>
      <c r="C45" t="s">
        <v>93</v>
      </c>
      <c r="D45">
        <v>9.3000000000000007</v>
      </c>
      <c r="E45">
        <v>28.6</v>
      </c>
      <c r="F45">
        <v>2</v>
      </c>
      <c r="G45" t="b">
        <v>0</v>
      </c>
      <c r="H45">
        <v>6</v>
      </c>
      <c r="I45">
        <v>0</v>
      </c>
      <c r="J45">
        <v>0</v>
      </c>
      <c r="K45">
        <v>30.1</v>
      </c>
      <c r="L45">
        <f t="shared" si="3"/>
        <v>11.812000632056241</v>
      </c>
      <c r="M45">
        <f t="shared" si="4"/>
        <v>0.37200063205624029</v>
      </c>
      <c r="N45">
        <f t="shared" si="5"/>
        <v>11.440000000000001</v>
      </c>
      <c r="O45">
        <f t="shared" si="6"/>
        <v>0</v>
      </c>
      <c r="P45">
        <f t="shared" si="7"/>
        <v>0</v>
      </c>
    </row>
    <row r="46" spans="1:20" hidden="1" x14ac:dyDescent="0.3">
      <c r="A46" t="s">
        <v>16</v>
      </c>
      <c r="B46" t="s">
        <v>94</v>
      </c>
      <c r="C46" t="s">
        <v>95</v>
      </c>
      <c r="D46">
        <v>6.3</v>
      </c>
      <c r="E46">
        <v>28.6</v>
      </c>
      <c r="F46">
        <v>2</v>
      </c>
      <c r="G46" t="b">
        <v>0</v>
      </c>
      <c r="H46">
        <v>6</v>
      </c>
      <c r="I46">
        <v>0</v>
      </c>
      <c r="J46">
        <v>0</v>
      </c>
      <c r="K46">
        <v>24</v>
      </c>
      <c r="L46">
        <f t="shared" si="3"/>
        <v>11.692000428167132</v>
      </c>
      <c r="M46">
        <f t="shared" si="4"/>
        <v>0.25200042816713047</v>
      </c>
      <c r="N46">
        <f t="shared" si="5"/>
        <v>11.440000000000001</v>
      </c>
      <c r="O46">
        <f t="shared" si="6"/>
        <v>0</v>
      </c>
      <c r="P46">
        <f t="shared" si="7"/>
        <v>0</v>
      </c>
    </row>
    <row r="47" spans="1:20" hidden="1" x14ac:dyDescent="0.3">
      <c r="A47" t="s">
        <v>16</v>
      </c>
      <c r="B47" t="s">
        <v>96</v>
      </c>
      <c r="C47" t="s">
        <v>97</v>
      </c>
      <c r="D47">
        <v>5.0999999999999996</v>
      </c>
      <c r="E47">
        <v>28.6</v>
      </c>
      <c r="F47">
        <v>2</v>
      </c>
      <c r="G47" t="b">
        <v>0</v>
      </c>
      <c r="H47">
        <v>6</v>
      </c>
      <c r="I47">
        <v>0</v>
      </c>
      <c r="J47">
        <v>0</v>
      </c>
      <c r="K47">
        <v>21.6</v>
      </c>
      <c r="L47">
        <f t="shared" si="3"/>
        <v>11.644000346611488</v>
      </c>
      <c r="M47">
        <f t="shared" si="4"/>
        <v>0.20400034661148658</v>
      </c>
      <c r="N47">
        <f t="shared" si="5"/>
        <v>11.440000000000001</v>
      </c>
      <c r="O47">
        <f t="shared" si="6"/>
        <v>0</v>
      </c>
      <c r="P47">
        <f t="shared" si="7"/>
        <v>0</v>
      </c>
    </row>
    <row r="48" spans="1:20" hidden="1" x14ac:dyDescent="0.3">
      <c r="A48" t="s">
        <v>16</v>
      </c>
      <c r="B48" t="s">
        <v>98</v>
      </c>
      <c r="C48" t="s">
        <v>99</v>
      </c>
      <c r="D48">
        <v>9.5</v>
      </c>
      <c r="E48">
        <v>100</v>
      </c>
      <c r="F48">
        <v>2.2000000000000002</v>
      </c>
      <c r="G48" t="b">
        <v>1</v>
      </c>
      <c r="H48">
        <v>0</v>
      </c>
      <c r="I48">
        <v>0</v>
      </c>
      <c r="J48">
        <v>1</v>
      </c>
      <c r="K48">
        <v>56</v>
      </c>
      <c r="L48">
        <f>SUM(M48:P48)</f>
        <v>42.380000645648849</v>
      </c>
      <c r="M48">
        <f>D48*$M$2</f>
        <v>0.38000064564884761</v>
      </c>
      <c r="N48">
        <f>E48*$N$2</f>
        <v>40</v>
      </c>
      <c r="O48">
        <f>F48*$O$2</f>
        <v>0</v>
      </c>
      <c r="P48">
        <f>J48*$P$2</f>
        <v>2</v>
      </c>
      <c r="T48" s="1">
        <f>L48-K48</f>
        <v>-13.619999354351151</v>
      </c>
    </row>
    <row r="49" spans="1:20" hidden="1" x14ac:dyDescent="0.3">
      <c r="A49" t="s">
        <v>16</v>
      </c>
      <c r="B49" t="s">
        <v>100</v>
      </c>
      <c r="C49" t="s">
        <v>101</v>
      </c>
      <c r="D49">
        <v>5.3</v>
      </c>
      <c r="E49">
        <v>20</v>
      </c>
      <c r="F49">
        <v>2</v>
      </c>
      <c r="G49" t="b">
        <v>0</v>
      </c>
      <c r="H49">
        <v>3</v>
      </c>
      <c r="I49">
        <v>0</v>
      </c>
      <c r="J49">
        <v>0</v>
      </c>
      <c r="K49">
        <v>21.7</v>
      </c>
      <c r="L49">
        <f t="shared" si="3"/>
        <v>8.2120003602040939</v>
      </c>
      <c r="M49">
        <f t="shared" si="4"/>
        <v>0.21200036020409391</v>
      </c>
      <c r="N49">
        <f t="shared" si="5"/>
        <v>8</v>
      </c>
      <c r="O49">
        <f t="shared" si="6"/>
        <v>0</v>
      </c>
      <c r="P49">
        <f t="shared" si="7"/>
        <v>0</v>
      </c>
    </row>
    <row r="50" spans="1:20" hidden="1" x14ac:dyDescent="0.3">
      <c r="A50" t="s">
        <v>16</v>
      </c>
      <c r="B50" t="s">
        <v>102</v>
      </c>
      <c r="C50" t="s">
        <v>103</v>
      </c>
      <c r="D50">
        <v>36.700000000000003</v>
      </c>
      <c r="E50">
        <v>20</v>
      </c>
      <c r="F50">
        <v>2</v>
      </c>
      <c r="G50" t="b">
        <v>0</v>
      </c>
      <c r="H50">
        <v>3</v>
      </c>
      <c r="I50">
        <v>0</v>
      </c>
      <c r="J50">
        <v>0</v>
      </c>
      <c r="K50">
        <v>84.4</v>
      </c>
      <c r="L50">
        <f t="shared" si="3"/>
        <v>9.4680024942434429</v>
      </c>
      <c r="M50">
        <f t="shared" si="4"/>
        <v>1.4680024942434429</v>
      </c>
      <c r="N50">
        <f t="shared" si="5"/>
        <v>8</v>
      </c>
      <c r="O50">
        <f t="shared" si="6"/>
        <v>0</v>
      </c>
      <c r="P50">
        <f t="shared" si="7"/>
        <v>0</v>
      </c>
    </row>
    <row r="51" spans="1:20" hidden="1" x14ac:dyDescent="0.3">
      <c r="A51" t="s">
        <v>16</v>
      </c>
      <c r="B51" t="s">
        <v>104</v>
      </c>
      <c r="C51" t="s">
        <v>105</v>
      </c>
      <c r="D51">
        <v>37.700000000000003</v>
      </c>
      <c r="E51">
        <v>20</v>
      </c>
      <c r="F51">
        <v>2</v>
      </c>
      <c r="G51" t="b">
        <v>0</v>
      </c>
      <c r="H51">
        <v>3</v>
      </c>
      <c r="I51">
        <v>0</v>
      </c>
      <c r="J51">
        <v>0</v>
      </c>
      <c r="K51">
        <v>86.5</v>
      </c>
      <c r="L51">
        <f t="shared" si="3"/>
        <v>9.5080025622064799</v>
      </c>
      <c r="M51">
        <f t="shared" si="4"/>
        <v>1.5080025622064794</v>
      </c>
      <c r="N51">
        <f t="shared" si="5"/>
        <v>8</v>
      </c>
      <c r="O51">
        <f t="shared" si="6"/>
        <v>0</v>
      </c>
      <c r="P51">
        <f t="shared" si="7"/>
        <v>0</v>
      </c>
    </row>
    <row r="52" spans="1:20" hidden="1" x14ac:dyDescent="0.3">
      <c r="A52" t="s">
        <v>16</v>
      </c>
      <c r="B52" t="s">
        <v>106</v>
      </c>
      <c r="C52" t="s">
        <v>107</v>
      </c>
      <c r="D52">
        <v>5.0999999999999996</v>
      </c>
      <c r="E52">
        <v>20</v>
      </c>
      <c r="F52">
        <v>2</v>
      </c>
      <c r="G52" t="b">
        <v>0</v>
      </c>
      <c r="H52">
        <v>3</v>
      </c>
      <c r="I52">
        <v>0</v>
      </c>
      <c r="J52">
        <v>0</v>
      </c>
      <c r="K52">
        <v>21.2</v>
      </c>
      <c r="L52">
        <f t="shared" si="3"/>
        <v>8.2040003466114868</v>
      </c>
      <c r="M52">
        <f t="shared" si="4"/>
        <v>0.20400034661148658</v>
      </c>
      <c r="N52">
        <f t="shared" si="5"/>
        <v>8</v>
      </c>
      <c r="O52">
        <f t="shared" si="6"/>
        <v>0</v>
      </c>
      <c r="P52">
        <f t="shared" si="7"/>
        <v>0</v>
      </c>
    </row>
    <row r="53" spans="1:20" hidden="1" x14ac:dyDescent="0.3">
      <c r="A53" t="s">
        <v>108</v>
      </c>
      <c r="B53" t="s">
        <v>109</v>
      </c>
      <c r="C53" t="s">
        <v>108</v>
      </c>
      <c r="D53">
        <v>71.2</v>
      </c>
      <c r="E53">
        <v>100</v>
      </c>
      <c r="F53">
        <v>13</v>
      </c>
      <c r="G53" t="b">
        <v>0</v>
      </c>
      <c r="H53">
        <v>0</v>
      </c>
      <c r="I53">
        <v>1</v>
      </c>
      <c r="J53">
        <v>0</v>
      </c>
      <c r="K53">
        <v>222.4</v>
      </c>
      <c r="L53">
        <f t="shared" si="3"/>
        <v>42.848004838968208</v>
      </c>
      <c r="M53">
        <f t="shared" si="4"/>
        <v>2.8480048389682051</v>
      </c>
      <c r="N53">
        <f t="shared" si="5"/>
        <v>40</v>
      </c>
      <c r="O53">
        <f t="shared" si="6"/>
        <v>0</v>
      </c>
      <c r="P53">
        <f t="shared" si="7"/>
        <v>0</v>
      </c>
    </row>
    <row r="54" spans="1:20" hidden="1" x14ac:dyDescent="0.3">
      <c r="A54" t="s">
        <v>108</v>
      </c>
      <c r="B54" t="s">
        <v>110</v>
      </c>
      <c r="C54" t="s">
        <v>111</v>
      </c>
      <c r="D54">
        <v>56</v>
      </c>
      <c r="E54">
        <v>60</v>
      </c>
      <c r="F54">
        <v>0</v>
      </c>
      <c r="G54" t="b">
        <v>0</v>
      </c>
      <c r="H54">
        <v>6</v>
      </c>
      <c r="I54">
        <v>0</v>
      </c>
      <c r="J54">
        <v>0</v>
      </c>
      <c r="K54">
        <v>130</v>
      </c>
      <c r="L54">
        <f t="shared" si="3"/>
        <v>26.240003805930048</v>
      </c>
      <c r="M54">
        <f t="shared" si="4"/>
        <v>2.2400038059300491</v>
      </c>
      <c r="N54">
        <f t="shared" si="5"/>
        <v>24</v>
      </c>
      <c r="O54">
        <f t="shared" si="6"/>
        <v>0</v>
      </c>
      <c r="P54">
        <f t="shared" si="7"/>
        <v>0</v>
      </c>
    </row>
    <row r="55" spans="1:20" hidden="1" x14ac:dyDescent="0.3">
      <c r="A55" t="s">
        <v>108</v>
      </c>
      <c r="B55" t="s">
        <v>112</v>
      </c>
      <c r="C55" t="s">
        <v>113</v>
      </c>
      <c r="D55">
        <v>44.6</v>
      </c>
      <c r="E55">
        <v>56.8</v>
      </c>
      <c r="F55">
        <v>0</v>
      </c>
      <c r="G55" t="b">
        <v>0</v>
      </c>
      <c r="H55">
        <v>6</v>
      </c>
      <c r="I55">
        <v>0</v>
      </c>
      <c r="J55">
        <v>0</v>
      </c>
      <c r="K55">
        <v>106</v>
      </c>
      <c r="L55">
        <f t="shared" si="3"/>
        <v>24.504003031151431</v>
      </c>
      <c r="M55">
        <f t="shared" si="4"/>
        <v>1.7840030311514319</v>
      </c>
      <c r="N55">
        <f t="shared" si="5"/>
        <v>22.72</v>
      </c>
      <c r="O55">
        <f t="shared" si="6"/>
        <v>0</v>
      </c>
      <c r="P55">
        <f t="shared" si="7"/>
        <v>0</v>
      </c>
    </row>
    <row r="56" spans="1:20" hidden="1" x14ac:dyDescent="0.3">
      <c r="A56" t="s">
        <v>114</v>
      </c>
      <c r="B56" t="s">
        <v>115</v>
      </c>
      <c r="C56" t="s">
        <v>114</v>
      </c>
      <c r="D56">
        <v>37.700000000000003</v>
      </c>
      <c r="E56">
        <v>100</v>
      </c>
      <c r="F56">
        <v>16.2</v>
      </c>
      <c r="G56" t="b">
        <v>0</v>
      </c>
      <c r="H56">
        <v>0</v>
      </c>
      <c r="I56">
        <v>1</v>
      </c>
      <c r="J56">
        <v>0</v>
      </c>
      <c r="K56">
        <v>165</v>
      </c>
      <c r="L56">
        <f t="shared" si="3"/>
        <v>41.508002562206478</v>
      </c>
      <c r="M56">
        <f t="shared" si="4"/>
        <v>1.5080025622064794</v>
      </c>
      <c r="N56">
        <f t="shared" si="5"/>
        <v>40</v>
      </c>
      <c r="O56">
        <f t="shared" si="6"/>
        <v>0</v>
      </c>
      <c r="P56">
        <f t="shared" si="7"/>
        <v>0</v>
      </c>
    </row>
    <row r="57" spans="1:20" hidden="1" x14ac:dyDescent="0.3">
      <c r="A57" t="s">
        <v>114</v>
      </c>
      <c r="B57" t="s">
        <v>116</v>
      </c>
      <c r="C57" t="s">
        <v>117</v>
      </c>
      <c r="D57">
        <v>43.6</v>
      </c>
      <c r="E57">
        <v>62.1</v>
      </c>
      <c r="F57">
        <v>4.2</v>
      </c>
      <c r="G57" t="b">
        <v>0</v>
      </c>
      <c r="H57">
        <v>3</v>
      </c>
      <c r="I57">
        <v>0</v>
      </c>
      <c r="J57">
        <v>0</v>
      </c>
      <c r="K57">
        <v>121.7</v>
      </c>
      <c r="L57">
        <f t="shared" si="3"/>
        <v>26.5840029631884</v>
      </c>
      <c r="M57">
        <f t="shared" si="4"/>
        <v>1.7440029631883953</v>
      </c>
      <c r="N57">
        <f t="shared" si="5"/>
        <v>24.840000000000003</v>
      </c>
      <c r="O57">
        <f t="shared" si="6"/>
        <v>0</v>
      </c>
      <c r="P57">
        <f t="shared" si="7"/>
        <v>0</v>
      </c>
    </row>
    <row r="58" spans="1:20" hidden="1" x14ac:dyDescent="0.3">
      <c r="A58" s="2" t="s">
        <v>114</v>
      </c>
      <c r="B58" t="s">
        <v>118</v>
      </c>
      <c r="C58" t="s">
        <v>119</v>
      </c>
      <c r="D58">
        <v>30.6</v>
      </c>
      <c r="E58">
        <v>100</v>
      </c>
      <c r="F58">
        <v>0.1</v>
      </c>
      <c r="G58" t="b">
        <v>1</v>
      </c>
      <c r="H58">
        <v>0</v>
      </c>
      <c r="I58">
        <v>0</v>
      </c>
      <c r="J58">
        <v>1</v>
      </c>
      <c r="K58">
        <v>102.5</v>
      </c>
      <c r="L58">
        <f>SUM(M58:P58)</f>
        <v>102.5</v>
      </c>
      <c r="M58" s="2">
        <f>D58*$M$1</f>
        <v>61.2</v>
      </c>
      <c r="N58" s="2">
        <f>E58*$N$1</f>
        <v>40</v>
      </c>
      <c r="O58" s="2">
        <f>F58*$O$1</f>
        <v>0.30000000000000004</v>
      </c>
      <c r="P58" s="2">
        <f>J58*$P$1</f>
        <v>1</v>
      </c>
      <c r="T58" s="1">
        <f>L58-K58</f>
        <v>0</v>
      </c>
    </row>
    <row r="59" spans="1:20" hidden="1" x14ac:dyDescent="0.3">
      <c r="A59" t="s">
        <v>114</v>
      </c>
      <c r="B59" t="s">
        <v>120</v>
      </c>
      <c r="C59" t="s">
        <v>121</v>
      </c>
      <c r="D59">
        <v>39.299999999999997</v>
      </c>
      <c r="E59">
        <v>56.2</v>
      </c>
      <c r="F59">
        <v>9.8000000000000007</v>
      </c>
      <c r="G59" t="b">
        <v>0</v>
      </c>
      <c r="H59">
        <v>6</v>
      </c>
      <c r="I59">
        <v>0</v>
      </c>
      <c r="J59">
        <v>0</v>
      </c>
      <c r="K59">
        <v>124.5</v>
      </c>
      <c r="L59">
        <f t="shared" si="3"/>
        <v>24.052002670947342</v>
      </c>
      <c r="M59">
        <f t="shared" si="4"/>
        <v>1.5720026709473378</v>
      </c>
      <c r="N59">
        <f t="shared" si="5"/>
        <v>22.480000000000004</v>
      </c>
      <c r="O59">
        <f t="shared" si="6"/>
        <v>0</v>
      </c>
      <c r="P59">
        <f t="shared" si="7"/>
        <v>0</v>
      </c>
    </row>
    <row r="60" spans="1:20" hidden="1" x14ac:dyDescent="0.3">
      <c r="A60" t="s">
        <v>114</v>
      </c>
      <c r="B60" t="s">
        <v>122</v>
      </c>
      <c r="C60" t="s">
        <v>114</v>
      </c>
      <c r="D60">
        <v>52.9</v>
      </c>
      <c r="E60">
        <v>100</v>
      </c>
      <c r="F60">
        <v>0</v>
      </c>
      <c r="G60" t="b">
        <v>0</v>
      </c>
      <c r="H60">
        <v>0</v>
      </c>
      <c r="I60">
        <v>1</v>
      </c>
      <c r="J60">
        <v>0</v>
      </c>
      <c r="K60">
        <v>146.9</v>
      </c>
      <c r="L60">
        <f t="shared" si="3"/>
        <v>42.116003595244635</v>
      </c>
      <c r="M60">
        <f t="shared" si="4"/>
        <v>2.1160035952446354</v>
      </c>
      <c r="N60">
        <f t="shared" si="5"/>
        <v>40</v>
      </c>
      <c r="O60">
        <f t="shared" si="6"/>
        <v>0</v>
      </c>
      <c r="P60">
        <f t="shared" si="7"/>
        <v>0</v>
      </c>
    </row>
    <row r="61" spans="1:20" hidden="1" x14ac:dyDescent="0.3">
      <c r="A61" t="s">
        <v>114</v>
      </c>
      <c r="B61" t="s">
        <v>123</v>
      </c>
      <c r="C61" t="s">
        <v>124</v>
      </c>
      <c r="D61">
        <v>41.4</v>
      </c>
      <c r="E61">
        <v>64.3</v>
      </c>
      <c r="F61">
        <v>11.9</v>
      </c>
      <c r="G61" t="b">
        <v>0</v>
      </c>
      <c r="H61">
        <v>3</v>
      </c>
      <c r="I61">
        <v>0</v>
      </c>
      <c r="J61">
        <v>0</v>
      </c>
      <c r="K61">
        <v>141.1</v>
      </c>
      <c r="L61">
        <f t="shared" si="3"/>
        <v>27.376002813669714</v>
      </c>
      <c r="M61">
        <f t="shared" si="4"/>
        <v>1.6560028136697147</v>
      </c>
      <c r="N61">
        <f t="shared" si="5"/>
        <v>25.72</v>
      </c>
      <c r="O61">
        <f t="shared" si="6"/>
        <v>0</v>
      </c>
      <c r="P61">
        <f t="shared" si="7"/>
        <v>0</v>
      </c>
    </row>
    <row r="62" spans="1:20" hidden="1" x14ac:dyDescent="0.3">
      <c r="A62" t="s">
        <v>114</v>
      </c>
      <c r="B62" t="s">
        <v>125</v>
      </c>
      <c r="C62" t="s">
        <v>126</v>
      </c>
      <c r="D62">
        <v>38.6</v>
      </c>
      <c r="E62">
        <v>66.7</v>
      </c>
      <c r="F62">
        <v>7.1</v>
      </c>
      <c r="G62" t="b">
        <v>0</v>
      </c>
      <c r="H62">
        <v>6</v>
      </c>
      <c r="I62">
        <v>0</v>
      </c>
      <c r="J62">
        <v>0</v>
      </c>
      <c r="K62">
        <v>118.9</v>
      </c>
      <c r="L62">
        <f t="shared" si="3"/>
        <v>28.224002623373217</v>
      </c>
      <c r="M62">
        <f t="shared" si="4"/>
        <v>1.5440026233732123</v>
      </c>
      <c r="N62">
        <f t="shared" si="5"/>
        <v>26.680000000000003</v>
      </c>
      <c r="O62">
        <f t="shared" si="6"/>
        <v>0</v>
      </c>
      <c r="P62">
        <f t="shared" si="7"/>
        <v>0</v>
      </c>
    </row>
    <row r="63" spans="1:20" hidden="1" x14ac:dyDescent="0.3">
      <c r="A63" t="s">
        <v>114</v>
      </c>
      <c r="B63" t="s">
        <v>127</v>
      </c>
      <c r="C63" t="s">
        <v>128</v>
      </c>
      <c r="D63">
        <v>53</v>
      </c>
      <c r="E63">
        <v>62.1</v>
      </c>
      <c r="F63">
        <v>0</v>
      </c>
      <c r="G63" t="b">
        <v>0</v>
      </c>
      <c r="H63">
        <v>3</v>
      </c>
      <c r="I63">
        <v>0</v>
      </c>
      <c r="J63">
        <v>0</v>
      </c>
      <c r="K63">
        <v>127.9</v>
      </c>
      <c r="L63">
        <f t="shared" si="3"/>
        <v>26.960003602040942</v>
      </c>
      <c r="M63">
        <f t="shared" si="4"/>
        <v>2.120003602040939</v>
      </c>
      <c r="N63">
        <f t="shared" si="5"/>
        <v>24.840000000000003</v>
      </c>
      <c r="O63">
        <f t="shared" si="6"/>
        <v>0</v>
      </c>
      <c r="P63">
        <f t="shared" si="7"/>
        <v>0</v>
      </c>
    </row>
    <row r="64" spans="1:20" hidden="1" x14ac:dyDescent="0.3">
      <c r="A64" t="s">
        <v>114</v>
      </c>
      <c r="B64" t="s">
        <v>129</v>
      </c>
      <c r="C64" t="s">
        <v>130</v>
      </c>
      <c r="D64">
        <v>48.3</v>
      </c>
      <c r="E64">
        <v>69.2</v>
      </c>
      <c r="F64">
        <v>9.4</v>
      </c>
      <c r="G64" t="b">
        <v>0</v>
      </c>
      <c r="H64">
        <v>3</v>
      </c>
      <c r="I64">
        <v>0</v>
      </c>
      <c r="J64">
        <v>0</v>
      </c>
      <c r="K64">
        <v>149.4</v>
      </c>
      <c r="L64">
        <f t="shared" si="3"/>
        <v>29.612003282614669</v>
      </c>
      <c r="M64">
        <f t="shared" si="4"/>
        <v>1.9320032826146671</v>
      </c>
      <c r="N64">
        <f t="shared" si="5"/>
        <v>27.680000000000003</v>
      </c>
      <c r="O64">
        <f t="shared" si="6"/>
        <v>0</v>
      </c>
      <c r="P64">
        <f t="shared" si="7"/>
        <v>0</v>
      </c>
    </row>
    <row r="65" spans="1:16" hidden="1" x14ac:dyDescent="0.3">
      <c r="A65" t="s">
        <v>114</v>
      </c>
      <c r="B65" t="s">
        <v>131</v>
      </c>
      <c r="C65" t="s">
        <v>132</v>
      </c>
      <c r="D65">
        <v>36.9</v>
      </c>
      <c r="E65">
        <v>69.2</v>
      </c>
      <c r="F65">
        <v>8.1999999999999993</v>
      </c>
      <c r="G65" t="b">
        <v>0</v>
      </c>
      <c r="H65">
        <v>6</v>
      </c>
      <c r="I65">
        <v>0</v>
      </c>
      <c r="J65">
        <v>0</v>
      </c>
      <c r="K65">
        <v>120.3</v>
      </c>
      <c r="L65">
        <f t="shared" si="3"/>
        <v>29.156002507836053</v>
      </c>
      <c r="M65">
        <f t="shared" si="4"/>
        <v>1.4760025078360501</v>
      </c>
      <c r="N65">
        <f t="shared" si="5"/>
        <v>27.680000000000003</v>
      </c>
      <c r="O65">
        <f t="shared" si="6"/>
        <v>0</v>
      </c>
      <c r="P65">
        <f t="shared" si="7"/>
        <v>0</v>
      </c>
    </row>
    <row r="66" spans="1:16" hidden="1" x14ac:dyDescent="0.3">
      <c r="A66" t="s">
        <v>114</v>
      </c>
      <c r="B66" t="s">
        <v>133</v>
      </c>
      <c r="C66" t="s">
        <v>134</v>
      </c>
      <c r="D66">
        <v>35.299999999999997</v>
      </c>
      <c r="E66">
        <v>60</v>
      </c>
      <c r="F66">
        <v>6.2</v>
      </c>
      <c r="G66" t="b">
        <v>0</v>
      </c>
      <c r="H66">
        <v>3</v>
      </c>
      <c r="I66">
        <v>0</v>
      </c>
      <c r="J66">
        <v>0</v>
      </c>
      <c r="K66">
        <v>110.3</v>
      </c>
      <c r="L66">
        <f t="shared" si="3"/>
        <v>25.41200239909519</v>
      </c>
      <c r="M66">
        <f t="shared" si="4"/>
        <v>1.4120023990951915</v>
      </c>
      <c r="N66">
        <f t="shared" si="5"/>
        <v>24</v>
      </c>
      <c r="O66">
        <f t="shared" si="6"/>
        <v>0</v>
      </c>
      <c r="P66">
        <f t="shared" si="7"/>
        <v>0</v>
      </c>
    </row>
    <row r="67" spans="1:16" hidden="1" x14ac:dyDescent="0.3">
      <c r="A67" t="s">
        <v>114</v>
      </c>
      <c r="B67" t="s">
        <v>135</v>
      </c>
      <c r="C67" t="s">
        <v>136</v>
      </c>
      <c r="D67">
        <v>27.2</v>
      </c>
      <c r="E67">
        <v>50</v>
      </c>
      <c r="F67">
        <v>2</v>
      </c>
      <c r="G67" t="b">
        <v>0</v>
      </c>
      <c r="H67">
        <v>6</v>
      </c>
      <c r="I67">
        <v>0</v>
      </c>
      <c r="J67">
        <v>0</v>
      </c>
      <c r="K67">
        <v>74.400000000000006</v>
      </c>
      <c r="L67">
        <f t="shared" si="3"/>
        <v>21.088001848594594</v>
      </c>
      <c r="M67">
        <f t="shared" si="4"/>
        <v>1.0880018485945953</v>
      </c>
      <c r="N67">
        <f t="shared" si="5"/>
        <v>20</v>
      </c>
      <c r="O67">
        <f t="shared" si="6"/>
        <v>0</v>
      </c>
      <c r="P67">
        <f t="shared" si="7"/>
        <v>0</v>
      </c>
    </row>
    <row r="68" spans="1:16" hidden="1" x14ac:dyDescent="0.3">
      <c r="A68" t="s">
        <v>114</v>
      </c>
      <c r="B68" t="s">
        <v>137</v>
      </c>
      <c r="C68" t="s">
        <v>138</v>
      </c>
      <c r="D68">
        <v>47.4</v>
      </c>
      <c r="E68">
        <v>66.7</v>
      </c>
      <c r="F68">
        <v>2</v>
      </c>
      <c r="G68" t="b">
        <v>0</v>
      </c>
      <c r="H68">
        <v>3</v>
      </c>
      <c r="I68">
        <v>0</v>
      </c>
      <c r="J68">
        <v>0</v>
      </c>
      <c r="K68">
        <v>124.4</v>
      </c>
      <c r="L68">
        <f t="shared" ref="L68:L131" si="8">SUM(M68:Q68)</f>
        <v>28.576003221447937</v>
      </c>
      <c r="M68">
        <f t="shared" ref="M68:M131" si="9">D68*$M$2</f>
        <v>1.8960032214479343</v>
      </c>
      <c r="N68">
        <f t="shared" ref="N68:N131" si="10">E68*0.4</f>
        <v>26.680000000000003</v>
      </c>
      <c r="O68">
        <f t="shared" ref="O68:O131" si="11">F68*$O$2</f>
        <v>0</v>
      </c>
      <c r="P68">
        <f t="shared" ref="P68:P131" si="12">J68*2</f>
        <v>0</v>
      </c>
    </row>
    <row r="69" spans="1:16" hidden="1" x14ac:dyDescent="0.3">
      <c r="A69" t="s">
        <v>114</v>
      </c>
      <c r="B69" t="s">
        <v>139</v>
      </c>
      <c r="C69" t="s">
        <v>140</v>
      </c>
      <c r="D69">
        <v>32.6</v>
      </c>
      <c r="E69">
        <v>28.1</v>
      </c>
      <c r="F69">
        <v>0</v>
      </c>
      <c r="G69" t="b">
        <v>0</v>
      </c>
      <c r="H69">
        <v>6</v>
      </c>
      <c r="I69">
        <v>0</v>
      </c>
      <c r="J69">
        <v>0</v>
      </c>
      <c r="K69">
        <v>70.5</v>
      </c>
      <c r="L69">
        <f t="shared" si="8"/>
        <v>12.544002215594995</v>
      </c>
      <c r="M69">
        <f t="shared" si="9"/>
        <v>1.3040022155949929</v>
      </c>
      <c r="N69">
        <f t="shared" si="10"/>
        <v>11.240000000000002</v>
      </c>
      <c r="O69">
        <f t="shared" si="11"/>
        <v>0</v>
      </c>
      <c r="P69">
        <f t="shared" si="12"/>
        <v>0</v>
      </c>
    </row>
    <row r="70" spans="1:16" hidden="1" x14ac:dyDescent="0.3">
      <c r="A70" t="s">
        <v>114</v>
      </c>
      <c r="B70" t="s">
        <v>141</v>
      </c>
      <c r="C70" t="s">
        <v>142</v>
      </c>
      <c r="D70">
        <v>55.2</v>
      </c>
      <c r="E70">
        <v>78.3</v>
      </c>
      <c r="F70">
        <v>4.2</v>
      </c>
      <c r="G70" t="b">
        <v>0</v>
      </c>
      <c r="H70">
        <v>3</v>
      </c>
      <c r="I70">
        <v>0</v>
      </c>
      <c r="J70">
        <v>0</v>
      </c>
      <c r="K70">
        <v>151.30000000000001</v>
      </c>
      <c r="L70">
        <f t="shared" si="8"/>
        <v>33.528003751559623</v>
      </c>
      <c r="M70">
        <f t="shared" si="9"/>
        <v>2.2080037515596196</v>
      </c>
      <c r="N70">
        <f t="shared" si="10"/>
        <v>31.32</v>
      </c>
      <c r="O70">
        <f t="shared" si="11"/>
        <v>0</v>
      </c>
      <c r="P70">
        <f t="shared" si="12"/>
        <v>0</v>
      </c>
    </row>
    <row r="71" spans="1:16" hidden="1" x14ac:dyDescent="0.3">
      <c r="A71" t="s">
        <v>114</v>
      </c>
      <c r="B71" t="s">
        <v>143</v>
      </c>
      <c r="C71" t="s">
        <v>144</v>
      </c>
      <c r="D71">
        <v>46.2</v>
      </c>
      <c r="E71">
        <v>40.9</v>
      </c>
      <c r="F71">
        <v>0</v>
      </c>
      <c r="G71" t="b">
        <v>0</v>
      </c>
      <c r="H71">
        <v>6</v>
      </c>
      <c r="I71">
        <v>0</v>
      </c>
      <c r="J71">
        <v>0</v>
      </c>
      <c r="K71">
        <v>102.7</v>
      </c>
      <c r="L71">
        <f t="shared" si="8"/>
        <v>18.208003139892291</v>
      </c>
      <c r="M71">
        <f t="shared" si="9"/>
        <v>1.8480031398922905</v>
      </c>
      <c r="N71">
        <f t="shared" si="10"/>
        <v>16.36</v>
      </c>
      <c r="O71">
        <f t="shared" si="11"/>
        <v>0</v>
      </c>
      <c r="P71">
        <f t="shared" si="12"/>
        <v>0</v>
      </c>
    </row>
    <row r="72" spans="1:16" hidden="1" x14ac:dyDescent="0.3">
      <c r="A72" t="s">
        <v>114</v>
      </c>
      <c r="B72" t="s">
        <v>145</v>
      </c>
      <c r="C72" t="s">
        <v>146</v>
      </c>
      <c r="D72">
        <v>32</v>
      </c>
      <c r="E72">
        <v>23.7</v>
      </c>
      <c r="F72">
        <v>0</v>
      </c>
      <c r="G72" t="b">
        <v>0</v>
      </c>
      <c r="H72">
        <v>6</v>
      </c>
      <c r="I72">
        <v>0</v>
      </c>
      <c r="J72">
        <v>0</v>
      </c>
      <c r="K72">
        <v>67.5</v>
      </c>
      <c r="L72">
        <f t="shared" si="8"/>
        <v>10.760002174817171</v>
      </c>
      <c r="M72">
        <f t="shared" si="9"/>
        <v>1.2800021748171708</v>
      </c>
      <c r="N72">
        <f t="shared" si="10"/>
        <v>9.48</v>
      </c>
      <c r="O72">
        <f t="shared" si="11"/>
        <v>0</v>
      </c>
      <c r="P72">
        <f t="shared" si="12"/>
        <v>0</v>
      </c>
    </row>
    <row r="73" spans="1:16" hidden="1" x14ac:dyDescent="0.3">
      <c r="A73" t="s">
        <v>114</v>
      </c>
      <c r="B73" t="s">
        <v>147</v>
      </c>
      <c r="C73" t="s">
        <v>148</v>
      </c>
      <c r="D73">
        <v>34.5</v>
      </c>
      <c r="E73">
        <v>19.600000000000001</v>
      </c>
      <c r="F73">
        <v>0</v>
      </c>
      <c r="G73" t="b">
        <v>0</v>
      </c>
      <c r="H73">
        <v>6</v>
      </c>
      <c r="I73">
        <v>0</v>
      </c>
      <c r="J73">
        <v>0</v>
      </c>
      <c r="K73">
        <v>70.900000000000006</v>
      </c>
      <c r="L73">
        <f t="shared" si="8"/>
        <v>9.2200023447247634</v>
      </c>
      <c r="M73">
        <f t="shared" si="9"/>
        <v>1.3800023447247622</v>
      </c>
      <c r="N73">
        <f t="shared" si="10"/>
        <v>7.8400000000000007</v>
      </c>
      <c r="O73">
        <f t="shared" si="11"/>
        <v>0</v>
      </c>
      <c r="P73">
        <f t="shared" si="12"/>
        <v>0</v>
      </c>
    </row>
    <row r="74" spans="1:16" hidden="1" x14ac:dyDescent="0.3">
      <c r="A74" t="s">
        <v>114</v>
      </c>
      <c r="B74" t="s">
        <v>149</v>
      </c>
      <c r="C74" t="s">
        <v>150</v>
      </c>
      <c r="D74">
        <v>32.200000000000003</v>
      </c>
      <c r="E74">
        <v>25.4</v>
      </c>
      <c r="F74">
        <v>0</v>
      </c>
      <c r="G74" t="b">
        <v>0</v>
      </c>
      <c r="H74">
        <v>6</v>
      </c>
      <c r="I74">
        <v>0</v>
      </c>
      <c r="J74">
        <v>0</v>
      </c>
      <c r="K74">
        <v>68.5</v>
      </c>
      <c r="L74">
        <f t="shared" si="8"/>
        <v>11.448002188409779</v>
      </c>
      <c r="M74">
        <f t="shared" si="9"/>
        <v>1.2880021884097783</v>
      </c>
      <c r="N74">
        <f t="shared" si="10"/>
        <v>10.16</v>
      </c>
      <c r="O74">
        <f t="shared" si="11"/>
        <v>0</v>
      </c>
      <c r="P74">
        <f t="shared" si="12"/>
        <v>0</v>
      </c>
    </row>
    <row r="75" spans="1:16" hidden="1" x14ac:dyDescent="0.3">
      <c r="A75" t="s">
        <v>114</v>
      </c>
      <c r="B75" t="s">
        <v>151</v>
      </c>
      <c r="C75" t="s">
        <v>152</v>
      </c>
      <c r="D75">
        <v>51.6</v>
      </c>
      <c r="E75">
        <v>20.5</v>
      </c>
      <c r="F75">
        <v>0</v>
      </c>
      <c r="G75" t="b">
        <v>0</v>
      </c>
      <c r="H75">
        <v>6</v>
      </c>
      <c r="I75">
        <v>0</v>
      </c>
      <c r="J75">
        <v>0</v>
      </c>
      <c r="K75">
        <v>105.3</v>
      </c>
      <c r="L75">
        <f t="shared" si="8"/>
        <v>10.264003506892688</v>
      </c>
      <c r="M75">
        <f t="shared" si="9"/>
        <v>2.0640035068926879</v>
      </c>
      <c r="N75">
        <f t="shared" si="10"/>
        <v>8.2000000000000011</v>
      </c>
      <c r="O75">
        <f t="shared" si="11"/>
        <v>0</v>
      </c>
      <c r="P75">
        <f t="shared" si="12"/>
        <v>0</v>
      </c>
    </row>
    <row r="76" spans="1:16" hidden="1" x14ac:dyDescent="0.3">
      <c r="A76" t="s">
        <v>114</v>
      </c>
      <c r="B76" t="s">
        <v>153</v>
      </c>
      <c r="C76" t="s">
        <v>154</v>
      </c>
      <c r="D76">
        <v>34.5</v>
      </c>
      <c r="E76">
        <v>20.5</v>
      </c>
      <c r="F76">
        <v>0</v>
      </c>
      <c r="G76" t="b">
        <v>0</v>
      </c>
      <c r="H76">
        <v>6</v>
      </c>
      <c r="I76">
        <v>0</v>
      </c>
      <c r="J76">
        <v>0</v>
      </c>
      <c r="K76">
        <v>71.3</v>
      </c>
      <c r="L76">
        <f t="shared" si="8"/>
        <v>9.5800023447247629</v>
      </c>
      <c r="M76">
        <f t="shared" si="9"/>
        <v>1.3800023447247622</v>
      </c>
      <c r="N76">
        <f t="shared" si="10"/>
        <v>8.2000000000000011</v>
      </c>
      <c r="O76">
        <f t="shared" si="11"/>
        <v>0</v>
      </c>
      <c r="P76">
        <f t="shared" si="12"/>
        <v>0</v>
      </c>
    </row>
    <row r="77" spans="1:16" hidden="1" x14ac:dyDescent="0.3">
      <c r="A77" t="s">
        <v>114</v>
      </c>
      <c r="B77" t="s">
        <v>155</v>
      </c>
      <c r="C77" t="s">
        <v>156</v>
      </c>
      <c r="D77">
        <v>43.3</v>
      </c>
      <c r="E77">
        <v>35.299999999999997</v>
      </c>
      <c r="F77">
        <v>0</v>
      </c>
      <c r="G77" t="b">
        <v>0</v>
      </c>
      <c r="H77">
        <v>6</v>
      </c>
      <c r="I77">
        <v>0</v>
      </c>
      <c r="J77">
        <v>0</v>
      </c>
      <c r="K77">
        <v>94.8</v>
      </c>
      <c r="L77">
        <f t="shared" si="8"/>
        <v>15.852002942799484</v>
      </c>
      <c r="M77">
        <f t="shared" si="9"/>
        <v>1.7320029427994841</v>
      </c>
      <c r="N77">
        <f t="shared" si="10"/>
        <v>14.12</v>
      </c>
      <c r="O77">
        <f t="shared" si="11"/>
        <v>0</v>
      </c>
      <c r="P77">
        <f t="shared" si="12"/>
        <v>0</v>
      </c>
    </row>
    <row r="78" spans="1:16" hidden="1" x14ac:dyDescent="0.3">
      <c r="A78" t="s">
        <v>114</v>
      </c>
      <c r="B78" t="s">
        <v>157</v>
      </c>
      <c r="C78" t="s">
        <v>158</v>
      </c>
      <c r="D78">
        <v>40.5</v>
      </c>
      <c r="E78">
        <v>14.6</v>
      </c>
      <c r="F78">
        <v>0</v>
      </c>
      <c r="G78" t="b">
        <v>0</v>
      </c>
      <c r="H78">
        <v>6</v>
      </c>
      <c r="I78">
        <v>0</v>
      </c>
      <c r="J78">
        <v>0</v>
      </c>
      <c r="K78">
        <v>80.8</v>
      </c>
      <c r="L78">
        <f t="shared" si="8"/>
        <v>7.4600027525029819</v>
      </c>
      <c r="M78">
        <f t="shared" si="9"/>
        <v>1.6200027525029819</v>
      </c>
      <c r="N78">
        <f t="shared" si="10"/>
        <v>5.84</v>
      </c>
      <c r="O78">
        <f t="shared" si="11"/>
        <v>0</v>
      </c>
      <c r="P78">
        <f t="shared" si="12"/>
        <v>0</v>
      </c>
    </row>
    <row r="79" spans="1:16" hidden="1" x14ac:dyDescent="0.3">
      <c r="A79" t="s">
        <v>114</v>
      </c>
      <c r="B79" t="s">
        <v>159</v>
      </c>
      <c r="C79" t="s">
        <v>160</v>
      </c>
      <c r="D79">
        <v>48.1</v>
      </c>
      <c r="E79">
        <v>31</v>
      </c>
      <c r="F79">
        <v>0</v>
      </c>
      <c r="G79" t="b">
        <v>0</v>
      </c>
      <c r="H79">
        <v>6</v>
      </c>
      <c r="I79">
        <v>0</v>
      </c>
      <c r="J79">
        <v>0</v>
      </c>
      <c r="K79">
        <v>102.5</v>
      </c>
      <c r="L79">
        <f t="shared" si="8"/>
        <v>14.324003269022061</v>
      </c>
      <c r="M79">
        <f t="shared" si="9"/>
        <v>1.9240032690220599</v>
      </c>
      <c r="N79">
        <f t="shared" si="10"/>
        <v>12.4</v>
      </c>
      <c r="O79">
        <f t="shared" si="11"/>
        <v>0</v>
      </c>
      <c r="P79">
        <f t="shared" si="12"/>
        <v>0</v>
      </c>
    </row>
    <row r="80" spans="1:16" hidden="1" x14ac:dyDescent="0.3">
      <c r="A80" t="s">
        <v>114</v>
      </c>
      <c r="B80" t="s">
        <v>161</v>
      </c>
      <c r="C80" t="s">
        <v>134</v>
      </c>
      <c r="D80">
        <v>58.5</v>
      </c>
      <c r="E80">
        <v>60</v>
      </c>
      <c r="F80">
        <v>0</v>
      </c>
      <c r="G80" t="b">
        <v>0</v>
      </c>
      <c r="H80">
        <v>3</v>
      </c>
      <c r="I80">
        <v>0</v>
      </c>
      <c r="J80">
        <v>0</v>
      </c>
      <c r="K80">
        <v>138.1</v>
      </c>
      <c r="L80">
        <f t="shared" si="8"/>
        <v>26.340003975837639</v>
      </c>
      <c r="M80">
        <f t="shared" si="9"/>
        <v>2.3400039758376403</v>
      </c>
      <c r="N80">
        <f t="shared" si="10"/>
        <v>24</v>
      </c>
      <c r="O80">
        <f t="shared" si="11"/>
        <v>0</v>
      </c>
      <c r="P80">
        <f t="shared" si="12"/>
        <v>0</v>
      </c>
    </row>
    <row r="81" spans="1:20" hidden="1" x14ac:dyDescent="0.3">
      <c r="A81" t="s">
        <v>114</v>
      </c>
      <c r="B81" t="s">
        <v>162</v>
      </c>
      <c r="C81" t="s">
        <v>163</v>
      </c>
      <c r="D81">
        <v>27.1</v>
      </c>
      <c r="E81">
        <v>15.3</v>
      </c>
      <c r="F81">
        <v>0</v>
      </c>
      <c r="G81" t="b">
        <v>0</v>
      </c>
      <c r="H81">
        <v>6</v>
      </c>
      <c r="I81">
        <v>0</v>
      </c>
      <c r="J81">
        <v>0</v>
      </c>
      <c r="K81">
        <v>54.4</v>
      </c>
      <c r="L81">
        <f t="shared" si="8"/>
        <v>7.2040018417982923</v>
      </c>
      <c r="M81">
        <f t="shared" si="9"/>
        <v>1.0840018417982915</v>
      </c>
      <c r="N81">
        <f t="shared" si="10"/>
        <v>6.120000000000001</v>
      </c>
      <c r="O81">
        <f t="shared" si="11"/>
        <v>0</v>
      </c>
      <c r="P81">
        <f t="shared" si="12"/>
        <v>0</v>
      </c>
    </row>
    <row r="82" spans="1:20" hidden="1" x14ac:dyDescent="0.3">
      <c r="A82" t="s">
        <v>114</v>
      </c>
      <c r="B82" t="s">
        <v>164</v>
      </c>
      <c r="C82" t="s">
        <v>165</v>
      </c>
      <c r="D82">
        <v>29.3</v>
      </c>
      <c r="E82">
        <v>18.899999999999999</v>
      </c>
      <c r="F82">
        <v>0</v>
      </c>
      <c r="G82" t="b">
        <v>0</v>
      </c>
      <c r="H82">
        <v>6</v>
      </c>
      <c r="I82">
        <v>0</v>
      </c>
      <c r="J82">
        <v>0</v>
      </c>
      <c r="K82">
        <v>60.1</v>
      </c>
      <c r="L82">
        <f t="shared" si="8"/>
        <v>8.732001991316972</v>
      </c>
      <c r="M82">
        <f t="shared" si="9"/>
        <v>1.1720019913169721</v>
      </c>
      <c r="N82">
        <f t="shared" si="10"/>
        <v>7.56</v>
      </c>
      <c r="O82">
        <f t="shared" si="11"/>
        <v>0</v>
      </c>
      <c r="P82">
        <f t="shared" si="12"/>
        <v>0</v>
      </c>
    </row>
    <row r="83" spans="1:20" hidden="1" x14ac:dyDescent="0.3">
      <c r="A83" t="s">
        <v>114</v>
      </c>
      <c r="B83" t="s">
        <v>166</v>
      </c>
      <c r="C83" t="s">
        <v>167</v>
      </c>
      <c r="D83">
        <v>66.7</v>
      </c>
      <c r="E83">
        <v>64.3</v>
      </c>
      <c r="F83">
        <v>5.5</v>
      </c>
      <c r="G83" t="b">
        <v>0</v>
      </c>
      <c r="H83">
        <v>6</v>
      </c>
      <c r="I83">
        <v>0</v>
      </c>
      <c r="J83">
        <v>0</v>
      </c>
      <c r="K83">
        <v>169.6</v>
      </c>
      <c r="L83">
        <f t="shared" si="8"/>
        <v>28.388004533134538</v>
      </c>
      <c r="M83">
        <f t="shared" si="9"/>
        <v>2.6680045331345403</v>
      </c>
      <c r="N83">
        <f t="shared" si="10"/>
        <v>25.72</v>
      </c>
      <c r="O83">
        <f t="shared" si="11"/>
        <v>0</v>
      </c>
      <c r="P83">
        <f t="shared" si="12"/>
        <v>0</v>
      </c>
    </row>
    <row r="84" spans="1:20" hidden="1" x14ac:dyDescent="0.3">
      <c r="A84" t="s">
        <v>114</v>
      </c>
      <c r="B84" t="s">
        <v>168</v>
      </c>
      <c r="C84" t="s">
        <v>169</v>
      </c>
      <c r="D84">
        <v>31</v>
      </c>
      <c r="E84">
        <v>51.4</v>
      </c>
      <c r="F84">
        <v>4.2</v>
      </c>
      <c r="G84" t="b">
        <v>0</v>
      </c>
      <c r="H84">
        <v>6</v>
      </c>
      <c r="I84">
        <v>0</v>
      </c>
      <c r="J84">
        <v>0</v>
      </c>
      <c r="K84">
        <v>89.2</v>
      </c>
      <c r="L84">
        <f t="shared" si="8"/>
        <v>21.800002106854137</v>
      </c>
      <c r="M84">
        <f t="shared" si="9"/>
        <v>1.2400021068541343</v>
      </c>
      <c r="N84">
        <f t="shared" si="10"/>
        <v>20.560000000000002</v>
      </c>
      <c r="O84">
        <f t="shared" si="11"/>
        <v>0</v>
      </c>
      <c r="P84">
        <f t="shared" si="12"/>
        <v>0</v>
      </c>
    </row>
    <row r="85" spans="1:20" hidden="1" x14ac:dyDescent="0.3">
      <c r="A85" t="s">
        <v>114</v>
      </c>
      <c r="B85" t="s">
        <v>170</v>
      </c>
      <c r="C85" t="s">
        <v>171</v>
      </c>
      <c r="D85">
        <v>48.4</v>
      </c>
      <c r="E85">
        <v>66.7</v>
      </c>
      <c r="F85">
        <v>4.2</v>
      </c>
      <c r="G85" t="b">
        <v>0</v>
      </c>
      <c r="H85">
        <v>6</v>
      </c>
      <c r="I85">
        <v>0</v>
      </c>
      <c r="J85">
        <v>0</v>
      </c>
      <c r="K85">
        <v>130.1</v>
      </c>
      <c r="L85">
        <f t="shared" si="8"/>
        <v>28.616003289410973</v>
      </c>
      <c r="M85">
        <f t="shared" si="9"/>
        <v>1.9360032894109709</v>
      </c>
      <c r="N85">
        <f t="shared" si="10"/>
        <v>26.680000000000003</v>
      </c>
      <c r="O85">
        <f t="shared" si="11"/>
        <v>0</v>
      </c>
      <c r="P85">
        <f t="shared" si="12"/>
        <v>0</v>
      </c>
    </row>
    <row r="86" spans="1:20" hidden="1" x14ac:dyDescent="0.3">
      <c r="A86" t="s">
        <v>114</v>
      </c>
      <c r="B86" t="s">
        <v>172</v>
      </c>
      <c r="C86" t="s">
        <v>173</v>
      </c>
      <c r="D86">
        <v>52.2</v>
      </c>
      <c r="E86">
        <v>41.9</v>
      </c>
      <c r="F86">
        <v>2.2000000000000002</v>
      </c>
      <c r="G86" t="b">
        <v>0</v>
      </c>
      <c r="H86">
        <v>6</v>
      </c>
      <c r="I86">
        <v>0</v>
      </c>
      <c r="J86">
        <v>0</v>
      </c>
      <c r="K86">
        <v>121.8</v>
      </c>
      <c r="L86">
        <f t="shared" si="8"/>
        <v>18.848003547670512</v>
      </c>
      <c r="M86">
        <f t="shared" si="9"/>
        <v>2.0880035476705099</v>
      </c>
      <c r="N86">
        <f t="shared" si="10"/>
        <v>16.760000000000002</v>
      </c>
      <c r="O86">
        <f t="shared" si="11"/>
        <v>0</v>
      </c>
      <c r="P86">
        <f t="shared" si="12"/>
        <v>0</v>
      </c>
    </row>
    <row r="87" spans="1:20" hidden="1" x14ac:dyDescent="0.3">
      <c r="A87" t="s">
        <v>114</v>
      </c>
      <c r="B87" t="s">
        <v>174</v>
      </c>
      <c r="C87" t="s">
        <v>175</v>
      </c>
      <c r="D87">
        <v>38.299999999999997</v>
      </c>
      <c r="E87">
        <v>18.600000000000001</v>
      </c>
      <c r="F87">
        <v>0</v>
      </c>
      <c r="G87" t="b">
        <v>0</v>
      </c>
      <c r="H87">
        <v>6</v>
      </c>
      <c r="I87">
        <v>0</v>
      </c>
      <c r="J87">
        <v>0</v>
      </c>
      <c r="K87">
        <v>78.099999999999994</v>
      </c>
      <c r="L87">
        <f t="shared" si="8"/>
        <v>8.9720026029843023</v>
      </c>
      <c r="M87">
        <f t="shared" si="9"/>
        <v>1.5320026029843012</v>
      </c>
      <c r="N87">
        <f t="shared" si="10"/>
        <v>7.4400000000000013</v>
      </c>
      <c r="O87">
        <f t="shared" si="11"/>
        <v>0</v>
      </c>
      <c r="P87">
        <f t="shared" si="12"/>
        <v>0</v>
      </c>
    </row>
    <row r="88" spans="1:20" hidden="1" x14ac:dyDescent="0.3">
      <c r="A88" t="s">
        <v>114</v>
      </c>
      <c r="B88" t="s">
        <v>176</v>
      </c>
      <c r="C88" t="s">
        <v>177</v>
      </c>
      <c r="D88">
        <v>26.1</v>
      </c>
      <c r="E88">
        <v>52.9</v>
      </c>
      <c r="F88">
        <v>10.9</v>
      </c>
      <c r="G88" t="b">
        <v>0</v>
      </c>
      <c r="H88">
        <v>6</v>
      </c>
      <c r="I88">
        <v>0</v>
      </c>
      <c r="J88">
        <v>0</v>
      </c>
      <c r="K88">
        <v>100</v>
      </c>
      <c r="L88">
        <f t="shared" si="8"/>
        <v>22.204001773835255</v>
      </c>
      <c r="M88">
        <f t="shared" si="9"/>
        <v>1.0440017738352549</v>
      </c>
      <c r="N88">
        <f t="shared" si="10"/>
        <v>21.16</v>
      </c>
      <c r="O88">
        <f t="shared" si="11"/>
        <v>0</v>
      </c>
      <c r="P88">
        <f t="shared" si="12"/>
        <v>0</v>
      </c>
    </row>
    <row r="89" spans="1:20" hidden="1" x14ac:dyDescent="0.3">
      <c r="A89" t="s">
        <v>114</v>
      </c>
      <c r="B89" t="s">
        <v>178</v>
      </c>
      <c r="C89" t="s">
        <v>179</v>
      </c>
      <c r="D89">
        <v>49</v>
      </c>
      <c r="E89">
        <v>47.4</v>
      </c>
      <c r="F89">
        <v>9.1</v>
      </c>
      <c r="G89" t="b">
        <v>0</v>
      </c>
      <c r="H89">
        <v>6</v>
      </c>
      <c r="I89">
        <v>0</v>
      </c>
      <c r="J89">
        <v>0</v>
      </c>
      <c r="K89">
        <v>138.1</v>
      </c>
      <c r="L89">
        <f t="shared" si="8"/>
        <v>20.920003330188795</v>
      </c>
      <c r="M89">
        <f t="shared" si="9"/>
        <v>1.9600033301887929</v>
      </c>
      <c r="N89">
        <f t="shared" si="10"/>
        <v>18.96</v>
      </c>
      <c r="O89">
        <f t="shared" si="11"/>
        <v>0</v>
      </c>
      <c r="P89">
        <f t="shared" si="12"/>
        <v>0</v>
      </c>
    </row>
    <row r="90" spans="1:20" hidden="1" x14ac:dyDescent="0.3">
      <c r="A90" t="s">
        <v>114</v>
      </c>
      <c r="B90" t="s">
        <v>180</v>
      </c>
      <c r="C90" t="s">
        <v>181</v>
      </c>
      <c r="D90">
        <v>23.3</v>
      </c>
      <c r="E90">
        <v>41.9</v>
      </c>
      <c r="F90">
        <v>7.4</v>
      </c>
      <c r="G90" t="b">
        <v>0</v>
      </c>
      <c r="H90">
        <v>6</v>
      </c>
      <c r="I90">
        <v>0</v>
      </c>
      <c r="J90">
        <v>0</v>
      </c>
      <c r="K90">
        <v>79.5</v>
      </c>
      <c r="L90">
        <f t="shared" si="8"/>
        <v>17.692001583538755</v>
      </c>
      <c r="M90">
        <f t="shared" si="9"/>
        <v>0.93200158353875251</v>
      </c>
      <c r="N90">
        <f t="shared" si="10"/>
        <v>16.760000000000002</v>
      </c>
      <c r="O90">
        <f t="shared" si="11"/>
        <v>0</v>
      </c>
      <c r="P90">
        <f t="shared" si="12"/>
        <v>0</v>
      </c>
    </row>
    <row r="91" spans="1:20" hidden="1" x14ac:dyDescent="0.3">
      <c r="A91" t="s">
        <v>114</v>
      </c>
      <c r="B91" t="s">
        <v>182</v>
      </c>
      <c r="C91" t="s">
        <v>183</v>
      </c>
      <c r="D91">
        <v>36.4</v>
      </c>
      <c r="E91">
        <v>66.7</v>
      </c>
      <c r="F91">
        <v>12</v>
      </c>
      <c r="G91" t="b">
        <v>0</v>
      </c>
      <c r="H91">
        <v>3</v>
      </c>
      <c r="I91">
        <v>0</v>
      </c>
      <c r="J91">
        <v>0</v>
      </c>
      <c r="K91">
        <v>132.5</v>
      </c>
      <c r="L91">
        <f t="shared" si="8"/>
        <v>28.136002473854536</v>
      </c>
      <c r="M91">
        <f t="shared" si="9"/>
        <v>1.4560024738545319</v>
      </c>
      <c r="N91">
        <f t="shared" si="10"/>
        <v>26.680000000000003</v>
      </c>
      <c r="O91">
        <f t="shared" si="11"/>
        <v>0</v>
      </c>
      <c r="P91">
        <f t="shared" si="12"/>
        <v>0</v>
      </c>
    </row>
    <row r="92" spans="1:20" hidden="1" x14ac:dyDescent="0.3">
      <c r="A92" s="2" t="s">
        <v>114</v>
      </c>
      <c r="B92" t="s">
        <v>184</v>
      </c>
      <c r="C92" t="s">
        <v>185</v>
      </c>
      <c r="D92">
        <v>28.6</v>
      </c>
      <c r="E92">
        <v>100</v>
      </c>
      <c r="F92">
        <v>9.6999999999999993</v>
      </c>
      <c r="G92" t="b">
        <v>1</v>
      </c>
      <c r="H92">
        <v>0</v>
      </c>
      <c r="I92">
        <v>0</v>
      </c>
      <c r="J92">
        <v>1</v>
      </c>
      <c r="K92">
        <v>127.2</v>
      </c>
      <c r="L92">
        <f>SUM(M92:P92)</f>
        <v>127.3</v>
      </c>
      <c r="M92" s="2">
        <f>D92*$M$1</f>
        <v>57.2</v>
      </c>
      <c r="N92" s="2">
        <f>E92*$N$1</f>
        <v>40</v>
      </c>
      <c r="O92" s="2">
        <f>F92*$O$1</f>
        <v>29.099999999999998</v>
      </c>
      <c r="P92" s="2">
        <f>J92*$P$1</f>
        <v>1</v>
      </c>
      <c r="T92" s="1">
        <f>L92-K92</f>
        <v>9.9999999999994316E-2</v>
      </c>
    </row>
    <row r="93" spans="1:20" hidden="1" x14ac:dyDescent="0.3">
      <c r="A93" t="s">
        <v>114</v>
      </c>
      <c r="B93" t="s">
        <v>186</v>
      </c>
      <c r="C93" t="s">
        <v>187</v>
      </c>
      <c r="D93">
        <v>16</v>
      </c>
      <c r="E93">
        <v>62.1</v>
      </c>
      <c r="F93">
        <v>9.6999999999999993</v>
      </c>
      <c r="G93" t="b">
        <v>0</v>
      </c>
      <c r="H93">
        <v>6</v>
      </c>
      <c r="I93">
        <v>0</v>
      </c>
      <c r="J93">
        <v>0</v>
      </c>
      <c r="K93">
        <v>79.900000000000006</v>
      </c>
      <c r="L93">
        <f t="shared" si="8"/>
        <v>25.480001087408588</v>
      </c>
      <c r="M93">
        <f t="shared" si="9"/>
        <v>0.64000108740858541</v>
      </c>
      <c r="N93">
        <f t="shared" si="10"/>
        <v>24.840000000000003</v>
      </c>
      <c r="O93">
        <f t="shared" si="11"/>
        <v>0</v>
      </c>
      <c r="P93">
        <f t="shared" si="12"/>
        <v>0</v>
      </c>
    </row>
    <row r="94" spans="1:20" hidden="1" x14ac:dyDescent="0.3">
      <c r="A94" t="s">
        <v>114</v>
      </c>
      <c r="B94" t="s">
        <v>188</v>
      </c>
      <c r="C94" t="s">
        <v>189</v>
      </c>
      <c r="D94">
        <v>25.5</v>
      </c>
      <c r="E94">
        <v>24.7</v>
      </c>
      <c r="F94">
        <v>0</v>
      </c>
      <c r="G94" t="b">
        <v>0</v>
      </c>
      <c r="H94">
        <v>6</v>
      </c>
      <c r="I94">
        <v>0</v>
      </c>
      <c r="J94">
        <v>0</v>
      </c>
      <c r="K94">
        <v>54.9</v>
      </c>
      <c r="L94">
        <f t="shared" si="8"/>
        <v>10.900001733057433</v>
      </c>
      <c r="M94">
        <f t="shared" si="9"/>
        <v>1.0200017330574329</v>
      </c>
      <c r="N94">
        <f t="shared" si="10"/>
        <v>9.8800000000000008</v>
      </c>
      <c r="O94">
        <f t="shared" si="11"/>
        <v>0</v>
      </c>
      <c r="P94">
        <f t="shared" si="12"/>
        <v>0</v>
      </c>
    </row>
    <row r="95" spans="1:20" hidden="1" x14ac:dyDescent="0.3">
      <c r="A95" t="s">
        <v>114</v>
      </c>
      <c r="B95" t="s">
        <v>190</v>
      </c>
      <c r="C95" t="s">
        <v>191</v>
      </c>
      <c r="D95">
        <v>27.8</v>
      </c>
      <c r="E95">
        <v>20</v>
      </c>
      <c r="F95">
        <v>0</v>
      </c>
      <c r="G95" t="b">
        <v>0</v>
      </c>
      <c r="H95">
        <v>6</v>
      </c>
      <c r="I95">
        <v>0</v>
      </c>
      <c r="J95">
        <v>0</v>
      </c>
      <c r="K95">
        <v>57.7</v>
      </c>
      <c r="L95">
        <f t="shared" si="8"/>
        <v>9.1120018893724168</v>
      </c>
      <c r="M95">
        <f t="shared" si="9"/>
        <v>1.1120018893724173</v>
      </c>
      <c r="N95">
        <f t="shared" si="10"/>
        <v>8</v>
      </c>
      <c r="O95">
        <f t="shared" si="11"/>
        <v>0</v>
      </c>
      <c r="P95">
        <f t="shared" si="12"/>
        <v>0</v>
      </c>
    </row>
    <row r="96" spans="1:20" hidden="1" x14ac:dyDescent="0.3">
      <c r="A96" t="s">
        <v>192</v>
      </c>
      <c r="B96" t="s">
        <v>193</v>
      </c>
      <c r="C96" t="s">
        <v>194</v>
      </c>
      <c r="D96">
        <v>25.8</v>
      </c>
      <c r="E96">
        <v>26.1</v>
      </c>
      <c r="F96">
        <v>6.5</v>
      </c>
      <c r="G96" t="b">
        <v>0</v>
      </c>
      <c r="H96">
        <v>6</v>
      </c>
      <c r="I96">
        <v>0</v>
      </c>
      <c r="J96">
        <v>0</v>
      </c>
      <c r="K96">
        <v>75.400000000000006</v>
      </c>
      <c r="L96">
        <f t="shared" si="8"/>
        <v>11.472001753446346</v>
      </c>
      <c r="M96">
        <f t="shared" si="9"/>
        <v>1.0320017534463439</v>
      </c>
      <c r="N96">
        <f t="shared" si="10"/>
        <v>10.440000000000001</v>
      </c>
      <c r="O96">
        <f t="shared" si="11"/>
        <v>0</v>
      </c>
      <c r="P96">
        <f t="shared" si="12"/>
        <v>0</v>
      </c>
    </row>
    <row r="97" spans="1:20" hidden="1" x14ac:dyDescent="0.3">
      <c r="A97" t="s">
        <v>192</v>
      </c>
      <c r="B97" t="s">
        <v>195</v>
      </c>
      <c r="C97" t="s">
        <v>196</v>
      </c>
      <c r="D97">
        <v>9.8000000000000007</v>
      </c>
      <c r="E97">
        <v>24</v>
      </c>
      <c r="F97">
        <v>11.4</v>
      </c>
      <c r="G97" t="b">
        <v>0</v>
      </c>
      <c r="H97">
        <v>6</v>
      </c>
      <c r="I97">
        <v>0</v>
      </c>
      <c r="J97">
        <v>0</v>
      </c>
      <c r="K97">
        <v>57.5</v>
      </c>
      <c r="L97">
        <f t="shared" si="8"/>
        <v>9.9920006660377592</v>
      </c>
      <c r="M97">
        <f t="shared" si="9"/>
        <v>0.39200066603775857</v>
      </c>
      <c r="N97">
        <f t="shared" si="10"/>
        <v>9.6000000000000014</v>
      </c>
      <c r="O97">
        <f t="shared" si="11"/>
        <v>0</v>
      </c>
      <c r="P97">
        <f t="shared" si="12"/>
        <v>0</v>
      </c>
    </row>
    <row r="98" spans="1:20" hidden="1" x14ac:dyDescent="0.3">
      <c r="A98" t="s">
        <v>192</v>
      </c>
      <c r="B98" t="s">
        <v>197</v>
      </c>
      <c r="C98" t="s">
        <v>198</v>
      </c>
      <c r="D98">
        <v>22.4</v>
      </c>
      <c r="E98">
        <v>31.6</v>
      </c>
      <c r="F98">
        <v>2</v>
      </c>
      <c r="G98" t="b">
        <v>0</v>
      </c>
      <c r="H98">
        <v>6</v>
      </c>
      <c r="I98">
        <v>0</v>
      </c>
      <c r="J98">
        <v>0</v>
      </c>
      <c r="K98">
        <v>57.6</v>
      </c>
      <c r="L98">
        <f t="shared" si="8"/>
        <v>13.53600152237202</v>
      </c>
      <c r="M98">
        <f t="shared" si="9"/>
        <v>0.89600152237201947</v>
      </c>
      <c r="N98">
        <f t="shared" si="10"/>
        <v>12.64</v>
      </c>
      <c r="O98">
        <f t="shared" si="11"/>
        <v>0</v>
      </c>
      <c r="P98">
        <f t="shared" si="12"/>
        <v>0</v>
      </c>
    </row>
    <row r="99" spans="1:20" hidden="1" x14ac:dyDescent="0.3">
      <c r="A99" t="s">
        <v>192</v>
      </c>
      <c r="B99" t="s">
        <v>199</v>
      </c>
      <c r="C99" t="s">
        <v>200</v>
      </c>
      <c r="D99">
        <v>10.3</v>
      </c>
      <c r="E99">
        <v>100</v>
      </c>
      <c r="F99">
        <v>11.7</v>
      </c>
      <c r="G99" t="b">
        <v>1</v>
      </c>
      <c r="H99">
        <v>0</v>
      </c>
      <c r="I99">
        <v>0</v>
      </c>
      <c r="J99">
        <v>1</v>
      </c>
      <c r="K99">
        <v>63.8</v>
      </c>
      <c r="L99">
        <f t="shared" ref="L99:L101" si="13">SUM(M99:P99)</f>
        <v>42.412000700019277</v>
      </c>
      <c r="M99">
        <f t="shared" si="9"/>
        <v>0.41200070001927691</v>
      </c>
      <c r="N99">
        <f t="shared" ref="N99:N101" si="14">E99*$N$2</f>
        <v>40</v>
      </c>
      <c r="O99">
        <f t="shared" si="11"/>
        <v>0</v>
      </c>
      <c r="P99">
        <f t="shared" ref="P99:P101" si="15">J99*$P$2</f>
        <v>2</v>
      </c>
      <c r="T99" s="1">
        <f t="shared" ref="T99:T101" si="16">L99-K99</f>
        <v>-21.38799929998072</v>
      </c>
    </row>
    <row r="100" spans="1:20" hidden="1" x14ac:dyDescent="0.3">
      <c r="A100" t="s">
        <v>192</v>
      </c>
      <c r="B100" t="s">
        <v>201</v>
      </c>
      <c r="C100" t="s">
        <v>202</v>
      </c>
      <c r="D100">
        <v>19.399999999999999</v>
      </c>
      <c r="E100">
        <v>100</v>
      </c>
      <c r="F100">
        <v>6.5</v>
      </c>
      <c r="G100" t="b">
        <v>1</v>
      </c>
      <c r="H100">
        <v>0</v>
      </c>
      <c r="I100">
        <v>0</v>
      </c>
      <c r="J100">
        <v>1</v>
      </c>
      <c r="K100">
        <v>71.900000000000006</v>
      </c>
      <c r="L100">
        <f t="shared" si="13"/>
        <v>42.776001318482912</v>
      </c>
      <c r="M100">
        <f t="shared" si="9"/>
        <v>0.77600131848290976</v>
      </c>
      <c r="N100">
        <f t="shared" si="14"/>
        <v>40</v>
      </c>
      <c r="O100">
        <f t="shared" si="11"/>
        <v>0</v>
      </c>
      <c r="P100">
        <f t="shared" si="15"/>
        <v>2</v>
      </c>
      <c r="T100" s="1">
        <f t="shared" si="16"/>
        <v>-29.123998681517094</v>
      </c>
    </row>
    <row r="101" spans="1:20" s="3" customFormat="1" x14ac:dyDescent="0.3">
      <c r="A101" s="3" t="s">
        <v>192</v>
      </c>
      <c r="B101" s="3" t="s">
        <v>203</v>
      </c>
      <c r="C101" s="3" t="s">
        <v>204</v>
      </c>
      <c r="D101" s="3">
        <v>12.6</v>
      </c>
      <c r="E101" s="3">
        <v>100</v>
      </c>
      <c r="F101" s="3">
        <v>12.9</v>
      </c>
      <c r="G101" s="3" t="b">
        <v>1</v>
      </c>
      <c r="H101" s="3">
        <v>0</v>
      </c>
      <c r="I101" s="3">
        <v>0</v>
      </c>
      <c r="J101" s="3">
        <v>1</v>
      </c>
      <c r="K101" s="3">
        <v>67.7</v>
      </c>
      <c r="L101" s="3">
        <f t="shared" si="13"/>
        <v>42.504000856334258</v>
      </c>
      <c r="M101" s="3">
        <f t="shared" si="9"/>
        <v>0.50400085633426095</v>
      </c>
      <c r="N101" s="3">
        <f t="shared" si="14"/>
        <v>40</v>
      </c>
      <c r="O101" s="3">
        <f t="shared" si="11"/>
        <v>0</v>
      </c>
      <c r="P101" s="3">
        <f t="shared" si="15"/>
        <v>2</v>
      </c>
      <c r="Q101" s="3" t="s">
        <v>603</v>
      </c>
      <c r="T101" s="4">
        <f t="shared" si="16"/>
        <v>-25.195999143665745</v>
      </c>
    </row>
    <row r="102" spans="1:20" hidden="1" x14ac:dyDescent="0.3">
      <c r="A102" t="s">
        <v>192</v>
      </c>
      <c r="B102" t="s">
        <v>205</v>
      </c>
      <c r="C102" t="s">
        <v>206</v>
      </c>
      <c r="D102">
        <v>24</v>
      </c>
      <c r="E102">
        <v>31.6</v>
      </c>
      <c r="F102">
        <v>13.3</v>
      </c>
      <c r="G102" t="b">
        <v>0</v>
      </c>
      <c r="H102">
        <v>3</v>
      </c>
      <c r="I102">
        <v>0</v>
      </c>
      <c r="J102">
        <v>0</v>
      </c>
      <c r="K102">
        <v>97.6</v>
      </c>
      <c r="L102">
        <f t="shared" si="8"/>
        <v>13.600001631112878</v>
      </c>
      <c r="M102">
        <f t="shared" si="9"/>
        <v>0.96000163111287806</v>
      </c>
      <c r="N102">
        <f t="shared" si="10"/>
        <v>12.64</v>
      </c>
      <c r="O102">
        <f t="shared" si="11"/>
        <v>0</v>
      </c>
      <c r="P102">
        <f t="shared" si="12"/>
        <v>0</v>
      </c>
    </row>
    <row r="103" spans="1:20" hidden="1" x14ac:dyDescent="0.3">
      <c r="A103" t="s">
        <v>192</v>
      </c>
      <c r="B103" t="s">
        <v>207</v>
      </c>
      <c r="C103" t="s">
        <v>192</v>
      </c>
      <c r="D103">
        <v>22.2</v>
      </c>
      <c r="E103">
        <v>100</v>
      </c>
      <c r="F103">
        <v>11.6</v>
      </c>
      <c r="G103" t="b">
        <v>0</v>
      </c>
      <c r="H103">
        <v>0</v>
      </c>
      <c r="I103">
        <v>1</v>
      </c>
      <c r="J103">
        <v>0</v>
      </c>
      <c r="K103">
        <v>120.3</v>
      </c>
      <c r="L103">
        <f t="shared" si="8"/>
        <v>40.888001508779411</v>
      </c>
      <c r="M103">
        <f t="shared" si="9"/>
        <v>0.8880015087794122</v>
      </c>
      <c r="N103">
        <f t="shared" si="10"/>
        <v>40</v>
      </c>
      <c r="O103">
        <f t="shared" si="11"/>
        <v>0</v>
      </c>
      <c r="P103">
        <f t="shared" si="12"/>
        <v>0</v>
      </c>
    </row>
    <row r="104" spans="1:20" s="3" customFormat="1" x14ac:dyDescent="0.3">
      <c r="A104" s="3" t="s">
        <v>192</v>
      </c>
      <c r="B104" s="3" t="s">
        <v>208</v>
      </c>
      <c r="C104" s="3" t="s">
        <v>209</v>
      </c>
      <c r="D104" s="3">
        <v>38.9</v>
      </c>
      <c r="E104" s="3">
        <v>100</v>
      </c>
      <c r="F104" s="3">
        <v>2</v>
      </c>
      <c r="G104" s="3" t="b">
        <v>1</v>
      </c>
      <c r="H104" s="3">
        <v>0</v>
      </c>
      <c r="I104" s="3">
        <v>0</v>
      </c>
      <c r="J104" s="3">
        <v>1</v>
      </c>
      <c r="K104" s="3">
        <v>94.1</v>
      </c>
      <c r="L104" s="3">
        <f>SUM(M104:P104)</f>
        <v>43.55600264376212</v>
      </c>
      <c r="M104" s="3">
        <f>D104*$M$2</f>
        <v>1.5560026437621233</v>
      </c>
      <c r="N104" s="3">
        <f>E104*$N$2</f>
        <v>40</v>
      </c>
      <c r="O104" s="3">
        <f>F104*$O$2</f>
        <v>0</v>
      </c>
      <c r="P104" s="3">
        <f>J104*$P$2</f>
        <v>2</v>
      </c>
      <c r="T104" s="4">
        <f>L104-K104</f>
        <v>-50.543997356237874</v>
      </c>
    </row>
    <row r="105" spans="1:20" hidden="1" x14ac:dyDescent="0.3">
      <c r="A105" t="s">
        <v>192</v>
      </c>
      <c r="B105" t="s">
        <v>210</v>
      </c>
      <c r="C105" t="s">
        <v>211</v>
      </c>
      <c r="D105">
        <v>15.4</v>
      </c>
      <c r="E105">
        <v>60</v>
      </c>
      <c r="F105">
        <v>8</v>
      </c>
      <c r="G105" t="b">
        <v>0</v>
      </c>
      <c r="H105">
        <v>3</v>
      </c>
      <c r="I105">
        <v>0</v>
      </c>
      <c r="J105">
        <v>0</v>
      </c>
      <c r="K105">
        <v>75.599999999999994</v>
      </c>
      <c r="L105">
        <f t="shared" si="8"/>
        <v>24.616001046630764</v>
      </c>
      <c r="M105">
        <f t="shared" si="9"/>
        <v>0.61600104663076349</v>
      </c>
      <c r="N105">
        <f t="shared" si="10"/>
        <v>24</v>
      </c>
      <c r="O105">
        <f t="shared" si="11"/>
        <v>0</v>
      </c>
      <c r="P105">
        <f t="shared" si="12"/>
        <v>0</v>
      </c>
    </row>
    <row r="106" spans="1:20" hidden="1" x14ac:dyDescent="0.3">
      <c r="A106" t="s">
        <v>192</v>
      </c>
      <c r="B106" t="s">
        <v>212</v>
      </c>
      <c r="C106" t="s">
        <v>213</v>
      </c>
      <c r="D106">
        <v>13.5</v>
      </c>
      <c r="E106">
        <v>20.7</v>
      </c>
      <c r="F106">
        <v>9.6</v>
      </c>
      <c r="G106" t="b">
        <v>0</v>
      </c>
      <c r="H106">
        <v>6</v>
      </c>
      <c r="I106">
        <v>0</v>
      </c>
      <c r="J106">
        <v>0</v>
      </c>
      <c r="K106">
        <v>58.3</v>
      </c>
      <c r="L106">
        <f t="shared" si="8"/>
        <v>8.8200009175009928</v>
      </c>
      <c r="M106">
        <f t="shared" si="9"/>
        <v>0.54000091750099399</v>
      </c>
      <c r="N106">
        <f t="shared" si="10"/>
        <v>8.2799999999999994</v>
      </c>
      <c r="O106">
        <f t="shared" si="11"/>
        <v>0</v>
      </c>
      <c r="P106">
        <f t="shared" si="12"/>
        <v>0</v>
      </c>
    </row>
    <row r="107" spans="1:20" hidden="1" x14ac:dyDescent="0.3">
      <c r="A107" t="s">
        <v>192</v>
      </c>
      <c r="B107" t="s">
        <v>214</v>
      </c>
      <c r="C107" t="s">
        <v>215</v>
      </c>
      <c r="D107">
        <v>15.9</v>
      </c>
      <c r="E107">
        <v>14.3</v>
      </c>
      <c r="F107">
        <v>5.2</v>
      </c>
      <c r="G107" t="b">
        <v>0</v>
      </c>
      <c r="H107">
        <v>6</v>
      </c>
      <c r="I107">
        <v>0</v>
      </c>
      <c r="J107">
        <v>0</v>
      </c>
      <c r="K107">
        <v>47</v>
      </c>
      <c r="L107">
        <f t="shared" si="8"/>
        <v>6.3560010806122822</v>
      </c>
      <c r="M107">
        <f t="shared" si="9"/>
        <v>0.63600108061228178</v>
      </c>
      <c r="N107">
        <f t="shared" si="10"/>
        <v>5.7200000000000006</v>
      </c>
      <c r="O107">
        <f t="shared" si="11"/>
        <v>0</v>
      </c>
      <c r="P107">
        <f t="shared" si="12"/>
        <v>0</v>
      </c>
    </row>
    <row r="108" spans="1:20" s="5" customFormat="1" hidden="1" x14ac:dyDescent="0.3">
      <c r="A108" s="5" t="s">
        <v>192</v>
      </c>
      <c r="B108" s="5" t="s">
        <v>216</v>
      </c>
      <c r="C108" s="5" t="s">
        <v>217</v>
      </c>
      <c r="D108" s="5">
        <v>14.1</v>
      </c>
      <c r="E108" s="5">
        <v>100</v>
      </c>
      <c r="F108" s="5">
        <v>9.4</v>
      </c>
      <c r="G108" s="5" t="b">
        <v>1</v>
      </c>
      <c r="H108" s="5">
        <v>0</v>
      </c>
      <c r="I108" s="5">
        <v>0</v>
      </c>
      <c r="J108" s="5">
        <v>1</v>
      </c>
      <c r="K108" s="5">
        <v>67.099999999999994</v>
      </c>
      <c r="L108" s="5">
        <f>SUM(M108:P108)</f>
        <v>42.564000958278818</v>
      </c>
      <c r="M108" s="5">
        <f>D108*$M$2</f>
        <v>0.56400095827881591</v>
      </c>
      <c r="N108" s="5">
        <f>E108*$N$2</f>
        <v>40</v>
      </c>
      <c r="O108" s="5">
        <f>F108*$O$2</f>
        <v>0</v>
      </c>
      <c r="P108" s="5">
        <f>J108*$P$2</f>
        <v>2</v>
      </c>
      <c r="T108" s="6">
        <f>L108-K108</f>
        <v>-24.535999041721176</v>
      </c>
    </row>
    <row r="109" spans="1:20" hidden="1" x14ac:dyDescent="0.3">
      <c r="A109" t="s">
        <v>192</v>
      </c>
      <c r="B109" t="s">
        <v>218</v>
      </c>
      <c r="C109" t="s">
        <v>219</v>
      </c>
      <c r="D109">
        <v>21.7</v>
      </c>
      <c r="E109">
        <v>20.7</v>
      </c>
      <c r="F109">
        <v>14.5</v>
      </c>
      <c r="G109" t="b">
        <v>0</v>
      </c>
      <c r="H109">
        <v>6</v>
      </c>
      <c r="I109">
        <v>0</v>
      </c>
      <c r="J109">
        <v>0</v>
      </c>
      <c r="K109">
        <v>89.3</v>
      </c>
      <c r="L109">
        <f t="shared" si="8"/>
        <v>9.1480014747978942</v>
      </c>
      <c r="M109">
        <f t="shared" si="9"/>
        <v>0.86800147479789391</v>
      </c>
      <c r="N109">
        <f t="shared" si="10"/>
        <v>8.2799999999999994</v>
      </c>
      <c r="O109">
        <f t="shared" si="11"/>
        <v>0</v>
      </c>
      <c r="P109">
        <f t="shared" si="12"/>
        <v>0</v>
      </c>
    </row>
    <row r="110" spans="1:20" hidden="1" x14ac:dyDescent="0.3">
      <c r="A110" t="s">
        <v>192</v>
      </c>
      <c r="B110" t="s">
        <v>220</v>
      </c>
      <c r="C110" t="s">
        <v>221</v>
      </c>
      <c r="D110">
        <v>11.7</v>
      </c>
      <c r="E110">
        <v>20.7</v>
      </c>
      <c r="F110">
        <v>16.7</v>
      </c>
      <c r="G110" t="b">
        <v>0</v>
      </c>
      <c r="H110">
        <v>6</v>
      </c>
      <c r="I110">
        <v>0</v>
      </c>
      <c r="J110">
        <v>0</v>
      </c>
      <c r="K110">
        <v>75.7</v>
      </c>
      <c r="L110">
        <f t="shared" si="8"/>
        <v>8.7480007951675276</v>
      </c>
      <c r="M110">
        <f t="shared" si="9"/>
        <v>0.46800079516752807</v>
      </c>
      <c r="N110">
        <f t="shared" si="10"/>
        <v>8.2799999999999994</v>
      </c>
      <c r="O110">
        <f t="shared" si="11"/>
        <v>0</v>
      </c>
      <c r="P110">
        <f t="shared" si="12"/>
        <v>0</v>
      </c>
    </row>
    <row r="111" spans="1:20" hidden="1" x14ac:dyDescent="0.3">
      <c r="A111" t="s">
        <v>192</v>
      </c>
      <c r="B111" t="s">
        <v>222</v>
      </c>
      <c r="C111" t="s">
        <v>223</v>
      </c>
      <c r="D111">
        <v>12</v>
      </c>
      <c r="E111">
        <v>18.8</v>
      </c>
      <c r="F111">
        <v>18.2</v>
      </c>
      <c r="G111" t="b">
        <v>0</v>
      </c>
      <c r="H111">
        <v>6</v>
      </c>
      <c r="I111">
        <v>0</v>
      </c>
      <c r="J111">
        <v>0</v>
      </c>
      <c r="K111">
        <v>79.900000000000006</v>
      </c>
      <c r="L111">
        <f t="shared" si="8"/>
        <v>8.0000008155564402</v>
      </c>
      <c r="M111">
        <f t="shared" si="9"/>
        <v>0.48000081555643903</v>
      </c>
      <c r="N111">
        <f t="shared" si="10"/>
        <v>7.5200000000000005</v>
      </c>
      <c r="O111">
        <f t="shared" si="11"/>
        <v>0</v>
      </c>
      <c r="P111">
        <f t="shared" si="12"/>
        <v>0</v>
      </c>
    </row>
    <row r="112" spans="1:20" hidden="1" x14ac:dyDescent="0.3">
      <c r="A112" t="s">
        <v>192</v>
      </c>
      <c r="B112" t="s">
        <v>224</v>
      </c>
      <c r="C112" t="s">
        <v>225</v>
      </c>
      <c r="D112">
        <v>8.9</v>
      </c>
      <c r="E112">
        <v>35.299999999999997</v>
      </c>
      <c r="F112">
        <v>17.600000000000001</v>
      </c>
      <c r="G112" t="b">
        <v>0</v>
      </c>
      <c r="H112">
        <v>6</v>
      </c>
      <c r="I112">
        <v>0</v>
      </c>
      <c r="J112">
        <v>0</v>
      </c>
      <c r="K112">
        <v>78.7</v>
      </c>
      <c r="L112">
        <f t="shared" si="8"/>
        <v>14.476000604871025</v>
      </c>
      <c r="M112">
        <f t="shared" si="9"/>
        <v>0.35600060487102564</v>
      </c>
      <c r="N112">
        <f t="shared" si="10"/>
        <v>14.12</v>
      </c>
      <c r="O112">
        <f t="shared" si="11"/>
        <v>0</v>
      </c>
      <c r="P112">
        <f t="shared" si="12"/>
        <v>0</v>
      </c>
    </row>
    <row r="113" spans="1:16" hidden="1" x14ac:dyDescent="0.3">
      <c r="A113" t="s">
        <v>192</v>
      </c>
      <c r="B113" t="s">
        <v>226</v>
      </c>
      <c r="C113" t="s">
        <v>227</v>
      </c>
      <c r="D113">
        <v>11.7</v>
      </c>
      <c r="E113">
        <v>33.299999999999997</v>
      </c>
      <c r="F113">
        <v>10.9</v>
      </c>
      <c r="G113" t="b">
        <v>0</v>
      </c>
      <c r="H113">
        <v>3</v>
      </c>
      <c r="I113">
        <v>0</v>
      </c>
      <c r="J113">
        <v>0</v>
      </c>
      <c r="K113">
        <v>66.400000000000006</v>
      </c>
      <c r="L113">
        <f t="shared" si="8"/>
        <v>13.788000795167529</v>
      </c>
      <c r="M113">
        <f t="shared" si="9"/>
        <v>0.46800079516752807</v>
      </c>
      <c r="N113">
        <f t="shared" si="10"/>
        <v>13.32</v>
      </c>
      <c r="O113">
        <f t="shared" si="11"/>
        <v>0</v>
      </c>
      <c r="P113">
        <f t="shared" si="12"/>
        <v>0</v>
      </c>
    </row>
    <row r="114" spans="1:16" hidden="1" x14ac:dyDescent="0.3">
      <c r="A114" t="s">
        <v>192</v>
      </c>
      <c r="B114" t="s">
        <v>228</v>
      </c>
      <c r="C114" t="s">
        <v>229</v>
      </c>
      <c r="D114">
        <v>4.5999999999999996</v>
      </c>
      <c r="E114">
        <v>66.7</v>
      </c>
      <c r="F114">
        <v>7.4</v>
      </c>
      <c r="G114" t="b">
        <v>0</v>
      </c>
      <c r="H114">
        <v>3</v>
      </c>
      <c r="I114">
        <v>0</v>
      </c>
      <c r="J114">
        <v>0</v>
      </c>
      <c r="K114">
        <v>55.1</v>
      </c>
      <c r="L114">
        <f t="shared" si="8"/>
        <v>26.864000312629972</v>
      </c>
      <c r="M114">
        <f t="shared" si="9"/>
        <v>0.1840003126299683</v>
      </c>
      <c r="N114">
        <f t="shared" si="10"/>
        <v>26.680000000000003</v>
      </c>
      <c r="O114">
        <f t="shared" si="11"/>
        <v>0</v>
      </c>
      <c r="P114">
        <f t="shared" si="12"/>
        <v>0</v>
      </c>
    </row>
    <row r="115" spans="1:16" hidden="1" x14ac:dyDescent="0.3">
      <c r="A115" t="s">
        <v>192</v>
      </c>
      <c r="B115" t="s">
        <v>230</v>
      </c>
      <c r="C115" t="s">
        <v>231</v>
      </c>
      <c r="D115">
        <v>10.3</v>
      </c>
      <c r="E115">
        <v>26.1</v>
      </c>
      <c r="F115">
        <v>16.2</v>
      </c>
      <c r="G115" t="b">
        <v>0</v>
      </c>
      <c r="H115">
        <v>6</v>
      </c>
      <c r="I115">
        <v>0</v>
      </c>
      <c r="J115">
        <v>0</v>
      </c>
      <c r="K115">
        <v>73.7</v>
      </c>
      <c r="L115">
        <f t="shared" si="8"/>
        <v>10.852000700019278</v>
      </c>
      <c r="M115">
        <f t="shared" si="9"/>
        <v>0.41200070001927691</v>
      </c>
      <c r="N115">
        <f t="shared" si="10"/>
        <v>10.440000000000001</v>
      </c>
      <c r="O115">
        <f t="shared" si="11"/>
        <v>0</v>
      </c>
      <c r="P115">
        <f t="shared" si="12"/>
        <v>0</v>
      </c>
    </row>
    <row r="116" spans="1:16" hidden="1" x14ac:dyDescent="0.3">
      <c r="A116" t="s">
        <v>192</v>
      </c>
      <c r="B116" t="s">
        <v>232</v>
      </c>
      <c r="C116" t="s">
        <v>233</v>
      </c>
      <c r="D116">
        <v>29.5</v>
      </c>
      <c r="E116">
        <v>46.2</v>
      </c>
      <c r="F116">
        <v>14</v>
      </c>
      <c r="G116" t="b">
        <v>0</v>
      </c>
      <c r="H116">
        <v>3</v>
      </c>
      <c r="I116">
        <v>0</v>
      </c>
      <c r="J116">
        <v>0</v>
      </c>
      <c r="K116">
        <v>116.6</v>
      </c>
      <c r="L116">
        <f t="shared" si="8"/>
        <v>19.660002004909579</v>
      </c>
      <c r="M116">
        <f t="shared" si="9"/>
        <v>1.1800020049095794</v>
      </c>
      <c r="N116">
        <f t="shared" si="10"/>
        <v>18.48</v>
      </c>
      <c r="O116">
        <f t="shared" si="11"/>
        <v>0</v>
      </c>
      <c r="P116">
        <f t="shared" si="12"/>
        <v>0</v>
      </c>
    </row>
    <row r="117" spans="1:16" hidden="1" x14ac:dyDescent="0.3">
      <c r="A117" t="s">
        <v>192</v>
      </c>
      <c r="B117" t="s">
        <v>234</v>
      </c>
      <c r="C117" t="s">
        <v>192</v>
      </c>
      <c r="D117">
        <v>9.5</v>
      </c>
      <c r="E117">
        <v>100</v>
      </c>
      <c r="F117">
        <v>8.6999999999999993</v>
      </c>
      <c r="G117" t="b">
        <v>0</v>
      </c>
      <c r="H117">
        <v>0</v>
      </c>
      <c r="I117">
        <v>1</v>
      </c>
      <c r="J117">
        <v>0</v>
      </c>
      <c r="K117">
        <v>86</v>
      </c>
      <c r="L117">
        <f t="shared" si="8"/>
        <v>40.380000645648849</v>
      </c>
      <c r="M117">
        <f t="shared" si="9"/>
        <v>0.38000064564884761</v>
      </c>
      <c r="N117">
        <f t="shared" si="10"/>
        <v>40</v>
      </c>
      <c r="O117">
        <f t="shared" si="11"/>
        <v>0</v>
      </c>
      <c r="P117">
        <f t="shared" si="12"/>
        <v>0</v>
      </c>
    </row>
    <row r="118" spans="1:16" hidden="1" x14ac:dyDescent="0.3">
      <c r="A118" t="s">
        <v>192</v>
      </c>
      <c r="B118" t="s">
        <v>235</v>
      </c>
      <c r="C118" t="s">
        <v>236</v>
      </c>
      <c r="D118">
        <v>11.9</v>
      </c>
      <c r="E118">
        <v>20</v>
      </c>
      <c r="F118">
        <v>12.8</v>
      </c>
      <c r="G118" t="b">
        <v>0</v>
      </c>
      <c r="H118">
        <v>6</v>
      </c>
      <c r="I118">
        <v>0</v>
      </c>
      <c r="J118">
        <v>0</v>
      </c>
      <c r="K118">
        <v>64.3</v>
      </c>
      <c r="L118">
        <f t="shared" si="8"/>
        <v>8.4760008087601353</v>
      </c>
      <c r="M118">
        <f t="shared" si="9"/>
        <v>0.4760008087601354</v>
      </c>
      <c r="N118">
        <f t="shared" si="10"/>
        <v>8</v>
      </c>
      <c r="O118">
        <f t="shared" si="11"/>
        <v>0</v>
      </c>
      <c r="P118">
        <f t="shared" si="12"/>
        <v>0</v>
      </c>
    </row>
    <row r="119" spans="1:16" hidden="1" x14ac:dyDescent="0.3">
      <c r="A119" t="s">
        <v>192</v>
      </c>
      <c r="B119" t="s">
        <v>237</v>
      </c>
      <c r="C119" t="s">
        <v>238</v>
      </c>
      <c r="D119">
        <v>13.8</v>
      </c>
      <c r="E119">
        <v>28.6</v>
      </c>
      <c r="F119">
        <v>7.7</v>
      </c>
      <c r="G119" t="b">
        <v>0</v>
      </c>
      <c r="H119">
        <v>3</v>
      </c>
      <c r="I119">
        <v>0</v>
      </c>
      <c r="J119">
        <v>0</v>
      </c>
      <c r="K119">
        <v>59.1</v>
      </c>
      <c r="L119">
        <f t="shared" si="8"/>
        <v>11.992000937889905</v>
      </c>
      <c r="M119">
        <f t="shared" si="9"/>
        <v>0.5520009378899049</v>
      </c>
      <c r="N119">
        <f t="shared" si="10"/>
        <v>11.440000000000001</v>
      </c>
      <c r="O119">
        <f t="shared" si="11"/>
        <v>0</v>
      </c>
      <c r="P119">
        <f t="shared" si="12"/>
        <v>0</v>
      </c>
    </row>
    <row r="120" spans="1:16" hidden="1" x14ac:dyDescent="0.3">
      <c r="A120" t="s">
        <v>192</v>
      </c>
      <c r="B120" t="s">
        <v>239</v>
      </c>
      <c r="C120" t="s">
        <v>240</v>
      </c>
      <c r="D120">
        <v>25.5</v>
      </c>
      <c r="E120">
        <v>66.7</v>
      </c>
      <c r="F120">
        <v>8.1999999999999993</v>
      </c>
      <c r="G120" t="b">
        <v>0</v>
      </c>
      <c r="H120">
        <v>3</v>
      </c>
      <c r="I120">
        <v>0</v>
      </c>
      <c r="J120">
        <v>0</v>
      </c>
      <c r="K120">
        <v>99.4</v>
      </c>
      <c r="L120">
        <f t="shared" si="8"/>
        <v>27.700001733057437</v>
      </c>
      <c r="M120">
        <f t="shared" si="9"/>
        <v>1.0200017330574329</v>
      </c>
      <c r="N120">
        <f t="shared" si="10"/>
        <v>26.680000000000003</v>
      </c>
      <c r="O120">
        <f t="shared" si="11"/>
        <v>0</v>
      </c>
      <c r="P120">
        <f t="shared" si="12"/>
        <v>0</v>
      </c>
    </row>
    <row r="121" spans="1:16" hidden="1" x14ac:dyDescent="0.3">
      <c r="A121" t="s">
        <v>192</v>
      </c>
      <c r="B121" t="s">
        <v>241</v>
      </c>
      <c r="C121" t="s">
        <v>242</v>
      </c>
      <c r="D121">
        <v>18.2</v>
      </c>
      <c r="E121">
        <v>75</v>
      </c>
      <c r="F121">
        <v>8.1999999999999993</v>
      </c>
      <c r="G121" t="b">
        <v>0</v>
      </c>
      <c r="H121">
        <v>3</v>
      </c>
      <c r="I121">
        <v>0</v>
      </c>
      <c r="J121">
        <v>0</v>
      </c>
      <c r="K121">
        <v>88.1</v>
      </c>
      <c r="L121">
        <f t="shared" si="8"/>
        <v>30.728001236927266</v>
      </c>
      <c r="M121">
        <f t="shared" si="9"/>
        <v>0.72800123692726593</v>
      </c>
      <c r="N121">
        <f t="shared" si="10"/>
        <v>30</v>
      </c>
      <c r="O121">
        <f t="shared" si="11"/>
        <v>0</v>
      </c>
      <c r="P121">
        <f t="shared" si="12"/>
        <v>0</v>
      </c>
    </row>
    <row r="122" spans="1:16" hidden="1" x14ac:dyDescent="0.3">
      <c r="A122" t="s">
        <v>192</v>
      </c>
      <c r="B122" t="s">
        <v>243</v>
      </c>
      <c r="C122" t="s">
        <v>244</v>
      </c>
      <c r="D122">
        <v>10.1</v>
      </c>
      <c r="E122">
        <v>27.3</v>
      </c>
      <c r="F122">
        <v>17.600000000000001</v>
      </c>
      <c r="G122" t="b">
        <v>0</v>
      </c>
      <c r="H122">
        <v>6</v>
      </c>
      <c r="I122">
        <v>0</v>
      </c>
      <c r="J122">
        <v>0</v>
      </c>
      <c r="K122">
        <v>77.7</v>
      </c>
      <c r="L122">
        <f t="shared" si="8"/>
        <v>11.324000686426672</v>
      </c>
      <c r="M122">
        <f t="shared" si="9"/>
        <v>0.40400068642666953</v>
      </c>
      <c r="N122">
        <f t="shared" si="10"/>
        <v>10.920000000000002</v>
      </c>
      <c r="O122">
        <f t="shared" si="11"/>
        <v>0</v>
      </c>
      <c r="P122">
        <f t="shared" si="12"/>
        <v>0</v>
      </c>
    </row>
    <row r="123" spans="1:16" hidden="1" x14ac:dyDescent="0.3">
      <c r="A123" t="s">
        <v>192</v>
      </c>
      <c r="B123" t="s">
        <v>245</v>
      </c>
      <c r="C123" t="s">
        <v>246</v>
      </c>
      <c r="D123">
        <v>21.9</v>
      </c>
      <c r="E123">
        <v>23.1</v>
      </c>
      <c r="F123">
        <v>2</v>
      </c>
      <c r="G123" t="b">
        <v>0</v>
      </c>
      <c r="H123">
        <v>6</v>
      </c>
      <c r="I123">
        <v>0</v>
      </c>
      <c r="J123">
        <v>0</v>
      </c>
      <c r="K123">
        <v>53.1</v>
      </c>
      <c r="L123">
        <f t="shared" si="8"/>
        <v>10.116001488390502</v>
      </c>
      <c r="M123">
        <f t="shared" si="9"/>
        <v>0.87600148839050118</v>
      </c>
      <c r="N123">
        <f t="shared" si="10"/>
        <v>9.24</v>
      </c>
      <c r="O123">
        <f t="shared" si="11"/>
        <v>0</v>
      </c>
      <c r="P123">
        <f t="shared" si="12"/>
        <v>0</v>
      </c>
    </row>
    <row r="124" spans="1:16" hidden="1" x14ac:dyDescent="0.3">
      <c r="A124" t="s">
        <v>192</v>
      </c>
      <c r="B124" t="s">
        <v>247</v>
      </c>
      <c r="C124" t="s">
        <v>248</v>
      </c>
      <c r="D124">
        <v>12.8</v>
      </c>
      <c r="E124">
        <v>66.7</v>
      </c>
      <c r="F124">
        <v>2.2000000000000002</v>
      </c>
      <c r="G124" t="b">
        <v>0</v>
      </c>
      <c r="H124">
        <v>3</v>
      </c>
      <c r="I124">
        <v>0</v>
      </c>
      <c r="J124">
        <v>0</v>
      </c>
      <c r="K124">
        <v>55.9</v>
      </c>
      <c r="L124">
        <f t="shared" si="8"/>
        <v>27.192000869926872</v>
      </c>
      <c r="M124">
        <f t="shared" si="9"/>
        <v>0.51200086992686833</v>
      </c>
      <c r="N124">
        <f t="shared" si="10"/>
        <v>26.680000000000003</v>
      </c>
      <c r="O124">
        <f t="shared" si="11"/>
        <v>0</v>
      </c>
      <c r="P124">
        <f t="shared" si="12"/>
        <v>0</v>
      </c>
    </row>
    <row r="125" spans="1:16" hidden="1" x14ac:dyDescent="0.3">
      <c r="A125" t="s">
        <v>192</v>
      </c>
      <c r="B125" t="s">
        <v>249</v>
      </c>
      <c r="C125" t="s">
        <v>250</v>
      </c>
      <c r="D125">
        <v>10.6</v>
      </c>
      <c r="E125">
        <v>25</v>
      </c>
      <c r="F125">
        <v>15.8</v>
      </c>
      <c r="G125" t="b">
        <v>0</v>
      </c>
      <c r="H125">
        <v>6</v>
      </c>
      <c r="I125">
        <v>0</v>
      </c>
      <c r="J125">
        <v>0</v>
      </c>
      <c r="K125">
        <v>72.599999999999994</v>
      </c>
      <c r="L125">
        <f t="shared" si="8"/>
        <v>10.424000720408188</v>
      </c>
      <c r="M125">
        <f t="shared" si="9"/>
        <v>0.42400072040818781</v>
      </c>
      <c r="N125">
        <f t="shared" si="10"/>
        <v>10</v>
      </c>
      <c r="O125">
        <f t="shared" si="11"/>
        <v>0</v>
      </c>
      <c r="P125">
        <f t="shared" si="12"/>
        <v>0</v>
      </c>
    </row>
    <row r="126" spans="1:16" hidden="1" x14ac:dyDescent="0.3">
      <c r="A126" t="s">
        <v>192</v>
      </c>
      <c r="B126" t="s">
        <v>251</v>
      </c>
      <c r="C126" t="s">
        <v>252</v>
      </c>
      <c r="D126">
        <v>13.3</v>
      </c>
      <c r="E126">
        <v>28.6</v>
      </c>
      <c r="F126">
        <v>18.3</v>
      </c>
      <c r="G126" t="b">
        <v>0</v>
      </c>
      <c r="H126">
        <v>6</v>
      </c>
      <c r="I126">
        <v>0</v>
      </c>
      <c r="J126">
        <v>0</v>
      </c>
      <c r="K126">
        <v>87</v>
      </c>
      <c r="L126">
        <f t="shared" si="8"/>
        <v>11.972000903908388</v>
      </c>
      <c r="M126">
        <f t="shared" si="9"/>
        <v>0.53200090390838661</v>
      </c>
      <c r="N126">
        <f t="shared" si="10"/>
        <v>11.440000000000001</v>
      </c>
      <c r="O126">
        <f t="shared" si="11"/>
        <v>0</v>
      </c>
      <c r="P126">
        <f t="shared" si="12"/>
        <v>0</v>
      </c>
    </row>
    <row r="127" spans="1:16" hidden="1" x14ac:dyDescent="0.3">
      <c r="A127" t="s">
        <v>192</v>
      </c>
      <c r="B127" t="s">
        <v>253</v>
      </c>
      <c r="C127" t="s">
        <v>254</v>
      </c>
      <c r="D127">
        <v>12.2</v>
      </c>
      <c r="E127">
        <v>17.600000000000001</v>
      </c>
      <c r="F127">
        <v>15.6</v>
      </c>
      <c r="G127" t="b">
        <v>0</v>
      </c>
      <c r="H127">
        <v>6</v>
      </c>
      <c r="I127">
        <v>0</v>
      </c>
      <c r="J127">
        <v>0</v>
      </c>
      <c r="K127">
        <v>72.099999999999994</v>
      </c>
      <c r="L127">
        <f t="shared" si="8"/>
        <v>7.5280008291490477</v>
      </c>
      <c r="M127">
        <f t="shared" si="9"/>
        <v>0.48800082914904636</v>
      </c>
      <c r="N127">
        <f t="shared" si="10"/>
        <v>7.0400000000000009</v>
      </c>
      <c r="O127">
        <f t="shared" si="11"/>
        <v>0</v>
      </c>
      <c r="P127">
        <f t="shared" si="12"/>
        <v>0</v>
      </c>
    </row>
    <row r="128" spans="1:16" hidden="1" x14ac:dyDescent="0.3">
      <c r="A128" t="s">
        <v>192</v>
      </c>
      <c r="B128" t="s">
        <v>255</v>
      </c>
      <c r="C128" t="s">
        <v>256</v>
      </c>
      <c r="D128">
        <v>13.6</v>
      </c>
      <c r="E128">
        <v>17.100000000000001</v>
      </c>
      <c r="F128">
        <v>15.1</v>
      </c>
      <c r="G128" t="b">
        <v>0</v>
      </c>
      <c r="H128">
        <v>6</v>
      </c>
      <c r="I128">
        <v>0</v>
      </c>
      <c r="J128">
        <v>0</v>
      </c>
      <c r="K128">
        <v>73.5</v>
      </c>
      <c r="L128">
        <f t="shared" si="8"/>
        <v>7.3840009242972986</v>
      </c>
      <c r="M128">
        <f t="shared" si="9"/>
        <v>0.54400092429729763</v>
      </c>
      <c r="N128">
        <f t="shared" si="10"/>
        <v>6.8400000000000007</v>
      </c>
      <c r="O128">
        <f t="shared" si="11"/>
        <v>0</v>
      </c>
      <c r="P128">
        <f t="shared" si="12"/>
        <v>0</v>
      </c>
    </row>
    <row r="129" spans="1:16" hidden="1" x14ac:dyDescent="0.3">
      <c r="A129" t="s">
        <v>192</v>
      </c>
      <c r="B129" t="s">
        <v>257</v>
      </c>
      <c r="C129" t="s">
        <v>258</v>
      </c>
      <c r="D129">
        <v>10.3</v>
      </c>
      <c r="E129">
        <v>27.3</v>
      </c>
      <c r="F129">
        <v>8.1999999999999993</v>
      </c>
      <c r="G129" t="b">
        <v>0</v>
      </c>
      <c r="H129">
        <v>6</v>
      </c>
      <c r="I129">
        <v>0</v>
      </c>
      <c r="J129">
        <v>0</v>
      </c>
      <c r="K129">
        <v>50.3</v>
      </c>
      <c r="L129">
        <f t="shared" si="8"/>
        <v>11.332000700019279</v>
      </c>
      <c r="M129">
        <f t="shared" si="9"/>
        <v>0.41200070001927691</v>
      </c>
      <c r="N129">
        <f t="shared" si="10"/>
        <v>10.920000000000002</v>
      </c>
      <c r="O129">
        <f t="shared" si="11"/>
        <v>0</v>
      </c>
      <c r="P129">
        <f t="shared" si="12"/>
        <v>0</v>
      </c>
    </row>
    <row r="130" spans="1:16" hidden="1" x14ac:dyDescent="0.3">
      <c r="A130" t="s">
        <v>192</v>
      </c>
      <c r="B130" t="s">
        <v>259</v>
      </c>
      <c r="C130" t="s">
        <v>260</v>
      </c>
      <c r="D130">
        <v>13.6</v>
      </c>
      <c r="E130">
        <v>15.4</v>
      </c>
      <c r="F130">
        <v>15.4</v>
      </c>
      <c r="G130" t="b">
        <v>0</v>
      </c>
      <c r="H130">
        <v>6</v>
      </c>
      <c r="I130">
        <v>0</v>
      </c>
      <c r="J130">
        <v>0</v>
      </c>
      <c r="K130">
        <v>73.400000000000006</v>
      </c>
      <c r="L130">
        <f t="shared" si="8"/>
        <v>6.704000924297298</v>
      </c>
      <c r="M130">
        <f t="shared" si="9"/>
        <v>0.54400092429729763</v>
      </c>
      <c r="N130">
        <f t="shared" si="10"/>
        <v>6.16</v>
      </c>
      <c r="O130">
        <f t="shared" si="11"/>
        <v>0</v>
      </c>
      <c r="P130">
        <f t="shared" si="12"/>
        <v>0</v>
      </c>
    </row>
    <row r="131" spans="1:16" hidden="1" x14ac:dyDescent="0.3">
      <c r="A131" t="s">
        <v>192</v>
      </c>
      <c r="B131" t="s">
        <v>261</v>
      </c>
      <c r="C131" t="s">
        <v>262</v>
      </c>
      <c r="D131">
        <v>12.8</v>
      </c>
      <c r="E131">
        <v>18.8</v>
      </c>
      <c r="F131">
        <v>16.100000000000001</v>
      </c>
      <c r="G131" t="b">
        <v>0</v>
      </c>
      <c r="H131">
        <v>6</v>
      </c>
      <c r="I131">
        <v>0</v>
      </c>
      <c r="J131">
        <v>0</v>
      </c>
      <c r="K131">
        <v>75.400000000000006</v>
      </c>
      <c r="L131">
        <f t="shared" si="8"/>
        <v>8.0320008699268683</v>
      </c>
      <c r="M131">
        <f t="shared" si="9"/>
        <v>0.51200086992686833</v>
      </c>
      <c r="N131">
        <f t="shared" si="10"/>
        <v>7.5200000000000005</v>
      </c>
      <c r="O131">
        <f t="shared" si="11"/>
        <v>0</v>
      </c>
      <c r="P131">
        <f t="shared" si="12"/>
        <v>0</v>
      </c>
    </row>
    <row r="132" spans="1:16" hidden="1" x14ac:dyDescent="0.3">
      <c r="A132" t="s">
        <v>192</v>
      </c>
      <c r="B132" t="s">
        <v>263</v>
      </c>
      <c r="C132" t="s">
        <v>264</v>
      </c>
      <c r="D132">
        <v>14.3</v>
      </c>
      <c r="E132">
        <v>50</v>
      </c>
      <c r="F132">
        <v>6.7</v>
      </c>
      <c r="G132" t="b">
        <v>0</v>
      </c>
      <c r="H132">
        <v>3</v>
      </c>
      <c r="I132">
        <v>0</v>
      </c>
      <c r="J132">
        <v>0</v>
      </c>
      <c r="K132">
        <v>65.5</v>
      </c>
      <c r="L132">
        <f t="shared" ref="L132:L195" si="17">SUM(M132:Q132)</f>
        <v>20.572000971871422</v>
      </c>
      <c r="M132">
        <f t="shared" ref="M132:M195" si="18">D132*$M$2</f>
        <v>0.57200097187142329</v>
      </c>
      <c r="N132">
        <f t="shared" ref="N132:N195" si="19">E132*0.4</f>
        <v>20</v>
      </c>
      <c r="O132">
        <f t="shared" ref="O132:O195" si="20">F132*$O$2</f>
        <v>0</v>
      </c>
      <c r="P132">
        <f t="shared" ref="P132:P195" si="21">J132*2</f>
        <v>0</v>
      </c>
    </row>
    <row r="133" spans="1:16" hidden="1" x14ac:dyDescent="0.3">
      <c r="A133" t="s">
        <v>192</v>
      </c>
      <c r="B133" t="s">
        <v>265</v>
      </c>
      <c r="C133" t="s">
        <v>266</v>
      </c>
      <c r="D133">
        <v>9.5</v>
      </c>
      <c r="E133">
        <v>33.299999999999997</v>
      </c>
      <c r="F133">
        <v>16.899999999999999</v>
      </c>
      <c r="G133" t="b">
        <v>0</v>
      </c>
      <c r="H133">
        <v>6</v>
      </c>
      <c r="I133">
        <v>0</v>
      </c>
      <c r="J133">
        <v>0</v>
      </c>
      <c r="K133">
        <v>77.2</v>
      </c>
      <c r="L133">
        <f t="shared" si="17"/>
        <v>13.700000645648847</v>
      </c>
      <c r="M133">
        <f t="shared" si="18"/>
        <v>0.38000064564884761</v>
      </c>
      <c r="N133">
        <f t="shared" si="19"/>
        <v>13.32</v>
      </c>
      <c r="O133">
        <f t="shared" si="20"/>
        <v>0</v>
      </c>
      <c r="P133">
        <f t="shared" si="21"/>
        <v>0</v>
      </c>
    </row>
    <row r="134" spans="1:16" hidden="1" x14ac:dyDescent="0.3">
      <c r="A134" t="s">
        <v>192</v>
      </c>
      <c r="B134" t="s">
        <v>267</v>
      </c>
      <c r="C134" t="s">
        <v>268</v>
      </c>
      <c r="D134">
        <v>10.1</v>
      </c>
      <c r="E134">
        <v>30</v>
      </c>
      <c r="F134">
        <v>17.5</v>
      </c>
      <c r="G134" t="b">
        <v>0</v>
      </c>
      <c r="H134">
        <v>6</v>
      </c>
      <c r="I134">
        <v>0</v>
      </c>
      <c r="J134">
        <v>0</v>
      </c>
      <c r="K134">
        <v>78.8</v>
      </c>
      <c r="L134">
        <f t="shared" si="17"/>
        <v>12.40400068642667</v>
      </c>
      <c r="M134">
        <f t="shared" si="18"/>
        <v>0.40400068642666953</v>
      </c>
      <c r="N134">
        <f t="shared" si="19"/>
        <v>12</v>
      </c>
      <c r="O134">
        <f t="shared" si="20"/>
        <v>0</v>
      </c>
      <c r="P134">
        <f t="shared" si="21"/>
        <v>0</v>
      </c>
    </row>
    <row r="135" spans="1:16" hidden="1" x14ac:dyDescent="0.3">
      <c r="A135" t="s">
        <v>192</v>
      </c>
      <c r="B135" t="s">
        <v>269</v>
      </c>
      <c r="C135" t="s">
        <v>270</v>
      </c>
      <c r="D135">
        <v>10.9</v>
      </c>
      <c r="E135">
        <v>24</v>
      </c>
      <c r="F135">
        <v>16.100000000000001</v>
      </c>
      <c r="G135" t="b">
        <v>0</v>
      </c>
      <c r="H135">
        <v>6</v>
      </c>
      <c r="I135">
        <v>0</v>
      </c>
      <c r="J135">
        <v>0</v>
      </c>
      <c r="K135">
        <v>73.8</v>
      </c>
      <c r="L135">
        <f t="shared" si="17"/>
        <v>10.0360007407971</v>
      </c>
      <c r="M135">
        <f t="shared" si="18"/>
        <v>0.43600074079709883</v>
      </c>
      <c r="N135">
        <f t="shared" si="19"/>
        <v>9.6000000000000014</v>
      </c>
      <c r="O135">
        <f t="shared" si="20"/>
        <v>0</v>
      </c>
      <c r="P135">
        <f t="shared" si="21"/>
        <v>0</v>
      </c>
    </row>
    <row r="136" spans="1:16" hidden="1" x14ac:dyDescent="0.3">
      <c r="A136" t="s">
        <v>192</v>
      </c>
      <c r="B136" t="s">
        <v>271</v>
      </c>
      <c r="C136" t="s">
        <v>272</v>
      </c>
      <c r="D136">
        <v>24</v>
      </c>
      <c r="E136">
        <v>21.4</v>
      </c>
      <c r="F136">
        <v>16.600000000000001</v>
      </c>
      <c r="G136" t="b">
        <v>0</v>
      </c>
      <c r="H136">
        <v>6</v>
      </c>
      <c r="I136">
        <v>0</v>
      </c>
      <c r="J136">
        <v>0</v>
      </c>
      <c r="K136">
        <v>100.5</v>
      </c>
      <c r="L136">
        <f t="shared" si="17"/>
        <v>9.5200016311128781</v>
      </c>
      <c r="M136">
        <f t="shared" si="18"/>
        <v>0.96000163111287806</v>
      </c>
      <c r="N136">
        <f t="shared" si="19"/>
        <v>8.56</v>
      </c>
      <c r="O136">
        <f t="shared" si="20"/>
        <v>0</v>
      </c>
      <c r="P136">
        <f t="shared" si="21"/>
        <v>0</v>
      </c>
    </row>
    <row r="137" spans="1:16" hidden="1" x14ac:dyDescent="0.3">
      <c r="A137" t="s">
        <v>192</v>
      </c>
      <c r="B137" t="s">
        <v>273</v>
      </c>
      <c r="C137" t="s">
        <v>274</v>
      </c>
      <c r="D137">
        <v>9.1999999999999993</v>
      </c>
      <c r="E137">
        <v>33.299999999999997</v>
      </c>
      <c r="F137">
        <v>16.100000000000001</v>
      </c>
      <c r="G137" t="b">
        <v>0</v>
      </c>
      <c r="H137">
        <v>6</v>
      </c>
      <c r="I137">
        <v>0</v>
      </c>
      <c r="J137">
        <v>0</v>
      </c>
      <c r="K137">
        <v>74.2</v>
      </c>
      <c r="L137">
        <f t="shared" si="17"/>
        <v>13.688000625259937</v>
      </c>
      <c r="M137">
        <f t="shared" si="18"/>
        <v>0.3680006252599366</v>
      </c>
      <c r="N137">
        <f t="shared" si="19"/>
        <v>13.32</v>
      </c>
      <c r="O137">
        <f t="shared" si="20"/>
        <v>0</v>
      </c>
      <c r="P137">
        <f t="shared" si="21"/>
        <v>0</v>
      </c>
    </row>
    <row r="138" spans="1:16" hidden="1" x14ac:dyDescent="0.3">
      <c r="A138" t="s">
        <v>192</v>
      </c>
      <c r="B138" t="s">
        <v>275</v>
      </c>
      <c r="C138" t="s">
        <v>276</v>
      </c>
      <c r="D138">
        <v>13.9</v>
      </c>
      <c r="E138">
        <v>46.2</v>
      </c>
      <c r="F138">
        <v>11.2</v>
      </c>
      <c r="G138" t="b">
        <v>0</v>
      </c>
      <c r="H138">
        <v>3</v>
      </c>
      <c r="I138">
        <v>0</v>
      </c>
      <c r="J138">
        <v>0</v>
      </c>
      <c r="K138">
        <v>76.8</v>
      </c>
      <c r="L138">
        <f t="shared" si="17"/>
        <v>19.036000944686208</v>
      </c>
      <c r="M138">
        <f t="shared" si="18"/>
        <v>0.55600094468620864</v>
      </c>
      <c r="N138">
        <f t="shared" si="19"/>
        <v>18.48</v>
      </c>
      <c r="O138">
        <f t="shared" si="20"/>
        <v>0</v>
      </c>
      <c r="P138">
        <f t="shared" si="21"/>
        <v>0</v>
      </c>
    </row>
    <row r="139" spans="1:16" hidden="1" x14ac:dyDescent="0.3">
      <c r="A139" t="s">
        <v>192</v>
      </c>
      <c r="B139" t="s">
        <v>277</v>
      </c>
      <c r="C139" t="s">
        <v>278</v>
      </c>
      <c r="D139">
        <v>13.4</v>
      </c>
      <c r="E139">
        <v>17.600000000000001</v>
      </c>
      <c r="F139">
        <v>15.7</v>
      </c>
      <c r="G139" t="b">
        <v>0</v>
      </c>
      <c r="H139">
        <v>6</v>
      </c>
      <c r="I139">
        <v>0</v>
      </c>
      <c r="J139">
        <v>0</v>
      </c>
      <c r="K139">
        <v>75</v>
      </c>
      <c r="L139">
        <f t="shared" si="17"/>
        <v>7.5760009107046908</v>
      </c>
      <c r="M139">
        <f t="shared" si="18"/>
        <v>0.53600091070469025</v>
      </c>
      <c r="N139">
        <f t="shared" si="19"/>
        <v>7.0400000000000009</v>
      </c>
      <c r="O139">
        <f t="shared" si="20"/>
        <v>0</v>
      </c>
      <c r="P139">
        <f t="shared" si="21"/>
        <v>0</v>
      </c>
    </row>
    <row r="140" spans="1:16" hidden="1" x14ac:dyDescent="0.3">
      <c r="A140" t="s">
        <v>192</v>
      </c>
      <c r="B140" t="s">
        <v>279</v>
      </c>
      <c r="C140" t="s">
        <v>280</v>
      </c>
      <c r="D140">
        <v>9.8000000000000007</v>
      </c>
      <c r="E140">
        <v>27.3</v>
      </c>
      <c r="F140">
        <v>12.2</v>
      </c>
      <c r="G140" t="b">
        <v>0</v>
      </c>
      <c r="H140">
        <v>6</v>
      </c>
      <c r="I140">
        <v>0</v>
      </c>
      <c r="J140">
        <v>0</v>
      </c>
      <c r="K140">
        <v>61</v>
      </c>
      <c r="L140">
        <f t="shared" si="17"/>
        <v>11.312000666037759</v>
      </c>
      <c r="M140">
        <f t="shared" si="18"/>
        <v>0.39200066603775857</v>
      </c>
      <c r="N140">
        <f t="shared" si="19"/>
        <v>10.920000000000002</v>
      </c>
      <c r="O140">
        <f t="shared" si="20"/>
        <v>0</v>
      </c>
      <c r="P140">
        <f t="shared" si="21"/>
        <v>0</v>
      </c>
    </row>
    <row r="141" spans="1:16" hidden="1" x14ac:dyDescent="0.3">
      <c r="A141" t="s">
        <v>192</v>
      </c>
      <c r="B141" t="s">
        <v>281</v>
      </c>
      <c r="C141" t="s">
        <v>282</v>
      </c>
      <c r="D141">
        <v>12.3</v>
      </c>
      <c r="E141">
        <v>20.7</v>
      </c>
      <c r="F141">
        <v>15.2</v>
      </c>
      <c r="G141" t="b">
        <v>0</v>
      </c>
      <c r="H141">
        <v>6</v>
      </c>
      <c r="I141">
        <v>0</v>
      </c>
      <c r="J141">
        <v>0</v>
      </c>
      <c r="K141">
        <v>72.400000000000006</v>
      </c>
      <c r="L141">
        <f t="shared" si="17"/>
        <v>8.7720008359453487</v>
      </c>
      <c r="M141">
        <f t="shared" si="18"/>
        <v>0.49200083594535005</v>
      </c>
      <c r="N141">
        <f t="shared" si="19"/>
        <v>8.2799999999999994</v>
      </c>
      <c r="O141">
        <f t="shared" si="20"/>
        <v>0</v>
      </c>
      <c r="P141">
        <f t="shared" si="21"/>
        <v>0</v>
      </c>
    </row>
    <row r="142" spans="1:16" hidden="1" x14ac:dyDescent="0.3">
      <c r="A142" t="s">
        <v>192</v>
      </c>
      <c r="B142" t="s">
        <v>283</v>
      </c>
      <c r="C142" t="s">
        <v>284</v>
      </c>
      <c r="D142">
        <v>9.1999999999999993</v>
      </c>
      <c r="E142">
        <v>31.6</v>
      </c>
      <c r="F142">
        <v>17.3</v>
      </c>
      <c r="G142" t="b">
        <v>0</v>
      </c>
      <c r="H142">
        <v>6</v>
      </c>
      <c r="I142">
        <v>0</v>
      </c>
      <c r="J142">
        <v>0</v>
      </c>
      <c r="K142">
        <v>77</v>
      </c>
      <c r="L142">
        <f t="shared" si="17"/>
        <v>13.008000625259937</v>
      </c>
      <c r="M142">
        <f t="shared" si="18"/>
        <v>0.3680006252599366</v>
      </c>
      <c r="N142">
        <f t="shared" si="19"/>
        <v>12.64</v>
      </c>
      <c r="O142">
        <f t="shared" si="20"/>
        <v>0</v>
      </c>
      <c r="P142">
        <f t="shared" si="21"/>
        <v>0</v>
      </c>
    </row>
    <row r="143" spans="1:16" hidden="1" x14ac:dyDescent="0.3">
      <c r="A143" t="s">
        <v>192</v>
      </c>
      <c r="B143" t="s">
        <v>285</v>
      </c>
      <c r="C143" t="s">
        <v>286</v>
      </c>
      <c r="D143">
        <v>12.8</v>
      </c>
      <c r="E143">
        <v>18.8</v>
      </c>
      <c r="F143">
        <v>15.5</v>
      </c>
      <c r="G143" t="b">
        <v>0</v>
      </c>
      <c r="H143">
        <v>6</v>
      </c>
      <c r="I143">
        <v>0</v>
      </c>
      <c r="J143">
        <v>0</v>
      </c>
      <c r="K143">
        <v>73.599999999999994</v>
      </c>
      <c r="L143">
        <f t="shared" si="17"/>
        <v>8.0320008699268683</v>
      </c>
      <c r="M143">
        <f t="shared" si="18"/>
        <v>0.51200086992686833</v>
      </c>
      <c r="N143">
        <f t="shared" si="19"/>
        <v>7.5200000000000005</v>
      </c>
      <c r="O143">
        <f t="shared" si="20"/>
        <v>0</v>
      </c>
      <c r="P143">
        <f t="shared" si="21"/>
        <v>0</v>
      </c>
    </row>
    <row r="144" spans="1:16" hidden="1" x14ac:dyDescent="0.3">
      <c r="A144" t="s">
        <v>192</v>
      </c>
      <c r="B144" t="s">
        <v>287</v>
      </c>
      <c r="C144" t="s">
        <v>288</v>
      </c>
      <c r="D144">
        <v>10.6</v>
      </c>
      <c r="E144">
        <v>33.299999999999997</v>
      </c>
      <c r="F144">
        <v>18.600000000000001</v>
      </c>
      <c r="G144" t="b">
        <v>0</v>
      </c>
      <c r="H144">
        <v>3</v>
      </c>
      <c r="I144">
        <v>0</v>
      </c>
      <c r="J144">
        <v>0</v>
      </c>
      <c r="K144">
        <v>87.2</v>
      </c>
      <c r="L144">
        <f t="shared" si="17"/>
        <v>13.744000720408188</v>
      </c>
      <c r="M144">
        <f t="shared" si="18"/>
        <v>0.42400072040818781</v>
      </c>
      <c r="N144">
        <f t="shared" si="19"/>
        <v>13.32</v>
      </c>
      <c r="O144">
        <f t="shared" si="20"/>
        <v>0</v>
      </c>
      <c r="P144">
        <f t="shared" si="21"/>
        <v>0</v>
      </c>
    </row>
    <row r="145" spans="1:16" hidden="1" x14ac:dyDescent="0.3">
      <c r="A145" t="s">
        <v>192</v>
      </c>
      <c r="B145" t="s">
        <v>289</v>
      </c>
      <c r="C145" t="s">
        <v>290</v>
      </c>
      <c r="D145">
        <v>12.5</v>
      </c>
      <c r="E145">
        <v>37.5</v>
      </c>
      <c r="F145">
        <v>15</v>
      </c>
      <c r="G145" t="b">
        <v>0</v>
      </c>
      <c r="H145">
        <v>3</v>
      </c>
      <c r="I145">
        <v>0</v>
      </c>
      <c r="J145">
        <v>0</v>
      </c>
      <c r="K145">
        <v>82</v>
      </c>
      <c r="L145">
        <f t="shared" si="17"/>
        <v>15.500000849537958</v>
      </c>
      <c r="M145">
        <f t="shared" si="18"/>
        <v>0.50000084953795731</v>
      </c>
      <c r="N145">
        <f t="shared" si="19"/>
        <v>15</v>
      </c>
      <c r="O145">
        <f t="shared" si="20"/>
        <v>0</v>
      </c>
      <c r="P145">
        <f t="shared" si="21"/>
        <v>0</v>
      </c>
    </row>
    <row r="146" spans="1:16" hidden="1" x14ac:dyDescent="0.3">
      <c r="A146" t="s">
        <v>192</v>
      </c>
      <c r="B146" t="s">
        <v>291</v>
      </c>
      <c r="C146" t="s">
        <v>248</v>
      </c>
      <c r="D146">
        <v>7.2</v>
      </c>
      <c r="E146">
        <v>66.7</v>
      </c>
      <c r="F146">
        <v>17.3</v>
      </c>
      <c r="G146" t="b">
        <v>0</v>
      </c>
      <c r="H146">
        <v>3</v>
      </c>
      <c r="I146">
        <v>0</v>
      </c>
      <c r="J146">
        <v>0</v>
      </c>
      <c r="K146">
        <v>89.9</v>
      </c>
      <c r="L146">
        <f t="shared" si="17"/>
        <v>26.968000489333868</v>
      </c>
      <c r="M146">
        <f t="shared" si="18"/>
        <v>0.28800048933386346</v>
      </c>
      <c r="N146">
        <f t="shared" si="19"/>
        <v>26.680000000000003</v>
      </c>
      <c r="O146">
        <f t="shared" si="20"/>
        <v>0</v>
      </c>
      <c r="P146">
        <f t="shared" si="21"/>
        <v>0</v>
      </c>
    </row>
    <row r="147" spans="1:16" hidden="1" x14ac:dyDescent="0.3">
      <c r="A147" t="s">
        <v>192</v>
      </c>
      <c r="B147" t="s">
        <v>292</v>
      </c>
      <c r="C147" t="s">
        <v>293</v>
      </c>
      <c r="D147">
        <v>31.8</v>
      </c>
      <c r="E147">
        <v>42.9</v>
      </c>
      <c r="F147">
        <v>17.600000000000001</v>
      </c>
      <c r="G147" t="b">
        <v>0</v>
      </c>
      <c r="H147">
        <v>3</v>
      </c>
      <c r="I147">
        <v>0</v>
      </c>
      <c r="J147">
        <v>0</v>
      </c>
      <c r="K147">
        <v>130.4</v>
      </c>
      <c r="L147">
        <f t="shared" si="17"/>
        <v>18.432002161224563</v>
      </c>
      <c r="M147">
        <f t="shared" si="18"/>
        <v>1.2720021612245636</v>
      </c>
      <c r="N147">
        <f t="shared" si="19"/>
        <v>17.16</v>
      </c>
      <c r="O147">
        <f t="shared" si="20"/>
        <v>0</v>
      </c>
      <c r="P147">
        <f t="shared" si="21"/>
        <v>0</v>
      </c>
    </row>
    <row r="148" spans="1:16" hidden="1" x14ac:dyDescent="0.3">
      <c r="A148" t="s">
        <v>192</v>
      </c>
      <c r="B148" t="s">
        <v>294</v>
      </c>
      <c r="C148" t="s">
        <v>295</v>
      </c>
      <c r="D148">
        <v>17.899999999999999</v>
      </c>
      <c r="E148">
        <v>60</v>
      </c>
      <c r="F148">
        <v>15.5</v>
      </c>
      <c r="G148" t="b">
        <v>0</v>
      </c>
      <c r="H148">
        <v>3</v>
      </c>
      <c r="I148">
        <v>0</v>
      </c>
      <c r="J148">
        <v>0</v>
      </c>
      <c r="K148">
        <v>103.2</v>
      </c>
      <c r="L148">
        <f t="shared" si="17"/>
        <v>24.716001216538356</v>
      </c>
      <c r="M148">
        <f t="shared" si="18"/>
        <v>0.71600121653835491</v>
      </c>
      <c r="N148">
        <f t="shared" si="19"/>
        <v>24</v>
      </c>
      <c r="O148">
        <f t="shared" si="20"/>
        <v>0</v>
      </c>
      <c r="P148">
        <f t="shared" si="21"/>
        <v>0</v>
      </c>
    </row>
    <row r="149" spans="1:16" hidden="1" x14ac:dyDescent="0.3">
      <c r="A149" t="s">
        <v>192</v>
      </c>
      <c r="B149" t="s">
        <v>296</v>
      </c>
      <c r="C149" t="s">
        <v>297</v>
      </c>
      <c r="D149">
        <v>13.3</v>
      </c>
      <c r="E149">
        <v>30</v>
      </c>
      <c r="F149">
        <v>13.2</v>
      </c>
      <c r="G149" t="b">
        <v>0</v>
      </c>
      <c r="H149">
        <v>6</v>
      </c>
      <c r="I149">
        <v>0</v>
      </c>
      <c r="J149">
        <v>0</v>
      </c>
      <c r="K149">
        <v>72.2</v>
      </c>
      <c r="L149">
        <f t="shared" si="17"/>
        <v>12.532000903908386</v>
      </c>
      <c r="M149">
        <f t="shared" si="18"/>
        <v>0.53200090390838661</v>
      </c>
      <c r="N149">
        <f t="shared" si="19"/>
        <v>12</v>
      </c>
      <c r="O149">
        <f t="shared" si="20"/>
        <v>0</v>
      </c>
      <c r="P149">
        <f t="shared" si="21"/>
        <v>0</v>
      </c>
    </row>
    <row r="150" spans="1:16" hidden="1" x14ac:dyDescent="0.3">
      <c r="A150" t="s">
        <v>192</v>
      </c>
      <c r="B150" t="s">
        <v>298</v>
      </c>
      <c r="C150" t="s">
        <v>299</v>
      </c>
      <c r="D150">
        <v>7.5</v>
      </c>
      <c r="E150">
        <v>26.7</v>
      </c>
      <c r="F150">
        <v>12.9</v>
      </c>
      <c r="G150" t="b">
        <v>0</v>
      </c>
      <c r="H150">
        <v>3</v>
      </c>
      <c r="I150">
        <v>0</v>
      </c>
      <c r="J150">
        <v>0</v>
      </c>
      <c r="K150">
        <v>61.5</v>
      </c>
      <c r="L150">
        <f t="shared" si="17"/>
        <v>10.980000509722775</v>
      </c>
      <c r="M150">
        <f t="shared" si="18"/>
        <v>0.30000050972277442</v>
      </c>
      <c r="N150">
        <f t="shared" si="19"/>
        <v>10.68</v>
      </c>
      <c r="O150">
        <f t="shared" si="20"/>
        <v>0</v>
      </c>
      <c r="P150">
        <f t="shared" si="21"/>
        <v>0</v>
      </c>
    </row>
    <row r="151" spans="1:16" hidden="1" x14ac:dyDescent="0.3">
      <c r="A151" t="s">
        <v>192</v>
      </c>
      <c r="B151" t="s">
        <v>300</v>
      </c>
      <c r="C151" t="s">
        <v>301</v>
      </c>
      <c r="D151">
        <v>9.5</v>
      </c>
      <c r="E151">
        <v>54.5</v>
      </c>
      <c r="F151">
        <v>15.4</v>
      </c>
      <c r="G151" t="b">
        <v>0</v>
      </c>
      <c r="H151">
        <v>3</v>
      </c>
      <c r="I151">
        <v>0</v>
      </c>
      <c r="J151">
        <v>0</v>
      </c>
      <c r="K151">
        <v>83.9</v>
      </c>
      <c r="L151">
        <f t="shared" si="17"/>
        <v>22.18000064564885</v>
      </c>
      <c r="M151">
        <f t="shared" si="18"/>
        <v>0.38000064564884761</v>
      </c>
      <c r="N151">
        <f t="shared" si="19"/>
        <v>21.8</v>
      </c>
      <c r="O151">
        <f t="shared" si="20"/>
        <v>0</v>
      </c>
      <c r="P151">
        <f t="shared" si="21"/>
        <v>0</v>
      </c>
    </row>
    <row r="152" spans="1:16" hidden="1" x14ac:dyDescent="0.3">
      <c r="A152" t="s">
        <v>192</v>
      </c>
      <c r="B152" t="s">
        <v>302</v>
      </c>
      <c r="C152" t="s">
        <v>303</v>
      </c>
      <c r="D152">
        <v>10.6</v>
      </c>
      <c r="E152">
        <v>30</v>
      </c>
      <c r="F152">
        <v>11.5</v>
      </c>
      <c r="G152" t="b">
        <v>0</v>
      </c>
      <c r="H152">
        <v>6</v>
      </c>
      <c r="I152">
        <v>0</v>
      </c>
      <c r="J152">
        <v>0</v>
      </c>
      <c r="K152">
        <v>61.6</v>
      </c>
      <c r="L152">
        <f t="shared" si="17"/>
        <v>12.424000720408188</v>
      </c>
      <c r="M152">
        <f t="shared" si="18"/>
        <v>0.42400072040818781</v>
      </c>
      <c r="N152">
        <f t="shared" si="19"/>
        <v>12</v>
      </c>
      <c r="O152">
        <f t="shared" si="20"/>
        <v>0</v>
      </c>
      <c r="P152">
        <f t="shared" si="21"/>
        <v>0</v>
      </c>
    </row>
    <row r="153" spans="1:16" hidden="1" x14ac:dyDescent="0.3">
      <c r="A153" t="s">
        <v>192</v>
      </c>
      <c r="B153" t="s">
        <v>304</v>
      </c>
      <c r="C153" t="s">
        <v>305</v>
      </c>
      <c r="D153">
        <v>22.4</v>
      </c>
      <c r="E153">
        <v>31.6</v>
      </c>
      <c r="F153">
        <v>8.5</v>
      </c>
      <c r="G153" t="b">
        <v>0</v>
      </c>
      <c r="H153">
        <v>6</v>
      </c>
      <c r="I153">
        <v>0</v>
      </c>
      <c r="J153">
        <v>0</v>
      </c>
      <c r="K153">
        <v>76.7</v>
      </c>
      <c r="L153">
        <f t="shared" si="17"/>
        <v>13.53600152237202</v>
      </c>
      <c r="M153">
        <f t="shared" si="18"/>
        <v>0.89600152237201947</v>
      </c>
      <c r="N153">
        <f t="shared" si="19"/>
        <v>12.64</v>
      </c>
      <c r="O153">
        <f t="shared" si="20"/>
        <v>0</v>
      </c>
      <c r="P153">
        <f t="shared" si="21"/>
        <v>0</v>
      </c>
    </row>
    <row r="154" spans="1:16" hidden="1" x14ac:dyDescent="0.3">
      <c r="A154" t="s">
        <v>192</v>
      </c>
      <c r="B154" t="s">
        <v>306</v>
      </c>
      <c r="C154" t="s">
        <v>307</v>
      </c>
      <c r="D154">
        <v>20.6</v>
      </c>
      <c r="E154">
        <v>75</v>
      </c>
      <c r="F154">
        <v>19.7</v>
      </c>
      <c r="G154" t="b">
        <v>0</v>
      </c>
      <c r="H154">
        <v>3</v>
      </c>
      <c r="I154">
        <v>0</v>
      </c>
      <c r="J154">
        <v>0</v>
      </c>
      <c r="K154">
        <v>127.1</v>
      </c>
      <c r="L154">
        <f t="shared" si="17"/>
        <v>30.824001400038554</v>
      </c>
      <c r="M154">
        <f t="shared" si="18"/>
        <v>0.82400140003855382</v>
      </c>
      <c r="N154">
        <f t="shared" si="19"/>
        <v>30</v>
      </c>
      <c r="O154">
        <f t="shared" si="20"/>
        <v>0</v>
      </c>
      <c r="P154">
        <f t="shared" si="21"/>
        <v>0</v>
      </c>
    </row>
    <row r="155" spans="1:16" hidden="1" x14ac:dyDescent="0.3">
      <c r="A155" t="s">
        <v>192</v>
      </c>
      <c r="B155" t="s">
        <v>308</v>
      </c>
      <c r="C155" t="s">
        <v>309</v>
      </c>
      <c r="D155">
        <v>13.8</v>
      </c>
      <c r="E155">
        <v>26.1</v>
      </c>
      <c r="F155">
        <v>12.1</v>
      </c>
      <c r="G155" t="b">
        <v>0</v>
      </c>
      <c r="H155">
        <v>6</v>
      </c>
      <c r="I155">
        <v>0</v>
      </c>
      <c r="J155">
        <v>0</v>
      </c>
      <c r="K155">
        <v>68.3</v>
      </c>
      <c r="L155">
        <f t="shared" si="17"/>
        <v>10.992000937889905</v>
      </c>
      <c r="M155">
        <f t="shared" si="18"/>
        <v>0.5520009378899049</v>
      </c>
      <c r="N155">
        <f t="shared" si="19"/>
        <v>10.440000000000001</v>
      </c>
      <c r="O155">
        <f t="shared" si="20"/>
        <v>0</v>
      </c>
      <c r="P155">
        <f t="shared" si="21"/>
        <v>0</v>
      </c>
    </row>
    <row r="156" spans="1:16" hidden="1" x14ac:dyDescent="0.3">
      <c r="A156" t="s">
        <v>192</v>
      </c>
      <c r="B156" t="s">
        <v>310</v>
      </c>
      <c r="C156" t="s">
        <v>311</v>
      </c>
      <c r="D156">
        <v>20.9</v>
      </c>
      <c r="E156">
        <v>27.3</v>
      </c>
      <c r="F156">
        <v>12.8</v>
      </c>
      <c r="G156" t="b">
        <v>0</v>
      </c>
      <c r="H156">
        <v>6</v>
      </c>
      <c r="I156">
        <v>0</v>
      </c>
      <c r="J156">
        <v>0</v>
      </c>
      <c r="K156">
        <v>85</v>
      </c>
      <c r="L156">
        <f t="shared" si="17"/>
        <v>11.756001420427467</v>
      </c>
      <c r="M156">
        <f t="shared" si="18"/>
        <v>0.83600142042746461</v>
      </c>
      <c r="N156">
        <f t="shared" si="19"/>
        <v>10.920000000000002</v>
      </c>
      <c r="O156">
        <f t="shared" si="20"/>
        <v>0</v>
      </c>
      <c r="P156">
        <f t="shared" si="21"/>
        <v>0</v>
      </c>
    </row>
    <row r="157" spans="1:16" hidden="1" x14ac:dyDescent="0.3">
      <c r="A157" t="s">
        <v>192</v>
      </c>
      <c r="B157" t="s">
        <v>312</v>
      </c>
      <c r="C157" t="s">
        <v>313</v>
      </c>
      <c r="D157">
        <v>22.4</v>
      </c>
      <c r="E157">
        <v>33.299999999999997</v>
      </c>
      <c r="F157">
        <v>13</v>
      </c>
      <c r="G157" t="b">
        <v>0</v>
      </c>
      <c r="H157">
        <v>6</v>
      </c>
      <c r="I157">
        <v>0</v>
      </c>
      <c r="J157">
        <v>0</v>
      </c>
      <c r="K157">
        <v>91</v>
      </c>
      <c r="L157">
        <f t="shared" si="17"/>
        <v>14.21600152237202</v>
      </c>
      <c r="M157">
        <f t="shared" si="18"/>
        <v>0.89600152237201947</v>
      </c>
      <c r="N157">
        <f t="shared" si="19"/>
        <v>13.32</v>
      </c>
      <c r="O157">
        <f t="shared" si="20"/>
        <v>0</v>
      </c>
      <c r="P157">
        <f t="shared" si="21"/>
        <v>0</v>
      </c>
    </row>
    <row r="158" spans="1:16" hidden="1" x14ac:dyDescent="0.3">
      <c r="A158" t="s">
        <v>192</v>
      </c>
      <c r="B158" t="s">
        <v>314</v>
      </c>
      <c r="C158" t="s">
        <v>315</v>
      </c>
      <c r="D158">
        <v>14.3</v>
      </c>
      <c r="E158">
        <v>60</v>
      </c>
      <c r="F158">
        <v>14.5</v>
      </c>
      <c r="G158" t="b">
        <v>0</v>
      </c>
      <c r="H158">
        <v>3</v>
      </c>
      <c r="I158">
        <v>0</v>
      </c>
      <c r="J158">
        <v>0</v>
      </c>
      <c r="K158">
        <v>93.2</v>
      </c>
      <c r="L158">
        <f t="shared" si="17"/>
        <v>24.572000971871422</v>
      </c>
      <c r="M158">
        <f t="shared" si="18"/>
        <v>0.57200097187142329</v>
      </c>
      <c r="N158">
        <f t="shared" si="19"/>
        <v>24</v>
      </c>
      <c r="O158">
        <f t="shared" si="20"/>
        <v>0</v>
      </c>
      <c r="P158">
        <f t="shared" si="21"/>
        <v>0</v>
      </c>
    </row>
    <row r="159" spans="1:16" hidden="1" x14ac:dyDescent="0.3">
      <c r="A159" t="s">
        <v>192</v>
      </c>
      <c r="B159" t="s">
        <v>316</v>
      </c>
      <c r="C159" t="s">
        <v>317</v>
      </c>
      <c r="D159">
        <v>12.4</v>
      </c>
      <c r="E159">
        <v>60</v>
      </c>
      <c r="F159">
        <v>17.5</v>
      </c>
      <c r="G159" t="b">
        <v>0</v>
      </c>
      <c r="H159">
        <v>3</v>
      </c>
      <c r="I159">
        <v>0</v>
      </c>
      <c r="J159">
        <v>0</v>
      </c>
      <c r="K159">
        <v>98.4</v>
      </c>
      <c r="L159">
        <f t="shared" si="17"/>
        <v>24.496000842741655</v>
      </c>
      <c r="M159">
        <f t="shared" si="18"/>
        <v>0.49600084274165374</v>
      </c>
      <c r="N159">
        <f t="shared" si="19"/>
        <v>24</v>
      </c>
      <c r="O159">
        <f t="shared" si="20"/>
        <v>0</v>
      </c>
      <c r="P159">
        <f t="shared" si="21"/>
        <v>0</v>
      </c>
    </row>
    <row r="160" spans="1:16" hidden="1" x14ac:dyDescent="0.3">
      <c r="A160" t="s">
        <v>192</v>
      </c>
      <c r="B160" t="s">
        <v>318</v>
      </c>
      <c r="C160" t="s">
        <v>319</v>
      </c>
      <c r="D160">
        <v>12</v>
      </c>
      <c r="E160">
        <v>42.9</v>
      </c>
      <c r="F160">
        <v>16</v>
      </c>
      <c r="G160" t="b">
        <v>0</v>
      </c>
      <c r="H160">
        <v>3</v>
      </c>
      <c r="I160">
        <v>0</v>
      </c>
      <c r="J160">
        <v>0</v>
      </c>
      <c r="K160">
        <v>86.1</v>
      </c>
      <c r="L160">
        <f t="shared" si="17"/>
        <v>17.640000815556441</v>
      </c>
      <c r="M160">
        <f t="shared" si="18"/>
        <v>0.48000081555643903</v>
      </c>
      <c r="N160">
        <f t="shared" si="19"/>
        <v>17.16</v>
      </c>
      <c r="O160">
        <f t="shared" si="20"/>
        <v>0</v>
      </c>
      <c r="P160">
        <f t="shared" si="21"/>
        <v>0</v>
      </c>
    </row>
    <row r="161" spans="1:16" hidden="1" x14ac:dyDescent="0.3">
      <c r="A161" t="s">
        <v>192</v>
      </c>
      <c r="B161" t="s">
        <v>320</v>
      </c>
      <c r="C161" t="s">
        <v>321</v>
      </c>
      <c r="D161">
        <v>14.4</v>
      </c>
      <c r="E161">
        <v>22.2</v>
      </c>
      <c r="F161">
        <v>14.2</v>
      </c>
      <c r="G161" t="b">
        <v>0</v>
      </c>
      <c r="H161">
        <v>6</v>
      </c>
      <c r="I161">
        <v>0</v>
      </c>
      <c r="J161">
        <v>0</v>
      </c>
      <c r="K161">
        <v>74.2</v>
      </c>
      <c r="L161">
        <f t="shared" si="17"/>
        <v>9.4560009786677277</v>
      </c>
      <c r="M161">
        <f t="shared" si="18"/>
        <v>0.57600097866772693</v>
      </c>
      <c r="N161">
        <f t="shared" si="19"/>
        <v>8.8800000000000008</v>
      </c>
      <c r="O161">
        <f t="shared" si="20"/>
        <v>0</v>
      </c>
      <c r="P161">
        <f t="shared" si="21"/>
        <v>0</v>
      </c>
    </row>
    <row r="162" spans="1:16" hidden="1" x14ac:dyDescent="0.3">
      <c r="A162" t="s">
        <v>192</v>
      </c>
      <c r="B162" t="s">
        <v>322</v>
      </c>
      <c r="C162" t="s">
        <v>323</v>
      </c>
      <c r="D162">
        <v>19.3</v>
      </c>
      <c r="E162">
        <v>85.7</v>
      </c>
      <c r="F162">
        <v>12.8</v>
      </c>
      <c r="G162" t="b">
        <v>0</v>
      </c>
      <c r="H162">
        <v>6</v>
      </c>
      <c r="I162">
        <v>0</v>
      </c>
      <c r="J162">
        <v>0</v>
      </c>
      <c r="K162">
        <v>105.1</v>
      </c>
      <c r="L162">
        <f t="shared" si="17"/>
        <v>35.05200131168661</v>
      </c>
      <c r="M162">
        <f t="shared" si="18"/>
        <v>0.77200131168660613</v>
      </c>
      <c r="N162">
        <f t="shared" si="19"/>
        <v>34.28</v>
      </c>
      <c r="O162">
        <f t="shared" si="20"/>
        <v>0</v>
      </c>
      <c r="P162">
        <f t="shared" si="21"/>
        <v>0</v>
      </c>
    </row>
    <row r="163" spans="1:16" hidden="1" x14ac:dyDescent="0.3">
      <c r="A163" t="s">
        <v>192</v>
      </c>
      <c r="B163" t="s">
        <v>324</v>
      </c>
      <c r="C163" t="s">
        <v>307</v>
      </c>
      <c r="D163">
        <v>13.6</v>
      </c>
      <c r="E163">
        <v>75</v>
      </c>
      <c r="F163">
        <v>18.600000000000001</v>
      </c>
      <c r="G163" t="b">
        <v>0</v>
      </c>
      <c r="H163">
        <v>3</v>
      </c>
      <c r="I163">
        <v>0</v>
      </c>
      <c r="J163">
        <v>0</v>
      </c>
      <c r="K163">
        <v>109.9</v>
      </c>
      <c r="L163">
        <f t="shared" si="17"/>
        <v>30.544000924297297</v>
      </c>
      <c r="M163">
        <f t="shared" si="18"/>
        <v>0.54400092429729763</v>
      </c>
      <c r="N163">
        <f t="shared" si="19"/>
        <v>30</v>
      </c>
      <c r="O163">
        <f t="shared" si="20"/>
        <v>0</v>
      </c>
      <c r="P163">
        <f t="shared" si="21"/>
        <v>0</v>
      </c>
    </row>
    <row r="164" spans="1:16" hidden="1" x14ac:dyDescent="0.3">
      <c r="A164" t="s">
        <v>192</v>
      </c>
      <c r="B164" t="s">
        <v>325</v>
      </c>
      <c r="C164" t="s">
        <v>326</v>
      </c>
      <c r="D164">
        <v>24.5</v>
      </c>
      <c r="E164">
        <v>26.1</v>
      </c>
      <c r="F164">
        <v>12.9</v>
      </c>
      <c r="G164" t="b">
        <v>0</v>
      </c>
      <c r="H164">
        <v>6</v>
      </c>
      <c r="I164">
        <v>0</v>
      </c>
      <c r="J164">
        <v>0</v>
      </c>
      <c r="K164">
        <v>92.2</v>
      </c>
      <c r="L164">
        <f t="shared" si="17"/>
        <v>11.420001665094398</v>
      </c>
      <c r="M164">
        <f t="shared" si="18"/>
        <v>0.98000166509439646</v>
      </c>
      <c r="N164">
        <f t="shared" si="19"/>
        <v>10.440000000000001</v>
      </c>
      <c r="O164">
        <f t="shared" si="20"/>
        <v>0</v>
      </c>
      <c r="P164">
        <f t="shared" si="21"/>
        <v>0</v>
      </c>
    </row>
    <row r="165" spans="1:16" hidden="1" x14ac:dyDescent="0.3">
      <c r="A165" t="s">
        <v>192</v>
      </c>
      <c r="B165" t="s">
        <v>327</v>
      </c>
      <c r="C165" t="s">
        <v>328</v>
      </c>
      <c r="D165">
        <v>25.2</v>
      </c>
      <c r="E165">
        <v>31.6</v>
      </c>
      <c r="F165">
        <v>15.7</v>
      </c>
      <c r="G165" t="b">
        <v>0</v>
      </c>
      <c r="H165">
        <v>6</v>
      </c>
      <c r="I165">
        <v>0</v>
      </c>
      <c r="J165">
        <v>0</v>
      </c>
      <c r="K165">
        <v>104.2</v>
      </c>
      <c r="L165">
        <f t="shared" si="17"/>
        <v>13.648001712668522</v>
      </c>
      <c r="M165">
        <f t="shared" si="18"/>
        <v>1.0080017126685219</v>
      </c>
      <c r="N165">
        <f t="shared" si="19"/>
        <v>12.64</v>
      </c>
      <c r="O165">
        <f t="shared" si="20"/>
        <v>0</v>
      </c>
      <c r="P165">
        <f t="shared" si="21"/>
        <v>0</v>
      </c>
    </row>
    <row r="166" spans="1:16" hidden="1" x14ac:dyDescent="0.3">
      <c r="A166" t="s">
        <v>192</v>
      </c>
      <c r="B166" t="s">
        <v>329</v>
      </c>
      <c r="C166" t="s">
        <v>330</v>
      </c>
      <c r="D166">
        <v>16.600000000000001</v>
      </c>
      <c r="E166">
        <v>42.9</v>
      </c>
      <c r="F166">
        <v>11.9</v>
      </c>
      <c r="G166" t="b">
        <v>0</v>
      </c>
      <c r="H166">
        <v>3</v>
      </c>
      <c r="I166">
        <v>0</v>
      </c>
      <c r="J166">
        <v>0</v>
      </c>
      <c r="K166">
        <v>83.1</v>
      </c>
      <c r="L166">
        <f t="shared" si="17"/>
        <v>17.824001128186406</v>
      </c>
      <c r="M166">
        <f t="shared" si="18"/>
        <v>0.66400112818640744</v>
      </c>
      <c r="N166">
        <f t="shared" si="19"/>
        <v>17.16</v>
      </c>
      <c r="O166">
        <f t="shared" si="20"/>
        <v>0</v>
      </c>
      <c r="P166">
        <f t="shared" si="21"/>
        <v>0</v>
      </c>
    </row>
    <row r="167" spans="1:16" hidden="1" x14ac:dyDescent="0.3">
      <c r="A167" t="s">
        <v>192</v>
      </c>
      <c r="B167" t="s">
        <v>331</v>
      </c>
      <c r="C167" t="s">
        <v>332</v>
      </c>
      <c r="D167">
        <v>12</v>
      </c>
      <c r="E167">
        <v>54.5</v>
      </c>
      <c r="F167">
        <v>12.5</v>
      </c>
      <c r="G167" t="b">
        <v>0</v>
      </c>
      <c r="H167">
        <v>6</v>
      </c>
      <c r="I167">
        <v>0</v>
      </c>
      <c r="J167">
        <v>0</v>
      </c>
      <c r="K167">
        <v>77.3</v>
      </c>
      <c r="L167">
        <f t="shared" si="17"/>
        <v>22.280000815556441</v>
      </c>
      <c r="M167">
        <f t="shared" si="18"/>
        <v>0.48000081555643903</v>
      </c>
      <c r="N167">
        <f t="shared" si="19"/>
        <v>21.8</v>
      </c>
      <c r="O167">
        <f t="shared" si="20"/>
        <v>0</v>
      </c>
      <c r="P167">
        <f t="shared" si="21"/>
        <v>0</v>
      </c>
    </row>
    <row r="168" spans="1:16" hidden="1" x14ac:dyDescent="0.3">
      <c r="A168" t="s">
        <v>192</v>
      </c>
      <c r="B168" t="s">
        <v>333</v>
      </c>
      <c r="C168" t="s">
        <v>334</v>
      </c>
      <c r="D168">
        <v>24.1</v>
      </c>
      <c r="E168">
        <v>21.4</v>
      </c>
      <c r="F168">
        <v>16.2</v>
      </c>
      <c r="G168" t="b">
        <v>0</v>
      </c>
      <c r="H168">
        <v>6</v>
      </c>
      <c r="I168">
        <v>0</v>
      </c>
      <c r="J168">
        <v>0</v>
      </c>
      <c r="K168">
        <v>99.4</v>
      </c>
      <c r="L168">
        <f t="shared" si="17"/>
        <v>9.5240016379091816</v>
      </c>
      <c r="M168">
        <f t="shared" si="18"/>
        <v>0.96400163790918181</v>
      </c>
      <c r="N168">
        <f t="shared" si="19"/>
        <v>8.56</v>
      </c>
      <c r="O168">
        <f t="shared" si="20"/>
        <v>0</v>
      </c>
      <c r="P168">
        <f t="shared" si="21"/>
        <v>0</v>
      </c>
    </row>
    <row r="169" spans="1:16" hidden="1" x14ac:dyDescent="0.3">
      <c r="A169" t="s">
        <v>192</v>
      </c>
      <c r="B169" t="s">
        <v>335</v>
      </c>
      <c r="C169" t="s">
        <v>336</v>
      </c>
      <c r="D169">
        <v>25.1</v>
      </c>
      <c r="E169">
        <v>37.5</v>
      </c>
      <c r="F169">
        <v>16.100000000000001</v>
      </c>
      <c r="G169" t="b">
        <v>0</v>
      </c>
      <c r="H169">
        <v>6</v>
      </c>
      <c r="I169">
        <v>0</v>
      </c>
      <c r="J169">
        <v>0</v>
      </c>
      <c r="K169">
        <v>107.3</v>
      </c>
      <c r="L169">
        <f t="shared" si="17"/>
        <v>16.00400170587222</v>
      </c>
      <c r="M169">
        <f t="shared" si="18"/>
        <v>1.0040017058722184</v>
      </c>
      <c r="N169">
        <f t="shared" si="19"/>
        <v>15</v>
      </c>
      <c r="O169">
        <f t="shared" si="20"/>
        <v>0</v>
      </c>
      <c r="P169">
        <f t="shared" si="21"/>
        <v>0</v>
      </c>
    </row>
    <row r="170" spans="1:16" hidden="1" x14ac:dyDescent="0.3">
      <c r="A170" t="s">
        <v>192</v>
      </c>
      <c r="B170" t="s">
        <v>337</v>
      </c>
      <c r="C170" t="s">
        <v>338</v>
      </c>
      <c r="D170">
        <v>17.3</v>
      </c>
      <c r="E170">
        <v>22.2</v>
      </c>
      <c r="F170">
        <v>17.3</v>
      </c>
      <c r="G170" t="b">
        <v>0</v>
      </c>
      <c r="H170">
        <v>3</v>
      </c>
      <c r="I170">
        <v>0</v>
      </c>
      <c r="J170">
        <v>0</v>
      </c>
      <c r="K170">
        <v>92.6</v>
      </c>
      <c r="L170">
        <f t="shared" si="17"/>
        <v>9.5720011757605334</v>
      </c>
      <c r="M170">
        <f t="shared" si="18"/>
        <v>0.69200117576053299</v>
      </c>
      <c r="N170">
        <f t="shared" si="19"/>
        <v>8.8800000000000008</v>
      </c>
      <c r="O170">
        <f t="shared" si="20"/>
        <v>0</v>
      </c>
      <c r="P170">
        <f t="shared" si="21"/>
        <v>0</v>
      </c>
    </row>
    <row r="171" spans="1:16" hidden="1" x14ac:dyDescent="0.3">
      <c r="A171" t="s">
        <v>192</v>
      </c>
      <c r="B171" t="s">
        <v>339</v>
      </c>
      <c r="C171" t="s">
        <v>340</v>
      </c>
      <c r="D171">
        <v>28.6</v>
      </c>
      <c r="E171">
        <v>20.7</v>
      </c>
      <c r="F171">
        <v>11.5</v>
      </c>
      <c r="G171" t="b">
        <v>0</v>
      </c>
      <c r="H171">
        <v>6</v>
      </c>
      <c r="I171">
        <v>0</v>
      </c>
      <c r="J171">
        <v>0</v>
      </c>
      <c r="K171">
        <v>93.9</v>
      </c>
      <c r="L171">
        <f t="shared" si="17"/>
        <v>9.4240019437428462</v>
      </c>
      <c r="M171">
        <f t="shared" si="18"/>
        <v>1.1440019437428466</v>
      </c>
      <c r="N171">
        <f t="shared" si="19"/>
        <v>8.2799999999999994</v>
      </c>
      <c r="O171">
        <f t="shared" si="20"/>
        <v>0</v>
      </c>
      <c r="P171">
        <f t="shared" si="21"/>
        <v>0</v>
      </c>
    </row>
    <row r="172" spans="1:16" hidden="1" x14ac:dyDescent="0.3">
      <c r="A172" t="s">
        <v>192</v>
      </c>
      <c r="B172" t="s">
        <v>341</v>
      </c>
      <c r="C172" t="s">
        <v>342</v>
      </c>
      <c r="D172">
        <v>12.5</v>
      </c>
      <c r="E172">
        <v>50</v>
      </c>
      <c r="F172">
        <v>13.7</v>
      </c>
      <c r="G172" t="b">
        <v>0</v>
      </c>
      <c r="H172">
        <v>3</v>
      </c>
      <c r="I172">
        <v>0</v>
      </c>
      <c r="J172">
        <v>0</v>
      </c>
      <c r="K172">
        <v>83.1</v>
      </c>
      <c r="L172">
        <f t="shared" si="17"/>
        <v>20.500000849537958</v>
      </c>
      <c r="M172">
        <f t="shared" si="18"/>
        <v>0.50000084953795731</v>
      </c>
      <c r="N172">
        <f t="shared" si="19"/>
        <v>20</v>
      </c>
      <c r="O172">
        <f t="shared" si="20"/>
        <v>0</v>
      </c>
      <c r="P172">
        <f t="shared" si="21"/>
        <v>0</v>
      </c>
    </row>
    <row r="173" spans="1:16" hidden="1" x14ac:dyDescent="0.3">
      <c r="A173" t="s">
        <v>192</v>
      </c>
      <c r="B173" t="s">
        <v>343</v>
      </c>
      <c r="C173" t="s">
        <v>344</v>
      </c>
      <c r="D173">
        <v>7.5</v>
      </c>
      <c r="E173">
        <v>60</v>
      </c>
      <c r="F173">
        <v>12.5</v>
      </c>
      <c r="G173" t="b">
        <v>0</v>
      </c>
      <c r="H173">
        <v>3</v>
      </c>
      <c r="I173">
        <v>0</v>
      </c>
      <c r="J173">
        <v>0</v>
      </c>
      <c r="K173">
        <v>73.599999999999994</v>
      </c>
      <c r="L173">
        <f t="shared" si="17"/>
        <v>24.300000509722775</v>
      </c>
      <c r="M173">
        <f t="shared" si="18"/>
        <v>0.30000050972277442</v>
      </c>
      <c r="N173">
        <f t="shared" si="19"/>
        <v>24</v>
      </c>
      <c r="O173">
        <f t="shared" si="20"/>
        <v>0</v>
      </c>
      <c r="P173">
        <f t="shared" si="21"/>
        <v>0</v>
      </c>
    </row>
    <row r="174" spans="1:16" hidden="1" x14ac:dyDescent="0.3">
      <c r="A174" t="s">
        <v>192</v>
      </c>
      <c r="B174" t="s">
        <v>345</v>
      </c>
      <c r="C174" t="s">
        <v>346</v>
      </c>
      <c r="D174">
        <v>28.2</v>
      </c>
      <c r="E174">
        <v>35.299999999999997</v>
      </c>
      <c r="F174">
        <v>9.4</v>
      </c>
      <c r="G174" t="b">
        <v>0</v>
      </c>
      <c r="H174">
        <v>6</v>
      </c>
      <c r="I174">
        <v>0</v>
      </c>
      <c r="J174">
        <v>0</v>
      </c>
      <c r="K174">
        <v>92.6</v>
      </c>
      <c r="L174">
        <f t="shared" si="17"/>
        <v>15.24800191655763</v>
      </c>
      <c r="M174">
        <f t="shared" si="18"/>
        <v>1.1280019165576318</v>
      </c>
      <c r="N174">
        <f t="shared" si="19"/>
        <v>14.12</v>
      </c>
      <c r="O174">
        <f t="shared" si="20"/>
        <v>0</v>
      </c>
      <c r="P174">
        <f t="shared" si="21"/>
        <v>0</v>
      </c>
    </row>
    <row r="175" spans="1:16" hidden="1" x14ac:dyDescent="0.3">
      <c r="A175" t="s">
        <v>192</v>
      </c>
      <c r="B175" t="s">
        <v>347</v>
      </c>
      <c r="C175" t="s">
        <v>348</v>
      </c>
      <c r="D175">
        <v>6.4</v>
      </c>
      <c r="E175">
        <v>75</v>
      </c>
      <c r="F175">
        <v>13.8</v>
      </c>
      <c r="G175" t="b">
        <v>0</v>
      </c>
      <c r="H175">
        <v>3</v>
      </c>
      <c r="I175">
        <v>0</v>
      </c>
      <c r="J175">
        <v>0</v>
      </c>
      <c r="K175">
        <v>81.099999999999994</v>
      </c>
      <c r="L175">
        <f t="shared" si="17"/>
        <v>30.256000434963433</v>
      </c>
      <c r="M175">
        <f t="shared" si="18"/>
        <v>0.25600043496343416</v>
      </c>
      <c r="N175">
        <f t="shared" si="19"/>
        <v>30</v>
      </c>
      <c r="O175">
        <f t="shared" si="20"/>
        <v>0</v>
      </c>
      <c r="P175">
        <f t="shared" si="21"/>
        <v>0</v>
      </c>
    </row>
    <row r="176" spans="1:16" hidden="1" x14ac:dyDescent="0.3">
      <c r="A176" t="s">
        <v>192</v>
      </c>
      <c r="B176" t="s">
        <v>349</v>
      </c>
      <c r="C176" t="s">
        <v>350</v>
      </c>
      <c r="D176">
        <v>19.2</v>
      </c>
      <c r="E176">
        <v>28.6</v>
      </c>
      <c r="F176">
        <v>14.6</v>
      </c>
      <c r="G176" t="b">
        <v>0</v>
      </c>
      <c r="H176">
        <v>6</v>
      </c>
      <c r="I176">
        <v>0</v>
      </c>
      <c r="J176">
        <v>0</v>
      </c>
      <c r="K176">
        <v>87.7</v>
      </c>
      <c r="L176">
        <f t="shared" si="17"/>
        <v>12.208001304890304</v>
      </c>
      <c r="M176">
        <f t="shared" si="18"/>
        <v>0.76800130489030249</v>
      </c>
      <c r="N176">
        <f t="shared" si="19"/>
        <v>11.440000000000001</v>
      </c>
      <c r="O176">
        <f t="shared" si="20"/>
        <v>0</v>
      </c>
      <c r="P176">
        <f t="shared" si="21"/>
        <v>0</v>
      </c>
    </row>
    <row r="177" spans="1:16" hidden="1" x14ac:dyDescent="0.3">
      <c r="A177" t="s">
        <v>192</v>
      </c>
      <c r="B177" t="s">
        <v>351</v>
      </c>
      <c r="C177" t="s">
        <v>352</v>
      </c>
      <c r="D177">
        <v>14.9</v>
      </c>
      <c r="E177">
        <v>31.6</v>
      </c>
      <c r="F177">
        <v>14.4</v>
      </c>
      <c r="G177" t="b">
        <v>0</v>
      </c>
      <c r="H177">
        <v>6</v>
      </c>
      <c r="I177">
        <v>0</v>
      </c>
      <c r="J177">
        <v>0</v>
      </c>
      <c r="K177">
        <v>79.599999999999994</v>
      </c>
      <c r="L177">
        <f t="shared" si="17"/>
        <v>13.236001012649245</v>
      </c>
      <c r="M177">
        <f t="shared" si="18"/>
        <v>0.59600101264924521</v>
      </c>
      <c r="N177">
        <f t="shared" si="19"/>
        <v>12.64</v>
      </c>
      <c r="O177">
        <f t="shared" si="20"/>
        <v>0</v>
      </c>
      <c r="P177">
        <f t="shared" si="21"/>
        <v>0</v>
      </c>
    </row>
    <row r="178" spans="1:16" hidden="1" x14ac:dyDescent="0.3">
      <c r="A178" t="s">
        <v>192</v>
      </c>
      <c r="B178" t="s">
        <v>353</v>
      </c>
      <c r="C178" t="s">
        <v>354</v>
      </c>
      <c r="D178">
        <v>25.4</v>
      </c>
      <c r="E178">
        <v>30</v>
      </c>
      <c r="F178">
        <v>8.6999999999999993</v>
      </c>
      <c r="G178" t="b">
        <v>0</v>
      </c>
      <c r="H178">
        <v>6</v>
      </c>
      <c r="I178">
        <v>0</v>
      </c>
      <c r="J178">
        <v>0</v>
      </c>
      <c r="K178">
        <v>82.9</v>
      </c>
      <c r="L178">
        <f t="shared" si="17"/>
        <v>13.016001726261129</v>
      </c>
      <c r="M178">
        <f t="shared" si="18"/>
        <v>1.0160017262611294</v>
      </c>
      <c r="N178">
        <f t="shared" si="19"/>
        <v>12</v>
      </c>
      <c r="O178">
        <f t="shared" si="20"/>
        <v>0</v>
      </c>
      <c r="P178">
        <f t="shared" si="21"/>
        <v>0</v>
      </c>
    </row>
    <row r="179" spans="1:16" hidden="1" x14ac:dyDescent="0.3">
      <c r="A179" t="s">
        <v>192</v>
      </c>
      <c r="B179" t="s">
        <v>355</v>
      </c>
      <c r="C179" t="s">
        <v>356</v>
      </c>
      <c r="D179">
        <v>19.399999999999999</v>
      </c>
      <c r="E179">
        <v>66.7</v>
      </c>
      <c r="F179">
        <v>6.5</v>
      </c>
      <c r="G179" t="b">
        <v>0</v>
      </c>
      <c r="H179">
        <v>6</v>
      </c>
      <c r="I179">
        <v>0</v>
      </c>
      <c r="J179">
        <v>0</v>
      </c>
      <c r="K179">
        <v>78.900000000000006</v>
      </c>
      <c r="L179">
        <f t="shared" si="17"/>
        <v>27.456001318482912</v>
      </c>
      <c r="M179">
        <f t="shared" si="18"/>
        <v>0.77600131848290976</v>
      </c>
      <c r="N179">
        <f t="shared" si="19"/>
        <v>26.680000000000003</v>
      </c>
      <c r="O179">
        <f t="shared" si="20"/>
        <v>0</v>
      </c>
      <c r="P179">
        <f t="shared" si="21"/>
        <v>0</v>
      </c>
    </row>
    <row r="180" spans="1:16" hidden="1" x14ac:dyDescent="0.3">
      <c r="A180" t="s">
        <v>192</v>
      </c>
      <c r="B180" t="s">
        <v>357</v>
      </c>
      <c r="C180" t="s">
        <v>358</v>
      </c>
      <c r="D180">
        <v>25.5</v>
      </c>
      <c r="E180">
        <v>27.3</v>
      </c>
      <c r="F180">
        <v>12.5</v>
      </c>
      <c r="G180" t="b">
        <v>0</v>
      </c>
      <c r="H180">
        <v>6</v>
      </c>
      <c r="I180">
        <v>0</v>
      </c>
      <c r="J180">
        <v>0</v>
      </c>
      <c r="K180">
        <v>93.2</v>
      </c>
      <c r="L180">
        <f t="shared" si="17"/>
        <v>11.940001733057434</v>
      </c>
      <c r="M180">
        <f t="shared" si="18"/>
        <v>1.0200017330574329</v>
      </c>
      <c r="N180">
        <f t="shared" si="19"/>
        <v>10.920000000000002</v>
      </c>
      <c r="O180">
        <f t="shared" si="20"/>
        <v>0</v>
      </c>
      <c r="P180">
        <f t="shared" si="21"/>
        <v>0</v>
      </c>
    </row>
    <row r="181" spans="1:16" hidden="1" x14ac:dyDescent="0.3">
      <c r="A181" t="s">
        <v>192</v>
      </c>
      <c r="B181" t="s">
        <v>359</v>
      </c>
      <c r="C181" t="s">
        <v>360</v>
      </c>
      <c r="D181">
        <v>7.3</v>
      </c>
      <c r="E181">
        <v>66.7</v>
      </c>
      <c r="F181">
        <v>14.8</v>
      </c>
      <c r="G181" t="b">
        <v>0</v>
      </c>
      <c r="H181">
        <v>3</v>
      </c>
      <c r="I181">
        <v>0</v>
      </c>
      <c r="J181">
        <v>0</v>
      </c>
      <c r="K181">
        <v>82.5</v>
      </c>
      <c r="L181">
        <f t="shared" si="17"/>
        <v>26.972000496130171</v>
      </c>
      <c r="M181">
        <f t="shared" si="18"/>
        <v>0.2920004961301671</v>
      </c>
      <c r="N181">
        <f t="shared" si="19"/>
        <v>26.680000000000003</v>
      </c>
      <c r="O181">
        <f t="shared" si="20"/>
        <v>0</v>
      </c>
      <c r="P181">
        <f t="shared" si="21"/>
        <v>0</v>
      </c>
    </row>
    <row r="182" spans="1:16" hidden="1" x14ac:dyDescent="0.3">
      <c r="A182" t="s">
        <v>192</v>
      </c>
      <c r="B182" t="s">
        <v>361</v>
      </c>
      <c r="C182" t="s">
        <v>362</v>
      </c>
      <c r="D182">
        <v>7.5</v>
      </c>
      <c r="E182">
        <v>42.9</v>
      </c>
      <c r="F182">
        <v>18.3</v>
      </c>
      <c r="G182" t="b">
        <v>0</v>
      </c>
      <c r="H182">
        <v>3</v>
      </c>
      <c r="I182">
        <v>0</v>
      </c>
      <c r="J182">
        <v>0</v>
      </c>
      <c r="K182">
        <v>84.1</v>
      </c>
      <c r="L182">
        <f t="shared" si="17"/>
        <v>17.460000509722775</v>
      </c>
      <c r="M182">
        <f t="shared" si="18"/>
        <v>0.30000050972277442</v>
      </c>
      <c r="N182">
        <f t="shared" si="19"/>
        <v>17.16</v>
      </c>
      <c r="O182">
        <f t="shared" si="20"/>
        <v>0</v>
      </c>
      <c r="P182">
        <f t="shared" si="21"/>
        <v>0</v>
      </c>
    </row>
    <row r="183" spans="1:16" hidden="1" x14ac:dyDescent="0.3">
      <c r="A183" t="s">
        <v>192</v>
      </c>
      <c r="B183" t="s">
        <v>363</v>
      </c>
      <c r="C183" t="s">
        <v>364</v>
      </c>
      <c r="D183">
        <v>15.9</v>
      </c>
      <c r="E183">
        <v>17.600000000000001</v>
      </c>
      <c r="F183">
        <v>10.8</v>
      </c>
      <c r="G183" t="b">
        <v>0</v>
      </c>
      <c r="H183">
        <v>6</v>
      </c>
      <c r="I183">
        <v>0</v>
      </c>
      <c r="J183">
        <v>0</v>
      </c>
      <c r="K183">
        <v>65.3</v>
      </c>
      <c r="L183">
        <f t="shared" si="17"/>
        <v>7.6760010806122825</v>
      </c>
      <c r="M183">
        <f t="shared" si="18"/>
        <v>0.63600108061228178</v>
      </c>
      <c r="N183">
        <f t="shared" si="19"/>
        <v>7.0400000000000009</v>
      </c>
      <c r="O183">
        <f t="shared" si="20"/>
        <v>0</v>
      </c>
      <c r="P183">
        <f t="shared" si="21"/>
        <v>0</v>
      </c>
    </row>
    <row r="184" spans="1:16" hidden="1" x14ac:dyDescent="0.3">
      <c r="A184" t="s">
        <v>192</v>
      </c>
      <c r="B184" t="s">
        <v>365</v>
      </c>
      <c r="C184" t="s">
        <v>366</v>
      </c>
      <c r="D184">
        <v>14.1</v>
      </c>
      <c r="E184">
        <v>44.4</v>
      </c>
      <c r="F184">
        <v>15.5</v>
      </c>
      <c r="G184" t="b">
        <v>0</v>
      </c>
      <c r="H184">
        <v>3</v>
      </c>
      <c r="I184">
        <v>0</v>
      </c>
      <c r="J184">
        <v>0</v>
      </c>
      <c r="K184">
        <v>89.6</v>
      </c>
      <c r="L184">
        <f t="shared" si="17"/>
        <v>18.324000958278816</v>
      </c>
      <c r="M184">
        <f t="shared" si="18"/>
        <v>0.56400095827881591</v>
      </c>
      <c r="N184">
        <f t="shared" si="19"/>
        <v>17.760000000000002</v>
      </c>
      <c r="O184">
        <f t="shared" si="20"/>
        <v>0</v>
      </c>
      <c r="P184">
        <f t="shared" si="21"/>
        <v>0</v>
      </c>
    </row>
    <row r="185" spans="1:16" hidden="1" x14ac:dyDescent="0.3">
      <c r="A185" t="s">
        <v>192</v>
      </c>
      <c r="B185" t="s">
        <v>367</v>
      </c>
      <c r="C185" t="s">
        <v>368</v>
      </c>
      <c r="D185">
        <v>13.4</v>
      </c>
      <c r="E185">
        <v>30</v>
      </c>
      <c r="F185">
        <v>10.5</v>
      </c>
      <c r="G185" t="b">
        <v>0</v>
      </c>
      <c r="H185">
        <v>6</v>
      </c>
      <c r="I185">
        <v>0</v>
      </c>
      <c r="J185">
        <v>0</v>
      </c>
      <c r="K185">
        <v>64.3</v>
      </c>
      <c r="L185">
        <f t="shared" si="17"/>
        <v>12.53600091070469</v>
      </c>
      <c r="M185">
        <f t="shared" si="18"/>
        <v>0.53600091070469025</v>
      </c>
      <c r="N185">
        <f t="shared" si="19"/>
        <v>12</v>
      </c>
      <c r="O185">
        <f t="shared" si="20"/>
        <v>0</v>
      </c>
      <c r="P185">
        <f t="shared" si="21"/>
        <v>0</v>
      </c>
    </row>
    <row r="186" spans="1:16" hidden="1" x14ac:dyDescent="0.3">
      <c r="A186" t="s">
        <v>192</v>
      </c>
      <c r="B186" t="s">
        <v>369</v>
      </c>
      <c r="C186" t="s">
        <v>370</v>
      </c>
      <c r="D186">
        <v>31</v>
      </c>
      <c r="E186">
        <v>25</v>
      </c>
      <c r="F186">
        <v>12.6</v>
      </c>
      <c r="G186" t="b">
        <v>0</v>
      </c>
      <c r="H186">
        <v>6</v>
      </c>
      <c r="I186">
        <v>0</v>
      </c>
      <c r="J186">
        <v>0</v>
      </c>
      <c r="K186">
        <v>103.8</v>
      </c>
      <c r="L186">
        <f t="shared" si="17"/>
        <v>11.240002106854135</v>
      </c>
      <c r="M186">
        <f t="shared" si="18"/>
        <v>1.2400021068541343</v>
      </c>
      <c r="N186">
        <f t="shared" si="19"/>
        <v>10</v>
      </c>
      <c r="O186">
        <f t="shared" si="20"/>
        <v>0</v>
      </c>
      <c r="P186">
        <f t="shared" si="21"/>
        <v>0</v>
      </c>
    </row>
    <row r="187" spans="1:16" hidden="1" x14ac:dyDescent="0.3">
      <c r="A187" t="s">
        <v>192</v>
      </c>
      <c r="B187" t="s">
        <v>371</v>
      </c>
      <c r="C187" t="s">
        <v>372</v>
      </c>
      <c r="D187">
        <v>10.9</v>
      </c>
      <c r="E187">
        <v>25</v>
      </c>
      <c r="F187">
        <v>12.7</v>
      </c>
      <c r="G187" t="b">
        <v>0</v>
      </c>
      <c r="H187">
        <v>6</v>
      </c>
      <c r="I187">
        <v>0</v>
      </c>
      <c r="J187">
        <v>0</v>
      </c>
      <c r="K187">
        <v>63.9</v>
      </c>
      <c r="L187">
        <f t="shared" si="17"/>
        <v>10.436000740797098</v>
      </c>
      <c r="M187">
        <f t="shared" si="18"/>
        <v>0.43600074079709883</v>
      </c>
      <c r="N187">
        <f t="shared" si="19"/>
        <v>10</v>
      </c>
      <c r="O187">
        <f t="shared" si="20"/>
        <v>0</v>
      </c>
      <c r="P187">
        <f t="shared" si="21"/>
        <v>0</v>
      </c>
    </row>
    <row r="188" spans="1:16" hidden="1" x14ac:dyDescent="0.3">
      <c r="A188" t="s">
        <v>192</v>
      </c>
      <c r="B188" t="s">
        <v>373</v>
      </c>
      <c r="C188" t="s">
        <v>374</v>
      </c>
      <c r="D188">
        <v>6.3</v>
      </c>
      <c r="E188">
        <v>33.299999999999997</v>
      </c>
      <c r="F188">
        <v>12.9</v>
      </c>
      <c r="G188" t="b">
        <v>0</v>
      </c>
      <c r="H188">
        <v>3</v>
      </c>
      <c r="I188">
        <v>0</v>
      </c>
      <c r="J188">
        <v>0</v>
      </c>
      <c r="K188">
        <v>61.6</v>
      </c>
      <c r="L188">
        <f t="shared" si="17"/>
        <v>13.572000428167131</v>
      </c>
      <c r="M188">
        <f t="shared" si="18"/>
        <v>0.25200042816713047</v>
      </c>
      <c r="N188">
        <f t="shared" si="19"/>
        <v>13.32</v>
      </c>
      <c r="O188">
        <f t="shared" si="20"/>
        <v>0</v>
      </c>
      <c r="P188">
        <f t="shared" si="21"/>
        <v>0</v>
      </c>
    </row>
    <row r="189" spans="1:16" hidden="1" x14ac:dyDescent="0.3">
      <c r="A189" t="s">
        <v>192</v>
      </c>
      <c r="B189" t="s">
        <v>375</v>
      </c>
      <c r="C189" t="s">
        <v>376</v>
      </c>
      <c r="D189">
        <v>11.4</v>
      </c>
      <c r="E189">
        <v>60</v>
      </c>
      <c r="F189">
        <v>8</v>
      </c>
      <c r="G189" t="b">
        <v>0</v>
      </c>
      <c r="H189">
        <v>3</v>
      </c>
      <c r="I189">
        <v>0</v>
      </c>
      <c r="J189">
        <v>0</v>
      </c>
      <c r="K189">
        <v>67.599999999999994</v>
      </c>
      <c r="L189">
        <f t="shared" si="17"/>
        <v>24.456000774778616</v>
      </c>
      <c r="M189">
        <f t="shared" si="18"/>
        <v>0.45600077477861711</v>
      </c>
      <c r="N189">
        <f t="shared" si="19"/>
        <v>24</v>
      </c>
      <c r="O189">
        <f t="shared" si="20"/>
        <v>0</v>
      </c>
      <c r="P189">
        <f t="shared" si="21"/>
        <v>0</v>
      </c>
    </row>
    <row r="190" spans="1:16" hidden="1" x14ac:dyDescent="0.3">
      <c r="A190" t="s">
        <v>192</v>
      </c>
      <c r="B190" t="s">
        <v>377</v>
      </c>
      <c r="C190" t="s">
        <v>378</v>
      </c>
      <c r="D190">
        <v>10.6</v>
      </c>
      <c r="E190">
        <v>30.8</v>
      </c>
      <c r="F190">
        <v>12.8</v>
      </c>
      <c r="G190" t="b">
        <v>0</v>
      </c>
      <c r="H190">
        <v>3</v>
      </c>
      <c r="I190">
        <v>0</v>
      </c>
      <c r="J190">
        <v>0</v>
      </c>
      <c r="K190">
        <v>68.900000000000006</v>
      </c>
      <c r="L190">
        <f t="shared" si="17"/>
        <v>12.744000720408188</v>
      </c>
      <c r="M190">
        <f t="shared" si="18"/>
        <v>0.42400072040818781</v>
      </c>
      <c r="N190">
        <f t="shared" si="19"/>
        <v>12.32</v>
      </c>
      <c r="O190">
        <f t="shared" si="20"/>
        <v>0</v>
      </c>
      <c r="P190">
        <f t="shared" si="21"/>
        <v>0</v>
      </c>
    </row>
    <row r="191" spans="1:16" hidden="1" x14ac:dyDescent="0.3">
      <c r="A191" t="s">
        <v>192</v>
      </c>
      <c r="B191" t="s">
        <v>379</v>
      </c>
      <c r="C191" t="s">
        <v>380</v>
      </c>
      <c r="D191">
        <v>17.3</v>
      </c>
      <c r="E191">
        <v>54.5</v>
      </c>
      <c r="F191">
        <v>17.2</v>
      </c>
      <c r="G191" t="b">
        <v>0</v>
      </c>
      <c r="H191">
        <v>6</v>
      </c>
      <c r="I191">
        <v>0</v>
      </c>
      <c r="J191">
        <v>0</v>
      </c>
      <c r="K191">
        <v>102.1</v>
      </c>
      <c r="L191">
        <f t="shared" si="17"/>
        <v>22.492001175760535</v>
      </c>
      <c r="M191">
        <f t="shared" si="18"/>
        <v>0.69200117576053299</v>
      </c>
      <c r="N191">
        <f t="shared" si="19"/>
        <v>21.8</v>
      </c>
      <c r="O191">
        <f t="shared" si="20"/>
        <v>0</v>
      </c>
      <c r="P191">
        <f t="shared" si="21"/>
        <v>0</v>
      </c>
    </row>
    <row r="192" spans="1:16" hidden="1" x14ac:dyDescent="0.3">
      <c r="A192" t="s">
        <v>192</v>
      </c>
      <c r="B192" t="s">
        <v>381</v>
      </c>
      <c r="C192" t="s">
        <v>382</v>
      </c>
      <c r="D192">
        <v>12.3</v>
      </c>
      <c r="E192">
        <v>50</v>
      </c>
      <c r="F192">
        <v>10.6</v>
      </c>
      <c r="G192" t="b">
        <v>0</v>
      </c>
      <c r="H192">
        <v>3</v>
      </c>
      <c r="I192">
        <v>0</v>
      </c>
      <c r="J192">
        <v>0</v>
      </c>
      <c r="K192">
        <v>73.2</v>
      </c>
      <c r="L192">
        <f t="shared" si="17"/>
        <v>20.492000835945351</v>
      </c>
      <c r="M192">
        <f t="shared" si="18"/>
        <v>0.49200083594535005</v>
      </c>
      <c r="N192">
        <f t="shared" si="19"/>
        <v>20</v>
      </c>
      <c r="O192">
        <f t="shared" si="20"/>
        <v>0</v>
      </c>
      <c r="P192">
        <f t="shared" si="21"/>
        <v>0</v>
      </c>
    </row>
    <row r="193" spans="1:20" hidden="1" x14ac:dyDescent="0.3">
      <c r="A193" t="s">
        <v>192</v>
      </c>
      <c r="B193" t="s">
        <v>383</v>
      </c>
      <c r="C193" t="s">
        <v>384</v>
      </c>
      <c r="D193">
        <v>8.1</v>
      </c>
      <c r="E193">
        <v>42.9</v>
      </c>
      <c r="F193">
        <v>8.5</v>
      </c>
      <c r="G193" t="b">
        <v>0</v>
      </c>
      <c r="H193">
        <v>3</v>
      </c>
      <c r="I193">
        <v>0</v>
      </c>
      <c r="J193">
        <v>0</v>
      </c>
      <c r="K193">
        <v>55.8</v>
      </c>
      <c r="L193">
        <f t="shared" si="17"/>
        <v>17.484000550500596</v>
      </c>
      <c r="M193">
        <f t="shared" si="18"/>
        <v>0.32400055050059634</v>
      </c>
      <c r="N193">
        <f t="shared" si="19"/>
        <v>17.16</v>
      </c>
      <c r="O193">
        <f t="shared" si="20"/>
        <v>0</v>
      </c>
      <c r="P193">
        <f t="shared" si="21"/>
        <v>0</v>
      </c>
    </row>
    <row r="194" spans="1:20" s="3" customFormat="1" x14ac:dyDescent="0.3">
      <c r="A194" s="3" t="s">
        <v>385</v>
      </c>
      <c r="B194" s="3" t="s">
        <v>386</v>
      </c>
      <c r="C194" s="3" t="s">
        <v>387</v>
      </c>
      <c r="D194" s="3">
        <v>11.4</v>
      </c>
      <c r="E194" s="3">
        <v>100</v>
      </c>
      <c r="F194" s="3">
        <v>5.7</v>
      </c>
      <c r="G194" s="3" t="b">
        <v>1</v>
      </c>
      <c r="H194" s="3">
        <v>0</v>
      </c>
      <c r="I194" s="3">
        <v>0</v>
      </c>
      <c r="J194" s="3">
        <v>1</v>
      </c>
      <c r="K194" s="3">
        <v>61</v>
      </c>
      <c r="L194" s="3">
        <f>SUM(M194:P194)</f>
        <v>42.456000774778616</v>
      </c>
      <c r="M194" s="3">
        <f>D194*$M$2</f>
        <v>0.45600077477861711</v>
      </c>
      <c r="N194" s="3">
        <f>E194*$N$2</f>
        <v>40</v>
      </c>
      <c r="O194" s="3">
        <f>F194*$O$2</f>
        <v>0</v>
      </c>
      <c r="P194" s="3">
        <f>J194*$P$2</f>
        <v>2</v>
      </c>
      <c r="Q194" s="3" t="s">
        <v>603</v>
      </c>
      <c r="T194" s="4">
        <f>L194-K194</f>
        <v>-18.543999225221384</v>
      </c>
    </row>
    <row r="195" spans="1:20" hidden="1" x14ac:dyDescent="0.3">
      <c r="A195" t="s">
        <v>385</v>
      </c>
      <c r="B195" t="s">
        <v>388</v>
      </c>
      <c r="C195" t="s">
        <v>389</v>
      </c>
      <c r="D195">
        <v>7.9</v>
      </c>
      <c r="E195">
        <v>53.3</v>
      </c>
      <c r="F195">
        <v>4.2</v>
      </c>
      <c r="G195" t="b">
        <v>0</v>
      </c>
      <c r="H195">
        <v>6</v>
      </c>
      <c r="I195">
        <v>0</v>
      </c>
      <c r="J195">
        <v>0</v>
      </c>
      <c r="K195">
        <v>43.9</v>
      </c>
      <c r="L195">
        <f t="shared" si="17"/>
        <v>21.636000536907989</v>
      </c>
      <c r="M195">
        <f t="shared" si="18"/>
        <v>0.31600053690798907</v>
      </c>
      <c r="N195">
        <f t="shared" si="19"/>
        <v>21.32</v>
      </c>
      <c r="O195">
        <f t="shared" si="20"/>
        <v>0</v>
      </c>
      <c r="P195">
        <f t="shared" si="21"/>
        <v>0</v>
      </c>
    </row>
    <row r="196" spans="1:20" s="3" customFormat="1" x14ac:dyDescent="0.3">
      <c r="A196" s="3" t="s">
        <v>385</v>
      </c>
      <c r="B196" s="3" t="s">
        <v>390</v>
      </c>
      <c r="C196" s="3" t="s">
        <v>391</v>
      </c>
      <c r="D196" s="3">
        <v>8.9</v>
      </c>
      <c r="E196" s="3">
        <v>100</v>
      </c>
      <c r="F196" s="3">
        <v>10.1</v>
      </c>
      <c r="G196" s="3" t="b">
        <v>1</v>
      </c>
      <c r="H196" s="3">
        <v>0</v>
      </c>
      <c r="I196" s="3">
        <v>0</v>
      </c>
      <c r="J196" s="3">
        <v>1</v>
      </c>
      <c r="K196" s="3">
        <v>60.8</v>
      </c>
      <c r="L196" s="3">
        <f>SUM(M196:P196)</f>
        <v>42.356000604871028</v>
      </c>
      <c r="M196" s="3">
        <f>D196*$M$2</f>
        <v>0.35600060487102564</v>
      </c>
      <c r="N196" s="3">
        <f>E196*$N$2</f>
        <v>40</v>
      </c>
      <c r="O196" s="3">
        <f>F196*$O$2</f>
        <v>0</v>
      </c>
      <c r="P196" s="3">
        <f>J196*$P$2</f>
        <v>2</v>
      </c>
      <c r="T196" s="4">
        <f>L196-K196</f>
        <v>-18.443999395128969</v>
      </c>
    </row>
    <row r="197" spans="1:20" hidden="1" x14ac:dyDescent="0.3">
      <c r="A197" t="s">
        <v>387</v>
      </c>
      <c r="B197" t="s">
        <v>386</v>
      </c>
      <c r="C197" t="s">
        <v>387</v>
      </c>
      <c r="D197">
        <v>10.8</v>
      </c>
      <c r="E197">
        <v>100</v>
      </c>
      <c r="F197">
        <v>5.7</v>
      </c>
      <c r="G197" t="b">
        <v>0</v>
      </c>
      <c r="H197">
        <v>0</v>
      </c>
      <c r="I197">
        <v>1</v>
      </c>
      <c r="J197">
        <v>0</v>
      </c>
      <c r="K197">
        <v>79.8</v>
      </c>
      <c r="L197">
        <f t="shared" ref="L196:L259" si="22">SUM(M197:Q197)</f>
        <v>40.432000734000795</v>
      </c>
      <c r="M197">
        <f t="shared" ref="M196:M259" si="23">D197*$M$2</f>
        <v>0.43200073400079519</v>
      </c>
      <c r="N197">
        <f t="shared" ref="N196:N259" si="24">E197*0.4</f>
        <v>40</v>
      </c>
      <c r="O197">
        <f t="shared" ref="O196:O259" si="25">F197*$O$2</f>
        <v>0</v>
      </c>
      <c r="P197">
        <f t="shared" ref="P196:P259" si="26">J197*2</f>
        <v>0</v>
      </c>
    </row>
    <row r="198" spans="1:20" hidden="1" x14ac:dyDescent="0.3">
      <c r="A198" t="s">
        <v>387</v>
      </c>
      <c r="B198" t="s">
        <v>392</v>
      </c>
      <c r="C198" t="s">
        <v>393</v>
      </c>
      <c r="D198">
        <v>12.5</v>
      </c>
      <c r="E198">
        <v>82.2</v>
      </c>
      <c r="F198">
        <v>0</v>
      </c>
      <c r="G198" t="b">
        <v>0</v>
      </c>
      <c r="H198">
        <v>6</v>
      </c>
      <c r="I198">
        <v>0</v>
      </c>
      <c r="J198">
        <v>0</v>
      </c>
      <c r="K198">
        <v>51.9</v>
      </c>
      <c r="L198">
        <f t="shared" si="22"/>
        <v>33.380000849537957</v>
      </c>
      <c r="M198">
        <f t="shared" si="23"/>
        <v>0.50000084953795731</v>
      </c>
      <c r="N198">
        <f t="shared" si="24"/>
        <v>32.880000000000003</v>
      </c>
      <c r="O198">
        <f t="shared" si="25"/>
        <v>0</v>
      </c>
      <c r="P198">
        <f t="shared" si="26"/>
        <v>0</v>
      </c>
    </row>
    <row r="199" spans="1:20" hidden="1" x14ac:dyDescent="0.3">
      <c r="A199" t="s">
        <v>394</v>
      </c>
      <c r="B199" t="s">
        <v>395</v>
      </c>
      <c r="C199" t="s">
        <v>396</v>
      </c>
      <c r="D199">
        <v>27</v>
      </c>
      <c r="E199">
        <v>39.299999999999997</v>
      </c>
      <c r="F199">
        <v>0</v>
      </c>
      <c r="G199" t="b">
        <v>0</v>
      </c>
      <c r="H199">
        <v>6</v>
      </c>
      <c r="I199">
        <v>0</v>
      </c>
      <c r="J199">
        <v>0</v>
      </c>
      <c r="K199">
        <v>63.7</v>
      </c>
      <c r="L199">
        <f t="shared" si="22"/>
        <v>16.800001835001986</v>
      </c>
      <c r="M199">
        <f t="shared" si="23"/>
        <v>1.080001835001988</v>
      </c>
      <c r="N199">
        <f t="shared" si="24"/>
        <v>15.719999999999999</v>
      </c>
      <c r="O199">
        <f t="shared" si="25"/>
        <v>0</v>
      </c>
      <c r="P199">
        <f t="shared" si="26"/>
        <v>0</v>
      </c>
    </row>
    <row r="200" spans="1:20" hidden="1" x14ac:dyDescent="0.3">
      <c r="A200" t="s">
        <v>397</v>
      </c>
      <c r="B200" t="s">
        <v>398</v>
      </c>
      <c r="C200" t="s">
        <v>399</v>
      </c>
      <c r="D200">
        <v>29.6</v>
      </c>
      <c r="E200">
        <v>38.5</v>
      </c>
      <c r="F200">
        <v>0</v>
      </c>
      <c r="G200" t="b">
        <v>0</v>
      </c>
      <c r="H200">
        <v>6</v>
      </c>
      <c r="I200">
        <v>0</v>
      </c>
      <c r="J200">
        <v>0</v>
      </c>
      <c r="K200">
        <v>68.599999999999994</v>
      </c>
      <c r="L200">
        <f t="shared" si="22"/>
        <v>16.584002011705884</v>
      </c>
      <c r="M200">
        <f t="shared" si="23"/>
        <v>1.1840020117058832</v>
      </c>
      <c r="N200">
        <f t="shared" si="24"/>
        <v>15.4</v>
      </c>
      <c r="O200">
        <f t="shared" si="25"/>
        <v>0</v>
      </c>
      <c r="P200">
        <f t="shared" si="26"/>
        <v>0</v>
      </c>
    </row>
    <row r="201" spans="1:20" hidden="1" x14ac:dyDescent="0.3">
      <c r="A201" t="s">
        <v>397</v>
      </c>
      <c r="B201" t="s">
        <v>400</v>
      </c>
      <c r="C201" t="s">
        <v>401</v>
      </c>
      <c r="D201">
        <v>37.700000000000003</v>
      </c>
      <c r="E201">
        <v>60.9</v>
      </c>
      <c r="F201">
        <v>0</v>
      </c>
      <c r="G201" t="b">
        <v>0</v>
      </c>
      <c r="H201">
        <v>6</v>
      </c>
      <c r="I201">
        <v>0</v>
      </c>
      <c r="J201">
        <v>0</v>
      </c>
      <c r="K201">
        <v>93.8</v>
      </c>
      <c r="L201">
        <f t="shared" si="22"/>
        <v>25.868002562206478</v>
      </c>
      <c r="M201">
        <f t="shared" si="23"/>
        <v>1.5080025622064794</v>
      </c>
      <c r="N201">
        <f t="shared" si="24"/>
        <v>24.36</v>
      </c>
      <c r="O201">
        <f t="shared" si="25"/>
        <v>0</v>
      </c>
      <c r="P201">
        <f t="shared" si="26"/>
        <v>0</v>
      </c>
    </row>
    <row r="202" spans="1:20" hidden="1" x14ac:dyDescent="0.3">
      <c r="A202" t="s">
        <v>402</v>
      </c>
      <c r="B202" t="s">
        <v>403</v>
      </c>
      <c r="C202" t="s">
        <v>404</v>
      </c>
      <c r="D202">
        <v>34.299999999999997</v>
      </c>
      <c r="E202">
        <v>96.8</v>
      </c>
      <c r="F202">
        <v>12.2</v>
      </c>
      <c r="G202" t="b">
        <v>0</v>
      </c>
      <c r="H202">
        <v>3</v>
      </c>
      <c r="I202">
        <v>1</v>
      </c>
      <c r="J202">
        <v>0</v>
      </c>
      <c r="K202">
        <v>141.9</v>
      </c>
      <c r="L202">
        <f t="shared" si="22"/>
        <v>40.092002331132157</v>
      </c>
      <c r="M202">
        <f t="shared" si="23"/>
        <v>1.372002331132155</v>
      </c>
      <c r="N202">
        <f t="shared" si="24"/>
        <v>38.72</v>
      </c>
      <c r="O202">
        <f t="shared" si="25"/>
        <v>0</v>
      </c>
      <c r="P202">
        <f t="shared" si="26"/>
        <v>0</v>
      </c>
    </row>
    <row r="203" spans="1:20" hidden="1" x14ac:dyDescent="0.3">
      <c r="A203" s="2" t="s">
        <v>405</v>
      </c>
      <c r="B203" t="s">
        <v>406</v>
      </c>
      <c r="C203" t="s">
        <v>407</v>
      </c>
      <c r="D203">
        <v>26.7</v>
      </c>
      <c r="E203">
        <v>100</v>
      </c>
      <c r="F203">
        <v>19.399999999999999</v>
      </c>
      <c r="G203" t="b">
        <v>1</v>
      </c>
      <c r="H203">
        <v>0</v>
      </c>
      <c r="I203">
        <v>1</v>
      </c>
      <c r="J203">
        <v>1</v>
      </c>
      <c r="K203">
        <v>153.6</v>
      </c>
      <c r="L203">
        <f t="shared" ref="L203:L205" si="27">SUM(M203:P203)</f>
        <v>152.6</v>
      </c>
      <c r="M203" s="2">
        <f>D203*$M$1</f>
        <v>53.4</v>
      </c>
      <c r="N203" s="2">
        <f>E203*$N$1</f>
        <v>40</v>
      </c>
      <c r="O203" s="2">
        <f>F203*$O$1</f>
        <v>58.199999999999996</v>
      </c>
      <c r="P203" s="2">
        <f>J203*$P$1</f>
        <v>1</v>
      </c>
      <c r="T203" s="1">
        <f t="shared" ref="T203:T205" si="28">L203-K203</f>
        <v>-1</v>
      </c>
    </row>
    <row r="204" spans="1:20" hidden="1" x14ac:dyDescent="0.3">
      <c r="A204" s="2" t="s">
        <v>405</v>
      </c>
      <c r="B204" t="s">
        <v>408</v>
      </c>
      <c r="C204" t="s">
        <v>409</v>
      </c>
      <c r="D204">
        <v>30.8</v>
      </c>
      <c r="E204">
        <v>100</v>
      </c>
      <c r="F204">
        <v>10.9</v>
      </c>
      <c r="G204" t="b">
        <v>1</v>
      </c>
      <c r="H204">
        <v>0</v>
      </c>
      <c r="I204">
        <v>0</v>
      </c>
      <c r="J204">
        <v>1</v>
      </c>
      <c r="K204">
        <v>135.30000000000001</v>
      </c>
      <c r="L204">
        <f t="shared" si="27"/>
        <v>135.30000000000001</v>
      </c>
      <c r="M204" s="2">
        <f>D204*$M$1</f>
        <v>61.6</v>
      </c>
      <c r="N204" s="2">
        <f>E204*$N$1</f>
        <v>40</v>
      </c>
      <c r="O204" s="2">
        <f>F204*$O$1</f>
        <v>32.700000000000003</v>
      </c>
      <c r="P204" s="2">
        <f>J204*$P$1</f>
        <v>1</v>
      </c>
      <c r="T204" s="1">
        <f t="shared" si="28"/>
        <v>0</v>
      </c>
    </row>
    <row r="205" spans="1:20" hidden="1" x14ac:dyDescent="0.3">
      <c r="A205" s="2" t="s">
        <v>405</v>
      </c>
      <c r="B205" t="s">
        <v>410</v>
      </c>
      <c r="C205" t="s">
        <v>411</v>
      </c>
      <c r="D205">
        <v>7</v>
      </c>
      <c r="E205">
        <v>100</v>
      </c>
      <c r="F205">
        <v>5.2</v>
      </c>
      <c r="G205" t="b">
        <v>1</v>
      </c>
      <c r="H205">
        <v>0</v>
      </c>
      <c r="I205">
        <v>0</v>
      </c>
      <c r="J205">
        <v>1</v>
      </c>
      <c r="K205">
        <v>70.5</v>
      </c>
      <c r="L205">
        <f t="shared" si="27"/>
        <v>70.599999999999994</v>
      </c>
      <c r="M205" s="2">
        <f>D205*$M$1</f>
        <v>14</v>
      </c>
      <c r="N205" s="2">
        <f>E205*$N$1</f>
        <v>40</v>
      </c>
      <c r="O205" s="2">
        <f>F205*$O$1</f>
        <v>15.600000000000001</v>
      </c>
      <c r="P205" s="2">
        <f>J205*$P$1</f>
        <v>1</v>
      </c>
      <c r="T205" s="1">
        <f t="shared" si="28"/>
        <v>9.9999999999994316E-2</v>
      </c>
    </row>
    <row r="206" spans="1:20" hidden="1" x14ac:dyDescent="0.3">
      <c r="A206" t="s">
        <v>405</v>
      </c>
      <c r="B206" t="s">
        <v>412</v>
      </c>
      <c r="C206" t="s">
        <v>405</v>
      </c>
      <c r="D206">
        <v>3.1</v>
      </c>
      <c r="E206">
        <v>100</v>
      </c>
      <c r="F206">
        <v>5.7</v>
      </c>
      <c r="G206" t="b">
        <v>0</v>
      </c>
      <c r="H206">
        <v>0</v>
      </c>
      <c r="I206">
        <v>1</v>
      </c>
      <c r="J206">
        <v>0</v>
      </c>
      <c r="K206">
        <v>64.3</v>
      </c>
      <c r="L206">
        <f t="shared" si="22"/>
        <v>40.124000210685416</v>
      </c>
      <c r="M206">
        <f t="shared" si="23"/>
        <v>0.12400021068541343</v>
      </c>
      <c r="N206">
        <f t="shared" si="24"/>
        <v>40</v>
      </c>
      <c r="O206">
        <f t="shared" si="25"/>
        <v>0</v>
      </c>
      <c r="P206">
        <f t="shared" si="26"/>
        <v>0</v>
      </c>
    </row>
    <row r="207" spans="1:20" hidden="1" x14ac:dyDescent="0.3">
      <c r="A207" t="s">
        <v>405</v>
      </c>
      <c r="B207" t="s">
        <v>413</v>
      </c>
      <c r="C207" t="s">
        <v>405</v>
      </c>
      <c r="D207">
        <v>12.1</v>
      </c>
      <c r="E207">
        <v>100</v>
      </c>
      <c r="F207">
        <v>0</v>
      </c>
      <c r="G207" t="b">
        <v>0</v>
      </c>
      <c r="H207">
        <v>0</v>
      </c>
      <c r="I207">
        <v>1</v>
      </c>
      <c r="J207">
        <v>0</v>
      </c>
      <c r="K207">
        <v>65.2</v>
      </c>
      <c r="L207">
        <f t="shared" si="22"/>
        <v>40.484000822352741</v>
      </c>
      <c r="M207">
        <f t="shared" si="23"/>
        <v>0.48400082235274272</v>
      </c>
      <c r="N207">
        <f t="shared" si="24"/>
        <v>40</v>
      </c>
      <c r="O207">
        <f t="shared" si="25"/>
        <v>0</v>
      </c>
      <c r="P207">
        <f t="shared" si="26"/>
        <v>0</v>
      </c>
    </row>
    <row r="208" spans="1:20" hidden="1" x14ac:dyDescent="0.3">
      <c r="A208" t="s">
        <v>405</v>
      </c>
      <c r="B208" t="s">
        <v>414</v>
      </c>
      <c r="C208" t="s">
        <v>405</v>
      </c>
      <c r="D208">
        <v>12.5</v>
      </c>
      <c r="E208">
        <v>100</v>
      </c>
      <c r="F208">
        <v>2.2000000000000002</v>
      </c>
      <c r="G208" t="b">
        <v>0</v>
      </c>
      <c r="H208">
        <v>0</v>
      </c>
      <c r="I208">
        <v>1</v>
      </c>
      <c r="J208">
        <v>0</v>
      </c>
      <c r="K208">
        <v>72.7</v>
      </c>
      <c r="L208">
        <f t="shared" si="22"/>
        <v>40.500000849537955</v>
      </c>
      <c r="M208">
        <f t="shared" si="23"/>
        <v>0.50000084953795731</v>
      </c>
      <c r="N208">
        <f t="shared" si="24"/>
        <v>40</v>
      </c>
      <c r="O208">
        <f t="shared" si="25"/>
        <v>0</v>
      </c>
      <c r="P208">
        <f t="shared" si="26"/>
        <v>0</v>
      </c>
    </row>
    <row r="209" spans="1:20" hidden="1" x14ac:dyDescent="0.3">
      <c r="A209" s="2" t="s">
        <v>405</v>
      </c>
      <c r="B209" t="s">
        <v>415</v>
      </c>
      <c r="C209" t="s">
        <v>409</v>
      </c>
      <c r="D209">
        <v>10.9</v>
      </c>
      <c r="E209">
        <v>100</v>
      </c>
      <c r="F209">
        <v>3.5</v>
      </c>
      <c r="G209" t="b">
        <v>1</v>
      </c>
      <c r="H209">
        <v>0</v>
      </c>
      <c r="I209">
        <v>0</v>
      </c>
      <c r="J209">
        <v>1</v>
      </c>
      <c r="K209">
        <v>73.400000000000006</v>
      </c>
      <c r="L209">
        <f t="shared" ref="L209:L210" si="29">SUM(M209:P209)</f>
        <v>73.3</v>
      </c>
      <c r="M209" s="2">
        <f>D209*$M$1</f>
        <v>21.8</v>
      </c>
      <c r="N209" s="2">
        <f>E209*$N$1</f>
        <v>40</v>
      </c>
      <c r="O209" s="2">
        <f>F209*$O$1</f>
        <v>10.5</v>
      </c>
      <c r="P209" s="2">
        <f>J209*$P$1</f>
        <v>1</v>
      </c>
      <c r="T209" s="1">
        <f t="shared" ref="T209:T210" si="30">L209-K209</f>
        <v>-0.10000000000000853</v>
      </c>
    </row>
    <row r="210" spans="1:20" hidden="1" x14ac:dyDescent="0.3">
      <c r="A210" s="2" t="s">
        <v>405</v>
      </c>
      <c r="B210" t="s">
        <v>416</v>
      </c>
      <c r="C210" t="s">
        <v>417</v>
      </c>
      <c r="D210">
        <v>27.3</v>
      </c>
      <c r="E210">
        <v>100</v>
      </c>
      <c r="F210">
        <v>2.2000000000000002</v>
      </c>
      <c r="G210" t="b">
        <v>1</v>
      </c>
      <c r="H210">
        <v>0</v>
      </c>
      <c r="I210">
        <v>0</v>
      </c>
      <c r="J210">
        <v>1</v>
      </c>
      <c r="K210">
        <v>102.3</v>
      </c>
      <c r="L210">
        <f t="shared" si="29"/>
        <v>102.19999999999999</v>
      </c>
      <c r="M210" s="2">
        <f>D210*$M$1</f>
        <v>54.6</v>
      </c>
      <c r="N210" s="2">
        <f>E210*$N$1</f>
        <v>40</v>
      </c>
      <c r="O210" s="2">
        <f>F210*$O$1</f>
        <v>6.6000000000000005</v>
      </c>
      <c r="P210" s="2">
        <f>J210*$P$1</f>
        <v>1</v>
      </c>
      <c r="T210" s="1">
        <f t="shared" si="30"/>
        <v>-0.10000000000000853</v>
      </c>
    </row>
    <row r="211" spans="1:20" hidden="1" x14ac:dyDescent="0.3">
      <c r="A211" t="s">
        <v>405</v>
      </c>
      <c r="B211" t="s">
        <v>418</v>
      </c>
      <c r="C211" t="s">
        <v>405</v>
      </c>
      <c r="D211">
        <v>10</v>
      </c>
      <c r="E211">
        <v>100</v>
      </c>
      <c r="F211">
        <v>0</v>
      </c>
      <c r="G211" t="b">
        <v>0</v>
      </c>
      <c r="H211">
        <v>0</v>
      </c>
      <c r="I211">
        <v>1</v>
      </c>
      <c r="J211">
        <v>0</v>
      </c>
      <c r="K211">
        <v>61</v>
      </c>
      <c r="L211">
        <f t="shared" si="22"/>
        <v>40.400000679630367</v>
      </c>
      <c r="M211">
        <f t="shared" si="23"/>
        <v>0.4000006796303659</v>
      </c>
      <c r="N211">
        <f t="shared" si="24"/>
        <v>40</v>
      </c>
      <c r="O211">
        <f t="shared" si="25"/>
        <v>0</v>
      </c>
      <c r="P211">
        <f t="shared" si="26"/>
        <v>0</v>
      </c>
    </row>
    <row r="212" spans="1:20" hidden="1" x14ac:dyDescent="0.3">
      <c r="A212" t="s">
        <v>405</v>
      </c>
      <c r="B212" t="s">
        <v>419</v>
      </c>
      <c r="C212" t="s">
        <v>405</v>
      </c>
      <c r="D212">
        <v>12.9</v>
      </c>
      <c r="E212">
        <v>100</v>
      </c>
      <c r="F212">
        <v>0</v>
      </c>
      <c r="G212" t="b">
        <v>0</v>
      </c>
      <c r="H212">
        <v>0</v>
      </c>
      <c r="I212">
        <v>1</v>
      </c>
      <c r="J212">
        <v>0</v>
      </c>
      <c r="K212">
        <v>66.8</v>
      </c>
      <c r="L212">
        <f t="shared" si="22"/>
        <v>40.516000876723169</v>
      </c>
      <c r="M212">
        <f t="shared" si="23"/>
        <v>0.51600087672317196</v>
      </c>
      <c r="N212">
        <f t="shared" si="24"/>
        <v>40</v>
      </c>
      <c r="O212">
        <f t="shared" si="25"/>
        <v>0</v>
      </c>
      <c r="P212">
        <f t="shared" si="26"/>
        <v>0</v>
      </c>
    </row>
    <row r="213" spans="1:20" hidden="1" x14ac:dyDescent="0.3">
      <c r="A213" t="s">
        <v>405</v>
      </c>
      <c r="B213" t="s">
        <v>420</v>
      </c>
      <c r="C213" t="s">
        <v>405</v>
      </c>
      <c r="D213">
        <v>9.8000000000000007</v>
      </c>
      <c r="E213">
        <v>100</v>
      </c>
      <c r="F213">
        <v>0</v>
      </c>
      <c r="G213" t="b">
        <v>0</v>
      </c>
      <c r="H213">
        <v>0</v>
      </c>
      <c r="I213">
        <v>1</v>
      </c>
      <c r="J213">
        <v>0</v>
      </c>
      <c r="K213">
        <v>60.5</v>
      </c>
      <c r="L213">
        <f t="shared" si="22"/>
        <v>40.39200066603776</v>
      </c>
      <c r="M213">
        <f t="shared" si="23"/>
        <v>0.39200066603775857</v>
      </c>
      <c r="N213">
        <f t="shared" si="24"/>
        <v>40</v>
      </c>
      <c r="O213">
        <f t="shared" si="25"/>
        <v>0</v>
      </c>
      <c r="P213">
        <f t="shared" si="26"/>
        <v>0</v>
      </c>
    </row>
    <row r="214" spans="1:20" hidden="1" x14ac:dyDescent="0.3">
      <c r="A214" t="s">
        <v>405</v>
      </c>
      <c r="B214" t="s">
        <v>421</v>
      </c>
      <c r="C214" t="s">
        <v>405</v>
      </c>
      <c r="D214">
        <v>11.1</v>
      </c>
      <c r="E214">
        <v>100</v>
      </c>
      <c r="F214">
        <v>0</v>
      </c>
      <c r="G214" t="b">
        <v>0</v>
      </c>
      <c r="H214">
        <v>0</v>
      </c>
      <c r="I214">
        <v>1</v>
      </c>
      <c r="J214">
        <v>0</v>
      </c>
      <c r="K214">
        <v>63.2</v>
      </c>
      <c r="L214">
        <f t="shared" si="22"/>
        <v>40.444000754389705</v>
      </c>
      <c r="M214">
        <f t="shared" si="23"/>
        <v>0.4440007543897061</v>
      </c>
      <c r="N214">
        <f t="shared" si="24"/>
        <v>40</v>
      </c>
      <c r="O214">
        <f t="shared" si="25"/>
        <v>0</v>
      </c>
      <c r="P214">
        <f t="shared" si="26"/>
        <v>0</v>
      </c>
    </row>
    <row r="215" spans="1:20" hidden="1" x14ac:dyDescent="0.3">
      <c r="A215" t="s">
        <v>405</v>
      </c>
      <c r="B215" t="s">
        <v>422</v>
      </c>
      <c r="C215" t="s">
        <v>405</v>
      </c>
      <c r="D215">
        <v>9.5</v>
      </c>
      <c r="E215">
        <v>100</v>
      </c>
      <c r="F215">
        <v>0</v>
      </c>
      <c r="G215" t="b">
        <v>0</v>
      </c>
      <c r="H215">
        <v>0</v>
      </c>
      <c r="I215">
        <v>1</v>
      </c>
      <c r="J215">
        <v>0</v>
      </c>
      <c r="K215">
        <v>60</v>
      </c>
      <c r="L215">
        <f t="shared" si="22"/>
        <v>40.380000645648849</v>
      </c>
      <c r="M215">
        <f t="shared" si="23"/>
        <v>0.38000064564884761</v>
      </c>
      <c r="N215">
        <f t="shared" si="24"/>
        <v>40</v>
      </c>
      <c r="O215">
        <f t="shared" si="25"/>
        <v>0</v>
      </c>
      <c r="P215">
        <f t="shared" si="26"/>
        <v>0</v>
      </c>
    </row>
    <row r="216" spans="1:20" hidden="1" x14ac:dyDescent="0.3">
      <c r="A216" t="s">
        <v>405</v>
      </c>
      <c r="B216" t="s">
        <v>423</v>
      </c>
      <c r="C216" t="s">
        <v>405</v>
      </c>
      <c r="D216">
        <v>11.1</v>
      </c>
      <c r="E216">
        <v>100</v>
      </c>
      <c r="F216">
        <v>0</v>
      </c>
      <c r="G216" t="b">
        <v>0</v>
      </c>
      <c r="H216">
        <v>0</v>
      </c>
      <c r="I216">
        <v>1</v>
      </c>
      <c r="J216">
        <v>0</v>
      </c>
      <c r="K216">
        <v>63.2</v>
      </c>
      <c r="L216">
        <f t="shared" si="22"/>
        <v>40.444000754389705</v>
      </c>
      <c r="M216">
        <f t="shared" si="23"/>
        <v>0.4440007543897061</v>
      </c>
      <c r="N216">
        <f t="shared" si="24"/>
        <v>40</v>
      </c>
      <c r="O216">
        <f t="shared" si="25"/>
        <v>0</v>
      </c>
      <c r="P216">
        <f t="shared" si="26"/>
        <v>0</v>
      </c>
    </row>
    <row r="217" spans="1:20" hidden="1" x14ac:dyDescent="0.3">
      <c r="A217" t="s">
        <v>405</v>
      </c>
      <c r="B217" t="s">
        <v>424</v>
      </c>
      <c r="C217" t="s">
        <v>405</v>
      </c>
      <c r="D217">
        <v>22</v>
      </c>
      <c r="E217">
        <v>100</v>
      </c>
      <c r="F217">
        <v>0</v>
      </c>
      <c r="G217" t="b">
        <v>0</v>
      </c>
      <c r="H217">
        <v>0</v>
      </c>
      <c r="I217">
        <v>1</v>
      </c>
      <c r="J217">
        <v>0</v>
      </c>
      <c r="K217">
        <v>84.9</v>
      </c>
      <c r="L217">
        <f t="shared" si="22"/>
        <v>40.880001495186804</v>
      </c>
      <c r="M217">
        <f t="shared" si="23"/>
        <v>0.88000149518680493</v>
      </c>
      <c r="N217">
        <f t="shared" si="24"/>
        <v>40</v>
      </c>
      <c r="O217">
        <f t="shared" si="25"/>
        <v>0</v>
      </c>
      <c r="P217">
        <f t="shared" si="26"/>
        <v>0</v>
      </c>
    </row>
    <row r="218" spans="1:20" hidden="1" x14ac:dyDescent="0.3">
      <c r="A218" t="s">
        <v>405</v>
      </c>
      <c r="B218" t="s">
        <v>425</v>
      </c>
      <c r="C218" t="s">
        <v>405</v>
      </c>
      <c r="D218">
        <v>11.4</v>
      </c>
      <c r="E218">
        <v>100</v>
      </c>
      <c r="F218">
        <v>0</v>
      </c>
      <c r="G218" t="b">
        <v>0</v>
      </c>
      <c r="H218">
        <v>0</v>
      </c>
      <c r="I218">
        <v>1</v>
      </c>
      <c r="J218">
        <v>0</v>
      </c>
      <c r="K218">
        <v>63.9</v>
      </c>
      <c r="L218">
        <f t="shared" si="22"/>
        <v>40.456000774778616</v>
      </c>
      <c r="M218">
        <f t="shared" si="23"/>
        <v>0.45600077477861711</v>
      </c>
      <c r="N218">
        <f t="shared" si="24"/>
        <v>40</v>
      </c>
      <c r="O218">
        <f t="shared" si="25"/>
        <v>0</v>
      </c>
      <c r="P218">
        <f t="shared" si="26"/>
        <v>0</v>
      </c>
    </row>
    <row r="219" spans="1:20" hidden="1" x14ac:dyDescent="0.3">
      <c r="A219" t="s">
        <v>405</v>
      </c>
      <c r="B219" t="s">
        <v>426</v>
      </c>
      <c r="C219" t="s">
        <v>427</v>
      </c>
      <c r="D219">
        <v>8.3000000000000007</v>
      </c>
      <c r="E219">
        <v>66.7</v>
      </c>
      <c r="F219">
        <v>5.7</v>
      </c>
      <c r="G219" t="b">
        <v>0</v>
      </c>
      <c r="H219">
        <v>3</v>
      </c>
      <c r="I219">
        <v>0</v>
      </c>
      <c r="J219">
        <v>0</v>
      </c>
      <c r="K219">
        <v>57.6</v>
      </c>
      <c r="L219">
        <f t="shared" si="22"/>
        <v>27.012000564093206</v>
      </c>
      <c r="M219">
        <f t="shared" si="23"/>
        <v>0.33200056409320372</v>
      </c>
      <c r="N219">
        <f t="shared" si="24"/>
        <v>26.680000000000003</v>
      </c>
      <c r="O219">
        <f t="shared" si="25"/>
        <v>0</v>
      </c>
      <c r="P219">
        <f t="shared" si="26"/>
        <v>0</v>
      </c>
    </row>
    <row r="220" spans="1:20" hidden="1" x14ac:dyDescent="0.3">
      <c r="A220" t="s">
        <v>405</v>
      </c>
      <c r="B220" t="s">
        <v>428</v>
      </c>
      <c r="C220" t="s">
        <v>429</v>
      </c>
      <c r="D220">
        <v>6.3</v>
      </c>
      <c r="E220">
        <v>54.5</v>
      </c>
      <c r="F220">
        <v>8</v>
      </c>
      <c r="G220" t="b">
        <v>0</v>
      </c>
      <c r="H220">
        <v>6</v>
      </c>
      <c r="I220">
        <v>0</v>
      </c>
      <c r="J220">
        <v>0</v>
      </c>
      <c r="K220">
        <v>52.4</v>
      </c>
      <c r="L220">
        <f t="shared" si="22"/>
        <v>22.05200042816713</v>
      </c>
      <c r="M220">
        <f t="shared" si="23"/>
        <v>0.25200042816713047</v>
      </c>
      <c r="N220">
        <f t="shared" si="24"/>
        <v>21.8</v>
      </c>
      <c r="O220">
        <f t="shared" si="25"/>
        <v>0</v>
      </c>
      <c r="P220">
        <f t="shared" si="26"/>
        <v>0</v>
      </c>
    </row>
    <row r="221" spans="1:20" hidden="1" x14ac:dyDescent="0.3">
      <c r="A221" t="s">
        <v>405</v>
      </c>
      <c r="B221" t="s">
        <v>430</v>
      </c>
      <c r="C221" t="s">
        <v>405</v>
      </c>
      <c r="D221">
        <v>11.4</v>
      </c>
      <c r="E221">
        <v>100</v>
      </c>
      <c r="F221">
        <v>0</v>
      </c>
      <c r="G221" t="b">
        <v>0</v>
      </c>
      <c r="H221">
        <v>0</v>
      </c>
      <c r="I221">
        <v>1</v>
      </c>
      <c r="J221">
        <v>0</v>
      </c>
      <c r="K221">
        <v>63.9</v>
      </c>
      <c r="L221">
        <f t="shared" si="22"/>
        <v>40.456000774778616</v>
      </c>
      <c r="M221">
        <f t="shared" si="23"/>
        <v>0.45600077477861711</v>
      </c>
      <c r="N221">
        <f t="shared" si="24"/>
        <v>40</v>
      </c>
      <c r="O221">
        <f t="shared" si="25"/>
        <v>0</v>
      </c>
      <c r="P221">
        <f t="shared" si="26"/>
        <v>0</v>
      </c>
    </row>
    <row r="222" spans="1:20" hidden="1" x14ac:dyDescent="0.3">
      <c r="A222" t="s">
        <v>405</v>
      </c>
      <c r="B222" t="s">
        <v>431</v>
      </c>
      <c r="C222" t="s">
        <v>405</v>
      </c>
      <c r="D222">
        <v>11.8</v>
      </c>
      <c r="E222">
        <v>100</v>
      </c>
      <c r="F222">
        <v>0</v>
      </c>
      <c r="G222" t="b">
        <v>0</v>
      </c>
      <c r="H222">
        <v>0</v>
      </c>
      <c r="I222">
        <v>1</v>
      </c>
      <c r="J222">
        <v>0</v>
      </c>
      <c r="K222">
        <v>64.5</v>
      </c>
      <c r="L222">
        <f t="shared" si="22"/>
        <v>40.47200080196383</v>
      </c>
      <c r="M222">
        <f t="shared" si="23"/>
        <v>0.47200080196383176</v>
      </c>
      <c r="N222">
        <f t="shared" si="24"/>
        <v>40</v>
      </c>
      <c r="O222">
        <f t="shared" si="25"/>
        <v>0</v>
      </c>
      <c r="P222">
        <f t="shared" si="26"/>
        <v>0</v>
      </c>
    </row>
    <row r="223" spans="1:20" hidden="1" x14ac:dyDescent="0.3">
      <c r="A223" t="s">
        <v>405</v>
      </c>
      <c r="B223" t="s">
        <v>432</v>
      </c>
      <c r="C223" t="s">
        <v>405</v>
      </c>
      <c r="D223">
        <v>1.8</v>
      </c>
      <c r="E223">
        <v>100</v>
      </c>
      <c r="F223">
        <v>0</v>
      </c>
      <c r="G223" t="b">
        <v>0</v>
      </c>
      <c r="H223">
        <v>0</v>
      </c>
      <c r="I223">
        <v>1</v>
      </c>
      <c r="J223">
        <v>0</v>
      </c>
      <c r="K223">
        <v>44.7</v>
      </c>
      <c r="L223">
        <f t="shared" si="22"/>
        <v>40.072000122333463</v>
      </c>
      <c r="M223">
        <f t="shared" si="23"/>
        <v>7.2000122333465866E-2</v>
      </c>
      <c r="N223">
        <f t="shared" si="24"/>
        <v>40</v>
      </c>
      <c r="O223">
        <f t="shared" si="25"/>
        <v>0</v>
      </c>
      <c r="P223">
        <f t="shared" si="26"/>
        <v>0</v>
      </c>
    </row>
    <row r="224" spans="1:20" hidden="1" x14ac:dyDescent="0.3">
      <c r="A224" s="2" t="s">
        <v>405</v>
      </c>
      <c r="B224" t="s">
        <v>433</v>
      </c>
      <c r="C224" t="s">
        <v>434</v>
      </c>
      <c r="D224">
        <v>7.3</v>
      </c>
      <c r="E224">
        <v>100</v>
      </c>
      <c r="F224">
        <v>0</v>
      </c>
      <c r="G224" t="b">
        <v>1</v>
      </c>
      <c r="H224">
        <v>0</v>
      </c>
      <c r="I224">
        <v>0</v>
      </c>
      <c r="J224">
        <v>1</v>
      </c>
      <c r="K224">
        <v>55.6</v>
      </c>
      <c r="L224">
        <f>SUM(M224:P224)</f>
        <v>55.6</v>
      </c>
      <c r="M224" s="2">
        <f>D224*$M$1</f>
        <v>14.6</v>
      </c>
      <c r="N224" s="2">
        <f>E224*$N$1</f>
        <v>40</v>
      </c>
      <c r="O224" s="2">
        <f>F224*$O$1</f>
        <v>0</v>
      </c>
      <c r="P224" s="2">
        <f>J224*$P$1</f>
        <v>1</v>
      </c>
      <c r="T224" s="1">
        <f>L224-K224</f>
        <v>0</v>
      </c>
    </row>
    <row r="225" spans="1:20" hidden="1" x14ac:dyDescent="0.3">
      <c r="A225" t="s">
        <v>405</v>
      </c>
      <c r="B225" t="s">
        <v>435</v>
      </c>
      <c r="C225" t="s">
        <v>405</v>
      </c>
      <c r="D225">
        <v>12.1</v>
      </c>
      <c r="E225">
        <v>100</v>
      </c>
      <c r="F225">
        <v>0</v>
      </c>
      <c r="G225" t="b">
        <v>0</v>
      </c>
      <c r="H225">
        <v>0</v>
      </c>
      <c r="I225">
        <v>1</v>
      </c>
      <c r="J225">
        <v>0</v>
      </c>
      <c r="K225">
        <v>65.2</v>
      </c>
      <c r="L225">
        <f t="shared" si="22"/>
        <v>40.484000822352741</v>
      </c>
      <c r="M225">
        <f t="shared" si="23"/>
        <v>0.48400082235274272</v>
      </c>
      <c r="N225">
        <f t="shared" si="24"/>
        <v>40</v>
      </c>
      <c r="O225">
        <f t="shared" si="25"/>
        <v>0</v>
      </c>
      <c r="P225">
        <f t="shared" si="26"/>
        <v>0</v>
      </c>
    </row>
    <row r="226" spans="1:20" hidden="1" x14ac:dyDescent="0.3">
      <c r="A226" t="s">
        <v>405</v>
      </c>
      <c r="B226" t="s">
        <v>436</v>
      </c>
      <c r="C226" t="s">
        <v>405</v>
      </c>
      <c r="D226">
        <v>4.4000000000000004</v>
      </c>
      <c r="E226">
        <v>100</v>
      </c>
      <c r="F226">
        <v>3.5</v>
      </c>
      <c r="G226" t="b">
        <v>0</v>
      </c>
      <c r="H226">
        <v>0</v>
      </c>
      <c r="I226">
        <v>1</v>
      </c>
      <c r="J226">
        <v>0</v>
      </c>
      <c r="K226">
        <v>60.2</v>
      </c>
      <c r="L226">
        <f t="shared" si="22"/>
        <v>40.176000299037362</v>
      </c>
      <c r="M226">
        <f t="shared" si="23"/>
        <v>0.176000299037361</v>
      </c>
      <c r="N226">
        <f t="shared" si="24"/>
        <v>40</v>
      </c>
      <c r="O226">
        <f t="shared" si="25"/>
        <v>0</v>
      </c>
      <c r="P226">
        <f t="shared" si="26"/>
        <v>0</v>
      </c>
    </row>
    <row r="227" spans="1:20" hidden="1" x14ac:dyDescent="0.3">
      <c r="A227" t="s">
        <v>405</v>
      </c>
      <c r="B227" t="s">
        <v>437</v>
      </c>
      <c r="C227" t="s">
        <v>438</v>
      </c>
      <c r="D227">
        <v>18.5</v>
      </c>
      <c r="E227">
        <v>52.2</v>
      </c>
      <c r="F227">
        <v>6.2</v>
      </c>
      <c r="G227" t="b">
        <v>0</v>
      </c>
      <c r="H227">
        <v>6</v>
      </c>
      <c r="I227">
        <v>0</v>
      </c>
      <c r="J227">
        <v>0</v>
      </c>
      <c r="K227">
        <v>70.599999999999994</v>
      </c>
      <c r="L227">
        <f t="shared" si="22"/>
        <v>21.620001257316179</v>
      </c>
      <c r="M227">
        <f t="shared" si="23"/>
        <v>0.74000125731617683</v>
      </c>
      <c r="N227">
        <f t="shared" si="24"/>
        <v>20.880000000000003</v>
      </c>
      <c r="O227">
        <f t="shared" si="25"/>
        <v>0</v>
      </c>
      <c r="P227">
        <f t="shared" si="26"/>
        <v>0</v>
      </c>
    </row>
    <row r="228" spans="1:20" hidden="1" x14ac:dyDescent="0.3">
      <c r="A228" s="2" t="s">
        <v>405</v>
      </c>
      <c r="B228" t="s">
        <v>439</v>
      </c>
      <c r="C228" t="s">
        <v>409</v>
      </c>
      <c r="D228">
        <v>26.1</v>
      </c>
      <c r="E228">
        <v>100</v>
      </c>
      <c r="F228">
        <v>2.2000000000000002</v>
      </c>
      <c r="G228" t="b">
        <v>1</v>
      </c>
      <c r="H228">
        <v>0</v>
      </c>
      <c r="I228">
        <v>0</v>
      </c>
      <c r="J228">
        <v>1</v>
      </c>
      <c r="K228">
        <v>99.9</v>
      </c>
      <c r="L228">
        <f>SUM(M228:P228)</f>
        <v>99.8</v>
      </c>
      <c r="M228" s="2">
        <f>D228*$M$1</f>
        <v>52.2</v>
      </c>
      <c r="N228" s="2">
        <f>E228*$N$1</f>
        <v>40</v>
      </c>
      <c r="O228" s="2">
        <f>F228*$O$1</f>
        <v>6.6000000000000005</v>
      </c>
      <c r="P228" s="2">
        <f>J228*$P$1</f>
        <v>1</v>
      </c>
      <c r="T228" s="1">
        <f>L228-K228</f>
        <v>-0.10000000000000853</v>
      </c>
    </row>
    <row r="229" spans="1:20" hidden="1" x14ac:dyDescent="0.3">
      <c r="A229" t="s">
        <v>405</v>
      </c>
      <c r="B229" t="s">
        <v>440</v>
      </c>
      <c r="C229" t="s">
        <v>405</v>
      </c>
      <c r="D229">
        <v>12.9</v>
      </c>
      <c r="E229">
        <v>100</v>
      </c>
      <c r="F229">
        <v>2.2000000000000002</v>
      </c>
      <c r="G229" t="b">
        <v>0</v>
      </c>
      <c r="H229">
        <v>0</v>
      </c>
      <c r="I229">
        <v>1</v>
      </c>
      <c r="J229">
        <v>0</v>
      </c>
      <c r="K229">
        <v>73.5</v>
      </c>
      <c r="L229">
        <f t="shared" si="22"/>
        <v>40.516000876723169</v>
      </c>
      <c r="M229">
        <f t="shared" si="23"/>
        <v>0.51600087672317196</v>
      </c>
      <c r="N229">
        <f t="shared" si="24"/>
        <v>40</v>
      </c>
      <c r="O229">
        <f t="shared" si="25"/>
        <v>0</v>
      </c>
      <c r="P229">
        <f t="shared" si="26"/>
        <v>0</v>
      </c>
    </row>
    <row r="230" spans="1:20" hidden="1" x14ac:dyDescent="0.3">
      <c r="A230" t="s">
        <v>405</v>
      </c>
      <c r="B230" t="s">
        <v>441</v>
      </c>
      <c r="C230" t="s">
        <v>405</v>
      </c>
      <c r="D230">
        <v>10.3</v>
      </c>
      <c r="E230">
        <v>100</v>
      </c>
      <c r="F230">
        <v>2.2000000000000002</v>
      </c>
      <c r="G230" t="b">
        <v>0</v>
      </c>
      <c r="H230">
        <v>0</v>
      </c>
      <c r="I230">
        <v>1</v>
      </c>
      <c r="J230">
        <v>0</v>
      </c>
      <c r="K230">
        <v>68.2</v>
      </c>
      <c r="L230">
        <f t="shared" si="22"/>
        <v>40.412000700019277</v>
      </c>
      <c r="M230">
        <f t="shared" si="23"/>
        <v>0.41200070001927691</v>
      </c>
      <c r="N230">
        <f t="shared" si="24"/>
        <v>40</v>
      </c>
      <c r="O230">
        <f t="shared" si="25"/>
        <v>0</v>
      </c>
      <c r="P230">
        <f t="shared" si="26"/>
        <v>0</v>
      </c>
    </row>
    <row r="231" spans="1:20" hidden="1" x14ac:dyDescent="0.3">
      <c r="A231" t="s">
        <v>405</v>
      </c>
      <c r="B231" t="s">
        <v>442</v>
      </c>
      <c r="C231" t="s">
        <v>405</v>
      </c>
      <c r="D231">
        <v>6.2</v>
      </c>
      <c r="E231">
        <v>100</v>
      </c>
      <c r="F231">
        <v>0</v>
      </c>
      <c r="G231" t="b">
        <v>0</v>
      </c>
      <c r="H231">
        <v>0</v>
      </c>
      <c r="I231">
        <v>1</v>
      </c>
      <c r="J231">
        <v>0</v>
      </c>
      <c r="K231">
        <v>53.5</v>
      </c>
      <c r="L231">
        <f t="shared" si="22"/>
        <v>40.248000421370826</v>
      </c>
      <c r="M231">
        <f t="shared" si="23"/>
        <v>0.24800042137082687</v>
      </c>
      <c r="N231">
        <f t="shared" si="24"/>
        <v>40</v>
      </c>
      <c r="O231">
        <f t="shared" si="25"/>
        <v>0</v>
      </c>
      <c r="P231">
        <f t="shared" si="26"/>
        <v>0</v>
      </c>
    </row>
    <row r="232" spans="1:20" hidden="1" x14ac:dyDescent="0.3">
      <c r="A232" t="s">
        <v>405</v>
      </c>
      <c r="B232" t="s">
        <v>443</v>
      </c>
      <c r="C232" t="s">
        <v>405</v>
      </c>
      <c r="D232">
        <v>6.2</v>
      </c>
      <c r="E232">
        <v>100</v>
      </c>
      <c r="F232">
        <v>0</v>
      </c>
      <c r="G232" t="b">
        <v>0</v>
      </c>
      <c r="H232">
        <v>0</v>
      </c>
      <c r="I232">
        <v>1</v>
      </c>
      <c r="J232">
        <v>0</v>
      </c>
      <c r="K232">
        <v>53.5</v>
      </c>
      <c r="L232">
        <f t="shared" si="22"/>
        <v>40.248000421370826</v>
      </c>
      <c r="M232">
        <f t="shared" si="23"/>
        <v>0.24800042137082687</v>
      </c>
      <c r="N232">
        <f t="shared" si="24"/>
        <v>40</v>
      </c>
      <c r="O232">
        <f t="shared" si="25"/>
        <v>0</v>
      </c>
      <c r="P232">
        <f t="shared" si="26"/>
        <v>0</v>
      </c>
    </row>
    <row r="233" spans="1:20" hidden="1" x14ac:dyDescent="0.3">
      <c r="A233" t="s">
        <v>405</v>
      </c>
      <c r="B233" t="s">
        <v>444</v>
      </c>
      <c r="C233" t="s">
        <v>405</v>
      </c>
      <c r="D233">
        <v>6.2</v>
      </c>
      <c r="E233">
        <v>100</v>
      </c>
      <c r="F233">
        <v>0</v>
      </c>
      <c r="G233" t="b">
        <v>0</v>
      </c>
      <c r="H233">
        <v>0</v>
      </c>
      <c r="I233">
        <v>1</v>
      </c>
      <c r="J233">
        <v>0</v>
      </c>
      <c r="K233">
        <v>53.5</v>
      </c>
      <c r="L233">
        <f t="shared" si="22"/>
        <v>40.248000421370826</v>
      </c>
      <c r="M233">
        <f t="shared" si="23"/>
        <v>0.24800042137082687</v>
      </c>
      <c r="N233">
        <f t="shared" si="24"/>
        <v>40</v>
      </c>
      <c r="O233">
        <f t="shared" si="25"/>
        <v>0</v>
      </c>
      <c r="P233">
        <f t="shared" si="26"/>
        <v>0</v>
      </c>
    </row>
    <row r="234" spans="1:20" hidden="1" x14ac:dyDescent="0.3">
      <c r="A234" t="s">
        <v>405</v>
      </c>
      <c r="B234" t="s">
        <v>445</v>
      </c>
      <c r="C234" t="s">
        <v>405</v>
      </c>
      <c r="D234">
        <v>6.2</v>
      </c>
      <c r="E234">
        <v>100</v>
      </c>
      <c r="F234">
        <v>0</v>
      </c>
      <c r="G234" t="b">
        <v>0</v>
      </c>
      <c r="H234">
        <v>0</v>
      </c>
      <c r="I234">
        <v>1</v>
      </c>
      <c r="J234">
        <v>0</v>
      </c>
      <c r="K234">
        <v>53.5</v>
      </c>
      <c r="L234">
        <f t="shared" si="22"/>
        <v>40.248000421370826</v>
      </c>
      <c r="M234">
        <f t="shared" si="23"/>
        <v>0.24800042137082687</v>
      </c>
      <c r="N234">
        <f t="shared" si="24"/>
        <v>40</v>
      </c>
      <c r="O234">
        <f t="shared" si="25"/>
        <v>0</v>
      </c>
      <c r="P234">
        <f t="shared" si="26"/>
        <v>0</v>
      </c>
    </row>
    <row r="235" spans="1:20" hidden="1" x14ac:dyDescent="0.3">
      <c r="A235" t="s">
        <v>405</v>
      </c>
      <c r="B235" t="s">
        <v>446</v>
      </c>
      <c r="C235" t="s">
        <v>405</v>
      </c>
      <c r="D235">
        <v>8</v>
      </c>
      <c r="E235">
        <v>100</v>
      </c>
      <c r="F235">
        <v>0</v>
      </c>
      <c r="G235" t="b">
        <v>0</v>
      </c>
      <c r="H235">
        <v>0</v>
      </c>
      <c r="I235">
        <v>1</v>
      </c>
      <c r="J235">
        <v>0</v>
      </c>
      <c r="K235">
        <v>57</v>
      </c>
      <c r="L235">
        <f t="shared" si="22"/>
        <v>40.320000543704296</v>
      </c>
      <c r="M235">
        <f t="shared" si="23"/>
        <v>0.32000054370429271</v>
      </c>
      <c r="N235">
        <f t="shared" si="24"/>
        <v>40</v>
      </c>
      <c r="O235">
        <f t="shared" si="25"/>
        <v>0</v>
      </c>
      <c r="P235">
        <f t="shared" si="26"/>
        <v>0</v>
      </c>
    </row>
    <row r="236" spans="1:20" hidden="1" x14ac:dyDescent="0.3">
      <c r="A236" t="s">
        <v>405</v>
      </c>
      <c r="B236" t="s">
        <v>447</v>
      </c>
      <c r="C236" t="s">
        <v>405</v>
      </c>
      <c r="D236">
        <v>6.2</v>
      </c>
      <c r="E236">
        <v>100</v>
      </c>
      <c r="F236">
        <v>0</v>
      </c>
      <c r="G236" t="b">
        <v>0</v>
      </c>
      <c r="H236">
        <v>0</v>
      </c>
      <c r="I236">
        <v>1</v>
      </c>
      <c r="J236">
        <v>0</v>
      </c>
      <c r="K236">
        <v>53.5</v>
      </c>
      <c r="L236">
        <f t="shared" si="22"/>
        <v>40.248000421370826</v>
      </c>
      <c r="M236">
        <f t="shared" si="23"/>
        <v>0.24800042137082687</v>
      </c>
      <c r="N236">
        <f t="shared" si="24"/>
        <v>40</v>
      </c>
      <c r="O236">
        <f t="shared" si="25"/>
        <v>0</v>
      </c>
      <c r="P236">
        <f t="shared" si="26"/>
        <v>0</v>
      </c>
    </row>
    <row r="237" spans="1:20" hidden="1" x14ac:dyDescent="0.3">
      <c r="A237" t="s">
        <v>405</v>
      </c>
      <c r="B237" t="s">
        <v>448</v>
      </c>
      <c r="C237" t="s">
        <v>405</v>
      </c>
      <c r="D237">
        <v>24</v>
      </c>
      <c r="E237">
        <v>100</v>
      </c>
      <c r="F237">
        <v>0</v>
      </c>
      <c r="G237" t="b">
        <v>0</v>
      </c>
      <c r="H237">
        <v>0</v>
      </c>
      <c r="I237">
        <v>1</v>
      </c>
      <c r="J237">
        <v>0</v>
      </c>
      <c r="K237">
        <v>89</v>
      </c>
      <c r="L237">
        <f t="shared" si="22"/>
        <v>40.960001631112881</v>
      </c>
      <c r="M237">
        <f t="shared" si="23"/>
        <v>0.96000163111287806</v>
      </c>
      <c r="N237">
        <f t="shared" si="24"/>
        <v>40</v>
      </c>
      <c r="O237">
        <f t="shared" si="25"/>
        <v>0</v>
      </c>
      <c r="P237">
        <f t="shared" si="26"/>
        <v>0</v>
      </c>
    </row>
    <row r="238" spans="1:20" hidden="1" x14ac:dyDescent="0.3">
      <c r="A238" t="s">
        <v>405</v>
      </c>
      <c r="B238" t="s">
        <v>449</v>
      </c>
      <c r="C238" t="s">
        <v>405</v>
      </c>
      <c r="D238">
        <v>6.2</v>
      </c>
      <c r="E238">
        <v>100</v>
      </c>
      <c r="F238">
        <v>0</v>
      </c>
      <c r="G238" t="b">
        <v>0</v>
      </c>
      <c r="H238">
        <v>0</v>
      </c>
      <c r="I238">
        <v>1</v>
      </c>
      <c r="J238">
        <v>0</v>
      </c>
      <c r="K238">
        <v>53.5</v>
      </c>
      <c r="L238">
        <f t="shared" si="22"/>
        <v>40.248000421370826</v>
      </c>
      <c r="M238">
        <f t="shared" si="23"/>
        <v>0.24800042137082687</v>
      </c>
      <c r="N238">
        <f t="shared" si="24"/>
        <v>40</v>
      </c>
      <c r="O238">
        <f t="shared" si="25"/>
        <v>0</v>
      </c>
      <c r="P238">
        <f t="shared" si="26"/>
        <v>0</v>
      </c>
    </row>
    <row r="239" spans="1:20" hidden="1" x14ac:dyDescent="0.3">
      <c r="A239" t="s">
        <v>405</v>
      </c>
      <c r="B239" t="s">
        <v>450</v>
      </c>
      <c r="C239" t="s">
        <v>405</v>
      </c>
      <c r="D239">
        <v>4</v>
      </c>
      <c r="E239">
        <v>100</v>
      </c>
      <c r="F239">
        <v>0</v>
      </c>
      <c r="G239" t="b">
        <v>0</v>
      </c>
      <c r="H239">
        <v>0</v>
      </c>
      <c r="I239">
        <v>1</v>
      </c>
      <c r="J239">
        <v>0</v>
      </c>
      <c r="K239">
        <v>48.9</v>
      </c>
      <c r="L239">
        <f t="shared" si="22"/>
        <v>40.160000271852148</v>
      </c>
      <c r="M239">
        <f t="shared" si="23"/>
        <v>0.16000027185214635</v>
      </c>
      <c r="N239">
        <f t="shared" si="24"/>
        <v>40</v>
      </c>
      <c r="O239">
        <f t="shared" si="25"/>
        <v>0</v>
      </c>
      <c r="P239">
        <f t="shared" si="26"/>
        <v>0</v>
      </c>
    </row>
    <row r="240" spans="1:20" hidden="1" x14ac:dyDescent="0.3">
      <c r="A240" t="s">
        <v>405</v>
      </c>
      <c r="B240" t="s">
        <v>451</v>
      </c>
      <c r="C240" t="s">
        <v>405</v>
      </c>
      <c r="D240">
        <v>9.3000000000000007</v>
      </c>
      <c r="E240">
        <v>100</v>
      </c>
      <c r="F240">
        <v>0</v>
      </c>
      <c r="G240" t="b">
        <v>0</v>
      </c>
      <c r="H240">
        <v>0</v>
      </c>
      <c r="I240">
        <v>1</v>
      </c>
      <c r="J240">
        <v>0</v>
      </c>
      <c r="K240">
        <v>59.6</v>
      </c>
      <c r="L240">
        <f t="shared" si="22"/>
        <v>40.372000632056242</v>
      </c>
      <c r="M240">
        <f t="shared" si="23"/>
        <v>0.37200063205624029</v>
      </c>
      <c r="N240">
        <f t="shared" si="24"/>
        <v>40</v>
      </c>
      <c r="O240">
        <f t="shared" si="25"/>
        <v>0</v>
      </c>
      <c r="P240">
        <f t="shared" si="26"/>
        <v>0</v>
      </c>
    </row>
    <row r="241" spans="1:16" hidden="1" x14ac:dyDescent="0.3">
      <c r="A241" t="s">
        <v>405</v>
      </c>
      <c r="B241" t="s">
        <v>452</v>
      </c>
      <c r="C241" t="s">
        <v>405</v>
      </c>
      <c r="D241">
        <v>17.3</v>
      </c>
      <c r="E241">
        <v>100</v>
      </c>
      <c r="F241">
        <v>0</v>
      </c>
      <c r="G241" t="b">
        <v>0</v>
      </c>
      <c r="H241">
        <v>0</v>
      </c>
      <c r="I241">
        <v>1</v>
      </c>
      <c r="J241">
        <v>0</v>
      </c>
      <c r="K241">
        <v>75.599999999999994</v>
      </c>
      <c r="L241">
        <f t="shared" si="22"/>
        <v>40.692001175760531</v>
      </c>
      <c r="M241">
        <f t="shared" si="23"/>
        <v>0.69200117576053299</v>
      </c>
      <c r="N241">
        <f t="shared" si="24"/>
        <v>40</v>
      </c>
      <c r="O241">
        <f t="shared" si="25"/>
        <v>0</v>
      </c>
      <c r="P241">
        <f t="shared" si="26"/>
        <v>0</v>
      </c>
    </row>
    <row r="242" spans="1:16" hidden="1" x14ac:dyDescent="0.3">
      <c r="A242" t="s">
        <v>405</v>
      </c>
      <c r="B242" t="s">
        <v>453</v>
      </c>
      <c r="C242" t="s">
        <v>405</v>
      </c>
      <c r="D242">
        <v>10.5</v>
      </c>
      <c r="E242">
        <v>100</v>
      </c>
      <c r="F242">
        <v>0</v>
      </c>
      <c r="G242" t="b">
        <v>0</v>
      </c>
      <c r="H242">
        <v>0</v>
      </c>
      <c r="I242">
        <v>1</v>
      </c>
      <c r="J242">
        <v>0</v>
      </c>
      <c r="K242">
        <v>62.1</v>
      </c>
      <c r="L242">
        <f t="shared" si="22"/>
        <v>40.420000713611884</v>
      </c>
      <c r="M242">
        <f t="shared" si="23"/>
        <v>0.42000071361188418</v>
      </c>
      <c r="N242">
        <f t="shared" si="24"/>
        <v>40</v>
      </c>
      <c r="O242">
        <f t="shared" si="25"/>
        <v>0</v>
      </c>
      <c r="P242">
        <f t="shared" si="26"/>
        <v>0</v>
      </c>
    </row>
    <row r="243" spans="1:16" hidden="1" x14ac:dyDescent="0.3">
      <c r="A243" t="s">
        <v>405</v>
      </c>
      <c r="B243" t="s">
        <v>454</v>
      </c>
      <c r="C243" t="s">
        <v>455</v>
      </c>
      <c r="D243">
        <v>5.9</v>
      </c>
      <c r="E243">
        <v>75</v>
      </c>
      <c r="F243">
        <v>8.6999999999999993</v>
      </c>
      <c r="G243" t="b">
        <v>0</v>
      </c>
      <c r="H243">
        <v>6</v>
      </c>
      <c r="I243">
        <v>0</v>
      </c>
      <c r="J243">
        <v>0</v>
      </c>
      <c r="K243">
        <v>62</v>
      </c>
      <c r="L243">
        <f t="shared" si="22"/>
        <v>30.236000400981915</v>
      </c>
      <c r="M243">
        <f t="shared" si="23"/>
        <v>0.23600040098191588</v>
      </c>
      <c r="N243">
        <f t="shared" si="24"/>
        <v>30</v>
      </c>
      <c r="O243">
        <f t="shared" si="25"/>
        <v>0</v>
      </c>
      <c r="P243">
        <f t="shared" si="26"/>
        <v>0</v>
      </c>
    </row>
    <row r="244" spans="1:16" hidden="1" x14ac:dyDescent="0.3">
      <c r="A244" t="s">
        <v>405</v>
      </c>
      <c r="B244" t="s">
        <v>456</v>
      </c>
      <c r="C244" t="s">
        <v>457</v>
      </c>
      <c r="D244">
        <v>5.0999999999999996</v>
      </c>
      <c r="E244">
        <v>70.599999999999994</v>
      </c>
      <c r="F244">
        <v>6.7</v>
      </c>
      <c r="G244" t="b">
        <v>0</v>
      </c>
      <c r="H244">
        <v>3</v>
      </c>
      <c r="I244">
        <v>0</v>
      </c>
      <c r="J244">
        <v>0</v>
      </c>
      <c r="K244">
        <v>55.5</v>
      </c>
      <c r="L244">
        <f t="shared" si="22"/>
        <v>28.444000346611485</v>
      </c>
      <c r="M244">
        <f t="shared" si="23"/>
        <v>0.20400034661148658</v>
      </c>
      <c r="N244">
        <f t="shared" si="24"/>
        <v>28.24</v>
      </c>
      <c r="O244">
        <f t="shared" si="25"/>
        <v>0</v>
      </c>
      <c r="P244">
        <f t="shared" si="26"/>
        <v>0</v>
      </c>
    </row>
    <row r="245" spans="1:16" hidden="1" x14ac:dyDescent="0.3">
      <c r="A245" t="s">
        <v>405</v>
      </c>
      <c r="B245" t="s">
        <v>458</v>
      </c>
      <c r="C245" t="s">
        <v>459</v>
      </c>
      <c r="D245">
        <v>2.5</v>
      </c>
      <c r="E245">
        <v>75</v>
      </c>
      <c r="F245">
        <v>5.2</v>
      </c>
      <c r="G245" t="b">
        <v>0</v>
      </c>
      <c r="H245">
        <v>3</v>
      </c>
      <c r="I245">
        <v>0</v>
      </c>
      <c r="J245">
        <v>0</v>
      </c>
      <c r="K245">
        <v>47.4</v>
      </c>
      <c r="L245">
        <f t="shared" si="22"/>
        <v>30.100000169907592</v>
      </c>
      <c r="M245">
        <f t="shared" si="23"/>
        <v>0.10000016990759147</v>
      </c>
      <c r="N245">
        <f t="shared" si="24"/>
        <v>30</v>
      </c>
      <c r="O245">
        <f t="shared" si="25"/>
        <v>0</v>
      </c>
      <c r="P245">
        <f t="shared" si="26"/>
        <v>0</v>
      </c>
    </row>
    <row r="246" spans="1:16" hidden="1" x14ac:dyDescent="0.3">
      <c r="A246" t="s">
        <v>405</v>
      </c>
      <c r="B246" t="s">
        <v>460</v>
      </c>
      <c r="C246" t="s">
        <v>405</v>
      </c>
      <c r="D246">
        <v>3.4</v>
      </c>
      <c r="E246">
        <v>100</v>
      </c>
      <c r="F246">
        <v>0</v>
      </c>
      <c r="G246" t="b">
        <v>0</v>
      </c>
      <c r="H246">
        <v>0</v>
      </c>
      <c r="I246">
        <v>1</v>
      </c>
      <c r="J246">
        <v>0</v>
      </c>
      <c r="K246">
        <v>47.7</v>
      </c>
      <c r="L246">
        <f t="shared" si="22"/>
        <v>40.136000231074327</v>
      </c>
      <c r="M246">
        <f t="shared" si="23"/>
        <v>0.13600023107432441</v>
      </c>
      <c r="N246">
        <f t="shared" si="24"/>
        <v>40</v>
      </c>
      <c r="O246">
        <f t="shared" si="25"/>
        <v>0</v>
      </c>
      <c r="P246">
        <f t="shared" si="26"/>
        <v>0</v>
      </c>
    </row>
    <row r="247" spans="1:16" hidden="1" x14ac:dyDescent="0.3">
      <c r="A247" t="s">
        <v>405</v>
      </c>
      <c r="B247" t="s">
        <v>461</v>
      </c>
      <c r="C247" t="s">
        <v>462</v>
      </c>
      <c r="D247">
        <v>5.3</v>
      </c>
      <c r="E247">
        <v>75</v>
      </c>
      <c r="F247">
        <v>8</v>
      </c>
      <c r="G247" t="b">
        <v>0</v>
      </c>
      <c r="H247">
        <v>6</v>
      </c>
      <c r="I247">
        <v>0</v>
      </c>
      <c r="J247">
        <v>0</v>
      </c>
      <c r="K247">
        <v>58.6</v>
      </c>
      <c r="L247">
        <f t="shared" si="22"/>
        <v>30.212000360204094</v>
      </c>
      <c r="M247">
        <f t="shared" si="23"/>
        <v>0.21200036020409391</v>
      </c>
      <c r="N247">
        <f t="shared" si="24"/>
        <v>30</v>
      </c>
      <c r="O247">
        <f t="shared" si="25"/>
        <v>0</v>
      </c>
      <c r="P247">
        <f t="shared" si="26"/>
        <v>0</v>
      </c>
    </row>
    <row r="248" spans="1:16" hidden="1" x14ac:dyDescent="0.3">
      <c r="A248" t="s">
        <v>405</v>
      </c>
      <c r="B248" t="s">
        <v>463</v>
      </c>
      <c r="C248" t="s">
        <v>464</v>
      </c>
      <c r="D248">
        <v>4.3</v>
      </c>
      <c r="E248">
        <v>85.7</v>
      </c>
      <c r="F248">
        <v>9.6</v>
      </c>
      <c r="G248" t="b">
        <v>0</v>
      </c>
      <c r="H248">
        <v>3</v>
      </c>
      <c r="I248">
        <v>0</v>
      </c>
      <c r="J248">
        <v>0</v>
      </c>
      <c r="K248">
        <v>68.599999999999994</v>
      </c>
      <c r="L248">
        <f t="shared" si="22"/>
        <v>34.45200029224106</v>
      </c>
      <c r="M248">
        <f t="shared" si="23"/>
        <v>0.17200029224105731</v>
      </c>
      <c r="N248">
        <f t="shared" si="24"/>
        <v>34.28</v>
      </c>
      <c r="O248">
        <f t="shared" si="25"/>
        <v>0</v>
      </c>
      <c r="P248">
        <f t="shared" si="26"/>
        <v>0</v>
      </c>
    </row>
    <row r="249" spans="1:16" hidden="1" x14ac:dyDescent="0.3">
      <c r="A249" t="s">
        <v>405</v>
      </c>
      <c r="B249" t="s">
        <v>465</v>
      </c>
      <c r="C249" t="s">
        <v>466</v>
      </c>
      <c r="D249">
        <v>30</v>
      </c>
      <c r="E249">
        <v>75</v>
      </c>
      <c r="F249">
        <v>5.2</v>
      </c>
      <c r="G249" t="b">
        <v>0</v>
      </c>
      <c r="H249">
        <v>3</v>
      </c>
      <c r="I249">
        <v>0</v>
      </c>
      <c r="J249">
        <v>0</v>
      </c>
      <c r="K249">
        <v>102.5</v>
      </c>
      <c r="L249">
        <f t="shared" si="22"/>
        <v>31.200002038891096</v>
      </c>
      <c r="M249">
        <f t="shared" si="23"/>
        <v>1.2000020388910977</v>
      </c>
      <c r="N249">
        <f t="shared" si="24"/>
        <v>30</v>
      </c>
      <c r="O249">
        <f t="shared" si="25"/>
        <v>0</v>
      </c>
      <c r="P249">
        <f t="shared" si="26"/>
        <v>0</v>
      </c>
    </row>
    <row r="250" spans="1:16" hidden="1" x14ac:dyDescent="0.3">
      <c r="A250" t="s">
        <v>405</v>
      </c>
      <c r="B250" t="s">
        <v>467</v>
      </c>
      <c r="C250" t="s">
        <v>468</v>
      </c>
      <c r="D250">
        <v>5.4</v>
      </c>
      <c r="E250">
        <v>42.9</v>
      </c>
      <c r="F250">
        <v>3.6</v>
      </c>
      <c r="G250" t="b">
        <v>0</v>
      </c>
      <c r="H250">
        <v>6</v>
      </c>
      <c r="I250">
        <v>0</v>
      </c>
      <c r="J250">
        <v>0</v>
      </c>
      <c r="K250">
        <v>32.700000000000003</v>
      </c>
      <c r="L250">
        <f t="shared" si="22"/>
        <v>17.376000367000398</v>
      </c>
      <c r="M250">
        <f t="shared" si="23"/>
        <v>0.2160003670003976</v>
      </c>
      <c r="N250">
        <f t="shared" si="24"/>
        <v>17.16</v>
      </c>
      <c r="O250">
        <f t="shared" si="25"/>
        <v>0</v>
      </c>
      <c r="P250">
        <f t="shared" si="26"/>
        <v>0</v>
      </c>
    </row>
    <row r="251" spans="1:16" hidden="1" x14ac:dyDescent="0.3">
      <c r="A251" t="s">
        <v>405</v>
      </c>
      <c r="B251" t="s">
        <v>469</v>
      </c>
      <c r="C251" t="s">
        <v>470</v>
      </c>
      <c r="D251">
        <v>3.5</v>
      </c>
      <c r="E251">
        <v>85.7</v>
      </c>
      <c r="F251">
        <v>3.5</v>
      </c>
      <c r="G251" t="b">
        <v>0</v>
      </c>
      <c r="H251">
        <v>3</v>
      </c>
      <c r="I251">
        <v>0</v>
      </c>
      <c r="J251">
        <v>0</v>
      </c>
      <c r="K251">
        <v>48.8</v>
      </c>
      <c r="L251">
        <f t="shared" si="22"/>
        <v>34.420000237870632</v>
      </c>
      <c r="M251">
        <f t="shared" si="23"/>
        <v>0.14000023787062807</v>
      </c>
      <c r="N251">
        <f t="shared" si="24"/>
        <v>34.28</v>
      </c>
      <c r="O251">
        <f t="shared" si="25"/>
        <v>0</v>
      </c>
      <c r="P251">
        <f t="shared" si="26"/>
        <v>0</v>
      </c>
    </row>
    <row r="252" spans="1:16" hidden="1" x14ac:dyDescent="0.3">
      <c r="A252" t="s">
        <v>405</v>
      </c>
      <c r="B252" t="s">
        <v>471</v>
      </c>
      <c r="C252" t="s">
        <v>472</v>
      </c>
      <c r="D252">
        <v>18.2</v>
      </c>
      <c r="E252">
        <v>42.9</v>
      </c>
      <c r="F252">
        <v>5.2</v>
      </c>
      <c r="G252" t="b">
        <v>0</v>
      </c>
      <c r="H252">
        <v>6</v>
      </c>
      <c r="I252">
        <v>0</v>
      </c>
      <c r="J252">
        <v>0</v>
      </c>
      <c r="K252">
        <v>63</v>
      </c>
      <c r="L252">
        <f t="shared" si="22"/>
        <v>17.888001236927266</v>
      </c>
      <c r="M252">
        <f t="shared" si="23"/>
        <v>0.72800123692726593</v>
      </c>
      <c r="N252">
        <f t="shared" si="24"/>
        <v>17.16</v>
      </c>
      <c r="O252">
        <f t="shared" si="25"/>
        <v>0</v>
      </c>
      <c r="P252">
        <f t="shared" si="26"/>
        <v>0</v>
      </c>
    </row>
    <row r="253" spans="1:16" hidden="1" x14ac:dyDescent="0.3">
      <c r="A253" t="s">
        <v>405</v>
      </c>
      <c r="B253" t="s">
        <v>473</v>
      </c>
      <c r="C253" t="s">
        <v>474</v>
      </c>
      <c r="D253">
        <v>6.8</v>
      </c>
      <c r="E253">
        <v>70.599999999999994</v>
      </c>
      <c r="F253">
        <v>2.2000000000000002</v>
      </c>
      <c r="G253" t="b">
        <v>0</v>
      </c>
      <c r="H253">
        <v>3</v>
      </c>
      <c r="I253">
        <v>0</v>
      </c>
      <c r="J253">
        <v>0</v>
      </c>
      <c r="K253">
        <v>45.4</v>
      </c>
      <c r="L253">
        <f t="shared" si="22"/>
        <v>28.512000462148649</v>
      </c>
      <c r="M253">
        <f t="shared" si="23"/>
        <v>0.27200046214864881</v>
      </c>
      <c r="N253">
        <f t="shared" si="24"/>
        <v>28.24</v>
      </c>
      <c r="O253">
        <f t="shared" si="25"/>
        <v>0</v>
      </c>
      <c r="P253">
        <f t="shared" si="26"/>
        <v>0</v>
      </c>
    </row>
    <row r="254" spans="1:16" hidden="1" x14ac:dyDescent="0.3">
      <c r="A254" t="s">
        <v>405</v>
      </c>
      <c r="B254" t="s">
        <v>475</v>
      </c>
      <c r="C254" t="s">
        <v>405</v>
      </c>
      <c r="D254">
        <v>12.1</v>
      </c>
      <c r="E254">
        <v>100</v>
      </c>
      <c r="F254">
        <v>2.2000000000000002</v>
      </c>
      <c r="G254" t="b">
        <v>0</v>
      </c>
      <c r="H254">
        <v>0</v>
      </c>
      <c r="I254">
        <v>1</v>
      </c>
      <c r="J254">
        <v>0</v>
      </c>
      <c r="K254">
        <v>71.900000000000006</v>
      </c>
      <c r="L254">
        <f t="shared" si="22"/>
        <v>40.484000822352741</v>
      </c>
      <c r="M254">
        <f t="shared" si="23"/>
        <v>0.48400082235274272</v>
      </c>
      <c r="N254">
        <f t="shared" si="24"/>
        <v>40</v>
      </c>
      <c r="O254">
        <f t="shared" si="25"/>
        <v>0</v>
      </c>
      <c r="P254">
        <f t="shared" si="26"/>
        <v>0</v>
      </c>
    </row>
    <row r="255" spans="1:16" hidden="1" x14ac:dyDescent="0.3">
      <c r="A255" t="s">
        <v>405</v>
      </c>
      <c r="B255" t="s">
        <v>476</v>
      </c>
      <c r="C255" t="s">
        <v>477</v>
      </c>
      <c r="D255">
        <v>7.3</v>
      </c>
      <c r="E255">
        <v>52.2</v>
      </c>
      <c r="F255">
        <v>0</v>
      </c>
      <c r="G255" t="b">
        <v>0</v>
      </c>
      <c r="H255">
        <v>6</v>
      </c>
      <c r="I255">
        <v>0</v>
      </c>
      <c r="J255">
        <v>0</v>
      </c>
      <c r="K255">
        <v>29.5</v>
      </c>
      <c r="L255">
        <f t="shared" si="22"/>
        <v>21.17200049613017</v>
      </c>
      <c r="M255">
        <f t="shared" si="23"/>
        <v>0.2920004961301671</v>
      </c>
      <c r="N255">
        <f t="shared" si="24"/>
        <v>20.880000000000003</v>
      </c>
      <c r="O255">
        <f t="shared" si="25"/>
        <v>0</v>
      </c>
      <c r="P255">
        <f t="shared" si="26"/>
        <v>0</v>
      </c>
    </row>
    <row r="256" spans="1:16" hidden="1" x14ac:dyDescent="0.3">
      <c r="A256" t="s">
        <v>405</v>
      </c>
      <c r="B256" t="s">
        <v>478</v>
      </c>
      <c r="C256" t="s">
        <v>479</v>
      </c>
      <c r="D256">
        <v>3.5</v>
      </c>
      <c r="E256">
        <v>80</v>
      </c>
      <c r="F256">
        <v>0</v>
      </c>
      <c r="G256" t="b">
        <v>0</v>
      </c>
      <c r="H256">
        <v>3</v>
      </c>
      <c r="I256">
        <v>0</v>
      </c>
      <c r="J256">
        <v>0</v>
      </c>
      <c r="K256">
        <v>35.9</v>
      </c>
      <c r="L256">
        <f t="shared" si="22"/>
        <v>32.14000023787063</v>
      </c>
      <c r="M256">
        <f t="shared" si="23"/>
        <v>0.14000023787062807</v>
      </c>
      <c r="N256">
        <f t="shared" si="24"/>
        <v>32</v>
      </c>
      <c r="O256">
        <f t="shared" si="25"/>
        <v>0</v>
      </c>
      <c r="P256">
        <f t="shared" si="26"/>
        <v>0</v>
      </c>
    </row>
    <row r="257" spans="1:16" hidden="1" x14ac:dyDescent="0.3">
      <c r="A257" t="s">
        <v>405</v>
      </c>
      <c r="B257" t="s">
        <v>480</v>
      </c>
      <c r="C257" t="s">
        <v>481</v>
      </c>
      <c r="D257">
        <v>11.5</v>
      </c>
      <c r="E257">
        <v>42.9</v>
      </c>
      <c r="F257">
        <v>0</v>
      </c>
      <c r="G257" t="b">
        <v>0</v>
      </c>
      <c r="H257">
        <v>6</v>
      </c>
      <c r="I257">
        <v>0</v>
      </c>
      <c r="J257">
        <v>0</v>
      </c>
      <c r="K257">
        <v>34.200000000000003</v>
      </c>
      <c r="L257">
        <f t="shared" si="22"/>
        <v>17.62000078157492</v>
      </c>
      <c r="M257">
        <f t="shared" si="23"/>
        <v>0.46000078157492075</v>
      </c>
      <c r="N257">
        <f t="shared" si="24"/>
        <v>17.16</v>
      </c>
      <c r="O257">
        <f t="shared" si="25"/>
        <v>0</v>
      </c>
      <c r="P257">
        <f t="shared" si="26"/>
        <v>0</v>
      </c>
    </row>
    <row r="258" spans="1:16" hidden="1" x14ac:dyDescent="0.3">
      <c r="A258" t="s">
        <v>405</v>
      </c>
      <c r="B258" t="s">
        <v>482</v>
      </c>
      <c r="C258" t="s">
        <v>483</v>
      </c>
      <c r="D258">
        <v>4.2</v>
      </c>
      <c r="E258">
        <v>66.7</v>
      </c>
      <c r="F258">
        <v>0</v>
      </c>
      <c r="G258" t="b">
        <v>0</v>
      </c>
      <c r="H258">
        <v>3</v>
      </c>
      <c r="I258">
        <v>0</v>
      </c>
      <c r="J258">
        <v>0</v>
      </c>
      <c r="K258">
        <v>32</v>
      </c>
      <c r="L258">
        <f t="shared" si="22"/>
        <v>26.848000285444758</v>
      </c>
      <c r="M258">
        <f t="shared" si="23"/>
        <v>0.16800028544475368</v>
      </c>
      <c r="N258">
        <f t="shared" si="24"/>
        <v>26.680000000000003</v>
      </c>
      <c r="O258">
        <f t="shared" si="25"/>
        <v>0</v>
      </c>
      <c r="P258">
        <f t="shared" si="26"/>
        <v>0</v>
      </c>
    </row>
    <row r="259" spans="1:16" hidden="1" x14ac:dyDescent="0.3">
      <c r="A259" t="s">
        <v>405</v>
      </c>
      <c r="B259" t="s">
        <v>484</v>
      </c>
      <c r="C259" t="s">
        <v>485</v>
      </c>
      <c r="D259">
        <v>21.2</v>
      </c>
      <c r="E259">
        <v>66.7</v>
      </c>
      <c r="F259">
        <v>11.5</v>
      </c>
      <c r="G259" t="b">
        <v>0</v>
      </c>
      <c r="H259">
        <v>6</v>
      </c>
      <c r="I259">
        <v>0</v>
      </c>
      <c r="J259">
        <v>0</v>
      </c>
      <c r="K259">
        <v>97.5</v>
      </c>
      <c r="L259">
        <f t="shared" si="22"/>
        <v>27.528001440816379</v>
      </c>
      <c r="M259">
        <f t="shared" si="23"/>
        <v>0.84800144081637563</v>
      </c>
      <c r="N259">
        <f t="shared" si="24"/>
        <v>26.680000000000003</v>
      </c>
      <c r="O259">
        <f t="shared" si="25"/>
        <v>0</v>
      </c>
      <c r="P259">
        <f t="shared" si="26"/>
        <v>0</v>
      </c>
    </row>
    <row r="260" spans="1:16" hidden="1" x14ac:dyDescent="0.3">
      <c r="A260" t="s">
        <v>405</v>
      </c>
      <c r="B260" t="s">
        <v>486</v>
      </c>
      <c r="C260" t="s">
        <v>487</v>
      </c>
      <c r="D260">
        <v>4.7</v>
      </c>
      <c r="E260">
        <v>75</v>
      </c>
      <c r="F260">
        <v>5.8</v>
      </c>
      <c r="G260" t="b">
        <v>0</v>
      </c>
      <c r="H260">
        <v>6</v>
      </c>
      <c r="I260">
        <v>0</v>
      </c>
      <c r="J260">
        <v>0</v>
      </c>
      <c r="K260">
        <v>50.6</v>
      </c>
      <c r="L260">
        <f t="shared" ref="L260:L323" si="31">SUM(M260:Q260)</f>
        <v>30.188000319426273</v>
      </c>
      <c r="M260">
        <f t="shared" ref="M260:M323" si="32">D260*$M$2</f>
        <v>0.18800031942627196</v>
      </c>
      <c r="N260">
        <f t="shared" ref="N260:N323" si="33">E260*0.4</f>
        <v>30</v>
      </c>
      <c r="O260">
        <f t="shared" ref="O260:O323" si="34">F260*$O$2</f>
        <v>0</v>
      </c>
      <c r="P260">
        <f t="shared" ref="P260:P323" si="35">J260*2</f>
        <v>0</v>
      </c>
    </row>
    <row r="261" spans="1:16" hidden="1" x14ac:dyDescent="0.3">
      <c r="A261" t="s">
        <v>405</v>
      </c>
      <c r="B261" t="s">
        <v>488</v>
      </c>
      <c r="C261" t="s">
        <v>474</v>
      </c>
      <c r="D261">
        <v>14.7</v>
      </c>
      <c r="E261">
        <v>70.599999999999994</v>
      </c>
      <c r="F261">
        <v>6.7</v>
      </c>
      <c r="G261" t="b">
        <v>0</v>
      </c>
      <c r="H261">
        <v>3</v>
      </c>
      <c r="I261">
        <v>0</v>
      </c>
      <c r="J261">
        <v>0</v>
      </c>
      <c r="K261">
        <v>74.599999999999994</v>
      </c>
      <c r="L261">
        <f t="shared" si="31"/>
        <v>28.828000999056638</v>
      </c>
      <c r="M261">
        <f t="shared" si="32"/>
        <v>0.58800099905663783</v>
      </c>
      <c r="N261">
        <f t="shared" si="33"/>
        <v>28.24</v>
      </c>
      <c r="O261">
        <f t="shared" si="34"/>
        <v>0</v>
      </c>
      <c r="P261">
        <f t="shared" si="35"/>
        <v>0</v>
      </c>
    </row>
    <row r="262" spans="1:16" hidden="1" x14ac:dyDescent="0.3">
      <c r="A262" t="s">
        <v>405</v>
      </c>
      <c r="B262" t="s">
        <v>489</v>
      </c>
      <c r="C262" t="s">
        <v>490</v>
      </c>
      <c r="D262">
        <v>3.2</v>
      </c>
      <c r="E262">
        <v>70.599999999999994</v>
      </c>
      <c r="F262">
        <v>3.5</v>
      </c>
      <c r="G262" t="b">
        <v>0</v>
      </c>
      <c r="H262">
        <v>3</v>
      </c>
      <c r="I262">
        <v>0</v>
      </c>
      <c r="J262">
        <v>0</v>
      </c>
      <c r="K262">
        <v>42.1</v>
      </c>
      <c r="L262">
        <f t="shared" si="31"/>
        <v>28.368000217481715</v>
      </c>
      <c r="M262">
        <f t="shared" si="32"/>
        <v>0.12800021748171708</v>
      </c>
      <c r="N262">
        <f t="shared" si="33"/>
        <v>28.24</v>
      </c>
      <c r="O262">
        <f t="shared" si="34"/>
        <v>0</v>
      </c>
      <c r="P262">
        <f t="shared" si="35"/>
        <v>0</v>
      </c>
    </row>
    <row r="263" spans="1:16" hidden="1" x14ac:dyDescent="0.3">
      <c r="A263" t="s">
        <v>405</v>
      </c>
      <c r="B263" t="s">
        <v>491</v>
      </c>
      <c r="C263" t="s">
        <v>492</v>
      </c>
      <c r="D263">
        <v>2.4</v>
      </c>
      <c r="E263">
        <v>66.7</v>
      </c>
      <c r="F263">
        <v>2.2000000000000002</v>
      </c>
      <c r="G263" t="b">
        <v>0</v>
      </c>
      <c r="H263">
        <v>3</v>
      </c>
      <c r="I263">
        <v>0</v>
      </c>
      <c r="J263">
        <v>0</v>
      </c>
      <c r="K263">
        <v>35</v>
      </c>
      <c r="L263">
        <f t="shared" si="31"/>
        <v>26.776000163111291</v>
      </c>
      <c r="M263">
        <f t="shared" si="32"/>
        <v>9.6000163111287812E-2</v>
      </c>
      <c r="N263">
        <f t="shared" si="33"/>
        <v>26.680000000000003</v>
      </c>
      <c r="O263">
        <f t="shared" si="34"/>
        <v>0</v>
      </c>
      <c r="P263">
        <f t="shared" si="35"/>
        <v>0</v>
      </c>
    </row>
    <row r="264" spans="1:16" hidden="1" x14ac:dyDescent="0.3">
      <c r="A264" t="s">
        <v>405</v>
      </c>
      <c r="B264" t="s">
        <v>493</v>
      </c>
      <c r="C264" t="s">
        <v>494</v>
      </c>
      <c r="D264">
        <v>23.9</v>
      </c>
      <c r="E264">
        <v>47.6</v>
      </c>
      <c r="F264">
        <v>16.5</v>
      </c>
      <c r="G264" t="b">
        <v>0</v>
      </c>
      <c r="H264">
        <v>6</v>
      </c>
      <c r="I264">
        <v>0</v>
      </c>
      <c r="J264">
        <v>0</v>
      </c>
      <c r="K264">
        <v>110.5</v>
      </c>
      <c r="L264">
        <f t="shared" si="31"/>
        <v>19.996001624316577</v>
      </c>
      <c r="M264">
        <f t="shared" si="32"/>
        <v>0.95600162431657443</v>
      </c>
      <c r="N264">
        <f t="shared" si="33"/>
        <v>19.040000000000003</v>
      </c>
      <c r="O264">
        <f t="shared" si="34"/>
        <v>0</v>
      </c>
      <c r="P264">
        <f t="shared" si="35"/>
        <v>0</v>
      </c>
    </row>
    <row r="265" spans="1:16" hidden="1" x14ac:dyDescent="0.3">
      <c r="A265" t="s">
        <v>405</v>
      </c>
      <c r="B265" t="s">
        <v>495</v>
      </c>
      <c r="C265" t="s">
        <v>496</v>
      </c>
      <c r="D265">
        <v>36.4</v>
      </c>
      <c r="E265">
        <v>63.2</v>
      </c>
      <c r="F265">
        <v>13.3</v>
      </c>
      <c r="G265" t="b">
        <v>0</v>
      </c>
      <c r="H265">
        <v>6</v>
      </c>
      <c r="I265">
        <v>0</v>
      </c>
      <c r="J265">
        <v>0</v>
      </c>
      <c r="K265">
        <v>131.9</v>
      </c>
      <c r="L265">
        <f t="shared" si="31"/>
        <v>26.736002473854533</v>
      </c>
      <c r="M265">
        <f t="shared" si="32"/>
        <v>1.4560024738545319</v>
      </c>
      <c r="N265">
        <f t="shared" si="33"/>
        <v>25.28</v>
      </c>
      <c r="O265">
        <f t="shared" si="34"/>
        <v>0</v>
      </c>
      <c r="P265">
        <f t="shared" si="35"/>
        <v>0</v>
      </c>
    </row>
    <row r="266" spans="1:16" hidden="1" x14ac:dyDescent="0.3">
      <c r="A266" t="s">
        <v>405</v>
      </c>
      <c r="B266" t="s">
        <v>497</v>
      </c>
      <c r="C266" t="s">
        <v>498</v>
      </c>
      <c r="D266">
        <v>36.4</v>
      </c>
      <c r="E266">
        <v>62.5</v>
      </c>
      <c r="F266">
        <v>13.5</v>
      </c>
      <c r="G266" t="b">
        <v>0</v>
      </c>
      <c r="H266">
        <v>6</v>
      </c>
      <c r="I266">
        <v>0</v>
      </c>
      <c r="J266">
        <v>0</v>
      </c>
      <c r="K266">
        <v>132.30000000000001</v>
      </c>
      <c r="L266">
        <f t="shared" si="31"/>
        <v>26.456002473854532</v>
      </c>
      <c r="M266">
        <f t="shared" si="32"/>
        <v>1.4560024738545319</v>
      </c>
      <c r="N266">
        <f t="shared" si="33"/>
        <v>25</v>
      </c>
      <c r="O266">
        <f t="shared" si="34"/>
        <v>0</v>
      </c>
      <c r="P266">
        <f t="shared" si="35"/>
        <v>0</v>
      </c>
    </row>
    <row r="267" spans="1:16" hidden="1" x14ac:dyDescent="0.3">
      <c r="A267" t="s">
        <v>405</v>
      </c>
      <c r="B267" t="s">
        <v>499</v>
      </c>
      <c r="C267" t="s">
        <v>500</v>
      </c>
      <c r="D267">
        <v>16.7</v>
      </c>
      <c r="E267">
        <v>62.5</v>
      </c>
      <c r="F267">
        <v>11.8</v>
      </c>
      <c r="G267" t="b">
        <v>0</v>
      </c>
      <c r="H267">
        <v>6</v>
      </c>
      <c r="I267">
        <v>0</v>
      </c>
      <c r="J267">
        <v>0</v>
      </c>
      <c r="K267">
        <v>87.7</v>
      </c>
      <c r="L267">
        <f t="shared" si="31"/>
        <v>25.66800113498271</v>
      </c>
      <c r="M267">
        <f t="shared" si="32"/>
        <v>0.66800113498271096</v>
      </c>
      <c r="N267">
        <f t="shared" si="33"/>
        <v>25</v>
      </c>
      <c r="O267">
        <f t="shared" si="34"/>
        <v>0</v>
      </c>
      <c r="P267">
        <f t="shared" si="35"/>
        <v>0</v>
      </c>
    </row>
    <row r="268" spans="1:16" hidden="1" x14ac:dyDescent="0.3">
      <c r="A268" t="s">
        <v>405</v>
      </c>
      <c r="B268" t="s">
        <v>501</v>
      </c>
      <c r="C268" t="s">
        <v>407</v>
      </c>
      <c r="D268">
        <v>1.7</v>
      </c>
      <c r="E268">
        <v>90.9</v>
      </c>
      <c r="F268">
        <v>4.4000000000000004</v>
      </c>
      <c r="G268" t="b">
        <v>0</v>
      </c>
      <c r="H268">
        <v>3</v>
      </c>
      <c r="I268">
        <v>1</v>
      </c>
      <c r="J268">
        <v>0</v>
      </c>
      <c r="K268">
        <v>51.2</v>
      </c>
      <c r="L268">
        <f t="shared" si="31"/>
        <v>36.428000115537166</v>
      </c>
      <c r="M268">
        <f t="shared" si="32"/>
        <v>6.8000115537162203E-2</v>
      </c>
      <c r="N268">
        <f t="shared" si="33"/>
        <v>36.360000000000007</v>
      </c>
      <c r="O268">
        <f t="shared" si="34"/>
        <v>0</v>
      </c>
      <c r="P268">
        <f t="shared" si="35"/>
        <v>0</v>
      </c>
    </row>
    <row r="269" spans="1:16" hidden="1" x14ac:dyDescent="0.3">
      <c r="A269" t="s">
        <v>405</v>
      </c>
      <c r="B269" t="s">
        <v>502</v>
      </c>
      <c r="C269" t="s">
        <v>503</v>
      </c>
      <c r="D269">
        <v>17.8</v>
      </c>
      <c r="E269">
        <v>46.2</v>
      </c>
      <c r="F269">
        <v>9.6</v>
      </c>
      <c r="G269" t="b">
        <v>0</v>
      </c>
      <c r="H269">
        <v>3</v>
      </c>
      <c r="I269">
        <v>0</v>
      </c>
      <c r="J269">
        <v>0</v>
      </c>
      <c r="K269">
        <v>79.900000000000006</v>
      </c>
      <c r="L269">
        <f t="shared" si="31"/>
        <v>19.192001209742052</v>
      </c>
      <c r="M269">
        <f t="shared" si="32"/>
        <v>0.71200120974205128</v>
      </c>
      <c r="N269">
        <f t="shared" si="33"/>
        <v>18.48</v>
      </c>
      <c r="O269">
        <f t="shared" si="34"/>
        <v>0</v>
      </c>
      <c r="P269">
        <f t="shared" si="35"/>
        <v>0</v>
      </c>
    </row>
    <row r="270" spans="1:16" hidden="1" x14ac:dyDescent="0.3">
      <c r="A270" t="s">
        <v>405</v>
      </c>
      <c r="B270" t="s">
        <v>504</v>
      </c>
      <c r="C270" t="s">
        <v>505</v>
      </c>
      <c r="D270">
        <v>9</v>
      </c>
      <c r="E270">
        <v>58.8</v>
      </c>
      <c r="F270">
        <v>12.2</v>
      </c>
      <c r="G270" t="b">
        <v>0</v>
      </c>
      <c r="H270">
        <v>6</v>
      </c>
      <c r="I270">
        <v>0</v>
      </c>
      <c r="J270">
        <v>0</v>
      </c>
      <c r="K270">
        <v>71.900000000000006</v>
      </c>
      <c r="L270">
        <f t="shared" si="31"/>
        <v>23.880000611667327</v>
      </c>
      <c r="M270">
        <f t="shared" si="32"/>
        <v>0.36000061166732927</v>
      </c>
      <c r="N270">
        <f t="shared" si="33"/>
        <v>23.52</v>
      </c>
      <c r="O270">
        <f t="shared" si="34"/>
        <v>0</v>
      </c>
      <c r="P270">
        <f t="shared" si="35"/>
        <v>0</v>
      </c>
    </row>
    <row r="271" spans="1:16" hidden="1" x14ac:dyDescent="0.3">
      <c r="A271" t="s">
        <v>405</v>
      </c>
      <c r="B271" t="s">
        <v>506</v>
      </c>
      <c r="C271" t="s">
        <v>507</v>
      </c>
      <c r="D271">
        <v>46.5</v>
      </c>
      <c r="E271">
        <v>47.6</v>
      </c>
      <c r="F271">
        <v>14.1</v>
      </c>
      <c r="G271" t="b">
        <v>0</v>
      </c>
      <c r="H271">
        <v>6</v>
      </c>
      <c r="I271">
        <v>0</v>
      </c>
      <c r="J271">
        <v>0</v>
      </c>
      <c r="K271">
        <v>148.5</v>
      </c>
      <c r="L271">
        <f t="shared" si="31"/>
        <v>20.900003160281205</v>
      </c>
      <c r="M271">
        <f t="shared" si="32"/>
        <v>1.8600031602812013</v>
      </c>
      <c r="N271">
        <f t="shared" si="33"/>
        <v>19.040000000000003</v>
      </c>
      <c r="O271">
        <f t="shared" si="34"/>
        <v>0</v>
      </c>
      <c r="P271">
        <f t="shared" si="35"/>
        <v>0</v>
      </c>
    </row>
    <row r="272" spans="1:16" hidden="1" x14ac:dyDescent="0.3">
      <c r="A272" t="s">
        <v>405</v>
      </c>
      <c r="B272" t="s">
        <v>508</v>
      </c>
      <c r="C272" t="s">
        <v>509</v>
      </c>
      <c r="D272">
        <v>10.3</v>
      </c>
      <c r="E272">
        <v>55.6</v>
      </c>
      <c r="F272">
        <v>12.3</v>
      </c>
      <c r="G272" t="b">
        <v>0</v>
      </c>
      <c r="H272">
        <v>6</v>
      </c>
      <c r="I272">
        <v>0</v>
      </c>
      <c r="J272">
        <v>0</v>
      </c>
      <c r="K272">
        <v>73.599999999999994</v>
      </c>
      <c r="L272">
        <f t="shared" si="31"/>
        <v>22.652000700019279</v>
      </c>
      <c r="M272">
        <f t="shared" si="32"/>
        <v>0.41200070001927691</v>
      </c>
      <c r="N272">
        <f t="shared" si="33"/>
        <v>22.240000000000002</v>
      </c>
      <c r="O272">
        <f t="shared" si="34"/>
        <v>0</v>
      </c>
      <c r="P272">
        <f t="shared" si="35"/>
        <v>0</v>
      </c>
    </row>
    <row r="273" spans="1:16" hidden="1" x14ac:dyDescent="0.3">
      <c r="A273" t="s">
        <v>405</v>
      </c>
      <c r="B273" t="s">
        <v>510</v>
      </c>
      <c r="C273" t="s">
        <v>511</v>
      </c>
      <c r="D273">
        <v>33.9</v>
      </c>
      <c r="E273">
        <v>46.2</v>
      </c>
      <c r="F273">
        <v>12.1</v>
      </c>
      <c r="G273" t="b">
        <v>0</v>
      </c>
      <c r="H273">
        <v>6</v>
      </c>
      <c r="I273">
        <v>0</v>
      </c>
      <c r="J273">
        <v>0</v>
      </c>
      <c r="K273">
        <v>116.4</v>
      </c>
      <c r="L273">
        <f t="shared" si="31"/>
        <v>19.836002303946941</v>
      </c>
      <c r="M273">
        <f t="shared" si="32"/>
        <v>1.3560023039469402</v>
      </c>
      <c r="N273">
        <f t="shared" si="33"/>
        <v>18.48</v>
      </c>
      <c r="O273">
        <f t="shared" si="34"/>
        <v>0</v>
      </c>
      <c r="P273">
        <f t="shared" si="35"/>
        <v>0</v>
      </c>
    </row>
    <row r="274" spans="1:16" hidden="1" x14ac:dyDescent="0.3">
      <c r="A274" t="s">
        <v>405</v>
      </c>
      <c r="B274" t="s">
        <v>512</v>
      </c>
      <c r="C274" t="s">
        <v>513</v>
      </c>
      <c r="D274">
        <v>30.2</v>
      </c>
      <c r="E274">
        <v>66.7</v>
      </c>
      <c r="F274">
        <v>9.3000000000000007</v>
      </c>
      <c r="G274" t="b">
        <v>0</v>
      </c>
      <c r="H274">
        <v>6</v>
      </c>
      <c r="I274">
        <v>0</v>
      </c>
      <c r="J274">
        <v>0</v>
      </c>
      <c r="K274">
        <v>108.9</v>
      </c>
      <c r="L274">
        <f t="shared" si="31"/>
        <v>27.888002052483706</v>
      </c>
      <c r="M274">
        <f t="shared" si="32"/>
        <v>1.208002052483705</v>
      </c>
      <c r="N274">
        <f t="shared" si="33"/>
        <v>26.680000000000003</v>
      </c>
      <c r="O274">
        <f t="shared" si="34"/>
        <v>0</v>
      </c>
      <c r="P274">
        <f t="shared" si="35"/>
        <v>0</v>
      </c>
    </row>
    <row r="275" spans="1:16" hidden="1" x14ac:dyDescent="0.3">
      <c r="A275" t="s">
        <v>405</v>
      </c>
      <c r="B275" t="s">
        <v>514</v>
      </c>
      <c r="C275" t="s">
        <v>515</v>
      </c>
      <c r="D275">
        <v>44.4</v>
      </c>
      <c r="E275">
        <v>50</v>
      </c>
      <c r="F275">
        <v>11.4</v>
      </c>
      <c r="G275" t="b">
        <v>0</v>
      </c>
      <c r="H275">
        <v>6</v>
      </c>
      <c r="I275">
        <v>0</v>
      </c>
      <c r="J275">
        <v>0</v>
      </c>
      <c r="K275">
        <v>137.1</v>
      </c>
      <c r="L275">
        <f t="shared" si="31"/>
        <v>21.776003017558825</v>
      </c>
      <c r="M275">
        <f t="shared" si="32"/>
        <v>1.7760030175588244</v>
      </c>
      <c r="N275">
        <f t="shared" si="33"/>
        <v>20</v>
      </c>
      <c r="O275">
        <f t="shared" si="34"/>
        <v>0</v>
      </c>
      <c r="P275">
        <f t="shared" si="35"/>
        <v>0</v>
      </c>
    </row>
    <row r="276" spans="1:16" hidden="1" x14ac:dyDescent="0.3">
      <c r="A276" t="s">
        <v>405</v>
      </c>
      <c r="B276" t="s">
        <v>516</v>
      </c>
      <c r="C276" t="s">
        <v>517</v>
      </c>
      <c r="D276">
        <v>15.5</v>
      </c>
      <c r="E276">
        <v>66.7</v>
      </c>
      <c r="F276">
        <v>14.3</v>
      </c>
      <c r="G276" t="b">
        <v>0</v>
      </c>
      <c r="H276">
        <v>6</v>
      </c>
      <c r="I276">
        <v>0</v>
      </c>
      <c r="J276">
        <v>0</v>
      </c>
      <c r="K276">
        <v>94.5</v>
      </c>
      <c r="L276">
        <f t="shared" si="31"/>
        <v>27.300001053427071</v>
      </c>
      <c r="M276">
        <f t="shared" si="32"/>
        <v>0.62000105342706713</v>
      </c>
      <c r="N276">
        <f t="shared" si="33"/>
        <v>26.680000000000003</v>
      </c>
      <c r="O276">
        <f t="shared" si="34"/>
        <v>0</v>
      </c>
      <c r="P276">
        <f t="shared" si="35"/>
        <v>0</v>
      </c>
    </row>
    <row r="277" spans="1:16" hidden="1" x14ac:dyDescent="0.3">
      <c r="A277" t="s">
        <v>405</v>
      </c>
      <c r="B277" t="s">
        <v>518</v>
      </c>
      <c r="C277" t="s">
        <v>407</v>
      </c>
      <c r="D277">
        <v>3.4</v>
      </c>
      <c r="E277">
        <v>90.9</v>
      </c>
      <c r="F277">
        <v>9.4</v>
      </c>
      <c r="G277" t="b">
        <v>0</v>
      </c>
      <c r="H277">
        <v>3</v>
      </c>
      <c r="I277">
        <v>1</v>
      </c>
      <c r="J277">
        <v>0</v>
      </c>
      <c r="K277">
        <v>69.3</v>
      </c>
      <c r="L277">
        <f t="shared" si="31"/>
        <v>36.496000231074333</v>
      </c>
      <c r="M277">
        <f t="shared" si="32"/>
        <v>0.13600023107432441</v>
      </c>
      <c r="N277">
        <f t="shared" si="33"/>
        <v>36.360000000000007</v>
      </c>
      <c r="O277">
        <f t="shared" si="34"/>
        <v>0</v>
      </c>
      <c r="P277">
        <f t="shared" si="35"/>
        <v>0</v>
      </c>
    </row>
    <row r="278" spans="1:16" hidden="1" x14ac:dyDescent="0.3">
      <c r="A278" t="s">
        <v>405</v>
      </c>
      <c r="B278" t="s">
        <v>519</v>
      </c>
      <c r="C278" t="s">
        <v>520</v>
      </c>
      <c r="D278">
        <v>14.3</v>
      </c>
      <c r="E278">
        <v>70.599999999999994</v>
      </c>
      <c r="F278">
        <v>14</v>
      </c>
      <c r="G278" t="b">
        <v>0</v>
      </c>
      <c r="H278">
        <v>6</v>
      </c>
      <c r="I278">
        <v>0</v>
      </c>
      <c r="J278">
        <v>0</v>
      </c>
      <c r="K278">
        <v>92.9</v>
      </c>
      <c r="L278">
        <f t="shared" si="31"/>
        <v>28.81200097187142</v>
      </c>
      <c r="M278">
        <f t="shared" si="32"/>
        <v>0.57200097187142329</v>
      </c>
      <c r="N278">
        <f t="shared" si="33"/>
        <v>28.24</v>
      </c>
      <c r="O278">
        <f t="shared" si="34"/>
        <v>0</v>
      </c>
      <c r="P278">
        <f t="shared" si="35"/>
        <v>0</v>
      </c>
    </row>
    <row r="279" spans="1:16" hidden="1" x14ac:dyDescent="0.3">
      <c r="A279" t="s">
        <v>405</v>
      </c>
      <c r="B279" t="s">
        <v>521</v>
      </c>
      <c r="C279" t="s">
        <v>522</v>
      </c>
      <c r="D279">
        <v>8</v>
      </c>
      <c r="E279">
        <v>62.5</v>
      </c>
      <c r="F279">
        <v>11.6</v>
      </c>
      <c r="G279" t="b">
        <v>0</v>
      </c>
      <c r="H279">
        <v>3</v>
      </c>
      <c r="I279">
        <v>0</v>
      </c>
      <c r="J279">
        <v>0</v>
      </c>
      <c r="K279">
        <v>72.8</v>
      </c>
      <c r="L279">
        <f t="shared" si="31"/>
        <v>25.320000543704293</v>
      </c>
      <c r="M279">
        <f t="shared" si="32"/>
        <v>0.32000054370429271</v>
      </c>
      <c r="N279">
        <f t="shared" si="33"/>
        <v>25</v>
      </c>
      <c r="O279">
        <f t="shared" si="34"/>
        <v>0</v>
      </c>
      <c r="P279">
        <f t="shared" si="35"/>
        <v>0</v>
      </c>
    </row>
    <row r="280" spans="1:16" hidden="1" x14ac:dyDescent="0.3">
      <c r="A280" t="s">
        <v>405</v>
      </c>
      <c r="B280" t="s">
        <v>523</v>
      </c>
      <c r="C280" t="s">
        <v>524</v>
      </c>
      <c r="D280">
        <v>10.8</v>
      </c>
      <c r="E280">
        <v>66.7</v>
      </c>
      <c r="F280">
        <v>11.1</v>
      </c>
      <c r="G280" t="b">
        <v>0</v>
      </c>
      <c r="H280">
        <v>6</v>
      </c>
      <c r="I280">
        <v>0</v>
      </c>
      <c r="J280">
        <v>0</v>
      </c>
      <c r="K280">
        <v>75.5</v>
      </c>
      <c r="L280">
        <f t="shared" si="31"/>
        <v>27.112000734000798</v>
      </c>
      <c r="M280">
        <f t="shared" si="32"/>
        <v>0.43200073400079519</v>
      </c>
      <c r="N280">
        <f t="shared" si="33"/>
        <v>26.680000000000003</v>
      </c>
      <c r="O280">
        <f t="shared" si="34"/>
        <v>0</v>
      </c>
      <c r="P280">
        <f t="shared" si="35"/>
        <v>0</v>
      </c>
    </row>
    <row r="281" spans="1:16" hidden="1" x14ac:dyDescent="0.3">
      <c r="A281" t="s">
        <v>405</v>
      </c>
      <c r="B281" t="s">
        <v>525</v>
      </c>
      <c r="C281" t="s">
        <v>407</v>
      </c>
      <c r="D281">
        <v>26.5</v>
      </c>
      <c r="E281">
        <v>90.9</v>
      </c>
      <c r="F281">
        <v>6.7</v>
      </c>
      <c r="G281" t="b">
        <v>0</v>
      </c>
      <c r="H281">
        <v>3</v>
      </c>
      <c r="I281">
        <v>1</v>
      </c>
      <c r="J281">
        <v>0</v>
      </c>
      <c r="K281">
        <v>107.4</v>
      </c>
      <c r="L281">
        <f t="shared" si="31"/>
        <v>37.420001801020476</v>
      </c>
      <c r="M281">
        <f t="shared" si="32"/>
        <v>1.0600018010204695</v>
      </c>
      <c r="N281">
        <f t="shared" si="33"/>
        <v>36.360000000000007</v>
      </c>
      <c r="O281">
        <f t="shared" si="34"/>
        <v>0</v>
      </c>
      <c r="P281">
        <f t="shared" si="35"/>
        <v>0</v>
      </c>
    </row>
    <row r="282" spans="1:16" hidden="1" x14ac:dyDescent="0.3">
      <c r="A282" t="s">
        <v>405</v>
      </c>
      <c r="B282" t="s">
        <v>526</v>
      </c>
      <c r="C282" t="s">
        <v>527</v>
      </c>
      <c r="D282">
        <v>8.8000000000000007</v>
      </c>
      <c r="E282">
        <v>55.6</v>
      </c>
      <c r="F282">
        <v>2</v>
      </c>
      <c r="G282" t="b">
        <v>0</v>
      </c>
      <c r="H282">
        <v>6</v>
      </c>
      <c r="I282">
        <v>0</v>
      </c>
      <c r="J282">
        <v>0</v>
      </c>
      <c r="K282">
        <v>39.9</v>
      </c>
      <c r="L282">
        <f t="shared" si="31"/>
        <v>22.592000598074723</v>
      </c>
      <c r="M282">
        <f t="shared" si="32"/>
        <v>0.352000598074722</v>
      </c>
      <c r="N282">
        <f t="shared" si="33"/>
        <v>22.240000000000002</v>
      </c>
      <c r="O282">
        <f t="shared" si="34"/>
        <v>0</v>
      </c>
      <c r="P282">
        <f t="shared" si="35"/>
        <v>0</v>
      </c>
    </row>
    <row r="283" spans="1:16" hidden="1" x14ac:dyDescent="0.3">
      <c r="A283" t="s">
        <v>405</v>
      </c>
      <c r="B283" t="s">
        <v>528</v>
      </c>
      <c r="C283" t="s">
        <v>529</v>
      </c>
      <c r="D283">
        <v>9.1999999999999993</v>
      </c>
      <c r="E283">
        <v>52.2</v>
      </c>
      <c r="F283">
        <v>8.6999999999999993</v>
      </c>
      <c r="G283" t="b">
        <v>0</v>
      </c>
      <c r="H283">
        <v>6</v>
      </c>
      <c r="I283">
        <v>0</v>
      </c>
      <c r="J283">
        <v>0</v>
      </c>
      <c r="K283">
        <v>59.4</v>
      </c>
      <c r="L283">
        <f t="shared" si="31"/>
        <v>21.248000625259941</v>
      </c>
      <c r="M283">
        <f t="shared" si="32"/>
        <v>0.3680006252599366</v>
      </c>
      <c r="N283">
        <f t="shared" si="33"/>
        <v>20.880000000000003</v>
      </c>
      <c r="O283">
        <f t="shared" si="34"/>
        <v>0</v>
      </c>
      <c r="P283">
        <f t="shared" si="35"/>
        <v>0</v>
      </c>
    </row>
    <row r="284" spans="1:16" hidden="1" x14ac:dyDescent="0.3">
      <c r="A284" t="s">
        <v>405</v>
      </c>
      <c r="B284" t="s">
        <v>530</v>
      </c>
      <c r="C284" t="s">
        <v>407</v>
      </c>
      <c r="D284">
        <v>2.2000000000000002</v>
      </c>
      <c r="E284">
        <v>90.9</v>
      </c>
      <c r="F284">
        <v>3.5</v>
      </c>
      <c r="G284" t="b">
        <v>0</v>
      </c>
      <c r="H284">
        <v>3</v>
      </c>
      <c r="I284">
        <v>1</v>
      </c>
      <c r="J284">
        <v>0</v>
      </c>
      <c r="K284">
        <v>49.2</v>
      </c>
      <c r="L284">
        <f t="shared" si="31"/>
        <v>36.448000149518684</v>
      </c>
      <c r="M284">
        <f t="shared" si="32"/>
        <v>8.8000149518680501E-2</v>
      </c>
      <c r="N284">
        <f t="shared" si="33"/>
        <v>36.360000000000007</v>
      </c>
      <c r="O284">
        <f t="shared" si="34"/>
        <v>0</v>
      </c>
      <c r="P284">
        <f t="shared" si="35"/>
        <v>0</v>
      </c>
    </row>
    <row r="285" spans="1:16" hidden="1" x14ac:dyDescent="0.3">
      <c r="A285" t="s">
        <v>405</v>
      </c>
      <c r="B285" t="s">
        <v>531</v>
      </c>
      <c r="C285" t="s">
        <v>532</v>
      </c>
      <c r="D285">
        <v>4.0999999999999996</v>
      </c>
      <c r="E285">
        <v>83.3</v>
      </c>
      <c r="F285">
        <v>8.6999999999999993</v>
      </c>
      <c r="G285" t="b">
        <v>0</v>
      </c>
      <c r="H285">
        <v>3</v>
      </c>
      <c r="I285">
        <v>0</v>
      </c>
      <c r="J285">
        <v>0</v>
      </c>
      <c r="K285">
        <v>64.5</v>
      </c>
      <c r="L285">
        <f t="shared" si="31"/>
        <v>33.484000278648452</v>
      </c>
      <c r="M285">
        <f t="shared" si="32"/>
        <v>0.16400027864844999</v>
      </c>
      <c r="N285">
        <f t="shared" si="33"/>
        <v>33.32</v>
      </c>
      <c r="O285">
        <f t="shared" si="34"/>
        <v>0</v>
      </c>
      <c r="P285">
        <f t="shared" si="35"/>
        <v>0</v>
      </c>
    </row>
    <row r="286" spans="1:16" hidden="1" x14ac:dyDescent="0.3">
      <c r="A286" t="s">
        <v>405</v>
      </c>
      <c r="B286" t="s">
        <v>533</v>
      </c>
      <c r="C286" t="s">
        <v>407</v>
      </c>
      <c r="D286">
        <v>1.6</v>
      </c>
      <c r="E286">
        <v>90.9</v>
      </c>
      <c r="F286">
        <v>2.2000000000000002</v>
      </c>
      <c r="G286" t="b">
        <v>0</v>
      </c>
      <c r="H286">
        <v>3</v>
      </c>
      <c r="I286">
        <v>1</v>
      </c>
      <c r="J286">
        <v>0</v>
      </c>
      <c r="K286">
        <v>44.3</v>
      </c>
      <c r="L286">
        <f t="shared" si="31"/>
        <v>36.424000108740863</v>
      </c>
      <c r="M286">
        <f t="shared" si="32"/>
        <v>6.4000108740858541E-2</v>
      </c>
      <c r="N286">
        <f t="shared" si="33"/>
        <v>36.360000000000007</v>
      </c>
      <c r="O286">
        <f t="shared" si="34"/>
        <v>0</v>
      </c>
      <c r="P286">
        <f t="shared" si="35"/>
        <v>0</v>
      </c>
    </row>
    <row r="287" spans="1:16" hidden="1" x14ac:dyDescent="0.3">
      <c r="A287" t="s">
        <v>405</v>
      </c>
      <c r="B287" t="s">
        <v>534</v>
      </c>
      <c r="C287" t="s">
        <v>535</v>
      </c>
      <c r="D287">
        <v>17.600000000000001</v>
      </c>
      <c r="E287">
        <v>30.8</v>
      </c>
      <c r="F287">
        <v>12.8</v>
      </c>
      <c r="G287" t="b">
        <v>0</v>
      </c>
      <c r="H287">
        <v>6</v>
      </c>
      <c r="I287">
        <v>0</v>
      </c>
      <c r="J287">
        <v>0</v>
      </c>
      <c r="K287">
        <v>80</v>
      </c>
      <c r="L287">
        <f t="shared" si="31"/>
        <v>13.024001196149444</v>
      </c>
      <c r="M287">
        <f t="shared" si="32"/>
        <v>0.70400119614944401</v>
      </c>
      <c r="N287">
        <f t="shared" si="33"/>
        <v>12.32</v>
      </c>
      <c r="O287">
        <f t="shared" si="34"/>
        <v>0</v>
      </c>
      <c r="P287">
        <f t="shared" si="35"/>
        <v>0</v>
      </c>
    </row>
    <row r="288" spans="1:16" hidden="1" x14ac:dyDescent="0.3">
      <c r="A288" t="s">
        <v>405</v>
      </c>
      <c r="B288" t="s">
        <v>536</v>
      </c>
      <c r="C288" t="s">
        <v>537</v>
      </c>
      <c r="D288">
        <v>3.6</v>
      </c>
      <c r="E288">
        <v>83.3</v>
      </c>
      <c r="F288">
        <v>9.6</v>
      </c>
      <c r="G288" t="b">
        <v>0</v>
      </c>
      <c r="H288">
        <v>3</v>
      </c>
      <c r="I288">
        <v>0</v>
      </c>
      <c r="J288">
        <v>0</v>
      </c>
      <c r="K288">
        <v>66.3</v>
      </c>
      <c r="L288">
        <f t="shared" si="31"/>
        <v>33.464000244666934</v>
      </c>
      <c r="M288">
        <f t="shared" si="32"/>
        <v>0.14400024466693173</v>
      </c>
      <c r="N288">
        <f t="shared" si="33"/>
        <v>33.32</v>
      </c>
      <c r="O288">
        <f t="shared" si="34"/>
        <v>0</v>
      </c>
      <c r="P288">
        <f t="shared" si="35"/>
        <v>0</v>
      </c>
    </row>
    <row r="289" spans="1:16" hidden="1" x14ac:dyDescent="0.3">
      <c r="A289" t="s">
        <v>405</v>
      </c>
      <c r="B289" t="s">
        <v>538</v>
      </c>
      <c r="C289" t="s">
        <v>539</v>
      </c>
      <c r="D289">
        <v>9.8000000000000007</v>
      </c>
      <c r="E289">
        <v>76.900000000000006</v>
      </c>
      <c r="F289">
        <v>9.1999999999999993</v>
      </c>
      <c r="G289" t="b">
        <v>0</v>
      </c>
      <c r="H289">
        <v>6</v>
      </c>
      <c r="I289">
        <v>0</v>
      </c>
      <c r="J289">
        <v>0</v>
      </c>
      <c r="K289">
        <v>72</v>
      </c>
      <c r="L289">
        <f t="shared" si="31"/>
        <v>31.152000666037765</v>
      </c>
      <c r="M289">
        <f t="shared" si="32"/>
        <v>0.39200066603775857</v>
      </c>
      <c r="N289">
        <f t="shared" si="33"/>
        <v>30.760000000000005</v>
      </c>
      <c r="O289">
        <f t="shared" si="34"/>
        <v>0</v>
      </c>
      <c r="P289">
        <f t="shared" si="35"/>
        <v>0</v>
      </c>
    </row>
    <row r="290" spans="1:16" hidden="1" x14ac:dyDescent="0.3">
      <c r="A290" t="s">
        <v>405</v>
      </c>
      <c r="B290" t="s">
        <v>540</v>
      </c>
      <c r="C290" t="s">
        <v>407</v>
      </c>
      <c r="D290">
        <v>2.2000000000000002</v>
      </c>
      <c r="E290">
        <v>90.9</v>
      </c>
      <c r="F290">
        <v>7.7</v>
      </c>
      <c r="G290" t="b">
        <v>0</v>
      </c>
      <c r="H290">
        <v>3</v>
      </c>
      <c r="I290">
        <v>1</v>
      </c>
      <c r="J290">
        <v>0</v>
      </c>
      <c r="K290">
        <v>61.8</v>
      </c>
      <c r="L290">
        <f t="shared" si="31"/>
        <v>36.448000149518684</v>
      </c>
      <c r="M290">
        <f t="shared" si="32"/>
        <v>8.8000149518680501E-2</v>
      </c>
      <c r="N290">
        <f t="shared" si="33"/>
        <v>36.360000000000007</v>
      </c>
      <c r="O290">
        <f t="shared" si="34"/>
        <v>0</v>
      </c>
      <c r="P290">
        <f t="shared" si="35"/>
        <v>0</v>
      </c>
    </row>
    <row r="291" spans="1:16" hidden="1" x14ac:dyDescent="0.3">
      <c r="A291" t="s">
        <v>405</v>
      </c>
      <c r="B291" t="s">
        <v>541</v>
      </c>
      <c r="C291" t="s">
        <v>542</v>
      </c>
      <c r="D291">
        <v>20.8</v>
      </c>
      <c r="E291">
        <v>29.3</v>
      </c>
      <c r="F291">
        <v>12</v>
      </c>
      <c r="G291" t="b">
        <v>0</v>
      </c>
      <c r="H291">
        <v>6</v>
      </c>
      <c r="I291">
        <v>0</v>
      </c>
      <c r="J291">
        <v>0</v>
      </c>
      <c r="K291">
        <v>83.2</v>
      </c>
      <c r="L291">
        <f t="shared" si="31"/>
        <v>12.552001413631162</v>
      </c>
      <c r="M291">
        <f t="shared" si="32"/>
        <v>0.83200141363116109</v>
      </c>
      <c r="N291">
        <f t="shared" si="33"/>
        <v>11.72</v>
      </c>
      <c r="O291">
        <f t="shared" si="34"/>
        <v>0</v>
      </c>
      <c r="P291">
        <f t="shared" si="35"/>
        <v>0</v>
      </c>
    </row>
    <row r="292" spans="1:16" hidden="1" x14ac:dyDescent="0.3">
      <c r="A292" t="s">
        <v>405</v>
      </c>
      <c r="B292" t="s">
        <v>543</v>
      </c>
      <c r="C292" t="s">
        <v>544</v>
      </c>
      <c r="D292">
        <v>70</v>
      </c>
      <c r="E292">
        <v>63.2</v>
      </c>
      <c r="F292">
        <v>7.2</v>
      </c>
      <c r="G292" t="b">
        <v>0</v>
      </c>
      <c r="H292">
        <v>6</v>
      </c>
      <c r="I292">
        <v>0</v>
      </c>
      <c r="J292">
        <v>0</v>
      </c>
      <c r="K292">
        <v>180.7</v>
      </c>
      <c r="L292">
        <f t="shared" si="31"/>
        <v>28.080004757412564</v>
      </c>
      <c r="M292">
        <f t="shared" si="32"/>
        <v>2.8000047574125611</v>
      </c>
      <c r="N292">
        <f t="shared" si="33"/>
        <v>25.28</v>
      </c>
      <c r="O292">
        <f t="shared" si="34"/>
        <v>0</v>
      </c>
      <c r="P292">
        <f t="shared" si="35"/>
        <v>0</v>
      </c>
    </row>
    <row r="293" spans="1:16" hidden="1" x14ac:dyDescent="0.3">
      <c r="A293" t="s">
        <v>405</v>
      </c>
      <c r="B293" t="s">
        <v>545</v>
      </c>
      <c r="C293" t="s">
        <v>546</v>
      </c>
      <c r="D293">
        <v>36</v>
      </c>
      <c r="E293">
        <v>46.2</v>
      </c>
      <c r="F293">
        <v>2</v>
      </c>
      <c r="G293" t="b">
        <v>0</v>
      </c>
      <c r="H293">
        <v>6</v>
      </c>
      <c r="I293">
        <v>0</v>
      </c>
      <c r="J293">
        <v>0</v>
      </c>
      <c r="K293">
        <v>90.4</v>
      </c>
      <c r="L293">
        <f t="shared" si="31"/>
        <v>19.920002446669319</v>
      </c>
      <c r="M293">
        <f t="shared" si="32"/>
        <v>1.4400024466693171</v>
      </c>
      <c r="N293">
        <f t="shared" si="33"/>
        <v>18.48</v>
      </c>
      <c r="O293">
        <f t="shared" si="34"/>
        <v>0</v>
      </c>
      <c r="P293">
        <f t="shared" si="35"/>
        <v>0</v>
      </c>
    </row>
    <row r="294" spans="1:16" hidden="1" x14ac:dyDescent="0.3">
      <c r="A294" t="s">
        <v>405</v>
      </c>
      <c r="B294" t="s">
        <v>547</v>
      </c>
      <c r="C294" t="s">
        <v>548</v>
      </c>
      <c r="D294">
        <v>44</v>
      </c>
      <c r="E294">
        <v>55.6</v>
      </c>
      <c r="F294">
        <v>10</v>
      </c>
      <c r="G294" t="b">
        <v>0</v>
      </c>
      <c r="H294">
        <v>6</v>
      </c>
      <c r="I294">
        <v>0</v>
      </c>
      <c r="J294">
        <v>0</v>
      </c>
      <c r="K294">
        <v>134.1</v>
      </c>
      <c r="L294">
        <f t="shared" si="31"/>
        <v>24.000002990373613</v>
      </c>
      <c r="M294">
        <f t="shared" si="32"/>
        <v>1.7600029903736099</v>
      </c>
      <c r="N294">
        <f t="shared" si="33"/>
        <v>22.240000000000002</v>
      </c>
      <c r="O294">
        <f t="shared" si="34"/>
        <v>0</v>
      </c>
      <c r="P294">
        <f t="shared" si="35"/>
        <v>0</v>
      </c>
    </row>
    <row r="295" spans="1:16" hidden="1" x14ac:dyDescent="0.3">
      <c r="A295" t="s">
        <v>405</v>
      </c>
      <c r="B295" t="s">
        <v>549</v>
      </c>
      <c r="C295" t="s">
        <v>550</v>
      </c>
      <c r="D295">
        <v>33.299999999999997</v>
      </c>
      <c r="E295">
        <v>50</v>
      </c>
      <c r="F295">
        <v>11.6</v>
      </c>
      <c r="G295" t="b">
        <v>0</v>
      </c>
      <c r="H295">
        <v>6</v>
      </c>
      <c r="I295">
        <v>0</v>
      </c>
      <c r="J295">
        <v>0</v>
      </c>
      <c r="K295">
        <v>115.4</v>
      </c>
      <c r="L295">
        <f t="shared" si="31"/>
        <v>21.33200226316912</v>
      </c>
      <c r="M295">
        <f t="shared" si="32"/>
        <v>1.3320022631691182</v>
      </c>
      <c r="N295">
        <f t="shared" si="33"/>
        <v>20</v>
      </c>
      <c r="O295">
        <f t="shared" si="34"/>
        <v>0</v>
      </c>
      <c r="P295">
        <f t="shared" si="35"/>
        <v>0</v>
      </c>
    </row>
    <row r="296" spans="1:16" hidden="1" x14ac:dyDescent="0.3">
      <c r="A296" t="s">
        <v>405</v>
      </c>
      <c r="B296" t="s">
        <v>551</v>
      </c>
      <c r="C296" t="s">
        <v>552</v>
      </c>
      <c r="D296">
        <v>21.6</v>
      </c>
      <c r="E296">
        <v>58.8</v>
      </c>
      <c r="F296">
        <v>14.3</v>
      </c>
      <c r="G296" t="b">
        <v>0</v>
      </c>
      <c r="H296">
        <v>6</v>
      </c>
      <c r="I296">
        <v>0</v>
      </c>
      <c r="J296">
        <v>0</v>
      </c>
      <c r="K296">
        <v>103.5</v>
      </c>
      <c r="L296">
        <f t="shared" si="31"/>
        <v>24.384001468001589</v>
      </c>
      <c r="M296">
        <f t="shared" si="32"/>
        <v>0.86400146800159039</v>
      </c>
      <c r="N296">
        <f t="shared" si="33"/>
        <v>23.52</v>
      </c>
      <c r="O296">
        <f t="shared" si="34"/>
        <v>0</v>
      </c>
      <c r="P296">
        <f t="shared" si="35"/>
        <v>0</v>
      </c>
    </row>
    <row r="297" spans="1:16" hidden="1" x14ac:dyDescent="0.3">
      <c r="A297" t="s">
        <v>405</v>
      </c>
      <c r="B297" t="s">
        <v>553</v>
      </c>
      <c r="C297" t="s">
        <v>407</v>
      </c>
      <c r="D297">
        <v>13.3</v>
      </c>
      <c r="E297">
        <v>90.9</v>
      </c>
      <c r="F297">
        <v>0</v>
      </c>
      <c r="G297" t="b">
        <v>0</v>
      </c>
      <c r="H297">
        <v>3</v>
      </c>
      <c r="I297">
        <v>1</v>
      </c>
      <c r="J297">
        <v>0</v>
      </c>
      <c r="K297">
        <v>61</v>
      </c>
      <c r="L297">
        <f t="shared" si="31"/>
        <v>36.892000903908396</v>
      </c>
      <c r="M297">
        <f t="shared" si="32"/>
        <v>0.53200090390838661</v>
      </c>
      <c r="N297">
        <f t="shared" si="33"/>
        <v>36.360000000000007</v>
      </c>
      <c r="O297">
        <f t="shared" si="34"/>
        <v>0</v>
      </c>
      <c r="P297">
        <f t="shared" si="35"/>
        <v>0</v>
      </c>
    </row>
    <row r="298" spans="1:16" hidden="1" x14ac:dyDescent="0.3">
      <c r="A298" t="s">
        <v>405</v>
      </c>
      <c r="B298" t="s">
        <v>554</v>
      </c>
      <c r="C298" t="s">
        <v>555</v>
      </c>
      <c r="D298">
        <v>5.5</v>
      </c>
      <c r="E298">
        <v>90.9</v>
      </c>
      <c r="F298">
        <v>0</v>
      </c>
      <c r="G298" t="b">
        <v>0</v>
      </c>
      <c r="H298">
        <v>6</v>
      </c>
      <c r="I298">
        <v>0</v>
      </c>
      <c r="J298">
        <v>0</v>
      </c>
      <c r="K298">
        <v>41.5</v>
      </c>
      <c r="L298">
        <f t="shared" si="31"/>
        <v>36.580000373796707</v>
      </c>
      <c r="M298">
        <f t="shared" si="32"/>
        <v>0.22000037379670123</v>
      </c>
      <c r="N298">
        <f t="shared" si="33"/>
        <v>36.360000000000007</v>
      </c>
      <c r="O298">
        <f t="shared" si="34"/>
        <v>0</v>
      </c>
      <c r="P298">
        <f t="shared" si="35"/>
        <v>0</v>
      </c>
    </row>
    <row r="299" spans="1:16" hidden="1" x14ac:dyDescent="0.3">
      <c r="A299" t="s">
        <v>405</v>
      </c>
      <c r="B299" t="s">
        <v>556</v>
      </c>
      <c r="C299" t="s">
        <v>407</v>
      </c>
      <c r="D299">
        <v>10.5</v>
      </c>
      <c r="E299">
        <v>90.9</v>
      </c>
      <c r="F299">
        <v>0</v>
      </c>
      <c r="G299" t="b">
        <v>0</v>
      </c>
      <c r="H299">
        <v>3</v>
      </c>
      <c r="I299">
        <v>1</v>
      </c>
      <c r="J299">
        <v>0</v>
      </c>
      <c r="K299">
        <v>55.4</v>
      </c>
      <c r="L299">
        <f t="shared" si="31"/>
        <v>36.780000713611891</v>
      </c>
      <c r="M299">
        <f t="shared" si="32"/>
        <v>0.42000071361188418</v>
      </c>
      <c r="N299">
        <f t="shared" si="33"/>
        <v>36.360000000000007</v>
      </c>
      <c r="O299">
        <f t="shared" si="34"/>
        <v>0</v>
      </c>
      <c r="P299">
        <f t="shared" si="35"/>
        <v>0</v>
      </c>
    </row>
    <row r="300" spans="1:16" hidden="1" x14ac:dyDescent="0.3">
      <c r="A300" t="s">
        <v>405</v>
      </c>
      <c r="B300" t="s">
        <v>557</v>
      </c>
      <c r="C300" t="s">
        <v>407</v>
      </c>
      <c r="D300">
        <v>26.7</v>
      </c>
      <c r="E300">
        <v>90.9</v>
      </c>
      <c r="F300">
        <v>0</v>
      </c>
      <c r="G300" t="b">
        <v>0</v>
      </c>
      <c r="H300">
        <v>3</v>
      </c>
      <c r="I300">
        <v>1</v>
      </c>
      <c r="J300">
        <v>0</v>
      </c>
      <c r="K300">
        <v>87.8</v>
      </c>
      <c r="L300">
        <f t="shared" si="31"/>
        <v>37.428001814613083</v>
      </c>
      <c r="M300">
        <f t="shared" si="32"/>
        <v>1.068001814613077</v>
      </c>
      <c r="N300">
        <f t="shared" si="33"/>
        <v>36.360000000000007</v>
      </c>
      <c r="O300">
        <f t="shared" si="34"/>
        <v>0</v>
      </c>
      <c r="P300">
        <f t="shared" si="35"/>
        <v>0</v>
      </c>
    </row>
    <row r="301" spans="1:16" hidden="1" x14ac:dyDescent="0.3">
      <c r="A301" t="s">
        <v>405</v>
      </c>
      <c r="B301" t="s">
        <v>558</v>
      </c>
      <c r="C301" t="s">
        <v>559</v>
      </c>
      <c r="D301">
        <v>6.3</v>
      </c>
      <c r="E301">
        <v>62.5</v>
      </c>
      <c r="F301">
        <v>11</v>
      </c>
      <c r="G301" t="b">
        <v>0</v>
      </c>
      <c r="H301">
        <v>3</v>
      </c>
      <c r="I301">
        <v>0</v>
      </c>
      <c r="J301">
        <v>0</v>
      </c>
      <c r="K301">
        <v>67.7</v>
      </c>
      <c r="L301">
        <f t="shared" si="31"/>
        <v>25.252000428167129</v>
      </c>
      <c r="M301">
        <f t="shared" si="32"/>
        <v>0.25200042816713047</v>
      </c>
      <c r="N301">
        <f t="shared" si="33"/>
        <v>25</v>
      </c>
      <c r="O301">
        <f t="shared" si="34"/>
        <v>0</v>
      </c>
      <c r="P301">
        <f t="shared" si="35"/>
        <v>0</v>
      </c>
    </row>
    <row r="302" spans="1:16" hidden="1" x14ac:dyDescent="0.3">
      <c r="A302" t="s">
        <v>405</v>
      </c>
      <c r="B302" t="s">
        <v>560</v>
      </c>
      <c r="C302" t="s">
        <v>561</v>
      </c>
      <c r="D302">
        <v>3.4</v>
      </c>
      <c r="E302">
        <v>62.5</v>
      </c>
      <c r="F302">
        <v>7.7</v>
      </c>
      <c r="G302" t="b">
        <v>0</v>
      </c>
      <c r="H302">
        <v>6</v>
      </c>
      <c r="I302">
        <v>0</v>
      </c>
      <c r="J302">
        <v>0</v>
      </c>
      <c r="K302">
        <v>48.7</v>
      </c>
      <c r="L302">
        <f t="shared" si="31"/>
        <v>25.136000231074323</v>
      </c>
      <c r="M302">
        <f t="shared" si="32"/>
        <v>0.13600023107432441</v>
      </c>
      <c r="N302">
        <f t="shared" si="33"/>
        <v>25</v>
      </c>
      <c r="O302">
        <f t="shared" si="34"/>
        <v>0</v>
      </c>
      <c r="P302">
        <f t="shared" si="35"/>
        <v>0</v>
      </c>
    </row>
    <row r="303" spans="1:16" hidden="1" x14ac:dyDescent="0.3">
      <c r="A303" t="s">
        <v>405</v>
      </c>
      <c r="B303" t="s">
        <v>562</v>
      </c>
      <c r="C303" t="s">
        <v>563</v>
      </c>
      <c r="D303">
        <v>18.8</v>
      </c>
      <c r="E303">
        <v>60</v>
      </c>
      <c r="F303">
        <v>10.7</v>
      </c>
      <c r="G303" t="b">
        <v>0</v>
      </c>
      <c r="H303">
        <v>6</v>
      </c>
      <c r="I303">
        <v>0</v>
      </c>
      <c r="J303">
        <v>0</v>
      </c>
      <c r="K303">
        <v>87.6</v>
      </c>
      <c r="L303">
        <f t="shared" si="31"/>
        <v>24.752001277705087</v>
      </c>
      <c r="M303">
        <f t="shared" si="32"/>
        <v>0.75200127770508784</v>
      </c>
      <c r="N303">
        <f t="shared" si="33"/>
        <v>24</v>
      </c>
      <c r="O303">
        <f t="shared" si="34"/>
        <v>0</v>
      </c>
      <c r="P303">
        <f t="shared" si="35"/>
        <v>0</v>
      </c>
    </row>
    <row r="304" spans="1:16" hidden="1" x14ac:dyDescent="0.3">
      <c r="A304" t="s">
        <v>405</v>
      </c>
      <c r="B304" t="s">
        <v>564</v>
      </c>
      <c r="C304" t="s">
        <v>565</v>
      </c>
      <c r="D304">
        <v>2.5</v>
      </c>
      <c r="E304">
        <v>90.9</v>
      </c>
      <c r="F304">
        <v>2.2000000000000002</v>
      </c>
      <c r="G304" t="b">
        <v>0</v>
      </c>
      <c r="H304">
        <v>0</v>
      </c>
      <c r="I304">
        <v>0</v>
      </c>
      <c r="J304">
        <v>0</v>
      </c>
      <c r="K304">
        <v>48</v>
      </c>
      <c r="L304">
        <f t="shared" si="31"/>
        <v>36.460000169907595</v>
      </c>
      <c r="M304">
        <f t="shared" si="32"/>
        <v>0.10000016990759147</v>
      </c>
      <c r="N304">
        <f t="shared" si="33"/>
        <v>36.360000000000007</v>
      </c>
      <c r="O304">
        <f t="shared" si="34"/>
        <v>0</v>
      </c>
      <c r="P304">
        <f t="shared" si="35"/>
        <v>0</v>
      </c>
    </row>
    <row r="305" spans="1:16" hidden="1" x14ac:dyDescent="0.3">
      <c r="A305" t="s">
        <v>405</v>
      </c>
      <c r="B305" t="s">
        <v>566</v>
      </c>
      <c r="C305" t="s">
        <v>407</v>
      </c>
      <c r="D305">
        <v>1.9</v>
      </c>
      <c r="E305">
        <v>90.9</v>
      </c>
      <c r="F305">
        <v>2.2000000000000002</v>
      </c>
      <c r="G305" t="b">
        <v>0</v>
      </c>
      <c r="H305">
        <v>3</v>
      </c>
      <c r="I305">
        <v>1</v>
      </c>
      <c r="J305">
        <v>0</v>
      </c>
      <c r="K305">
        <v>44.9</v>
      </c>
      <c r="L305">
        <f t="shared" si="31"/>
        <v>36.436000129129773</v>
      </c>
      <c r="M305">
        <f t="shared" si="32"/>
        <v>7.6000129129769514E-2</v>
      </c>
      <c r="N305">
        <f t="shared" si="33"/>
        <v>36.360000000000007</v>
      </c>
      <c r="O305">
        <f t="shared" si="34"/>
        <v>0</v>
      </c>
      <c r="P305">
        <f t="shared" si="35"/>
        <v>0</v>
      </c>
    </row>
    <row r="306" spans="1:16" hidden="1" x14ac:dyDescent="0.3">
      <c r="A306" t="s">
        <v>405</v>
      </c>
      <c r="B306" t="s">
        <v>567</v>
      </c>
      <c r="C306" t="s">
        <v>407</v>
      </c>
      <c r="D306">
        <v>3</v>
      </c>
      <c r="E306">
        <v>90.9</v>
      </c>
      <c r="F306">
        <v>2.2000000000000002</v>
      </c>
      <c r="G306" t="b">
        <v>0</v>
      </c>
      <c r="H306">
        <v>3</v>
      </c>
      <c r="I306">
        <v>1</v>
      </c>
      <c r="J306">
        <v>0</v>
      </c>
      <c r="K306">
        <v>46.9</v>
      </c>
      <c r="L306">
        <f t="shared" si="31"/>
        <v>36.480000203889119</v>
      </c>
      <c r="M306">
        <f t="shared" si="32"/>
        <v>0.12000020388910976</v>
      </c>
      <c r="N306">
        <f t="shared" si="33"/>
        <v>36.360000000000007</v>
      </c>
      <c r="O306">
        <f t="shared" si="34"/>
        <v>0</v>
      </c>
      <c r="P306">
        <f t="shared" si="35"/>
        <v>0</v>
      </c>
    </row>
    <row r="307" spans="1:16" hidden="1" x14ac:dyDescent="0.3">
      <c r="A307" t="s">
        <v>405</v>
      </c>
      <c r="B307" t="s">
        <v>568</v>
      </c>
      <c r="C307" t="s">
        <v>569</v>
      </c>
      <c r="D307">
        <v>6.7</v>
      </c>
      <c r="E307">
        <v>62.5</v>
      </c>
      <c r="F307">
        <v>11</v>
      </c>
      <c r="G307" t="b">
        <v>0</v>
      </c>
      <c r="H307">
        <v>6</v>
      </c>
      <c r="I307">
        <v>0</v>
      </c>
      <c r="J307">
        <v>0</v>
      </c>
      <c r="K307">
        <v>65.400000000000006</v>
      </c>
      <c r="L307">
        <f t="shared" si="31"/>
        <v>25.268000455352347</v>
      </c>
      <c r="M307">
        <f t="shared" si="32"/>
        <v>0.26800045535234512</v>
      </c>
      <c r="N307">
        <f t="shared" si="33"/>
        <v>25</v>
      </c>
      <c r="O307">
        <f t="shared" si="34"/>
        <v>0</v>
      </c>
      <c r="P307">
        <f t="shared" si="35"/>
        <v>0</v>
      </c>
    </row>
    <row r="308" spans="1:16" hidden="1" x14ac:dyDescent="0.3">
      <c r="A308" t="s">
        <v>405</v>
      </c>
      <c r="B308" t="s">
        <v>570</v>
      </c>
      <c r="C308" t="s">
        <v>571</v>
      </c>
      <c r="D308">
        <v>3.8</v>
      </c>
      <c r="E308">
        <v>71.400000000000006</v>
      </c>
      <c r="F308">
        <v>8.1999999999999993</v>
      </c>
      <c r="G308" t="b">
        <v>0</v>
      </c>
      <c r="H308">
        <v>3</v>
      </c>
      <c r="I308">
        <v>0</v>
      </c>
      <c r="J308">
        <v>0</v>
      </c>
      <c r="K308">
        <v>57.7</v>
      </c>
      <c r="L308">
        <f t="shared" si="31"/>
        <v>28.71200025825954</v>
      </c>
      <c r="M308">
        <f t="shared" si="32"/>
        <v>0.15200025825953903</v>
      </c>
      <c r="N308">
        <f t="shared" si="33"/>
        <v>28.560000000000002</v>
      </c>
      <c r="O308">
        <f t="shared" si="34"/>
        <v>0</v>
      </c>
      <c r="P308">
        <f t="shared" si="35"/>
        <v>0</v>
      </c>
    </row>
    <row r="309" spans="1:16" hidden="1" x14ac:dyDescent="0.3">
      <c r="A309" t="s">
        <v>405</v>
      </c>
      <c r="B309" t="s">
        <v>572</v>
      </c>
      <c r="C309" t="s">
        <v>573</v>
      </c>
      <c r="D309">
        <v>6.4</v>
      </c>
      <c r="E309">
        <v>70.599999999999994</v>
      </c>
      <c r="F309">
        <v>10.9</v>
      </c>
      <c r="G309" t="b">
        <v>0</v>
      </c>
      <c r="H309">
        <v>6</v>
      </c>
      <c r="I309">
        <v>0</v>
      </c>
      <c r="J309">
        <v>0</v>
      </c>
      <c r="K309">
        <v>67.7</v>
      </c>
      <c r="L309">
        <f t="shared" si="31"/>
        <v>28.496000434963431</v>
      </c>
      <c r="M309">
        <f t="shared" si="32"/>
        <v>0.25600043496343416</v>
      </c>
      <c r="N309">
        <f t="shared" si="33"/>
        <v>28.24</v>
      </c>
      <c r="O309">
        <f t="shared" si="34"/>
        <v>0</v>
      </c>
      <c r="P309">
        <f t="shared" si="35"/>
        <v>0</v>
      </c>
    </row>
    <row r="310" spans="1:16" hidden="1" x14ac:dyDescent="0.3">
      <c r="A310" t="s">
        <v>405</v>
      </c>
      <c r="B310" t="s">
        <v>574</v>
      </c>
      <c r="C310" t="s">
        <v>575</v>
      </c>
      <c r="D310">
        <v>3.2</v>
      </c>
      <c r="E310">
        <v>66.7</v>
      </c>
      <c r="F310">
        <v>7</v>
      </c>
      <c r="G310" t="b">
        <v>0</v>
      </c>
      <c r="H310">
        <v>3</v>
      </c>
      <c r="I310">
        <v>0</v>
      </c>
      <c r="J310">
        <v>0</v>
      </c>
      <c r="K310">
        <v>51.1</v>
      </c>
      <c r="L310">
        <f t="shared" si="31"/>
        <v>26.80800021748172</v>
      </c>
      <c r="M310">
        <f t="shared" si="32"/>
        <v>0.12800021748171708</v>
      </c>
      <c r="N310">
        <f t="shared" si="33"/>
        <v>26.680000000000003</v>
      </c>
      <c r="O310">
        <f t="shared" si="34"/>
        <v>0</v>
      </c>
      <c r="P310">
        <f t="shared" si="35"/>
        <v>0</v>
      </c>
    </row>
    <row r="311" spans="1:16" hidden="1" x14ac:dyDescent="0.3">
      <c r="A311" t="s">
        <v>405</v>
      </c>
      <c r="B311" t="s">
        <v>576</v>
      </c>
      <c r="C311" t="s">
        <v>577</v>
      </c>
      <c r="D311">
        <v>30.8</v>
      </c>
      <c r="E311">
        <v>55.6</v>
      </c>
      <c r="F311">
        <v>12.7</v>
      </c>
      <c r="G311" t="b">
        <v>0</v>
      </c>
      <c r="H311">
        <v>6</v>
      </c>
      <c r="I311">
        <v>0</v>
      </c>
      <c r="J311">
        <v>0</v>
      </c>
      <c r="K311">
        <v>115.9</v>
      </c>
      <c r="L311">
        <f t="shared" si="31"/>
        <v>23.47200209326153</v>
      </c>
      <c r="M311">
        <f t="shared" si="32"/>
        <v>1.232002093261527</v>
      </c>
      <c r="N311">
        <f t="shared" si="33"/>
        <v>22.240000000000002</v>
      </c>
      <c r="O311">
        <f t="shared" si="34"/>
        <v>0</v>
      </c>
      <c r="P311">
        <f t="shared" si="35"/>
        <v>0</v>
      </c>
    </row>
    <row r="312" spans="1:16" hidden="1" x14ac:dyDescent="0.3">
      <c r="A312" t="s">
        <v>405</v>
      </c>
      <c r="B312" t="s">
        <v>578</v>
      </c>
      <c r="C312" t="s">
        <v>579</v>
      </c>
      <c r="D312">
        <v>4.2</v>
      </c>
      <c r="E312">
        <v>60</v>
      </c>
      <c r="F312">
        <v>8.1999999999999993</v>
      </c>
      <c r="G312" t="b">
        <v>0</v>
      </c>
      <c r="H312">
        <v>6</v>
      </c>
      <c r="I312">
        <v>0</v>
      </c>
      <c r="J312">
        <v>0</v>
      </c>
      <c r="K312">
        <v>50.9</v>
      </c>
      <c r="L312">
        <f t="shared" si="31"/>
        <v>24.168000285444755</v>
      </c>
      <c r="M312">
        <f t="shared" si="32"/>
        <v>0.16800028544475368</v>
      </c>
      <c r="N312">
        <f t="shared" si="33"/>
        <v>24</v>
      </c>
      <c r="O312">
        <f t="shared" si="34"/>
        <v>0</v>
      </c>
      <c r="P312">
        <f t="shared" si="35"/>
        <v>0</v>
      </c>
    </row>
    <row r="313" spans="1:16" hidden="1" x14ac:dyDescent="0.3">
      <c r="A313" t="s">
        <v>405</v>
      </c>
      <c r="B313" t="s">
        <v>580</v>
      </c>
      <c r="C313" t="s">
        <v>581</v>
      </c>
      <c r="D313">
        <v>3.9</v>
      </c>
      <c r="E313">
        <v>46.2</v>
      </c>
      <c r="F313">
        <v>5.2</v>
      </c>
      <c r="G313" t="b">
        <v>0</v>
      </c>
      <c r="H313">
        <v>6</v>
      </c>
      <c r="I313">
        <v>0</v>
      </c>
      <c r="J313">
        <v>0</v>
      </c>
      <c r="K313">
        <v>35.700000000000003</v>
      </c>
      <c r="L313">
        <f t="shared" si="31"/>
        <v>18.636000265055841</v>
      </c>
      <c r="M313">
        <f t="shared" si="32"/>
        <v>0.15600026505584269</v>
      </c>
      <c r="N313">
        <f t="shared" si="33"/>
        <v>18.48</v>
      </c>
      <c r="O313">
        <f t="shared" si="34"/>
        <v>0</v>
      </c>
      <c r="P313">
        <f t="shared" si="35"/>
        <v>0</v>
      </c>
    </row>
    <row r="314" spans="1:16" hidden="1" x14ac:dyDescent="0.3">
      <c r="A314" t="s">
        <v>405</v>
      </c>
      <c r="B314" t="s">
        <v>582</v>
      </c>
      <c r="C314" t="s">
        <v>583</v>
      </c>
      <c r="D314">
        <v>3.4</v>
      </c>
      <c r="E314">
        <v>41.7</v>
      </c>
      <c r="F314">
        <v>5.2</v>
      </c>
      <c r="G314" t="b">
        <v>0</v>
      </c>
      <c r="H314">
        <v>6</v>
      </c>
      <c r="I314">
        <v>0</v>
      </c>
      <c r="J314">
        <v>0</v>
      </c>
      <c r="K314">
        <v>32.799999999999997</v>
      </c>
      <c r="L314">
        <f t="shared" si="31"/>
        <v>16.816000231074327</v>
      </c>
      <c r="M314">
        <f t="shared" si="32"/>
        <v>0.13600023107432441</v>
      </c>
      <c r="N314">
        <f t="shared" si="33"/>
        <v>16.680000000000003</v>
      </c>
      <c r="O314">
        <f t="shared" si="34"/>
        <v>0</v>
      </c>
      <c r="P314">
        <f t="shared" si="35"/>
        <v>0</v>
      </c>
    </row>
    <row r="315" spans="1:16" hidden="1" x14ac:dyDescent="0.3">
      <c r="A315" t="s">
        <v>405</v>
      </c>
      <c r="B315" t="s">
        <v>584</v>
      </c>
      <c r="C315" t="s">
        <v>535</v>
      </c>
      <c r="D315">
        <v>30</v>
      </c>
      <c r="E315">
        <v>30.8</v>
      </c>
      <c r="F315">
        <v>5.7</v>
      </c>
      <c r="G315" t="b">
        <v>0</v>
      </c>
      <c r="H315">
        <v>6</v>
      </c>
      <c r="I315">
        <v>0</v>
      </c>
      <c r="J315">
        <v>0</v>
      </c>
      <c r="K315">
        <v>83.5</v>
      </c>
      <c r="L315">
        <f t="shared" si="31"/>
        <v>13.520002038891098</v>
      </c>
      <c r="M315">
        <f t="shared" si="32"/>
        <v>1.2000020388910977</v>
      </c>
      <c r="N315">
        <f t="shared" si="33"/>
        <v>12.32</v>
      </c>
      <c r="O315">
        <f t="shared" si="34"/>
        <v>0</v>
      </c>
      <c r="P315">
        <f t="shared" si="35"/>
        <v>0</v>
      </c>
    </row>
    <row r="316" spans="1:16" hidden="1" x14ac:dyDescent="0.3">
      <c r="A316" t="s">
        <v>405</v>
      </c>
      <c r="B316" t="s">
        <v>585</v>
      </c>
      <c r="C316" t="s">
        <v>586</v>
      </c>
      <c r="D316">
        <v>6</v>
      </c>
      <c r="E316">
        <v>25.6</v>
      </c>
      <c r="F316">
        <v>8.1999999999999993</v>
      </c>
      <c r="G316" t="b">
        <v>0</v>
      </c>
      <c r="H316">
        <v>6</v>
      </c>
      <c r="I316">
        <v>0</v>
      </c>
      <c r="J316">
        <v>0</v>
      </c>
      <c r="K316">
        <v>41</v>
      </c>
      <c r="L316">
        <f t="shared" si="31"/>
        <v>10.480000407778222</v>
      </c>
      <c r="M316">
        <f t="shared" si="32"/>
        <v>0.24000040777821952</v>
      </c>
      <c r="N316">
        <f t="shared" si="33"/>
        <v>10.240000000000002</v>
      </c>
      <c r="O316">
        <f t="shared" si="34"/>
        <v>0</v>
      </c>
      <c r="P316">
        <f t="shared" si="35"/>
        <v>0</v>
      </c>
    </row>
    <row r="317" spans="1:16" hidden="1" x14ac:dyDescent="0.3">
      <c r="A317" t="s">
        <v>405</v>
      </c>
      <c r="B317" t="s">
        <v>587</v>
      </c>
      <c r="C317" t="s">
        <v>537</v>
      </c>
      <c r="D317">
        <v>4.0999999999999996</v>
      </c>
      <c r="E317">
        <v>83.3</v>
      </c>
      <c r="F317">
        <v>7</v>
      </c>
      <c r="G317" t="b">
        <v>0</v>
      </c>
      <c r="H317">
        <v>3</v>
      </c>
      <c r="I317">
        <v>0</v>
      </c>
      <c r="J317">
        <v>0</v>
      </c>
      <c r="K317">
        <v>59.6</v>
      </c>
      <c r="L317">
        <f t="shared" si="31"/>
        <v>33.484000278648452</v>
      </c>
      <c r="M317">
        <f t="shared" si="32"/>
        <v>0.16400027864844999</v>
      </c>
      <c r="N317">
        <f t="shared" si="33"/>
        <v>33.32</v>
      </c>
      <c r="O317">
        <f t="shared" si="34"/>
        <v>0</v>
      </c>
      <c r="P317">
        <f t="shared" si="35"/>
        <v>0</v>
      </c>
    </row>
    <row r="318" spans="1:16" hidden="1" x14ac:dyDescent="0.3">
      <c r="A318" t="s">
        <v>405</v>
      </c>
      <c r="B318" t="s">
        <v>588</v>
      </c>
      <c r="C318" t="s">
        <v>589</v>
      </c>
      <c r="D318">
        <v>21.7</v>
      </c>
      <c r="E318">
        <v>27.8</v>
      </c>
      <c r="F318">
        <v>3.5</v>
      </c>
      <c r="G318" t="b">
        <v>0</v>
      </c>
      <c r="H318">
        <v>6</v>
      </c>
      <c r="I318">
        <v>0</v>
      </c>
      <c r="J318">
        <v>0</v>
      </c>
      <c r="K318">
        <v>59</v>
      </c>
      <c r="L318">
        <f t="shared" si="31"/>
        <v>11.988001474797894</v>
      </c>
      <c r="M318">
        <f t="shared" si="32"/>
        <v>0.86800147479789391</v>
      </c>
      <c r="N318">
        <f t="shared" si="33"/>
        <v>11.120000000000001</v>
      </c>
      <c r="O318">
        <f t="shared" si="34"/>
        <v>0</v>
      </c>
      <c r="P318">
        <f t="shared" si="35"/>
        <v>0</v>
      </c>
    </row>
    <row r="319" spans="1:16" hidden="1" x14ac:dyDescent="0.3">
      <c r="A319" t="s">
        <v>405</v>
      </c>
      <c r="B319" t="s">
        <v>590</v>
      </c>
      <c r="C319" t="s">
        <v>591</v>
      </c>
      <c r="D319">
        <v>3.8</v>
      </c>
      <c r="E319">
        <v>58.8</v>
      </c>
      <c r="F319">
        <v>5.2</v>
      </c>
      <c r="G319" t="b">
        <v>0</v>
      </c>
      <c r="H319">
        <v>3</v>
      </c>
      <c r="I319">
        <v>0</v>
      </c>
      <c r="J319">
        <v>0</v>
      </c>
      <c r="K319">
        <v>43.5</v>
      </c>
      <c r="L319">
        <f t="shared" si="31"/>
        <v>23.672000258259537</v>
      </c>
      <c r="M319">
        <f t="shared" si="32"/>
        <v>0.15200025825953903</v>
      </c>
      <c r="N319">
        <f t="shared" si="33"/>
        <v>23.52</v>
      </c>
      <c r="O319">
        <f t="shared" si="34"/>
        <v>0</v>
      </c>
      <c r="P319">
        <f t="shared" si="35"/>
        <v>0</v>
      </c>
    </row>
    <row r="320" spans="1:16" hidden="1" x14ac:dyDescent="0.3">
      <c r="A320" t="s">
        <v>405</v>
      </c>
      <c r="B320" t="s">
        <v>592</v>
      </c>
      <c r="C320" t="s">
        <v>593</v>
      </c>
      <c r="D320">
        <v>25</v>
      </c>
      <c r="E320">
        <v>62.5</v>
      </c>
      <c r="F320">
        <v>3.5</v>
      </c>
      <c r="G320" t="b">
        <v>0</v>
      </c>
      <c r="H320">
        <v>6</v>
      </c>
      <c r="I320">
        <v>0</v>
      </c>
      <c r="J320">
        <v>0</v>
      </c>
      <c r="K320">
        <v>79.5</v>
      </c>
      <c r="L320">
        <f t="shared" si="31"/>
        <v>26.000001699075916</v>
      </c>
      <c r="M320">
        <f t="shared" si="32"/>
        <v>1.0000016990759146</v>
      </c>
      <c r="N320">
        <f t="shared" si="33"/>
        <v>25</v>
      </c>
      <c r="O320">
        <f t="shared" si="34"/>
        <v>0</v>
      </c>
      <c r="P320">
        <f t="shared" si="35"/>
        <v>0</v>
      </c>
    </row>
    <row r="321" spans="1:16" hidden="1" x14ac:dyDescent="0.3">
      <c r="A321" t="s">
        <v>405</v>
      </c>
      <c r="B321" t="s">
        <v>594</v>
      </c>
      <c r="C321" t="s">
        <v>595</v>
      </c>
      <c r="D321">
        <v>11.1</v>
      </c>
      <c r="E321">
        <v>71.400000000000006</v>
      </c>
      <c r="F321">
        <v>8.1999999999999993</v>
      </c>
      <c r="G321" t="b">
        <v>0</v>
      </c>
      <c r="H321">
        <v>3</v>
      </c>
      <c r="I321">
        <v>0</v>
      </c>
      <c r="J321">
        <v>0</v>
      </c>
      <c r="K321">
        <v>72.400000000000006</v>
      </c>
      <c r="L321">
        <f t="shared" si="31"/>
        <v>29.004000754389708</v>
      </c>
      <c r="M321">
        <f t="shared" si="32"/>
        <v>0.4440007543897061</v>
      </c>
      <c r="N321">
        <f t="shared" si="33"/>
        <v>28.560000000000002</v>
      </c>
      <c r="O321">
        <f t="shared" si="34"/>
        <v>0</v>
      </c>
      <c r="P321">
        <f t="shared" si="35"/>
        <v>0</v>
      </c>
    </row>
    <row r="322" spans="1:16" hidden="1" x14ac:dyDescent="0.3">
      <c r="A322" t="s">
        <v>405</v>
      </c>
      <c r="B322" t="s">
        <v>596</v>
      </c>
      <c r="C322" t="s">
        <v>597</v>
      </c>
      <c r="D322">
        <v>4</v>
      </c>
      <c r="E322">
        <v>71.400000000000006</v>
      </c>
      <c r="F322">
        <v>0</v>
      </c>
      <c r="G322" t="b">
        <v>0</v>
      </c>
      <c r="H322">
        <v>6</v>
      </c>
      <c r="I322">
        <v>0</v>
      </c>
      <c r="J322">
        <v>0</v>
      </c>
      <c r="K322">
        <v>30.5</v>
      </c>
      <c r="L322">
        <f t="shared" si="31"/>
        <v>28.72000027185215</v>
      </c>
      <c r="M322">
        <f t="shared" si="32"/>
        <v>0.16000027185214635</v>
      </c>
      <c r="N322">
        <f t="shared" si="33"/>
        <v>28.560000000000002</v>
      </c>
      <c r="O322">
        <f t="shared" si="34"/>
        <v>0</v>
      </c>
      <c r="P322">
        <f t="shared" si="35"/>
        <v>0</v>
      </c>
    </row>
    <row r="323" spans="1:16" hidden="1" x14ac:dyDescent="0.3">
      <c r="A323" t="s">
        <v>405</v>
      </c>
      <c r="B323" t="s">
        <v>598</v>
      </c>
      <c r="C323" t="s">
        <v>599</v>
      </c>
      <c r="D323">
        <v>2.5</v>
      </c>
      <c r="E323">
        <v>62.5</v>
      </c>
      <c r="F323">
        <v>2.2000000000000002</v>
      </c>
      <c r="G323" t="b">
        <v>0</v>
      </c>
      <c r="H323">
        <v>3</v>
      </c>
      <c r="I323">
        <v>0</v>
      </c>
      <c r="J323">
        <v>0</v>
      </c>
      <c r="K323">
        <v>33.6</v>
      </c>
      <c r="L323">
        <f t="shared" si="31"/>
        <v>25.100000169907592</v>
      </c>
      <c r="M323">
        <f t="shared" si="32"/>
        <v>0.10000016990759147</v>
      </c>
      <c r="N323">
        <f t="shared" si="33"/>
        <v>25</v>
      </c>
      <c r="O323">
        <f t="shared" si="34"/>
        <v>0</v>
      </c>
      <c r="P323">
        <f t="shared" si="35"/>
        <v>0</v>
      </c>
    </row>
    <row r="324" spans="1:16" hidden="1" x14ac:dyDescent="0.3">
      <c r="A324" t="s">
        <v>405</v>
      </c>
      <c r="B324" t="s">
        <v>600</v>
      </c>
      <c r="C324" t="s">
        <v>601</v>
      </c>
      <c r="D324">
        <v>4.5999999999999996</v>
      </c>
      <c r="E324">
        <v>48</v>
      </c>
      <c r="F324">
        <v>4.5</v>
      </c>
      <c r="G324" t="b">
        <v>0</v>
      </c>
      <c r="H324">
        <v>6</v>
      </c>
      <c r="I324">
        <v>0</v>
      </c>
      <c r="J324">
        <v>0</v>
      </c>
      <c r="K324">
        <v>35.700000000000003</v>
      </c>
      <c r="L324">
        <f t="shared" ref="L324" si="36">SUM(M324:Q324)</f>
        <v>19.384000312629972</v>
      </c>
      <c r="M324">
        <f t="shared" ref="M324" si="37">D324*$M$2</f>
        <v>0.1840003126299683</v>
      </c>
      <c r="N324">
        <f t="shared" ref="N324" si="38">E324*0.4</f>
        <v>19.200000000000003</v>
      </c>
      <c r="O324">
        <f t="shared" ref="O324" si="39">F324*$O$2</f>
        <v>0</v>
      </c>
      <c r="P324">
        <f t="shared" ref="P324" si="40">J324*2</f>
        <v>0</v>
      </c>
    </row>
    <row r="326" spans="1:16" x14ac:dyDescent="0.3">
      <c r="M326">
        <f>L7-L8</f>
        <v>-1.4440024534656217</v>
      </c>
    </row>
    <row r="327" spans="1:16" x14ac:dyDescent="0.3">
      <c r="M327">
        <f>L104-L101</f>
        <v>1.0520017874278622</v>
      </c>
    </row>
    <row r="328" spans="1:16" x14ac:dyDescent="0.3">
      <c r="M328">
        <f>L196-L194</f>
        <v>-0.10000016990758809</v>
      </c>
    </row>
  </sheetData>
  <autoFilter ref="A2:K324" xr:uid="{27FDDFC2-45D0-42C3-82A8-06D727629E45}">
    <filterColumn colId="0">
      <colorFilter dxfId="0"/>
    </filterColumn>
    <filterColumn colId="6">
      <filters>
        <filter val="TRU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debug_scores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Sandate Trejo</cp:lastModifiedBy>
  <dcterms:created xsi:type="dcterms:W3CDTF">2025-11-07T09:20:27Z</dcterms:created>
  <dcterms:modified xsi:type="dcterms:W3CDTF">2025-11-07T10:09:26Z</dcterms:modified>
</cp:coreProperties>
</file>